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10917" codeName="{C80E003A-6C80-AF87-3323-10F97C11A349}"/>
  <workbookPr codeName="ThisWorkbook" autoCompressPictures="0"/>
  <mc:AlternateContent xmlns:mc="http://schemas.openxmlformats.org/markup-compatibility/2006">
    <mc:Choice Requires="x15">
      <x15ac:absPath xmlns:x15ac="http://schemas.microsoft.com/office/spreadsheetml/2010/11/ac" url="/Users/nico/Dropbox/TEACHING/Website/rnfermincota/academic/research/traditional_assets/leveraged-finance/2-Dell-LBO/tutorial/"/>
    </mc:Choice>
  </mc:AlternateContent>
  <xr:revisionPtr revIDLastSave="0" documentId="13_ncr:1_{02556ECE-7250-9048-808C-61A0EAD51A7E}" xr6:coauthVersionLast="47" xr6:coauthVersionMax="47" xr10:uidLastSave="{00000000-0000-0000-0000-000000000000}"/>
  <bookViews>
    <workbookView xWindow="0" yWindow="500" windowWidth="28800" windowHeight="17500" xr2:uid="{00000000-000D-0000-FFFF-FFFF00000000}"/>
  </bookViews>
  <sheets>
    <sheet name="DATA_INPUTS" sheetId="6" r:id="rId1"/>
    <sheet name="CREDIT_MODEL" sheetId="7" r:id="rId2"/>
    <sheet name="ALGORITHMS" sheetId="8" r:id="rId3"/>
  </sheets>
  <functionGroups builtInGroupCount="19"/>
  <calcPr calcId="191029" iterate="1"/>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 xmlns:mx="http://schemas.microsoft.com/office/mac/excel/2008/main" uri="{7523E5D3-25F3-A5E0-1632-64F254C22452}">
      <mx:ArchID Flags="2"/>
    </ext>
  </extLst>
</workbook>
</file>

<file path=xl/calcChain.xml><?xml version="1.0" encoding="utf-8"?>
<calcChain xmlns="http://schemas.openxmlformats.org/spreadsheetml/2006/main">
  <c r="D4" i="7" l="1"/>
  <c r="B57" i="7" s="1"/>
  <c r="AF3" i="7"/>
  <c r="O4" i="7"/>
  <c r="O8" i="7" s="1"/>
  <c r="O5" i="7" s="1"/>
  <c r="E5" i="7"/>
  <c r="A2" i="6"/>
  <c r="A3" i="6" s="1"/>
  <c r="A4" i="6" s="1"/>
  <c r="A5" i="6" s="1"/>
  <c r="A6" i="6" s="1"/>
  <c r="A7" i="6" s="1"/>
  <c r="O15" i="7" s="1"/>
  <c r="O16" i="7" s="1"/>
  <c r="O18" i="7" s="1"/>
  <c r="O20" i="7" s="1"/>
  <c r="O21" i="7" s="1"/>
  <c r="O22" i="7" s="1"/>
  <c r="O32" i="7" s="1"/>
  <c r="O33" i="7" s="1"/>
  <c r="O34" i="7" s="1"/>
  <c r="O36" i="7" s="1"/>
  <c r="O38" i="7" s="1"/>
  <c r="O39" i="7" s="1"/>
  <c r="O45" i="7" s="1"/>
  <c r="O51" i="7" s="1"/>
  <c r="O52" i="7" s="1"/>
  <c r="O196" i="7" s="1"/>
  <c r="O197" i="7" s="1"/>
  <c r="O198" i="7" s="1"/>
  <c r="O199" i="7" s="1"/>
  <c r="O200" i="7" s="1"/>
  <c r="O202" i="7" s="1"/>
  <c r="O204" i="7" s="1"/>
  <c r="O205" i="7" s="1"/>
  <c r="O206" i="7" s="1"/>
  <c r="O207" i="7" s="1"/>
  <c r="O208" i="7" s="1"/>
  <c r="O212" i="7" s="1"/>
  <c r="O213" i="7" s="1"/>
  <c r="O214" i="7" s="1"/>
  <c r="O215" i="7" s="1"/>
  <c r="O216" i="7" s="1"/>
  <c r="O217" i="7" s="1"/>
  <c r="O218" i="7" s="1"/>
  <c r="O220" i="7" s="1"/>
  <c r="O221" i="7" s="1"/>
  <c r="O222" i="7" s="1"/>
  <c r="O223" i="7" s="1"/>
  <c r="O225" i="7" s="1"/>
  <c r="O226" i="7" s="1"/>
  <c r="O228" i="7" s="1"/>
  <c r="O229" i="7" s="1"/>
  <c r="O230" i="7" s="1"/>
  <c r="F57" i="7"/>
  <c r="K57" i="7"/>
  <c r="E256" i="7"/>
  <c r="F256" i="7" s="1"/>
  <c r="K256" i="7"/>
  <c r="F61" i="7"/>
  <c r="K61" i="7"/>
  <c r="E257" i="7"/>
  <c r="F257" i="7" s="1"/>
  <c r="K257" i="7"/>
  <c r="E258" i="7"/>
  <c r="F258" i="7" s="1"/>
  <c r="K258" i="7"/>
  <c r="E259" i="7"/>
  <c r="F259" i="7" s="1"/>
  <c r="K259" i="7"/>
  <c r="E261" i="7"/>
  <c r="F261" i="7" s="1"/>
  <c r="K261" i="7"/>
  <c r="E262" i="7"/>
  <c r="F262" i="7" s="1"/>
  <c r="K262" i="7"/>
  <c r="E263" i="7"/>
  <c r="F263" i="7" s="1"/>
  <c r="K263" i="7"/>
  <c r="E264" i="7"/>
  <c r="F264" i="7" s="1"/>
  <c r="K264" i="7"/>
  <c r="E265" i="7"/>
  <c r="F265" i="7" s="1"/>
  <c r="K265" i="7"/>
  <c r="E266" i="7"/>
  <c r="F266" i="7" s="1"/>
  <c r="K266" i="7"/>
  <c r="C26" i="6"/>
  <c r="G6" i="7"/>
  <c r="E407" i="7"/>
  <c r="F407" i="7" s="1"/>
  <c r="K407" i="7"/>
  <c r="K406" i="7"/>
  <c r="F406" i="7"/>
  <c r="E405" i="7"/>
  <c r="F405" i="7" s="1"/>
  <c r="K405" i="7"/>
  <c r="E404" i="7"/>
  <c r="F404" i="7" s="1"/>
  <c r="K404" i="7"/>
  <c r="E403" i="7"/>
  <c r="F403" i="7" s="1"/>
  <c r="K403" i="7"/>
  <c r="E371" i="7"/>
  <c r="F371" i="7" s="1"/>
  <c r="K371" i="7"/>
  <c r="E374" i="7"/>
  <c r="F374" i="7" s="1"/>
  <c r="K374" i="7"/>
  <c r="E373" i="7"/>
  <c r="F373" i="7" s="1"/>
  <c r="K373" i="7"/>
  <c r="O331" i="7"/>
  <c r="C25" i="6"/>
  <c r="E315" i="7"/>
  <c r="F315" i="7" s="1"/>
  <c r="K315" i="7"/>
  <c r="F62" i="7"/>
  <c r="K62" i="7"/>
  <c r="F63" i="7"/>
  <c r="K63" i="7"/>
  <c r="F65" i="7"/>
  <c r="K65" i="7"/>
  <c r="F33" i="7"/>
  <c r="K33" i="7"/>
  <c r="F34" i="7"/>
  <c r="K34" i="7"/>
  <c r="F108" i="7"/>
  <c r="K108" i="7"/>
  <c r="F109" i="7"/>
  <c r="K109" i="7"/>
  <c r="F84" i="7"/>
  <c r="K84" i="7"/>
  <c r="E87" i="7"/>
  <c r="F87" i="7" s="1"/>
  <c r="K87" i="7"/>
  <c r="F38" i="7"/>
  <c r="K38" i="7"/>
  <c r="F359" i="7"/>
  <c r="K359" i="7"/>
  <c r="F352" i="7"/>
  <c r="K352" i="7"/>
  <c r="F367" i="7"/>
  <c r="K367" i="7"/>
  <c r="F366" i="7"/>
  <c r="K366" i="7"/>
  <c r="F66" i="7"/>
  <c r="K66" i="7"/>
  <c r="L98" i="7"/>
  <c r="F116" i="7"/>
  <c r="K116" i="7"/>
  <c r="F163" i="7"/>
  <c r="K163" i="7"/>
  <c r="F164" i="7"/>
  <c r="K164" i="7"/>
  <c r="F52" i="7"/>
  <c r="K52" i="7"/>
  <c r="A8" i="6"/>
  <c r="A9" i="6" s="1"/>
  <c r="A10" i="6" s="1"/>
  <c r="A11" i="6" s="1"/>
  <c r="A12" i="6" s="1"/>
  <c r="A13" i="6" s="1"/>
  <c r="A14" i="6" s="1"/>
  <c r="Q39" i="7"/>
  <c r="Q390" i="7" s="1"/>
  <c r="Q356" i="7"/>
  <c r="Q407" i="7" s="1"/>
  <c r="Q349" i="7"/>
  <c r="Q406" i="7" s="1"/>
  <c r="Q342" i="7"/>
  <c r="Q30" i="7" s="1"/>
  <c r="Q335" i="7"/>
  <c r="Q29" i="7" s="1"/>
  <c r="Q28" i="7"/>
  <c r="Q386" i="7" s="1"/>
  <c r="Q27" i="7"/>
  <c r="Q385" i="7" s="1"/>
  <c r="Q26" i="7"/>
  <c r="Q383" i="7" s="1"/>
  <c r="F45" i="7"/>
  <c r="K45" i="7"/>
  <c r="E218" i="7"/>
  <c r="F218" i="7" s="1"/>
  <c r="K218" i="7"/>
  <c r="Q297" i="7"/>
  <c r="A15" i="6"/>
  <c r="A16" i="6"/>
  <c r="A17" i="6" s="1"/>
  <c r="A18" i="6" s="1"/>
  <c r="A19" i="6" s="1"/>
  <c r="A20" i="6" s="1"/>
  <c r="A21" i="6" s="1"/>
  <c r="A22" i="6" s="1"/>
  <c r="A23" i="6" s="1"/>
  <c r="A24" i="6" s="1"/>
  <c r="A25" i="6" s="1"/>
  <c r="A26" i="6" s="1"/>
  <c r="A27" i="6" s="1"/>
  <c r="A28" i="6" s="1"/>
  <c r="A29" i="6" s="1"/>
  <c r="A30" i="6" s="1"/>
  <c r="A31" i="6" s="1"/>
  <c r="A32" i="6" s="1"/>
  <c r="A33" i="6" s="1"/>
  <c r="A34" i="6" s="1"/>
  <c r="A35" i="6" s="1"/>
  <c r="A36" i="6" s="1"/>
  <c r="A37" i="6" s="1"/>
  <c r="A38" i="6" s="1"/>
  <c r="A39" i="6" s="1"/>
  <c r="A40" i="6" s="1"/>
  <c r="A41" i="6" s="1"/>
  <c r="A42" i="6" s="1"/>
  <c r="A43" i="6" s="1"/>
  <c r="A44" i="6" s="1"/>
  <c r="A45" i="6" s="1"/>
  <c r="A46" i="6" s="1"/>
  <c r="A47" i="6" s="1"/>
  <c r="A48" i="6" s="1"/>
  <c r="A49" i="6" s="1"/>
  <c r="A50" i="6" s="1"/>
  <c r="A51" i="6" s="1"/>
  <c r="Q417" i="7"/>
  <c r="Q416" i="7"/>
  <c r="Q403" i="7"/>
  <c r="Q405" i="7"/>
  <c r="C23" i="6"/>
  <c r="Q436" i="7"/>
  <c r="Q435" i="7"/>
  <c r="Q431" i="7"/>
  <c r="Q430" i="7"/>
  <c r="Q425" i="7"/>
  <c r="Q424" i="7"/>
  <c r="Q421" i="7"/>
  <c r="Q420" i="7"/>
  <c r="Q413" i="7"/>
  <c r="Q412" i="7"/>
  <c r="Q286" i="7"/>
  <c r="Q287" i="7"/>
  <c r="Q304" i="7"/>
  <c r="Q305" i="7"/>
  <c r="Q306" i="7"/>
  <c r="Q303" i="7"/>
  <c r="Q302" i="7"/>
  <c r="Q301" i="7"/>
  <c r="Q328" i="7"/>
  <c r="Q327" i="7"/>
  <c r="Q246" i="7"/>
  <c r="Q266" i="7" s="1"/>
  <c r="Q245" i="7"/>
  <c r="Q265" i="7" s="1"/>
  <c r="Q244" i="7"/>
  <c r="Q264" i="7" s="1"/>
  <c r="Q243" i="7"/>
  <c r="Q242" i="7"/>
  <c r="Q241" i="7"/>
  <c r="Q261" i="7" s="1"/>
  <c r="Q239" i="7"/>
  <c r="Q259" i="7" s="1"/>
  <c r="Q238" i="7"/>
  <c r="Q258" i="7" s="1"/>
  <c r="Q237" i="7"/>
  <c r="Q257" i="7" s="1"/>
  <c r="Q236" i="7"/>
  <c r="Q256" i="7" s="1"/>
  <c r="Q263" i="7"/>
  <c r="Q262" i="7"/>
  <c r="Q66" i="7"/>
  <c r="Q65" i="7"/>
  <c r="Q64" i="7"/>
  <c r="Q63" i="7"/>
  <c r="Q62" i="7"/>
  <c r="Q61" i="7"/>
  <c r="C2" i="6"/>
  <c r="D23" i="6"/>
  <c r="E23" i="6"/>
  <c r="F23" i="6"/>
  <c r="G23" i="6"/>
  <c r="H23" i="6"/>
  <c r="I23" i="6"/>
  <c r="J23" i="6"/>
  <c r="K23" i="6"/>
  <c r="L23" i="6"/>
  <c r="D8" i="7"/>
  <c r="Q57" i="7"/>
  <c r="O434" i="7"/>
  <c r="G4" i="7"/>
  <c r="Q373" i="7" l="1"/>
  <c r="Q379" i="7"/>
  <c r="Q31" i="7"/>
  <c r="Q389" i="7" s="1"/>
  <c r="Q376" i="7"/>
  <c r="Q387" i="7"/>
  <c r="Q404" i="7"/>
  <c r="B433" i="7"/>
  <c r="B208" i="7"/>
  <c r="B45" i="7"/>
  <c r="B84" i="7"/>
  <c r="B164" i="7"/>
  <c r="B108" i="7"/>
  <c r="B63" i="7"/>
  <c r="B109" i="7"/>
  <c r="B228" i="7"/>
  <c r="B205" i="7"/>
  <c r="B38" i="7"/>
  <c r="B374" i="7"/>
  <c r="B163" i="7"/>
  <c r="B52" i="7"/>
  <c r="B373" i="7"/>
  <c r="B226" i="7"/>
  <c r="B34" i="7"/>
  <c r="B62" i="7"/>
  <c r="B366" i="7"/>
  <c r="B116" i="7"/>
  <c r="B61" i="7"/>
  <c r="B65" i="7"/>
  <c r="B218" i="7"/>
  <c r="B66" i="7"/>
  <c r="B87" i="7"/>
  <c r="G57" i="7"/>
  <c r="G256" i="7" s="1"/>
  <c r="B331" i="7"/>
  <c r="G261" i="7"/>
  <c r="B367" i="7"/>
  <c r="G403" i="7"/>
  <c r="G433" i="7"/>
  <c r="B407" i="7"/>
  <c r="B258" i="7"/>
  <c r="B263" i="7"/>
  <c r="G367" i="7"/>
  <c r="B405" i="7"/>
  <c r="B416" i="7"/>
  <c r="B315" i="7"/>
  <c r="B371" i="7"/>
  <c r="B259" i="7"/>
  <c r="B264" i="7"/>
  <c r="G315" i="7"/>
  <c r="B406" i="7"/>
  <c r="B417" i="7"/>
  <c r="B359" i="7"/>
  <c r="B256" i="7"/>
  <c r="B261" i="7"/>
  <c r="B265" i="7"/>
  <c r="B403" i="7"/>
  <c r="G407" i="7"/>
  <c r="B33" i="7"/>
  <c r="B434" i="7"/>
  <c r="B257" i="7"/>
  <c r="B262" i="7"/>
  <c r="B266" i="7"/>
  <c r="B404" i="7"/>
  <c r="B352" i="7"/>
  <c r="O435" i="7" a="1"/>
  <c r="O435" i="7" s="1"/>
  <c r="Q388" i="7"/>
  <c r="Q377" i="7"/>
  <c r="Q374" i="7"/>
  <c r="Q375" i="7"/>
  <c r="E4" i="7"/>
  <c r="G416" i="7" l="1"/>
  <c r="G434" i="7"/>
  <c r="G405" i="7"/>
  <c r="Q378" i="7"/>
  <c r="G366" i="7"/>
  <c r="G373" i="7"/>
  <c r="G359" i="7"/>
  <c r="G257" i="7"/>
  <c r="G331" i="7"/>
  <c r="G371" i="7"/>
  <c r="G263" i="7"/>
  <c r="G417" i="7"/>
  <c r="G258" i="7"/>
  <c r="G265" i="7"/>
  <c r="G374" i="7"/>
  <c r="G264" i="7"/>
  <c r="G164" i="7"/>
  <c r="G108" i="7"/>
  <c r="G63" i="7"/>
  <c r="G61" i="7"/>
  <c r="G45" i="7"/>
  <c r="G262" i="7"/>
  <c r="G228" i="7"/>
  <c r="G205" i="7"/>
  <c r="G38" i="7"/>
  <c r="G62" i="7"/>
  <c r="G259" i="7"/>
  <c r="G163" i="7"/>
  <c r="G52" i="7"/>
  <c r="G352" i="7"/>
  <c r="G226" i="7"/>
  <c r="G34" i="7"/>
  <c r="G406" i="7"/>
  <c r="G116" i="7"/>
  <c r="G84" i="7"/>
  <c r="G404" i="7"/>
  <c r="G218" i="7"/>
  <c r="G66" i="7"/>
  <c r="G87" i="7"/>
  <c r="G266" i="7"/>
  <c r="G33" i="7"/>
  <c r="G109" i="7"/>
  <c r="G65" i="7"/>
  <c r="G208" i="7"/>
  <c r="E10" i="7"/>
  <c r="F4" i="7"/>
  <c r="F6" i="7" s="1"/>
  <c r="AF4" i="7"/>
  <c r="E6" i="7" l="1"/>
  <c r="AG3" i="7" s="1"/>
  <c r="AF11" i="7"/>
  <c r="AF441" i="7" s="1"/>
  <c r="AF5" i="7"/>
  <c r="AF7" i="7" l="1"/>
  <c r="AD7" i="7" s="1"/>
  <c r="AD11" i="7" s="1"/>
  <c r="AD441" i="7" s="1"/>
  <c r="AF6" i="7"/>
  <c r="AF275" i="7"/>
  <c r="AF191" i="7"/>
  <c r="AH3" i="7"/>
  <c r="AG4" i="7"/>
  <c r="AF13" i="7"/>
  <c r="AD191" i="7" l="1"/>
  <c r="AD275" i="7"/>
  <c r="AD13" i="7"/>
  <c r="AD237" i="7" s="1"/>
  <c r="AF8" i="7"/>
  <c r="AF254" i="7"/>
  <c r="AF269" i="7" s="1"/>
  <c r="AF31" i="7"/>
  <c r="AF389" i="7" s="1"/>
  <c r="AF406" i="7" s="1"/>
  <c r="AF350" i="7"/>
  <c r="AF343" i="7"/>
  <c r="AF140" i="7"/>
  <c r="AF29" i="7"/>
  <c r="AF387" i="7" s="1"/>
  <c r="AF183" i="7"/>
  <c r="AF283" i="7" s="1"/>
  <c r="AF297" i="7"/>
  <c r="AF298" i="7" s="1"/>
  <c r="AF137" i="7"/>
  <c r="C57" i="7"/>
  <c r="C403" i="7" s="1"/>
  <c r="AF277" i="7"/>
  <c r="AF249" i="7"/>
  <c r="AF357" i="7"/>
  <c r="AF330" i="7"/>
  <c r="AF333" i="7"/>
  <c r="AF374" i="7" s="1"/>
  <c r="AF98" i="7"/>
  <c r="AF103" i="7" s="1"/>
  <c r="AF105" i="7" s="1"/>
  <c r="AF114" i="7" s="1"/>
  <c r="AF28" i="7"/>
  <c r="AF386" i="7" s="1"/>
  <c r="AF397" i="7" s="1"/>
  <c r="AF398" i="7" s="1"/>
  <c r="AF284" i="7"/>
  <c r="AF314" i="7"/>
  <c r="AF316" i="7" s="1"/>
  <c r="AF318" i="7" s="1"/>
  <c r="AF320" i="7" s="1"/>
  <c r="AF282" i="7"/>
  <c r="AF176" i="7"/>
  <c r="H57" i="7"/>
  <c r="AF184" i="7"/>
  <c r="AF306" i="7" s="1"/>
  <c r="AF315" i="7"/>
  <c r="AF340" i="7"/>
  <c r="AF331" i="7"/>
  <c r="J331" i="7" s="1"/>
  <c r="E331" i="7" s="1"/>
  <c r="F331" i="7" s="1"/>
  <c r="AF155" i="7"/>
  <c r="AF367" i="7"/>
  <c r="AF358" i="7"/>
  <c r="AF287" i="7" s="1"/>
  <c r="AF87" i="7"/>
  <c r="AF116" i="7"/>
  <c r="AF338" i="7"/>
  <c r="AF158" i="7"/>
  <c r="O98" i="7"/>
  <c r="AF351" i="7"/>
  <c r="AF286" i="7" s="1"/>
  <c r="AF164" i="7"/>
  <c r="AF323" i="7"/>
  <c r="AF373" i="7" s="1"/>
  <c r="AF404" i="7"/>
  <c r="AF134" i="7"/>
  <c r="AF139" i="7" s="1"/>
  <c r="AF416" i="7"/>
  <c r="J416" i="7" s="1"/>
  <c r="E416" i="7" s="1"/>
  <c r="F416" i="7" s="1"/>
  <c r="AF27" i="7"/>
  <c r="AF385" i="7" s="1"/>
  <c r="AF394" i="7" s="1"/>
  <c r="AF455" i="7" s="1"/>
  <c r="AF109" i="7"/>
  <c r="AF108" i="7"/>
  <c r="AF84" i="7"/>
  <c r="AF119" i="7" s="1"/>
  <c r="AF151" i="7"/>
  <c r="AF153" i="7"/>
  <c r="AF285" i="7"/>
  <c r="AF336" i="7"/>
  <c r="AF326" i="7"/>
  <c r="AF146" i="7"/>
  <c r="AF417" i="7"/>
  <c r="J417" i="7" s="1"/>
  <c r="E417" i="7" s="1"/>
  <c r="F417" i="7" s="1"/>
  <c r="AF163" i="7"/>
  <c r="AF165" i="7" s="1"/>
  <c r="AF143" i="7"/>
  <c r="AF354" i="7"/>
  <c r="AF403" i="7"/>
  <c r="AF433" i="7"/>
  <c r="J433" i="7" s="1"/>
  <c r="K433" i="7" s="1"/>
  <c r="AF366" i="7"/>
  <c r="AF58" i="7"/>
  <c r="AF252" i="7"/>
  <c r="AF268" i="7" s="1"/>
  <c r="AF26" i="7"/>
  <c r="AF383" i="7" s="1"/>
  <c r="AF57" i="7"/>
  <c r="AF347" i="7"/>
  <c r="AF149" i="7"/>
  <c r="AF154" i="7" s="1"/>
  <c r="AF30" i="7"/>
  <c r="AF388" i="7" s="1"/>
  <c r="AF345" i="7"/>
  <c r="AF59" i="7"/>
  <c r="AF182" i="7"/>
  <c r="AF185" i="7" s="1"/>
  <c r="AF193" i="7"/>
  <c r="AF253" i="7"/>
  <c r="AF266" i="7" s="1"/>
  <c r="AF361" i="7"/>
  <c r="AF405" i="7"/>
  <c r="AF390" i="7"/>
  <c r="AF407" i="7" s="1"/>
  <c r="AF179" i="7"/>
  <c r="AF434" i="7"/>
  <c r="J434" i="7" s="1"/>
  <c r="K434" i="7" s="1"/>
  <c r="AF371" i="7"/>
  <c r="AF309" i="7"/>
  <c r="AF281" i="7"/>
  <c r="AF288" i="7" s="1"/>
  <c r="AF443" i="7"/>
  <c r="H4" i="7"/>
  <c r="AF378" i="7"/>
  <c r="AF375" i="7"/>
  <c r="AF257" i="7"/>
  <c r="AG11" i="7"/>
  <c r="AG5" i="7"/>
  <c r="AI3" i="7"/>
  <c r="AD242" i="7"/>
  <c r="AD243" i="7"/>
  <c r="AD238" i="7"/>
  <c r="AD247" i="7"/>
  <c r="AD269" i="7"/>
  <c r="AD199" i="7"/>
  <c r="AD268" i="7"/>
  <c r="AD215" i="7"/>
  <c r="AD265" i="7"/>
  <c r="AD266" i="7"/>
  <c r="AD197" i="7"/>
  <c r="AD76" i="7"/>
  <c r="AD338" i="7"/>
  <c r="AD326" i="7"/>
  <c r="AD284" i="7"/>
  <c r="AD228" i="7"/>
  <c r="AD120" i="7"/>
  <c r="AD105" i="7"/>
  <c r="AD447" i="7"/>
  <c r="AD395" i="7"/>
  <c r="AD434" i="7"/>
  <c r="AD394" i="7"/>
  <c r="AD202" i="7"/>
  <c r="AD178" i="7"/>
  <c r="AD389" i="7"/>
  <c r="AD360" i="7"/>
  <c r="AD375" i="7" a="1"/>
  <c r="AD375" i="7" s="1"/>
  <c r="AD366" i="7"/>
  <c r="AD177" i="7"/>
  <c r="AD159" i="7"/>
  <c r="AD347" i="7"/>
  <c r="AD330" i="7"/>
  <c r="AD455" i="7"/>
  <c r="AD416" i="7"/>
  <c r="AD196" i="7"/>
  <c r="AD172" i="7"/>
  <c r="AD358" i="7"/>
  <c r="AD344" i="7"/>
  <c r="AD307" i="7"/>
  <c r="AD297" i="7"/>
  <c r="AD398" i="7"/>
  <c r="AD373" i="7" a="1"/>
  <c r="AD373" i="7" s="1"/>
  <c r="AD397" i="7"/>
  <c r="AD291" i="7"/>
  <c r="AD44" i="7"/>
  <c r="AD34" i="7"/>
  <c r="AD433" i="7"/>
  <c r="AD468" i="7"/>
  <c r="AD123" i="7"/>
  <c r="AD99" i="7"/>
  <c r="AD158" i="7"/>
  <c r="AD233" i="7"/>
  <c r="AD222" i="7"/>
  <c r="AD184" i="7"/>
  <c r="AD21" i="7"/>
  <c r="AD62" i="7"/>
  <c r="AD482" i="7"/>
  <c r="AD285" i="7"/>
  <c r="AD39" i="7"/>
  <c r="AD31" i="7"/>
  <c r="AD277" i="7"/>
  <c r="AD404" i="7"/>
  <c r="AD219" i="7"/>
  <c r="AD179" i="7"/>
  <c r="AD19" i="7"/>
  <c r="AD64" i="7"/>
  <c r="AD425" i="7"/>
  <c r="AD463" i="7"/>
  <c r="AD138" i="7"/>
  <c r="AD115" i="7"/>
  <c r="AD79" i="7"/>
  <c r="AD134" i="7"/>
  <c r="AD474" i="7"/>
  <c r="AD486" i="7"/>
  <c r="AD90" i="7"/>
  <c r="AD46" i="7"/>
  <c r="AD407" i="7"/>
  <c r="AD430" i="7"/>
  <c r="AD229" i="7"/>
  <c r="AD205" i="7"/>
  <c r="AD24" i="7"/>
  <c r="AD16" i="7"/>
  <c r="AD488" i="7"/>
  <c r="H434" i="7"/>
  <c r="H416" i="7"/>
  <c r="I416" i="7" s="1"/>
  <c r="H374" i="7"/>
  <c r="H366" i="7"/>
  <c r="H228" i="7"/>
  <c r="H208" i="7"/>
  <c r="H433" i="7"/>
  <c r="H405" i="7"/>
  <c r="I405" i="7" s="1"/>
  <c r="H266" i="7"/>
  <c r="I266" i="7" s="1"/>
  <c r="H262" i="7"/>
  <c r="H258" i="7"/>
  <c r="H367" i="7"/>
  <c r="H315" i="7"/>
  <c r="I315" i="7" s="1"/>
  <c r="H352" i="7"/>
  <c r="H407" i="7"/>
  <c r="H263" i="7"/>
  <c r="H116" i="7"/>
  <c r="I116" i="7" s="1"/>
  <c r="H33" i="7"/>
  <c r="H359" i="7"/>
  <c r="H371" i="7"/>
  <c r="I371" i="7" s="1"/>
  <c r="H218" i="7"/>
  <c r="H417" i="7"/>
  <c r="H406" i="7"/>
  <c r="H403" i="7"/>
  <c r="I403" i="7" s="1"/>
  <c r="H264" i="7"/>
  <c r="H259" i="7"/>
  <c r="H256" i="7"/>
  <c r="H373" i="7"/>
  <c r="I373" i="7" s="1"/>
  <c r="H331" i="7"/>
  <c r="H404" i="7"/>
  <c r="I404" i="7" s="1"/>
  <c r="H265" i="7"/>
  <c r="H261" i="7"/>
  <c r="H257" i="7"/>
  <c r="H164" i="7"/>
  <c r="H63" i="7"/>
  <c r="H109" i="7"/>
  <c r="H66" i="7"/>
  <c r="H87" i="7"/>
  <c r="I87" i="7" s="1"/>
  <c r="H61" i="7"/>
  <c r="H65" i="7"/>
  <c r="H52" i="7"/>
  <c r="H34" i="7"/>
  <c r="H226" i="7"/>
  <c r="H38" i="7"/>
  <c r="H205" i="7"/>
  <c r="H163" i="7"/>
  <c r="H108" i="7"/>
  <c r="H45" i="7"/>
  <c r="H84" i="7"/>
  <c r="H62" i="7"/>
  <c r="C407" i="7"/>
  <c r="C433" i="7"/>
  <c r="D433" i="7" s="1"/>
  <c r="C258" i="7"/>
  <c r="C406" i="7"/>
  <c r="D406" i="7" s="1"/>
  <c r="C84" i="7"/>
  <c r="C65" i="7"/>
  <c r="AF204" i="7"/>
  <c r="AF218" i="7"/>
  <c r="AF205" i="7"/>
  <c r="AF52" i="7"/>
  <c r="AF16" i="7"/>
  <c r="AF230" i="7"/>
  <c r="AF216" i="7"/>
  <c r="AF51" i="7"/>
  <c r="AF197" i="7"/>
  <c r="AF225" i="7"/>
  <c r="AF33" i="7"/>
  <c r="AF220" i="7"/>
  <c r="AF45" i="7"/>
  <c r="AF207" i="7"/>
  <c r="AF199" i="7"/>
  <c r="AF214" i="7"/>
  <c r="AF222" i="7"/>
  <c r="AF229" i="7"/>
  <c r="AF34" i="7"/>
  <c r="AF221" i="7"/>
  <c r="AF202" i="7"/>
  <c r="AF20" i="7"/>
  <c r="AF39" i="7"/>
  <c r="AF198" i="7"/>
  <c r="AF215" i="7"/>
  <c r="AH4" i="7"/>
  <c r="AF217" i="7"/>
  <c r="AF200" i="7"/>
  <c r="AF226" i="7"/>
  <c r="AF36" i="7"/>
  <c r="AF213" i="7"/>
  <c r="AF18" i="7"/>
  <c r="AF206" i="7"/>
  <c r="AF196" i="7"/>
  <c r="AF38" i="7"/>
  <c r="AF212" i="7"/>
  <c r="AF228" i="7"/>
  <c r="AF32" i="7"/>
  <c r="AF15" i="7"/>
  <c r="AF22" i="7"/>
  <c r="AF208" i="7"/>
  <c r="AF21" i="7"/>
  <c r="AF223" i="7"/>
  <c r="AF379" i="7" l="1"/>
  <c r="K417" i="7"/>
  <c r="I433" i="7"/>
  <c r="AF376" i="7"/>
  <c r="I366" i="7"/>
  <c r="AF265" i="7"/>
  <c r="E433" i="7"/>
  <c r="F433" i="7" s="1"/>
  <c r="C66" i="7"/>
  <c r="C108" i="7"/>
  <c r="D108" i="7" s="1"/>
  <c r="C405" i="7"/>
  <c r="D405" i="7" s="1"/>
  <c r="C264" i="7"/>
  <c r="C34" i="7"/>
  <c r="D34" i="7" s="1"/>
  <c r="C164" i="7"/>
  <c r="C259" i="7"/>
  <c r="C315" i="7"/>
  <c r="D315" i="7" s="1"/>
  <c r="C366" i="7"/>
  <c r="D366" i="7" s="1"/>
  <c r="C226" i="7"/>
  <c r="D226" i="7" s="1"/>
  <c r="C416" i="7"/>
  <c r="D416" i="7" s="1"/>
  <c r="I331" i="7"/>
  <c r="C116" i="7"/>
  <c r="D116" i="7" s="1"/>
  <c r="C61" i="7"/>
  <c r="C371" i="7"/>
  <c r="D371" i="7" s="1"/>
  <c r="C367" i="7"/>
  <c r="D367" i="7" s="1"/>
  <c r="C374" i="7"/>
  <c r="D374" i="7" s="1"/>
  <c r="C373" i="7"/>
  <c r="D373" i="7" s="1"/>
  <c r="C434" i="7"/>
  <c r="D434" i="7" s="1"/>
  <c r="I109" i="7"/>
  <c r="C62" i="7"/>
  <c r="C45" i="7"/>
  <c r="C417" i="7"/>
  <c r="C262" i="7"/>
  <c r="C257" i="7"/>
  <c r="D257" i="7" s="1"/>
  <c r="C52" i="7"/>
  <c r="C87" i="7"/>
  <c r="D87" i="7" s="1"/>
  <c r="C266" i="7"/>
  <c r="D266" i="7" s="1"/>
  <c r="C256" i="7"/>
  <c r="I434" i="7"/>
  <c r="K331" i="7"/>
  <c r="C218" i="7"/>
  <c r="C359" i="7"/>
  <c r="C261" i="7"/>
  <c r="E434" i="7"/>
  <c r="F434" i="7" s="1"/>
  <c r="C33" i="7"/>
  <c r="D33" i="7" s="1"/>
  <c r="C265" i="7"/>
  <c r="D265" i="7" s="1"/>
  <c r="C163" i="7"/>
  <c r="C263" i="7"/>
  <c r="C208" i="7"/>
  <c r="C404" i="7"/>
  <c r="D404" i="7" s="1"/>
  <c r="C331" i="7"/>
  <c r="D331" i="7" s="1"/>
  <c r="I406" i="7"/>
  <c r="AF395" i="7"/>
  <c r="AF456" i="7" s="1"/>
  <c r="C109" i="7"/>
  <c r="D109" i="7" s="1"/>
  <c r="C63" i="7"/>
  <c r="C38" i="7"/>
  <c r="C352" i="7"/>
  <c r="C228" i="7"/>
  <c r="D228" i="7" s="1"/>
  <c r="C205" i="7"/>
  <c r="AF396" i="7"/>
  <c r="AF457" i="7" s="1"/>
  <c r="AD431" i="7"/>
  <c r="AD89" i="7"/>
  <c r="AD316" i="7"/>
  <c r="AD66" i="7"/>
  <c r="AD170" i="7"/>
  <c r="AD427" i="7"/>
  <c r="AD29" i="7"/>
  <c r="AD231" i="7"/>
  <c r="AD173" i="7"/>
  <c r="AD52" i="7"/>
  <c r="AD471" i="7"/>
  <c r="AD87" i="7"/>
  <c r="AD121" i="7"/>
  <c r="AD421" i="7"/>
  <c r="AD83" i="7"/>
  <c r="AD478" i="7"/>
  <c r="AD22" i="7"/>
  <c r="AD223" i="7"/>
  <c r="AD69" i="7"/>
  <c r="AD128" i="7"/>
  <c r="AD353" i="7"/>
  <c r="AD328" i="7"/>
  <c r="AD399" i="7"/>
  <c r="AD116" i="7"/>
  <c r="AD280" i="7"/>
  <c r="AD319" i="7"/>
  <c r="AD100" i="7"/>
  <c r="AD225" i="7"/>
  <c r="AD456" i="7"/>
  <c r="AD118" i="7"/>
  <c r="AD282" i="7"/>
  <c r="AD336" i="7"/>
  <c r="AD314" i="7"/>
  <c r="AD167" i="7"/>
  <c r="AD371" i="7" a="1"/>
  <c r="AD371" i="7" s="1"/>
  <c r="AD386" i="7"/>
  <c r="AD213" i="7"/>
  <c r="AD262" i="7"/>
  <c r="AD271" i="7"/>
  <c r="AD241" i="7"/>
  <c r="AD245" i="7"/>
  <c r="AF377" i="7"/>
  <c r="AD412" i="7"/>
  <c r="AD113" i="7"/>
  <c r="AD487" i="7"/>
  <c r="AD17" i="7"/>
  <c r="AD206" i="7"/>
  <c r="AD406" i="7"/>
  <c r="AD37" i="7"/>
  <c r="AD305" i="7"/>
  <c r="AD151" i="7"/>
  <c r="AD93" i="7"/>
  <c r="AD462" i="7"/>
  <c r="AD72" i="7"/>
  <c r="AD152" i="7"/>
  <c r="AD403" i="7"/>
  <c r="AD98" i="7"/>
  <c r="AD469" i="7"/>
  <c r="AD33" i="7"/>
  <c r="AD287" i="7"/>
  <c r="AD49" i="7"/>
  <c r="AD163" i="7"/>
  <c r="AD340" i="7"/>
  <c r="AD343" i="7"/>
  <c r="AD451" i="7"/>
  <c r="AD124" i="7"/>
  <c r="AD288" i="7"/>
  <c r="AD331" i="7"/>
  <c r="AD117" i="7"/>
  <c r="AD281" i="7"/>
  <c r="AD320" i="7"/>
  <c r="AD127" i="7"/>
  <c r="AD290" i="7"/>
  <c r="AD350" i="7"/>
  <c r="AD323" i="7"/>
  <c r="AD182" i="7"/>
  <c r="AD396" i="7"/>
  <c r="AD27" i="7"/>
  <c r="AD270" i="7"/>
  <c r="AD261" i="7"/>
  <c r="AD198" i="7"/>
  <c r="AD240" i="7"/>
  <c r="AD249" i="7"/>
  <c r="AF327" i="7"/>
  <c r="D407" i="7"/>
  <c r="AD68" i="7"/>
  <c r="AD130" i="7"/>
  <c r="AD475" i="7"/>
  <c r="AD26" i="7"/>
  <c r="AD230" i="7"/>
  <c r="AD176" i="7"/>
  <c r="AD51" i="7"/>
  <c r="AD485" i="7"/>
  <c r="AD110" i="7"/>
  <c r="AD119" i="7"/>
  <c r="AD437" i="7"/>
  <c r="AD63" i="7"/>
  <c r="AD183" i="7"/>
  <c r="AD108" i="7"/>
  <c r="AD122" i="7"/>
  <c r="AD435" i="7"/>
  <c r="AD43" i="7"/>
  <c r="AD377" i="7" a="1"/>
  <c r="AD377" i="7" s="1"/>
  <c r="AD15" i="7"/>
  <c r="AD203" i="7"/>
  <c r="AD294" i="7"/>
  <c r="AD357" i="7"/>
  <c r="AD318" i="7"/>
  <c r="AD139" i="7"/>
  <c r="AD298" i="7"/>
  <c r="AD345" i="7"/>
  <c r="AD125" i="7"/>
  <c r="AD289" i="7"/>
  <c r="AD332" i="7"/>
  <c r="AD144" i="7"/>
  <c r="AD302" i="7"/>
  <c r="AD333" i="7"/>
  <c r="AD337" i="7"/>
  <c r="AD204" i="7"/>
  <c r="AD448" i="7"/>
  <c r="AD75" i="7"/>
  <c r="AD254" i="7"/>
  <c r="AD259" i="7"/>
  <c r="AD217" i="7"/>
  <c r="AD248" i="7"/>
  <c r="AD236" i="7"/>
  <c r="AD48" i="7"/>
  <c r="AD168" i="7"/>
  <c r="AD465" i="7"/>
  <c r="AD36" i="7"/>
  <c r="AD303" i="7"/>
  <c r="AD164" i="7"/>
  <c r="AD91" i="7"/>
  <c r="AD472" i="7"/>
  <c r="AD73" i="7"/>
  <c r="AD145" i="7"/>
  <c r="AD424" i="7"/>
  <c r="AD20" i="7"/>
  <c r="AD221" i="7"/>
  <c r="AD71" i="7"/>
  <c r="AD153" i="7"/>
  <c r="AD420" i="7"/>
  <c r="AD84" i="7"/>
  <c r="AD477" i="7"/>
  <c r="AD23" i="7"/>
  <c r="AD227" i="7"/>
  <c r="AD306" i="7"/>
  <c r="AD361" i="7"/>
  <c r="AD329" i="7"/>
  <c r="AD155" i="7"/>
  <c r="AD309" i="7"/>
  <c r="AD359" i="7"/>
  <c r="AD140" i="7"/>
  <c r="AD301" i="7"/>
  <c r="AD346" i="7"/>
  <c r="AD160" i="7"/>
  <c r="AD367" i="7"/>
  <c r="AD388" i="7"/>
  <c r="AD351" i="7"/>
  <c r="AD220" i="7"/>
  <c r="AD315" i="7"/>
  <c r="AD77" i="7"/>
  <c r="AD214" i="7"/>
  <c r="AD258" i="7"/>
  <c r="AD256" i="7"/>
  <c r="AD239" i="7"/>
  <c r="AD244" i="7"/>
  <c r="I407" i="7"/>
  <c r="AD476" i="7"/>
  <c r="AD35" i="7"/>
  <c r="AD293" i="7"/>
  <c r="AD165" i="7"/>
  <c r="AD114" i="7"/>
  <c r="AD464" i="7"/>
  <c r="AD65" i="7"/>
  <c r="AD171" i="7"/>
  <c r="AD405" i="7"/>
  <c r="AD30" i="7"/>
  <c r="AD283" i="7"/>
  <c r="AD149" i="7"/>
  <c r="AD53" i="7"/>
  <c r="AD470" i="7"/>
  <c r="AD32" i="7"/>
  <c r="AD286" i="7"/>
  <c r="AD70" i="7"/>
  <c r="AD154" i="7"/>
  <c r="AD413" i="7"/>
  <c r="AD85" i="7"/>
  <c r="AD327" i="7"/>
  <c r="AD450" i="7"/>
  <c r="AD374" i="7"/>
  <c r="AD354" i="7"/>
  <c r="AD208" i="7"/>
  <c r="AD57" i="7"/>
  <c r="AD385" i="7"/>
  <c r="AD201" i="7"/>
  <c r="AD379" i="7" a="1"/>
  <c r="AD379" i="7" s="1"/>
  <c r="AD28" i="7"/>
  <c r="AD218" i="7"/>
  <c r="AD457" i="7"/>
  <c r="AD458" i="7"/>
  <c r="AD129" i="7"/>
  <c r="AD292" i="7"/>
  <c r="AD352" i="7"/>
  <c r="AD200" i="7"/>
  <c r="AD264" i="7"/>
  <c r="AD257" i="7"/>
  <c r="AD253" i="7"/>
  <c r="AD246" i="7"/>
  <c r="AD466" i="7"/>
  <c r="AD45" i="7"/>
  <c r="AD449" i="7"/>
  <c r="AD137" i="7"/>
  <c r="AD131" i="7"/>
  <c r="AD443" i="7"/>
  <c r="AD18" i="7"/>
  <c r="AD207" i="7"/>
  <c r="AD193" i="7"/>
  <c r="AD38" i="7"/>
  <c r="AD483" i="7"/>
  <c r="AD109" i="7"/>
  <c r="AD97" i="7"/>
  <c r="AD436" i="7"/>
  <c r="AD40" i="7"/>
  <c r="AD376" i="7" a="1"/>
  <c r="AD376" i="7" s="1"/>
  <c r="AD61" i="7"/>
  <c r="AD185" i="7"/>
  <c r="AD143" i="7"/>
  <c r="AD104" i="7"/>
  <c r="AD339" i="7"/>
  <c r="AD317" i="7"/>
  <c r="AD378" i="7" a="1"/>
  <c r="AD378" i="7" s="1"/>
  <c r="AD387" i="7"/>
  <c r="AD224" i="7"/>
  <c r="AD59" i="7"/>
  <c r="AD390" i="7"/>
  <c r="AD209" i="7"/>
  <c r="AD417" i="7"/>
  <c r="AD103" i="7"/>
  <c r="AD226" i="7"/>
  <c r="AD321" i="7"/>
  <c r="AD58" i="7"/>
  <c r="AD146" i="7"/>
  <c r="AD304" i="7"/>
  <c r="AD383" i="7"/>
  <c r="AD212" i="7"/>
  <c r="AD263" i="7"/>
  <c r="AD216" i="7"/>
  <c r="AD252" i="7"/>
  <c r="I367" i="7"/>
  <c r="D417" i="7"/>
  <c r="AF280" i="7"/>
  <c r="I374" i="7"/>
  <c r="AF256" i="7"/>
  <c r="I256" i="7" s="1"/>
  <c r="I164" i="7"/>
  <c r="D84" i="7"/>
  <c r="I84" i="7"/>
  <c r="D163" i="7"/>
  <c r="D403" i="7"/>
  <c r="I108" i="7"/>
  <c r="K416" i="7"/>
  <c r="D164" i="7"/>
  <c r="I163" i="7"/>
  <c r="I417" i="7"/>
  <c r="AF258" i="7"/>
  <c r="I258" i="7" s="1"/>
  <c r="AF263" i="7"/>
  <c r="D263" i="7" s="1"/>
  <c r="AF262" i="7"/>
  <c r="I262" i="7" s="1"/>
  <c r="AF264" i="7"/>
  <c r="D264" i="7" s="1"/>
  <c r="AF261" i="7"/>
  <c r="AF259" i="7"/>
  <c r="D259" i="7" s="1"/>
  <c r="AF62" i="7"/>
  <c r="AF61" i="7"/>
  <c r="D61" i="7" s="1"/>
  <c r="AF17" i="7"/>
  <c r="AF19" i="7" s="1"/>
  <c r="AF69" i="7" s="1"/>
  <c r="AF66" i="7"/>
  <c r="I66" i="7" s="1"/>
  <c r="AF63" i="7"/>
  <c r="AF65" i="7"/>
  <c r="AF64" i="7"/>
  <c r="AF115" i="7"/>
  <c r="AF76" i="7"/>
  <c r="AF353" i="7"/>
  <c r="AF352" i="7" s="1"/>
  <c r="AF304" i="7" s="1"/>
  <c r="AF243" i="7"/>
  <c r="AF131" i="7"/>
  <c r="AF97" i="7"/>
  <c r="AF339" i="7"/>
  <c r="AF337" i="7" s="1"/>
  <c r="J205" i="7"/>
  <c r="E205" i="7" s="1"/>
  <c r="F205" i="7" s="1"/>
  <c r="AF245" i="7"/>
  <c r="J226" i="7"/>
  <c r="K226" i="7" s="1"/>
  <c r="AF292" i="7"/>
  <c r="AF246" i="7"/>
  <c r="AF346" i="7"/>
  <c r="AF344" i="7" s="1"/>
  <c r="AF303" i="7" s="1"/>
  <c r="AF290" i="7"/>
  <c r="AF237" i="7"/>
  <c r="AF271" i="7" s="1"/>
  <c r="AF242" i="7"/>
  <c r="AF241" i="7"/>
  <c r="AF219" i="7"/>
  <c r="AF117" i="7"/>
  <c r="AF238" i="7"/>
  <c r="AF301" i="7"/>
  <c r="AF307" i="7" s="1"/>
  <c r="AF224" i="7"/>
  <c r="AF449" i="7"/>
  <c r="AF329" i="7"/>
  <c r="J228" i="7"/>
  <c r="K228" i="7" s="1"/>
  <c r="AF239" i="7"/>
  <c r="AF399" i="7"/>
  <c r="AF100" i="7"/>
  <c r="AF99" i="7" s="1"/>
  <c r="AF104" i="7" s="1"/>
  <c r="AF203" i="7"/>
  <c r="J208" i="7"/>
  <c r="AF291" i="7"/>
  <c r="AF201" i="7"/>
  <c r="AF209" i="7" s="1"/>
  <c r="AF77" i="7" s="1"/>
  <c r="AF83" i="7"/>
  <c r="AF85" i="7" s="1"/>
  <c r="AF120" i="7"/>
  <c r="AF236" i="7"/>
  <c r="AF118" i="7"/>
  <c r="AF360" i="7"/>
  <c r="AF413" i="7" s="1"/>
  <c r="AF421" i="7" s="1"/>
  <c r="AF450" i="7"/>
  <c r="AF244" i="7"/>
  <c r="AF53" i="7"/>
  <c r="D45" i="7"/>
  <c r="D52" i="7"/>
  <c r="I38" i="7"/>
  <c r="I57" i="7"/>
  <c r="D218" i="7"/>
  <c r="I226" i="7"/>
  <c r="I63" i="7"/>
  <c r="I34" i="7"/>
  <c r="I33" i="7"/>
  <c r="AF270" i="7"/>
  <c r="D208" i="7"/>
  <c r="I52" i="7"/>
  <c r="D63" i="7"/>
  <c r="D38" i="7"/>
  <c r="D205" i="7"/>
  <c r="I45" i="7"/>
  <c r="D57" i="7"/>
  <c r="I208" i="7"/>
  <c r="I205" i="7"/>
  <c r="I218" i="7"/>
  <c r="I228" i="7"/>
  <c r="I65" i="7"/>
  <c r="D65" i="7"/>
  <c r="I62" i="7"/>
  <c r="I257" i="7"/>
  <c r="AH11" i="7"/>
  <c r="AH5" i="7"/>
  <c r="AG7" i="7"/>
  <c r="AG8" i="7" s="1"/>
  <c r="AG6" i="7"/>
  <c r="AJ3" i="7"/>
  <c r="AG13" i="7"/>
  <c r="AG441" i="7"/>
  <c r="AG275" i="7"/>
  <c r="AG191" i="7"/>
  <c r="I265" i="7"/>
  <c r="AF470" i="7"/>
  <c r="AF464" i="7"/>
  <c r="AF476" i="7"/>
  <c r="AF465" i="7"/>
  <c r="AF463" i="7"/>
  <c r="AF469" i="7"/>
  <c r="AF475" i="7"/>
  <c r="AF75" i="7"/>
  <c r="AF447" i="7"/>
  <c r="AF448" i="7" s="1"/>
  <c r="AF451" i="7"/>
  <c r="AF302" i="7"/>
  <c r="K208" i="7"/>
  <c r="E208" i="7"/>
  <c r="F208" i="7" s="1"/>
  <c r="E228" i="7"/>
  <c r="F228" i="7" s="1"/>
  <c r="AI4" i="7"/>
  <c r="D66" i="7" l="1"/>
  <c r="AF359" i="7"/>
  <c r="AF305" i="7" s="1"/>
  <c r="D62" i="7"/>
  <c r="AF227" i="7"/>
  <c r="AF231" i="7" s="1"/>
  <c r="AF233" i="7" s="1"/>
  <c r="AF458" i="7"/>
  <c r="AF471" i="7"/>
  <c r="AF23" i="7"/>
  <c r="AF24" i="7" s="1"/>
  <c r="AF71" i="7" s="1"/>
  <c r="AF477" i="7"/>
  <c r="I61" i="7"/>
  <c r="AF113" i="7"/>
  <c r="AF121" i="7" s="1"/>
  <c r="AF152" i="7" s="1"/>
  <c r="AF412" i="7"/>
  <c r="AF420" i="7" s="1"/>
  <c r="AF68" i="7"/>
  <c r="AF462" i="7"/>
  <c r="AF485" i="7" s="1"/>
  <c r="AF240" i="7"/>
  <c r="D256" i="7"/>
  <c r="AF247" i="7"/>
  <c r="D261" i="7"/>
  <c r="K205" i="7"/>
  <c r="E226" i="7"/>
  <c r="F226" i="7" s="1"/>
  <c r="D262" i="7"/>
  <c r="I263" i="7"/>
  <c r="D258" i="7"/>
  <c r="I261" i="7"/>
  <c r="I264" i="7"/>
  <c r="I259" i="7"/>
  <c r="AF328" i="7"/>
  <c r="AF321" i="7" s="1"/>
  <c r="AF332" i="7"/>
  <c r="D352" i="7"/>
  <c r="I359" i="7"/>
  <c r="AF319" i="7"/>
  <c r="D359" i="7"/>
  <c r="I352" i="7"/>
  <c r="AI11" i="7"/>
  <c r="AI5" i="7"/>
  <c r="AF486" i="7"/>
  <c r="AF468" i="7"/>
  <c r="AF474" i="7" s="1"/>
  <c r="AF487" i="7"/>
  <c r="AK3" i="7"/>
  <c r="AF482" i="7"/>
  <c r="AF483" i="7"/>
  <c r="AH7" i="7"/>
  <c r="AH8" i="7" s="1"/>
  <c r="AH6" i="7"/>
  <c r="AG261" i="7"/>
  <c r="AG265" i="7"/>
  <c r="AG257" i="7"/>
  <c r="AG262" i="7"/>
  <c r="AG266" i="7"/>
  <c r="AG258" i="7"/>
  <c r="AG256" i="7"/>
  <c r="AG263" i="7"/>
  <c r="AG57" i="7"/>
  <c r="AG15" i="7" s="1"/>
  <c r="AG259" i="7"/>
  <c r="AG61" i="7"/>
  <c r="AG264" i="7"/>
  <c r="AG314" i="7"/>
  <c r="AG38" i="7"/>
  <c r="AG371" i="7"/>
  <c r="AG378" i="7" s="1"/>
  <c r="AG62" i="7"/>
  <c r="AG108" i="7"/>
  <c r="AG21" i="7"/>
  <c r="AG282" i="7" s="1"/>
  <c r="AG206" i="7" s="1"/>
  <c r="AG33" i="7"/>
  <c r="AG83" i="7" s="1"/>
  <c r="AG84" i="7"/>
  <c r="AG357" i="7"/>
  <c r="AG350" i="7"/>
  <c r="AG331" i="7"/>
  <c r="AG315" i="7"/>
  <c r="AG343" i="7"/>
  <c r="AG109" i="7"/>
  <c r="AG406" i="7"/>
  <c r="AG405" i="7"/>
  <c r="AG404" i="7"/>
  <c r="AG403" i="7"/>
  <c r="AG326" i="7"/>
  <c r="AG65" i="7"/>
  <c r="AG336" i="7"/>
  <c r="AG34" i="7"/>
  <c r="AG120" i="7" s="1"/>
  <c r="AG407" i="7"/>
  <c r="AG374" i="7"/>
  <c r="AG373" i="7"/>
  <c r="AG323" i="7" s="1"/>
  <c r="AG383" i="7" s="1"/>
  <c r="AG26" i="7" s="1"/>
  <c r="AG63" i="7"/>
  <c r="AG87" i="7"/>
  <c r="AG352" i="7"/>
  <c r="AG304" i="7" s="1"/>
  <c r="AG66" i="7"/>
  <c r="AG137" i="7"/>
  <c r="AG164" i="7"/>
  <c r="AG367" i="7"/>
  <c r="AG226" i="7"/>
  <c r="AG292" i="7" s="1"/>
  <c r="AG208" i="7"/>
  <c r="AG291" i="7" s="1"/>
  <c r="AG433" i="7"/>
  <c r="AG151" i="7"/>
  <c r="AG52" i="7"/>
  <c r="AG366" i="7"/>
  <c r="AG163" i="7"/>
  <c r="AG134" i="7"/>
  <c r="AG139" i="7" s="1"/>
  <c r="AG359" i="7"/>
  <c r="AG305" i="7" s="1"/>
  <c r="AG143" i="7"/>
  <c r="AG149" i="7"/>
  <c r="AG154" i="7" s="1"/>
  <c r="AG176" i="7"/>
  <c r="AG116" i="7"/>
  <c r="AG416" i="7"/>
  <c r="AG228" i="7"/>
  <c r="AG417" i="7"/>
  <c r="AG205" i="7"/>
  <c r="AG434" i="7"/>
  <c r="AG45" i="7"/>
  <c r="AG218" i="7"/>
  <c r="AG443" i="7"/>
  <c r="AG193" i="7"/>
  <c r="AG277" i="7"/>
  <c r="AF472" i="7"/>
  <c r="AF478" i="7"/>
  <c r="AF466" i="7"/>
  <c r="AH13" i="7"/>
  <c r="AH441" i="7"/>
  <c r="AH275" i="7"/>
  <c r="AH191" i="7"/>
  <c r="AJ4" i="7"/>
  <c r="AF488" i="7" l="1"/>
  <c r="AF70" i="7"/>
  <c r="AF35" i="7"/>
  <c r="AF138" i="7"/>
  <c r="AF122" i="7" s="1"/>
  <c r="AF123" i="7" s="1"/>
  <c r="AF248" i="7"/>
  <c r="AF289" i="7" s="1"/>
  <c r="AF293" i="7" s="1"/>
  <c r="AF294" i="7" s="1"/>
  <c r="AF317" i="7" s="1"/>
  <c r="AG115" i="7"/>
  <c r="AG333" i="7"/>
  <c r="AG385" i="7" s="1"/>
  <c r="AG27" i="7" s="1"/>
  <c r="AG337" i="7"/>
  <c r="AG344" i="7"/>
  <c r="AG377" i="7"/>
  <c r="AG347" i="7" s="1"/>
  <c r="AG388" i="7" s="1"/>
  <c r="AG30" i="7" s="1"/>
  <c r="AG375" i="7"/>
  <c r="AG330" i="7" s="1"/>
  <c r="AG386" i="7" s="1"/>
  <c r="AG28" i="7" s="1"/>
  <c r="AG119" i="7"/>
  <c r="AG285" i="7"/>
  <c r="AG53" i="7"/>
  <c r="AG184" i="7" s="1"/>
  <c r="AG306" i="7" s="1"/>
  <c r="AG316" i="7"/>
  <c r="AG379" i="7"/>
  <c r="AG361" i="7" s="1"/>
  <c r="AG390" i="7" s="1"/>
  <c r="AG358" i="7" s="1"/>
  <c r="AG110" i="7"/>
  <c r="AF160" i="7" s="1"/>
  <c r="AG165" i="7"/>
  <c r="AG252" i="7"/>
  <c r="AG236" i="7" s="1"/>
  <c r="AG22" i="7"/>
  <c r="AG117" i="7" s="1"/>
  <c r="AG51" i="7"/>
  <c r="AG64" i="7"/>
  <c r="AG18" i="7"/>
  <c r="AG354" i="7"/>
  <c r="AG389" i="7" s="1"/>
  <c r="AG31" i="7" s="1"/>
  <c r="AJ11" i="7"/>
  <c r="AJ5" i="7"/>
  <c r="AG284" i="7"/>
  <c r="AG85" i="7"/>
  <c r="AG16" i="7"/>
  <c r="AG20" i="7"/>
  <c r="AG376" i="7"/>
  <c r="AG340" i="7" s="1"/>
  <c r="AG387" i="7" s="1"/>
  <c r="AG29" i="7" s="1"/>
  <c r="AH258" i="7"/>
  <c r="AH57" i="7"/>
  <c r="AH15" i="7" s="1"/>
  <c r="AH256" i="7"/>
  <c r="AH263" i="7"/>
  <c r="AH259" i="7"/>
  <c r="AH61" i="7"/>
  <c r="AH264" i="7"/>
  <c r="AH261" i="7"/>
  <c r="AH265" i="7"/>
  <c r="AH257" i="7"/>
  <c r="AH262" i="7"/>
  <c r="AH266" i="7"/>
  <c r="AH371" i="7"/>
  <c r="AH377" i="7" s="1"/>
  <c r="AH331" i="7"/>
  <c r="AH406" i="7"/>
  <c r="AH405" i="7"/>
  <c r="AH404" i="7"/>
  <c r="AH403" i="7"/>
  <c r="AH407" i="7"/>
  <c r="AH374" i="7"/>
  <c r="AH373" i="7"/>
  <c r="AH367" i="7"/>
  <c r="AH62" i="7"/>
  <c r="AH116" i="7"/>
  <c r="AH433" i="7"/>
  <c r="AH38" i="7"/>
  <c r="AH84" i="7"/>
  <c r="AH285" i="7" s="1"/>
  <c r="AH163" i="7"/>
  <c r="AH134" i="7"/>
  <c r="AH139" i="7" s="1"/>
  <c r="AH63" i="7"/>
  <c r="AH33" i="7"/>
  <c r="AH83" i="7" s="1"/>
  <c r="AH87" i="7"/>
  <c r="AH164" i="7"/>
  <c r="AH359" i="7"/>
  <c r="AH305" i="7" s="1"/>
  <c r="AH34" i="7"/>
  <c r="AH120" i="7" s="1"/>
  <c r="AH366" i="7"/>
  <c r="AH149" i="7"/>
  <c r="AH154" i="7" s="1"/>
  <c r="AH108" i="7"/>
  <c r="AH66" i="7"/>
  <c r="AH208" i="7"/>
  <c r="AH291" i="7" s="1"/>
  <c r="AH352" i="7"/>
  <c r="AH304" i="7" s="1"/>
  <c r="AH315" i="7"/>
  <c r="AH21" i="7"/>
  <c r="AH282" i="7" s="1"/>
  <c r="AH206" i="7" s="1"/>
  <c r="AH109" i="7"/>
  <c r="AH65" i="7"/>
  <c r="AH226" i="7"/>
  <c r="AH292" i="7" s="1"/>
  <c r="AH52" i="7"/>
  <c r="AH228" i="7"/>
  <c r="AH434" i="7"/>
  <c r="AH416" i="7"/>
  <c r="AH205" i="7"/>
  <c r="AH417" i="7"/>
  <c r="AH45" i="7"/>
  <c r="AH218" i="7"/>
  <c r="AH443" i="7"/>
  <c r="AH277" i="7"/>
  <c r="AH193" i="7"/>
  <c r="AL3" i="7"/>
  <c r="AF79" i="7"/>
  <c r="AF37" i="7"/>
  <c r="AF40" i="7" s="1"/>
  <c r="AI7" i="7"/>
  <c r="AI8" i="7" s="1"/>
  <c r="AI6" i="7"/>
  <c r="AI13" i="7"/>
  <c r="AI441" i="7"/>
  <c r="AI275" i="7"/>
  <c r="AI191" i="7"/>
  <c r="AK4" i="7"/>
  <c r="AF144" i="7" l="1"/>
  <c r="AF145" i="7"/>
  <c r="AG319" i="7"/>
  <c r="AH378" i="7"/>
  <c r="AH375" i="7"/>
  <c r="AG79" i="7"/>
  <c r="AG43" i="7" s="1"/>
  <c r="AG287" i="7"/>
  <c r="AG360" i="7"/>
  <c r="AH357" i="7" s="1"/>
  <c r="AG245" i="7"/>
  <c r="AG216" i="7" s="1"/>
  <c r="AG243" i="7"/>
  <c r="AG214" i="7" s="1"/>
  <c r="AH119" i="7"/>
  <c r="AH53" i="7"/>
  <c r="AH184" i="7" s="1"/>
  <c r="AH306" i="7" s="1"/>
  <c r="AG238" i="7"/>
  <c r="AG199" i="7" s="1"/>
  <c r="AH252" i="7"/>
  <c r="AH238" i="7" s="1"/>
  <c r="AH199" i="7" s="1"/>
  <c r="AH64" i="7"/>
  <c r="AH20" i="7"/>
  <c r="AH281" i="7" s="1"/>
  <c r="AH18" i="7"/>
  <c r="AH115" i="7"/>
  <c r="AH165" i="7"/>
  <c r="M160" i="7"/>
  <c r="AG158" i="7"/>
  <c r="AH22" i="7"/>
  <c r="AH117" i="7" s="1"/>
  <c r="AH51" i="7"/>
  <c r="AH97" i="7" s="1"/>
  <c r="AG351" i="7"/>
  <c r="AG353" i="7" s="1"/>
  <c r="AG32" i="7"/>
  <c r="AG118" i="7" s="1"/>
  <c r="AH110" i="7"/>
  <c r="AH79" i="7" s="1"/>
  <c r="AH89" i="7" s="1"/>
  <c r="AG297" i="7"/>
  <c r="AG97" i="7"/>
  <c r="AG183" i="7"/>
  <c r="AG283" i="7" s="1"/>
  <c r="AG44" i="7"/>
  <c r="AK11" i="7"/>
  <c r="AK5" i="7"/>
  <c r="AH284" i="7"/>
  <c r="AH85" i="7"/>
  <c r="AM3" i="7"/>
  <c r="AL4" i="7"/>
  <c r="AL11" i="7" s="1"/>
  <c r="AL5" i="7"/>
  <c r="AH376" i="7"/>
  <c r="AF125" i="7"/>
  <c r="AF167" i="7" s="1"/>
  <c r="AF124" i="7"/>
  <c r="AG197" i="7"/>
  <c r="AH379" i="7"/>
  <c r="AG268" i="7"/>
  <c r="AG207" i="7"/>
  <c r="AG90" i="7"/>
  <c r="AG281" i="7"/>
  <c r="AG100" i="7"/>
  <c r="AG397" i="7"/>
  <c r="AG398" i="7" s="1"/>
  <c r="AG395" i="7"/>
  <c r="AG456" i="7" s="1"/>
  <c r="AF427" i="7"/>
  <c r="AF72" i="7"/>
  <c r="AF424" i="7"/>
  <c r="AF425" i="7"/>
  <c r="AF110" i="7"/>
  <c r="AF159" i="7" s="1"/>
  <c r="AF43" i="7"/>
  <c r="AF89" i="7"/>
  <c r="AF91" i="7" s="1"/>
  <c r="AF93" i="7" s="1"/>
  <c r="AF44" i="7"/>
  <c r="AF90" i="7"/>
  <c r="AG394" i="7"/>
  <c r="AG455" i="7" s="1"/>
  <c r="AG253" i="7"/>
  <c r="AG17" i="7"/>
  <c r="AG396" i="7"/>
  <c r="AG457" i="7" s="1"/>
  <c r="AH16" i="7"/>
  <c r="AJ7" i="7"/>
  <c r="AJ8" i="7" s="1"/>
  <c r="AJ6" i="7"/>
  <c r="AI261" i="7"/>
  <c r="AI265" i="7"/>
  <c r="AI257" i="7"/>
  <c r="AI262" i="7"/>
  <c r="AI266" i="7"/>
  <c r="AI57" i="7"/>
  <c r="AI15" i="7" s="1"/>
  <c r="AI258" i="7"/>
  <c r="AI256" i="7"/>
  <c r="AI263" i="7"/>
  <c r="AI259" i="7"/>
  <c r="AI61" i="7"/>
  <c r="AI264" i="7"/>
  <c r="AI331" i="7"/>
  <c r="AI406" i="7"/>
  <c r="AI405" i="7"/>
  <c r="AI404" i="7"/>
  <c r="AI403" i="7"/>
  <c r="AI407" i="7"/>
  <c r="AI374" i="7"/>
  <c r="AI373" i="7"/>
  <c r="AI371" i="7"/>
  <c r="AI377" i="7" s="1"/>
  <c r="AI84" i="7"/>
  <c r="AI285" i="7" s="1"/>
  <c r="AI366" i="7"/>
  <c r="AI149" i="7"/>
  <c r="AI154" i="7" s="1"/>
  <c r="AI63" i="7"/>
  <c r="AI33" i="7"/>
  <c r="AI83" i="7" s="1"/>
  <c r="AI87" i="7"/>
  <c r="AI208" i="7"/>
  <c r="AI291" i="7" s="1"/>
  <c r="AI359" i="7"/>
  <c r="AI305" i="7" s="1"/>
  <c r="AI34" i="7"/>
  <c r="AI120" i="7" s="1"/>
  <c r="AI108" i="7"/>
  <c r="AI66" i="7"/>
  <c r="AI226" i="7"/>
  <c r="AI292" i="7" s="1"/>
  <c r="AI52" i="7"/>
  <c r="AI352" i="7"/>
  <c r="AI304" i="7" s="1"/>
  <c r="AI315" i="7"/>
  <c r="AI21" i="7"/>
  <c r="AI115" i="7" s="1"/>
  <c r="AI109" i="7"/>
  <c r="AI433" i="7"/>
  <c r="AI367" i="7"/>
  <c r="AI65" i="7"/>
  <c r="AI62" i="7"/>
  <c r="AI116" i="7"/>
  <c r="AI163" i="7"/>
  <c r="AI134" i="7"/>
  <c r="AI139" i="7" s="1"/>
  <c r="AI38" i="7"/>
  <c r="AI164" i="7"/>
  <c r="AI205" i="7"/>
  <c r="AI434" i="7"/>
  <c r="AI416" i="7"/>
  <c r="AI228" i="7"/>
  <c r="AI417" i="7"/>
  <c r="AI45" i="7"/>
  <c r="AI218" i="7"/>
  <c r="AI443" i="7"/>
  <c r="AI277" i="7"/>
  <c r="AI193" i="7"/>
  <c r="AJ13" i="7"/>
  <c r="AJ441" i="7"/>
  <c r="AJ275" i="7"/>
  <c r="AJ191" i="7"/>
  <c r="AG98" i="7"/>
  <c r="AH98" i="7"/>
  <c r="AH361" i="7" l="1"/>
  <c r="AH390" i="7" s="1"/>
  <c r="AH358" i="7" s="1"/>
  <c r="AH43" i="7"/>
  <c r="AG89" i="7"/>
  <c r="AG91" i="7" s="1"/>
  <c r="AG93" i="7" s="1"/>
  <c r="AH100" i="7"/>
  <c r="AG286" i="7"/>
  <c r="AG413" i="7"/>
  <c r="AG421" i="7" s="1"/>
  <c r="AG229" i="7"/>
  <c r="AG450" i="7" s="1"/>
  <c r="AH243" i="7"/>
  <c r="AH214" i="7" s="1"/>
  <c r="AH245" i="7"/>
  <c r="AH216" i="7" s="1"/>
  <c r="AH236" i="7"/>
  <c r="AH268" i="7" s="1"/>
  <c r="AH183" i="7"/>
  <c r="AH283" i="7" s="1"/>
  <c r="AH90" i="7"/>
  <c r="AI376" i="7"/>
  <c r="AH297" i="7"/>
  <c r="AH207" i="7"/>
  <c r="AI282" i="7"/>
  <c r="AI206" i="7" s="1"/>
  <c r="AJ21" i="7" s="1"/>
  <c r="AJ115" i="7" s="1"/>
  <c r="AI119" i="7"/>
  <c r="AH44" i="7"/>
  <c r="AI110" i="7"/>
  <c r="AI79" i="7" s="1"/>
  <c r="AI43" i="7" s="1"/>
  <c r="AG103" i="7"/>
  <c r="AH103" i="7"/>
  <c r="AI53" i="7"/>
  <c r="AI184" i="7" s="1"/>
  <c r="AI306" i="7" s="1"/>
  <c r="AG298" i="7"/>
  <c r="AG202" i="7"/>
  <c r="AI375" i="7"/>
  <c r="AF46" i="7"/>
  <c r="AF73" i="7" s="1"/>
  <c r="AG99" i="7"/>
  <c r="AG104" i="7" s="1"/>
  <c r="AH99" i="7"/>
  <c r="AH104" i="7" s="1"/>
  <c r="AI165" i="7"/>
  <c r="AF430" i="7"/>
  <c r="AF435" i="7" s="1"/>
  <c r="AF437" i="7" s="1"/>
  <c r="AI379" i="7"/>
  <c r="AI18" i="7"/>
  <c r="AI64" i="7"/>
  <c r="AI16" i="7"/>
  <c r="AI253" i="7" s="1"/>
  <c r="AI51" i="7"/>
  <c r="AI20" i="7"/>
  <c r="AI22" i="7"/>
  <c r="AI252" i="7"/>
  <c r="AI85" i="7"/>
  <c r="AI284" i="7"/>
  <c r="AM4" i="7"/>
  <c r="AM11" i="7" s="1"/>
  <c r="AN3" i="7"/>
  <c r="AM5" i="7"/>
  <c r="AH253" i="7"/>
  <c r="AH17" i="7"/>
  <c r="AH298" i="7"/>
  <c r="AF128" i="7"/>
  <c r="AF168" i="7"/>
  <c r="AF177" i="7" s="1"/>
  <c r="AF173" i="7"/>
  <c r="AH197" i="7"/>
  <c r="AJ258" i="7"/>
  <c r="AJ256" i="7"/>
  <c r="AJ263" i="7"/>
  <c r="AJ259" i="7"/>
  <c r="AJ61" i="7"/>
  <c r="AJ264" i="7"/>
  <c r="AJ261" i="7"/>
  <c r="AJ265" i="7"/>
  <c r="AJ257" i="7"/>
  <c r="AJ57" i="7"/>
  <c r="AJ15" i="7" s="1"/>
  <c r="AJ262" i="7"/>
  <c r="AJ266" i="7"/>
  <c r="AJ331" i="7"/>
  <c r="AJ406" i="7"/>
  <c r="AJ405" i="7"/>
  <c r="AJ404" i="7"/>
  <c r="AJ403" i="7"/>
  <c r="AJ407" i="7"/>
  <c r="AJ371" i="7"/>
  <c r="AJ377" i="7" s="1"/>
  <c r="AJ374" i="7"/>
  <c r="AJ373" i="7"/>
  <c r="AJ359" i="7"/>
  <c r="AJ305" i="7" s="1"/>
  <c r="AJ315" i="7"/>
  <c r="AJ109" i="7"/>
  <c r="AJ367" i="7"/>
  <c r="AJ65" i="7"/>
  <c r="AJ366" i="7"/>
  <c r="AJ352" i="7"/>
  <c r="AJ304" i="7" s="1"/>
  <c r="AJ62" i="7"/>
  <c r="AJ38" i="7"/>
  <c r="AJ164" i="7"/>
  <c r="AJ52" i="7"/>
  <c r="AJ84" i="7"/>
  <c r="AJ226" i="7"/>
  <c r="AJ292" i="7" s="1"/>
  <c r="AJ433" i="7"/>
  <c r="AJ63" i="7"/>
  <c r="AJ33" i="7"/>
  <c r="AJ83" i="7" s="1"/>
  <c r="AJ87" i="7"/>
  <c r="AJ34" i="7"/>
  <c r="AJ120" i="7" s="1"/>
  <c r="AJ108" i="7"/>
  <c r="AJ134" i="7"/>
  <c r="AJ139" i="7" s="1"/>
  <c r="AJ116" i="7"/>
  <c r="AJ149" i="7"/>
  <c r="AJ154" i="7" s="1"/>
  <c r="AJ228" i="7"/>
  <c r="AJ434" i="7"/>
  <c r="AJ163" i="7"/>
  <c r="AJ416" i="7"/>
  <c r="AJ208" i="7"/>
  <c r="AJ291" i="7" s="1"/>
  <c r="AJ66" i="7"/>
  <c r="AJ205" i="7"/>
  <c r="AJ417" i="7"/>
  <c r="AJ45" i="7"/>
  <c r="AJ218" i="7"/>
  <c r="AJ443" i="7"/>
  <c r="AJ277" i="7"/>
  <c r="AJ193" i="7"/>
  <c r="AF170" i="7"/>
  <c r="AF172" i="7" s="1"/>
  <c r="AF127" i="7" s="1"/>
  <c r="AF129" i="7" s="1"/>
  <c r="AF130" i="7" s="1"/>
  <c r="AI378" i="7"/>
  <c r="AG19" i="7"/>
  <c r="AG68" i="7"/>
  <c r="AG399" i="7"/>
  <c r="AG39" i="7" s="1"/>
  <c r="AG412" i="7"/>
  <c r="AG420" i="7" s="1"/>
  <c r="AG223" i="7"/>
  <c r="AH350" i="7"/>
  <c r="AH91" i="7"/>
  <c r="AH93" i="7" s="1"/>
  <c r="AG244" i="7"/>
  <c r="AG215" i="7" s="1"/>
  <c r="AG239" i="7"/>
  <c r="AG200" i="7" s="1"/>
  <c r="AG242" i="7"/>
  <c r="AG213" i="7" s="1"/>
  <c r="AG241" i="7"/>
  <c r="AG246" i="7"/>
  <c r="AG217" i="7" s="1"/>
  <c r="AG237" i="7"/>
  <c r="AF431" i="7"/>
  <c r="AF436" i="7" s="1"/>
  <c r="AH360" i="7"/>
  <c r="AH287" i="7"/>
  <c r="AL8" i="7"/>
  <c r="AL6" i="7"/>
  <c r="AL7" i="7"/>
  <c r="AK6" i="7"/>
  <c r="AK7" i="7"/>
  <c r="AK8" i="7" s="1"/>
  <c r="AG203" i="7"/>
  <c r="AG288" i="7"/>
  <c r="AL13" i="7"/>
  <c r="AL441" i="7"/>
  <c r="AL191" i="7"/>
  <c r="AL275" i="7"/>
  <c r="AK13" i="7"/>
  <c r="AK441" i="7"/>
  <c r="AK191" i="7"/>
  <c r="AK275" i="7"/>
  <c r="AF178" i="7" l="1"/>
  <c r="AF171" i="7" s="1"/>
  <c r="AJ85" i="7"/>
  <c r="AJ165" i="7"/>
  <c r="AH202" i="7"/>
  <c r="AI89" i="7"/>
  <c r="AJ282" i="7"/>
  <c r="AJ206" i="7" s="1"/>
  <c r="AH105" i="7"/>
  <c r="AH114" i="7" s="1"/>
  <c r="AJ110" i="7"/>
  <c r="AJ79" i="7" s="1"/>
  <c r="AJ90" i="7" s="1"/>
  <c r="AJ119" i="7"/>
  <c r="AJ285" i="7"/>
  <c r="AJ53" i="7"/>
  <c r="AJ184" i="7" s="1"/>
  <c r="AJ306" i="7" s="1"/>
  <c r="AI17" i="7"/>
  <c r="AI19" i="7" s="1"/>
  <c r="AI69" i="7" s="1"/>
  <c r="AF49" i="7"/>
  <c r="AF48" i="7"/>
  <c r="AJ375" i="7"/>
  <c r="AG105" i="7"/>
  <c r="AG114" i="7" s="1"/>
  <c r="AJ252" i="7"/>
  <c r="AJ16" i="7"/>
  <c r="AJ253" i="7" s="1"/>
  <c r="AJ51" i="7"/>
  <c r="AJ18" i="7"/>
  <c r="AJ20" i="7"/>
  <c r="AJ64" i="7"/>
  <c r="AJ22" i="7"/>
  <c r="AL249" i="7"/>
  <c r="AL248" i="7"/>
  <c r="AL247" i="7"/>
  <c r="AL246" i="7"/>
  <c r="AL245" i="7"/>
  <c r="AL244" i="7"/>
  <c r="AL243" i="7"/>
  <c r="AL242" i="7"/>
  <c r="AL241" i="7"/>
  <c r="AL240" i="7"/>
  <c r="AL239" i="7"/>
  <c r="AL238" i="7"/>
  <c r="AL237" i="7"/>
  <c r="AL252" i="7"/>
  <c r="AL253" i="7"/>
  <c r="AL254" i="7"/>
  <c r="AL256" i="7"/>
  <c r="AL257" i="7"/>
  <c r="AL236" i="7"/>
  <c r="AL217" i="7"/>
  <c r="AL198" i="7"/>
  <c r="AL271" i="7"/>
  <c r="AL216" i="7"/>
  <c r="AL197" i="7"/>
  <c r="AL268" i="7"/>
  <c r="AL215" i="7"/>
  <c r="AL214" i="7"/>
  <c r="AL270" i="7"/>
  <c r="AL213" i="7"/>
  <c r="AL258" i="7"/>
  <c r="AL259" i="7"/>
  <c r="AL261" i="7"/>
  <c r="AL262" i="7"/>
  <c r="AL263" i="7"/>
  <c r="AL264" i="7"/>
  <c r="AL265" i="7"/>
  <c r="AL266" i="7"/>
  <c r="AL212" i="7"/>
  <c r="AL269" i="7"/>
  <c r="AL377" i="7"/>
  <c r="AL199" i="7"/>
  <c r="AL375" i="7"/>
  <c r="AL399" i="7"/>
  <c r="AL398" i="7"/>
  <c r="AL397" i="7"/>
  <c r="AL396" i="7"/>
  <c r="AL200" i="7"/>
  <c r="AL57" i="7"/>
  <c r="AL378" i="7"/>
  <c r="AL376" i="7"/>
  <c r="AL405" i="7"/>
  <c r="AL404" i="7"/>
  <c r="AL403" i="7"/>
  <c r="AL379" i="7"/>
  <c r="AL407" i="7"/>
  <c r="AL406" i="7"/>
  <c r="AL374" i="7"/>
  <c r="AL373" i="7"/>
  <c r="AL390" i="7"/>
  <c r="AL387" i="7"/>
  <c r="AL394" i="7"/>
  <c r="AL389" i="7"/>
  <c r="AL395" i="7"/>
  <c r="AL388" i="7"/>
  <c r="AL386" i="7"/>
  <c r="AL385" i="7"/>
  <c r="AL383" i="7"/>
  <c r="AL32" i="7"/>
  <c r="AL77" i="7"/>
  <c r="AL367" i="7"/>
  <c r="AL366" i="7"/>
  <c r="AL29" i="7"/>
  <c r="AL28" i="7"/>
  <c r="AL27" i="7"/>
  <c r="AL26" i="7"/>
  <c r="AL98" i="7"/>
  <c r="AL437" i="7"/>
  <c r="AL76" i="7"/>
  <c r="AL30" i="7"/>
  <c r="AL436" i="7"/>
  <c r="AL435" i="7"/>
  <c r="AL434" i="7"/>
  <c r="AL433" i="7"/>
  <c r="AL417" i="7"/>
  <c r="AL416" i="7"/>
  <c r="AL75" i="7"/>
  <c r="AL31" i="7"/>
  <c r="AL358" i="7"/>
  <c r="AL351" i="7"/>
  <c r="AL331" i="7"/>
  <c r="AL371" i="7"/>
  <c r="AL361" i="7"/>
  <c r="AL354" i="7"/>
  <c r="AL347" i="7"/>
  <c r="AL340" i="7"/>
  <c r="AL330" i="7"/>
  <c r="AL333" i="7"/>
  <c r="AL323" i="7"/>
  <c r="AL15" i="7"/>
  <c r="AL477" i="7"/>
  <c r="AL476" i="7"/>
  <c r="AL475" i="7"/>
  <c r="AL474" i="7"/>
  <c r="AL472" i="7"/>
  <c r="AL471" i="7"/>
  <c r="AL470" i="7"/>
  <c r="AL487" i="7"/>
  <c r="AL59" i="7"/>
  <c r="AL486" i="7"/>
  <c r="AL485" i="7"/>
  <c r="AL483" i="7"/>
  <c r="AL58" i="7"/>
  <c r="AL482" i="7"/>
  <c r="AL103" i="7"/>
  <c r="AL478" i="7"/>
  <c r="AL149" i="7"/>
  <c r="AL134" i="7"/>
  <c r="AL488" i="7"/>
  <c r="AL204" i="7"/>
  <c r="AL431" i="7"/>
  <c r="AL430" i="7"/>
  <c r="AL427" i="7"/>
  <c r="AL425" i="7"/>
  <c r="AL424" i="7"/>
  <c r="AL421" i="7"/>
  <c r="AL420" i="7"/>
  <c r="AL413" i="7"/>
  <c r="AL412" i="7"/>
  <c r="AL360" i="7"/>
  <c r="AL359" i="7"/>
  <c r="AL357" i="7"/>
  <c r="AL353" i="7"/>
  <c r="AL352" i="7"/>
  <c r="AL350" i="7"/>
  <c r="AL346" i="7"/>
  <c r="AL345" i="7"/>
  <c r="AL344" i="7"/>
  <c r="AL343" i="7"/>
  <c r="AL339" i="7"/>
  <c r="AL338" i="7"/>
  <c r="AL337" i="7"/>
  <c r="AL336" i="7"/>
  <c r="AL332" i="7"/>
  <c r="AL329" i="7"/>
  <c r="AL328" i="7"/>
  <c r="AL327" i="7"/>
  <c r="AL326" i="7"/>
  <c r="AL321" i="7"/>
  <c r="AL320" i="7"/>
  <c r="AL319" i="7"/>
  <c r="AL318" i="7"/>
  <c r="AL317" i="7"/>
  <c r="AL316" i="7"/>
  <c r="AL469" i="7"/>
  <c r="AL468" i="7"/>
  <c r="AL466" i="7"/>
  <c r="AL465" i="7"/>
  <c r="AL464" i="7"/>
  <c r="AL463" i="7"/>
  <c r="AL462" i="7"/>
  <c r="AL458" i="7"/>
  <c r="AL457" i="7"/>
  <c r="AL456" i="7"/>
  <c r="AL455" i="7"/>
  <c r="AL451" i="7"/>
  <c r="AL450" i="7"/>
  <c r="AL449" i="7"/>
  <c r="AL448" i="7"/>
  <c r="AL447" i="7"/>
  <c r="AL443" i="7"/>
  <c r="AL314" i="7"/>
  <c r="AL307" i="7"/>
  <c r="AL306" i="7"/>
  <c r="AL305" i="7"/>
  <c r="AL304" i="7"/>
  <c r="AL303" i="7"/>
  <c r="AL302" i="7"/>
  <c r="AL301" i="7"/>
  <c r="AL298" i="7"/>
  <c r="AL297" i="7"/>
  <c r="AL294" i="7"/>
  <c r="AL293" i="7"/>
  <c r="AL292" i="7"/>
  <c r="AL291" i="7"/>
  <c r="AL290" i="7"/>
  <c r="AL289" i="7"/>
  <c r="AL288" i="7"/>
  <c r="AL287" i="7"/>
  <c r="AL286" i="7"/>
  <c r="AL285" i="7"/>
  <c r="AL284" i="7"/>
  <c r="AL283" i="7"/>
  <c r="AL282" i="7"/>
  <c r="AL281" i="7"/>
  <c r="AL280" i="7"/>
  <c r="AL185" i="7"/>
  <c r="AL184" i="7"/>
  <c r="AL183" i="7"/>
  <c r="AL182" i="7"/>
  <c r="AL179" i="7"/>
  <c r="AL178" i="7"/>
  <c r="AL177" i="7"/>
  <c r="AL176" i="7"/>
  <c r="AL173" i="7"/>
  <c r="AL172" i="7"/>
  <c r="AL171" i="7"/>
  <c r="AL170" i="7"/>
  <c r="AL168" i="7"/>
  <c r="AL167" i="7"/>
  <c r="AL165" i="7"/>
  <c r="AL164" i="7"/>
  <c r="AL163" i="7"/>
  <c r="AL160" i="7"/>
  <c r="AL159" i="7"/>
  <c r="AL158" i="7"/>
  <c r="AL155" i="7"/>
  <c r="AL154" i="7"/>
  <c r="AL153" i="7"/>
  <c r="AL152" i="7"/>
  <c r="AL151" i="7"/>
  <c r="AL146" i="7"/>
  <c r="AL145" i="7"/>
  <c r="AL144" i="7"/>
  <c r="AL143" i="7"/>
  <c r="AL140" i="7"/>
  <c r="AL315" i="7"/>
  <c r="AL309" i="7"/>
  <c r="AL139" i="7"/>
  <c r="AL138" i="7"/>
  <c r="AL137" i="7"/>
  <c r="AL131" i="7"/>
  <c r="AL130" i="7"/>
  <c r="AL129" i="7"/>
  <c r="AL128" i="7"/>
  <c r="AL127" i="7"/>
  <c r="AL125" i="7"/>
  <c r="AL124" i="7"/>
  <c r="AL123" i="7"/>
  <c r="AL122" i="7"/>
  <c r="AL121" i="7"/>
  <c r="AL120" i="7"/>
  <c r="AL119" i="7"/>
  <c r="AL118" i="7"/>
  <c r="AL117" i="7"/>
  <c r="AL116" i="7"/>
  <c r="AL115" i="7"/>
  <c r="AL114" i="7"/>
  <c r="AL113" i="7"/>
  <c r="AL110" i="7"/>
  <c r="AL109" i="7"/>
  <c r="AL108" i="7"/>
  <c r="AL105" i="7"/>
  <c r="AL104" i="7"/>
  <c r="AL100" i="7"/>
  <c r="AL99" i="7"/>
  <c r="AL97" i="7"/>
  <c r="AL93" i="7"/>
  <c r="AL91" i="7"/>
  <c r="AL90" i="7"/>
  <c r="AL89" i="7"/>
  <c r="AL87" i="7"/>
  <c r="AL85" i="7"/>
  <c r="AL84" i="7"/>
  <c r="AL83" i="7"/>
  <c r="AL79" i="7"/>
  <c r="AL73" i="7"/>
  <c r="AL72" i="7"/>
  <c r="AL71" i="7"/>
  <c r="AL70" i="7"/>
  <c r="AL69" i="7"/>
  <c r="AL68" i="7"/>
  <c r="AL66" i="7"/>
  <c r="AL65" i="7"/>
  <c r="AL64" i="7"/>
  <c r="AL63" i="7"/>
  <c r="AL62" i="7"/>
  <c r="AL61" i="7"/>
  <c r="AL53" i="7"/>
  <c r="AL52" i="7"/>
  <c r="AL51" i="7"/>
  <c r="AL49" i="7"/>
  <c r="AL48" i="7"/>
  <c r="AL46" i="7"/>
  <c r="AL45" i="7"/>
  <c r="AL225" i="7"/>
  <c r="AL277" i="7"/>
  <c r="AL44" i="7"/>
  <c r="AL43" i="7"/>
  <c r="AL40" i="7"/>
  <c r="AL39" i="7"/>
  <c r="AL38" i="7"/>
  <c r="AL37" i="7"/>
  <c r="AL36" i="7"/>
  <c r="AL35" i="7"/>
  <c r="AL34" i="7"/>
  <c r="AL33" i="7"/>
  <c r="AL24" i="7"/>
  <c r="AL23" i="7"/>
  <c r="AL22" i="7"/>
  <c r="AL21" i="7"/>
  <c r="AL20" i="7"/>
  <c r="AL19" i="7"/>
  <c r="AL18" i="7"/>
  <c r="AL17" i="7"/>
  <c r="AL16" i="7"/>
  <c r="AL233" i="7"/>
  <c r="AL231" i="7"/>
  <c r="AL230" i="7"/>
  <c r="AL229" i="7"/>
  <c r="AL228" i="7"/>
  <c r="AL227" i="7"/>
  <c r="AL226" i="7"/>
  <c r="AL224" i="7"/>
  <c r="AL223" i="7"/>
  <c r="AL222" i="7"/>
  <c r="AL221" i="7"/>
  <c r="AL220" i="7"/>
  <c r="AL219" i="7"/>
  <c r="AL218" i="7"/>
  <c r="AL209" i="7"/>
  <c r="AL208" i="7"/>
  <c r="AL207" i="7"/>
  <c r="AL206" i="7"/>
  <c r="AL205" i="7"/>
  <c r="AL203" i="7"/>
  <c r="AL202" i="7"/>
  <c r="AL201" i="7"/>
  <c r="AL196" i="7"/>
  <c r="AL193" i="7"/>
  <c r="AI297" i="7"/>
  <c r="AI298" i="7" s="1"/>
  <c r="AI97" i="7"/>
  <c r="AI113" i="7"/>
  <c r="AI23" i="7"/>
  <c r="AI462" i="7"/>
  <c r="AH354" i="7"/>
  <c r="AH389" i="7" s="1"/>
  <c r="AH68" i="7"/>
  <c r="AH19" i="7"/>
  <c r="AG247" i="7"/>
  <c r="AG212" i="7"/>
  <c r="AG219" i="7" s="1"/>
  <c r="AH241" i="7"/>
  <c r="AH242" i="7"/>
  <c r="AH213" i="7" s="1"/>
  <c r="AH237" i="7"/>
  <c r="AH246" i="7"/>
  <c r="AH217" i="7" s="1"/>
  <c r="AH244" i="7"/>
  <c r="AH215" i="7" s="1"/>
  <c r="AH239" i="7"/>
  <c r="AH200" i="7" s="1"/>
  <c r="AI236" i="7"/>
  <c r="AI268" i="7" s="1"/>
  <c r="AI245" i="7"/>
  <c r="AI216" i="7" s="1"/>
  <c r="AI243" i="7"/>
  <c r="AI214" i="7" s="1"/>
  <c r="AI238" i="7"/>
  <c r="AI199" i="7" s="1"/>
  <c r="AI241" i="7"/>
  <c r="AI242" i="7"/>
  <c r="AI213" i="7" s="1"/>
  <c r="AI237" i="7"/>
  <c r="AI246" i="7"/>
  <c r="AI217" i="7" s="1"/>
  <c r="AI244" i="7"/>
  <c r="AI215" i="7" s="1"/>
  <c r="AI239" i="7"/>
  <c r="AI200" i="7" s="1"/>
  <c r="AG198" i="7"/>
  <c r="AG254" i="7"/>
  <c r="AG269" i="7" s="1"/>
  <c r="AG271" i="7"/>
  <c r="AG240" i="7"/>
  <c r="AJ376" i="7"/>
  <c r="AI90" i="7"/>
  <c r="AI207" i="7"/>
  <c r="AJ207" i="7" s="1"/>
  <c r="AI68" i="7"/>
  <c r="AK258" i="7"/>
  <c r="AK262" i="7"/>
  <c r="AK256" i="7"/>
  <c r="AK57" i="7"/>
  <c r="AK15" i="7" s="1"/>
  <c r="AK264" i="7"/>
  <c r="AK257" i="7"/>
  <c r="AK261" i="7"/>
  <c r="AK266" i="7"/>
  <c r="AK61" i="7"/>
  <c r="AK259" i="7"/>
  <c r="AK263" i="7"/>
  <c r="AK265" i="7"/>
  <c r="AK406" i="7"/>
  <c r="AK405" i="7"/>
  <c r="AK404" i="7"/>
  <c r="AK403" i="7"/>
  <c r="AK371" i="7"/>
  <c r="AK378" i="7" s="1"/>
  <c r="AK407" i="7"/>
  <c r="AK374" i="7"/>
  <c r="AK373" i="7"/>
  <c r="AK65" i="7"/>
  <c r="AK366" i="7"/>
  <c r="AK38" i="7"/>
  <c r="AK226" i="7"/>
  <c r="AK292" i="7" s="1"/>
  <c r="AK367" i="7"/>
  <c r="AK434" i="7"/>
  <c r="AK84" i="7"/>
  <c r="AK285" i="7" s="1"/>
  <c r="AK352" i="7"/>
  <c r="AK304" i="7" s="1"/>
  <c r="AK63" i="7"/>
  <c r="AK62" i="7"/>
  <c r="AK33" i="7"/>
  <c r="AK83" i="7" s="1"/>
  <c r="AK87" i="7"/>
  <c r="AK331" i="7"/>
  <c r="AK66" i="7"/>
  <c r="AK34" i="7"/>
  <c r="AK120" i="7" s="1"/>
  <c r="AK116" i="7"/>
  <c r="AK163" i="7"/>
  <c r="AK108" i="7"/>
  <c r="AK164" i="7"/>
  <c r="AK315" i="7"/>
  <c r="AK52" i="7"/>
  <c r="AK205" i="7"/>
  <c r="AK109" i="7"/>
  <c r="AK359" i="7"/>
  <c r="AK305" i="7" s="1"/>
  <c r="AK433" i="7"/>
  <c r="AK228" i="7"/>
  <c r="AK21" i="7"/>
  <c r="AK282" i="7" s="1"/>
  <c r="AK206" i="7" s="1"/>
  <c r="AK208" i="7"/>
  <c r="AK291" i="7" s="1"/>
  <c r="AK416" i="7"/>
  <c r="AK417" i="7"/>
  <c r="AK45" i="7"/>
  <c r="AK218" i="7"/>
  <c r="AK443" i="7"/>
  <c r="AK277" i="7"/>
  <c r="AK193" i="7"/>
  <c r="AK149" i="7"/>
  <c r="AK154" i="7" s="1"/>
  <c r="AK134" i="7"/>
  <c r="AK139" i="7" s="1"/>
  <c r="H6" i="7"/>
  <c r="AJ284" i="7"/>
  <c r="AJ378" i="7"/>
  <c r="AG458" i="7"/>
  <c r="AM8" i="7"/>
  <c r="AM6" i="7"/>
  <c r="AM7" i="7"/>
  <c r="AI183" i="7"/>
  <c r="AI283" i="7" s="1"/>
  <c r="AI44" i="7"/>
  <c r="AI117" i="7"/>
  <c r="AJ379" i="7"/>
  <c r="AO3" i="7"/>
  <c r="AN4" i="7"/>
  <c r="AN11" i="7" s="1"/>
  <c r="AN5" i="7"/>
  <c r="AI281" i="7"/>
  <c r="AI100" i="7"/>
  <c r="AH203" i="7"/>
  <c r="AG204" i="7"/>
  <c r="AG270" i="7"/>
  <c r="AH229" i="7"/>
  <c r="AH450" i="7" s="1"/>
  <c r="AH413" i="7"/>
  <c r="AH421" i="7" s="1"/>
  <c r="AI357" i="7"/>
  <c r="AG113" i="7"/>
  <c r="AG69" i="7"/>
  <c r="AG23" i="7"/>
  <c r="AG462" i="7"/>
  <c r="AM13" i="7"/>
  <c r="AM441" i="7"/>
  <c r="AM275" i="7"/>
  <c r="AM191" i="7"/>
  <c r="AI98" i="7"/>
  <c r="AG121" i="7" l="1"/>
  <c r="AJ43" i="7"/>
  <c r="AJ89" i="7"/>
  <c r="AJ91" i="7" s="1"/>
  <c r="AJ93" i="7" s="1"/>
  <c r="AI91" i="7"/>
  <c r="AI93" i="7" s="1"/>
  <c r="AK53" i="7"/>
  <c r="AK184" i="7" s="1"/>
  <c r="AK306" i="7" s="1"/>
  <c r="AJ17" i="7"/>
  <c r="AJ19" i="7" s="1"/>
  <c r="AK110" i="7"/>
  <c r="AK79" i="7" s="1"/>
  <c r="AK43" i="7" s="1"/>
  <c r="AG248" i="7"/>
  <c r="AG249" i="7" s="1"/>
  <c r="AI270" i="7"/>
  <c r="AK165" i="7"/>
  <c r="AK115" i="7"/>
  <c r="AI103" i="7"/>
  <c r="AI203" i="7"/>
  <c r="AK377" i="7"/>
  <c r="AI99" i="7"/>
  <c r="AI104" i="7" s="1"/>
  <c r="AK119" i="7"/>
  <c r="AK64" i="7"/>
  <c r="AK252" i="7"/>
  <c r="AK20" i="7"/>
  <c r="AK18" i="7"/>
  <c r="AK22" i="7"/>
  <c r="AK51" i="7"/>
  <c r="AK16" i="7"/>
  <c r="AK253" i="7" s="1"/>
  <c r="AK85" i="7"/>
  <c r="AK284" i="7"/>
  <c r="AI361" i="7"/>
  <c r="AI390" i="7" s="1"/>
  <c r="AI358" i="7" s="1"/>
  <c r="AI287" i="7" s="1"/>
  <c r="AI212" i="7"/>
  <c r="AI219" i="7" s="1"/>
  <c r="AI247" i="7"/>
  <c r="AJ297" i="7"/>
  <c r="AJ298" i="7" s="1"/>
  <c r="AJ97" i="7"/>
  <c r="AK89" i="7"/>
  <c r="AK375" i="7"/>
  <c r="AH254" i="7"/>
  <c r="AH269" i="7" s="1"/>
  <c r="AH198" i="7"/>
  <c r="AI271" i="7"/>
  <c r="AH240" i="7"/>
  <c r="AH351" i="7"/>
  <c r="AH31" i="7"/>
  <c r="AN13" i="7"/>
  <c r="AN441" i="7"/>
  <c r="AN275" i="7"/>
  <c r="AN191" i="7"/>
  <c r="AO4" i="7"/>
  <c r="AO11" i="7" s="1"/>
  <c r="AP3" i="7"/>
  <c r="AO5" i="7"/>
  <c r="AG466" i="7"/>
  <c r="AK379" i="7"/>
  <c r="AH270" i="7"/>
  <c r="AI468" i="7"/>
  <c r="AJ183" i="7"/>
  <c r="AJ283" i="7" s="1"/>
  <c r="AJ117" i="7"/>
  <c r="AJ44" i="7"/>
  <c r="AG468" i="7"/>
  <c r="AG465" i="7"/>
  <c r="AG463" i="7"/>
  <c r="AG464" i="7"/>
  <c r="AH247" i="7"/>
  <c r="AH212" i="7"/>
  <c r="AH219" i="7" s="1"/>
  <c r="AI24" i="7"/>
  <c r="AI71" i="7" s="1"/>
  <c r="AI70" i="7"/>
  <c r="AK376" i="7"/>
  <c r="AI240" i="7"/>
  <c r="AI197" i="7"/>
  <c r="AJ281" i="7"/>
  <c r="AJ100" i="7"/>
  <c r="AJ241" i="7"/>
  <c r="AJ242" i="7"/>
  <c r="AJ213" i="7" s="1"/>
  <c r="AJ244" i="7"/>
  <c r="AJ215" i="7" s="1"/>
  <c r="AJ237" i="7"/>
  <c r="AJ270" i="7" s="1"/>
  <c r="AJ246" i="7"/>
  <c r="AJ217" i="7" s="1"/>
  <c r="AJ239" i="7"/>
  <c r="AJ200" i="7" s="1"/>
  <c r="AN8" i="7"/>
  <c r="AN6" i="7"/>
  <c r="AN7" i="7"/>
  <c r="AM249" i="7"/>
  <c r="AM248" i="7"/>
  <c r="AM247" i="7"/>
  <c r="AM246" i="7"/>
  <c r="AM245" i="7"/>
  <c r="AM244" i="7"/>
  <c r="AM243" i="7"/>
  <c r="AM242" i="7"/>
  <c r="AM241" i="7"/>
  <c r="AM240" i="7"/>
  <c r="AM239" i="7"/>
  <c r="AM238" i="7"/>
  <c r="AM252" i="7"/>
  <c r="AM253" i="7"/>
  <c r="AM236" i="7"/>
  <c r="AM237" i="7"/>
  <c r="AM254" i="7"/>
  <c r="AM256" i="7"/>
  <c r="AM269" i="7"/>
  <c r="AM216" i="7"/>
  <c r="AM197" i="7"/>
  <c r="AM215" i="7"/>
  <c r="AM271" i="7"/>
  <c r="AM214" i="7"/>
  <c r="AM268" i="7"/>
  <c r="AM213" i="7"/>
  <c r="AM257" i="7"/>
  <c r="AM212" i="7"/>
  <c r="AM270" i="7"/>
  <c r="AM200" i="7"/>
  <c r="AM258" i="7"/>
  <c r="AM259" i="7"/>
  <c r="AM261" i="7"/>
  <c r="AM262" i="7"/>
  <c r="AM263" i="7"/>
  <c r="AM264" i="7"/>
  <c r="AM265" i="7"/>
  <c r="AM266" i="7"/>
  <c r="AM217" i="7"/>
  <c r="AM198" i="7"/>
  <c r="AM199" i="7"/>
  <c r="AM375" i="7"/>
  <c r="AM399" i="7"/>
  <c r="AM398" i="7"/>
  <c r="AM397" i="7"/>
  <c r="AM396" i="7"/>
  <c r="AM57" i="7"/>
  <c r="AM378" i="7"/>
  <c r="AM376" i="7"/>
  <c r="AM405" i="7"/>
  <c r="AM404" i="7"/>
  <c r="AM403" i="7"/>
  <c r="AM379" i="7"/>
  <c r="AM407" i="7"/>
  <c r="AM406" i="7"/>
  <c r="AM374" i="7"/>
  <c r="AM373" i="7"/>
  <c r="AM377" i="7"/>
  <c r="AM390" i="7"/>
  <c r="AM387" i="7"/>
  <c r="AM394" i="7"/>
  <c r="AM389" i="7"/>
  <c r="AM395" i="7"/>
  <c r="AM388" i="7"/>
  <c r="AM386" i="7"/>
  <c r="AM385" i="7"/>
  <c r="AM383" i="7"/>
  <c r="AM32" i="7"/>
  <c r="AM31" i="7"/>
  <c r="AM30" i="7"/>
  <c r="AM77" i="7"/>
  <c r="AM367" i="7"/>
  <c r="AM366" i="7"/>
  <c r="AM29" i="7"/>
  <c r="AM28" i="7"/>
  <c r="AM27" i="7"/>
  <c r="AM26" i="7"/>
  <c r="AM98" i="7"/>
  <c r="AM437" i="7"/>
  <c r="AM76" i="7"/>
  <c r="AM436" i="7"/>
  <c r="AM435" i="7"/>
  <c r="AM434" i="7"/>
  <c r="AM433" i="7"/>
  <c r="AM417" i="7"/>
  <c r="AM416" i="7"/>
  <c r="AM75" i="7"/>
  <c r="AM358" i="7"/>
  <c r="AM351" i="7"/>
  <c r="AM331" i="7"/>
  <c r="AM371" i="7"/>
  <c r="AM361" i="7"/>
  <c r="AM354" i="7"/>
  <c r="AM347" i="7"/>
  <c r="AM340" i="7"/>
  <c r="AM330" i="7"/>
  <c r="AM333" i="7"/>
  <c r="AM323" i="7"/>
  <c r="AM59" i="7"/>
  <c r="AM58" i="7"/>
  <c r="AM15" i="7"/>
  <c r="AM103" i="7"/>
  <c r="AM487" i="7"/>
  <c r="AM486" i="7"/>
  <c r="AM485" i="7"/>
  <c r="AM483" i="7"/>
  <c r="AM482" i="7"/>
  <c r="AM478" i="7"/>
  <c r="AM149" i="7"/>
  <c r="AM134" i="7"/>
  <c r="AM488" i="7"/>
  <c r="AM477" i="7"/>
  <c r="AM476" i="7"/>
  <c r="AM475" i="7"/>
  <c r="AM474" i="7"/>
  <c r="AM472" i="7"/>
  <c r="AM471" i="7"/>
  <c r="AM204" i="7"/>
  <c r="AM431" i="7"/>
  <c r="AM430" i="7"/>
  <c r="AM427" i="7"/>
  <c r="AM425" i="7"/>
  <c r="AM424" i="7"/>
  <c r="AM421" i="7"/>
  <c r="AM420" i="7"/>
  <c r="AM413" i="7"/>
  <c r="AM412" i="7"/>
  <c r="AM360" i="7"/>
  <c r="AM359" i="7"/>
  <c r="AM357" i="7"/>
  <c r="AM353" i="7"/>
  <c r="AM352" i="7"/>
  <c r="AM350" i="7"/>
  <c r="AM346" i="7"/>
  <c r="AM345" i="7"/>
  <c r="AM344" i="7"/>
  <c r="AM343" i="7"/>
  <c r="AM339" i="7"/>
  <c r="AM338" i="7"/>
  <c r="AM337" i="7"/>
  <c r="AM336" i="7"/>
  <c r="AM332" i="7"/>
  <c r="AM329" i="7"/>
  <c r="AM328" i="7"/>
  <c r="AM327" i="7"/>
  <c r="AM326" i="7"/>
  <c r="AM321" i="7"/>
  <c r="AM320" i="7"/>
  <c r="AM319" i="7"/>
  <c r="AM318" i="7"/>
  <c r="AM317" i="7"/>
  <c r="AM316" i="7"/>
  <c r="AM315" i="7"/>
  <c r="AM314" i="7"/>
  <c r="AM309" i="7"/>
  <c r="AM469" i="7"/>
  <c r="AM468" i="7"/>
  <c r="AM466" i="7"/>
  <c r="AM465" i="7"/>
  <c r="AM464" i="7"/>
  <c r="AM463" i="7"/>
  <c r="AM462" i="7"/>
  <c r="AM458" i="7"/>
  <c r="AM457" i="7"/>
  <c r="AM456" i="7"/>
  <c r="AM455" i="7"/>
  <c r="AM451" i="7"/>
  <c r="AM450" i="7"/>
  <c r="AM449" i="7"/>
  <c r="AM448" i="7"/>
  <c r="AM447" i="7"/>
  <c r="AM470" i="7"/>
  <c r="AM443" i="7"/>
  <c r="AM307" i="7"/>
  <c r="AM306" i="7"/>
  <c r="AM305" i="7"/>
  <c r="AM304" i="7"/>
  <c r="AM303" i="7"/>
  <c r="AM302" i="7"/>
  <c r="AM301" i="7"/>
  <c r="AM298" i="7"/>
  <c r="AM297" i="7"/>
  <c r="AM294" i="7"/>
  <c r="AM293" i="7"/>
  <c r="AM292" i="7"/>
  <c r="AM291" i="7"/>
  <c r="AM290" i="7"/>
  <c r="AM289" i="7"/>
  <c r="AM288" i="7"/>
  <c r="AM287" i="7"/>
  <c r="AM286" i="7"/>
  <c r="AM285" i="7"/>
  <c r="AM284" i="7"/>
  <c r="AM283" i="7"/>
  <c r="AM282" i="7"/>
  <c r="AM281" i="7"/>
  <c r="AM280" i="7"/>
  <c r="AM185" i="7"/>
  <c r="AM184" i="7"/>
  <c r="AM183" i="7"/>
  <c r="AM182" i="7"/>
  <c r="AM179" i="7"/>
  <c r="AM178" i="7"/>
  <c r="AM177" i="7"/>
  <c r="AM176" i="7"/>
  <c r="AM173" i="7"/>
  <c r="AM172" i="7"/>
  <c r="AM171" i="7"/>
  <c r="AM170" i="7"/>
  <c r="AM168" i="7"/>
  <c r="AM167" i="7"/>
  <c r="AM165" i="7"/>
  <c r="AM164" i="7"/>
  <c r="AM163" i="7"/>
  <c r="AM160" i="7"/>
  <c r="AM159" i="7"/>
  <c r="AM158" i="7"/>
  <c r="AM155" i="7"/>
  <c r="AM154" i="7"/>
  <c r="AM153" i="7"/>
  <c r="AM152" i="7"/>
  <c r="AM151" i="7"/>
  <c r="AM146" i="7"/>
  <c r="AM145" i="7"/>
  <c r="AM144" i="7"/>
  <c r="AM143" i="7"/>
  <c r="AM140" i="7"/>
  <c r="AM139" i="7"/>
  <c r="AM138" i="7"/>
  <c r="AM137" i="7"/>
  <c r="AM131" i="7"/>
  <c r="AM130" i="7"/>
  <c r="AM129" i="7"/>
  <c r="AM128" i="7"/>
  <c r="AM127" i="7"/>
  <c r="AM125" i="7"/>
  <c r="AM124" i="7"/>
  <c r="AM123" i="7"/>
  <c r="AM122" i="7"/>
  <c r="AM121" i="7"/>
  <c r="AM120" i="7"/>
  <c r="AM119" i="7"/>
  <c r="AM118" i="7"/>
  <c r="AM117" i="7"/>
  <c r="AM116" i="7"/>
  <c r="AM115" i="7"/>
  <c r="AM114" i="7"/>
  <c r="AM113" i="7"/>
  <c r="AM110" i="7"/>
  <c r="AM109" i="7"/>
  <c r="AM108" i="7"/>
  <c r="AM105" i="7"/>
  <c r="AM104" i="7"/>
  <c r="AM100" i="7"/>
  <c r="AM99" i="7"/>
  <c r="AM97" i="7"/>
  <c r="AM93" i="7"/>
  <c r="AM91" i="7"/>
  <c r="AM90" i="7"/>
  <c r="AM89" i="7"/>
  <c r="AM87" i="7"/>
  <c r="AM85" i="7"/>
  <c r="AM84" i="7"/>
  <c r="AM83" i="7"/>
  <c r="AM79" i="7"/>
  <c r="AM73" i="7"/>
  <c r="AM72" i="7"/>
  <c r="AM71" i="7"/>
  <c r="AM70" i="7"/>
  <c r="AM69" i="7"/>
  <c r="AM68" i="7"/>
  <c r="AM66" i="7"/>
  <c r="AM65" i="7"/>
  <c r="AM64" i="7"/>
  <c r="AM63" i="7"/>
  <c r="AM62" i="7"/>
  <c r="AM61" i="7"/>
  <c r="AM53" i="7"/>
  <c r="AM52" i="7"/>
  <c r="AM51" i="7"/>
  <c r="AM49" i="7"/>
  <c r="AM48" i="7"/>
  <c r="AM46" i="7"/>
  <c r="AM225" i="7"/>
  <c r="AM277" i="7"/>
  <c r="AM45" i="7"/>
  <c r="AM44" i="7"/>
  <c r="AM43" i="7"/>
  <c r="AM40" i="7"/>
  <c r="AM39" i="7"/>
  <c r="AM38" i="7"/>
  <c r="AM37" i="7"/>
  <c r="AM36" i="7"/>
  <c r="AM35" i="7"/>
  <c r="AM34" i="7"/>
  <c r="AM33" i="7"/>
  <c r="AM24" i="7"/>
  <c r="AM23" i="7"/>
  <c r="AM22" i="7"/>
  <c r="AM21" i="7"/>
  <c r="AM20" i="7"/>
  <c r="AM19" i="7"/>
  <c r="AM18" i="7"/>
  <c r="AM17" i="7"/>
  <c r="AM16" i="7"/>
  <c r="AM233" i="7"/>
  <c r="AM231" i="7"/>
  <c r="AM230" i="7"/>
  <c r="AM229" i="7"/>
  <c r="AM228" i="7"/>
  <c r="AM227" i="7"/>
  <c r="AM226" i="7"/>
  <c r="AM224" i="7"/>
  <c r="AM223" i="7"/>
  <c r="AM222" i="7"/>
  <c r="AM221" i="7"/>
  <c r="AM220" i="7"/>
  <c r="AM219" i="7"/>
  <c r="AM218" i="7"/>
  <c r="AM209" i="7"/>
  <c r="AM208" i="7"/>
  <c r="AM207" i="7"/>
  <c r="AM206" i="7"/>
  <c r="AM205" i="7"/>
  <c r="AM203" i="7"/>
  <c r="AM202" i="7"/>
  <c r="AM201" i="7"/>
  <c r="AM196" i="7"/>
  <c r="AM193" i="7"/>
  <c r="AG70" i="7"/>
  <c r="AG24" i="7"/>
  <c r="AG71" i="7" s="1"/>
  <c r="AG35" i="7"/>
  <c r="AH271" i="7"/>
  <c r="AI198" i="7"/>
  <c r="AI254" i="7"/>
  <c r="AI269" i="7" s="1"/>
  <c r="AJ271" i="7"/>
  <c r="AI202" i="7"/>
  <c r="AJ245" i="7"/>
  <c r="AJ216" i="7" s="1"/>
  <c r="AJ236" i="7"/>
  <c r="AJ268" i="7" s="1"/>
  <c r="AJ243" i="7"/>
  <c r="AJ214" i="7" s="1"/>
  <c r="AJ238" i="7"/>
  <c r="AJ199" i="7" s="1"/>
  <c r="AG152" i="7"/>
  <c r="AG138" i="7"/>
  <c r="AH23" i="7"/>
  <c r="AH69" i="7"/>
  <c r="AH462" i="7"/>
  <c r="AH113" i="7"/>
  <c r="AH204" i="7"/>
  <c r="AJ98" i="7"/>
  <c r="AJ68" i="7" l="1"/>
  <c r="AG289" i="7"/>
  <c r="AG153" i="7"/>
  <c r="AG155" i="7" s="1"/>
  <c r="AH151" i="7" s="1"/>
  <c r="AI248" i="7"/>
  <c r="AJ69" i="7"/>
  <c r="AJ113" i="7"/>
  <c r="AJ23" i="7"/>
  <c r="AJ462" i="7"/>
  <c r="AJ468" i="7" s="1"/>
  <c r="AJ203" i="7"/>
  <c r="AI105" i="7"/>
  <c r="AI114" i="7" s="1"/>
  <c r="AI360" i="7"/>
  <c r="AJ357" i="7" s="1"/>
  <c r="AJ103" i="7"/>
  <c r="AJ99" i="7"/>
  <c r="AJ104" i="7" s="1"/>
  <c r="AO13" i="7"/>
  <c r="AO441" i="7"/>
  <c r="AO275" i="7"/>
  <c r="AO191" i="7"/>
  <c r="AJ240" i="7"/>
  <c r="AJ197" i="7"/>
  <c r="AG474" i="7"/>
  <c r="AG469" i="7"/>
  <c r="AG470" i="7"/>
  <c r="AG471" i="7"/>
  <c r="AK241" i="7"/>
  <c r="AK239" i="7"/>
  <c r="AK200" i="7" s="1"/>
  <c r="AK244" i="7"/>
  <c r="AK215" i="7" s="1"/>
  <c r="AK242" i="7"/>
  <c r="AK213" i="7" s="1"/>
  <c r="AK246" i="7"/>
  <c r="AK217" i="7" s="1"/>
  <c r="AK237" i="7"/>
  <c r="AK270" i="7" s="1"/>
  <c r="AK281" i="7"/>
  <c r="AK100" i="7"/>
  <c r="AJ254" i="7"/>
  <c r="AJ269" i="7" s="1"/>
  <c r="AJ198" i="7"/>
  <c r="AG472" i="7"/>
  <c r="AG36" i="7"/>
  <c r="AG131" i="7" s="1"/>
  <c r="AI204" i="7"/>
  <c r="AJ202" i="7"/>
  <c r="AN249" i="7"/>
  <c r="AN248" i="7"/>
  <c r="AN247" i="7"/>
  <c r="AN246" i="7"/>
  <c r="AN245" i="7"/>
  <c r="AN244" i="7"/>
  <c r="AN243" i="7"/>
  <c r="AN242" i="7"/>
  <c r="AN241" i="7"/>
  <c r="AN240" i="7"/>
  <c r="AN239" i="7"/>
  <c r="AN238" i="7"/>
  <c r="AN237" i="7"/>
  <c r="AN252" i="7"/>
  <c r="AN253" i="7"/>
  <c r="AN236" i="7"/>
  <c r="AN254" i="7"/>
  <c r="AN256" i="7"/>
  <c r="AN215" i="7"/>
  <c r="AN269" i="7"/>
  <c r="AN214" i="7"/>
  <c r="AN213" i="7"/>
  <c r="AN271" i="7"/>
  <c r="AN212" i="7"/>
  <c r="AN268" i="7"/>
  <c r="AN200" i="7"/>
  <c r="AN257" i="7"/>
  <c r="AN199" i="7"/>
  <c r="AN270" i="7"/>
  <c r="AN217" i="7"/>
  <c r="AN258" i="7"/>
  <c r="AN259" i="7"/>
  <c r="AN261" i="7"/>
  <c r="AN262" i="7"/>
  <c r="AN263" i="7"/>
  <c r="AN264" i="7"/>
  <c r="AN265" i="7"/>
  <c r="AN266" i="7"/>
  <c r="AN216" i="7"/>
  <c r="AN375" i="7"/>
  <c r="AN399" i="7"/>
  <c r="AN398" i="7"/>
  <c r="AN397" i="7"/>
  <c r="AN396" i="7"/>
  <c r="AN57" i="7"/>
  <c r="AN378" i="7"/>
  <c r="AN376" i="7"/>
  <c r="AN405" i="7"/>
  <c r="AN404" i="7"/>
  <c r="AN403" i="7"/>
  <c r="AN379" i="7"/>
  <c r="AN407" i="7"/>
  <c r="AN406" i="7"/>
  <c r="AN374" i="7"/>
  <c r="AN373" i="7"/>
  <c r="AN197" i="7"/>
  <c r="AN377" i="7"/>
  <c r="AN198" i="7"/>
  <c r="AN390" i="7"/>
  <c r="AN387" i="7"/>
  <c r="AN394" i="7"/>
  <c r="AN389" i="7"/>
  <c r="AN395" i="7"/>
  <c r="AN388" i="7"/>
  <c r="AN386" i="7"/>
  <c r="AN385" i="7"/>
  <c r="AN383" i="7"/>
  <c r="AN32" i="7"/>
  <c r="AN31" i="7"/>
  <c r="AN30" i="7"/>
  <c r="AN29" i="7"/>
  <c r="AN28" i="7"/>
  <c r="AN27" i="7"/>
  <c r="AN26" i="7"/>
  <c r="AN98" i="7"/>
  <c r="AN437" i="7"/>
  <c r="AN76" i="7"/>
  <c r="AN436" i="7"/>
  <c r="AN435" i="7"/>
  <c r="AN434" i="7"/>
  <c r="AN433" i="7"/>
  <c r="AN417" i="7"/>
  <c r="AN416" i="7"/>
  <c r="AN75" i="7"/>
  <c r="AN77" i="7"/>
  <c r="AN367" i="7"/>
  <c r="AN366" i="7"/>
  <c r="AN331" i="7"/>
  <c r="AN371" i="7"/>
  <c r="AN361" i="7"/>
  <c r="AN354" i="7"/>
  <c r="AN347" i="7"/>
  <c r="AN340" i="7"/>
  <c r="AN330" i="7"/>
  <c r="AN333" i="7"/>
  <c r="AN323" i="7"/>
  <c r="AN59" i="7"/>
  <c r="AN58" i="7"/>
  <c r="AN15" i="7"/>
  <c r="AN103" i="7"/>
  <c r="AN358" i="7"/>
  <c r="AN351" i="7"/>
  <c r="AN486" i="7"/>
  <c r="AN485" i="7"/>
  <c r="AN483" i="7"/>
  <c r="AN482" i="7"/>
  <c r="AN478" i="7"/>
  <c r="AN149" i="7"/>
  <c r="AN134" i="7"/>
  <c r="AN488" i="7"/>
  <c r="AN477" i="7"/>
  <c r="AN476" i="7"/>
  <c r="AN475" i="7"/>
  <c r="AN474" i="7"/>
  <c r="AN472" i="7"/>
  <c r="AN471" i="7"/>
  <c r="AN470" i="7"/>
  <c r="AN487" i="7"/>
  <c r="AN204" i="7"/>
  <c r="AN431" i="7"/>
  <c r="AN430" i="7"/>
  <c r="AN427" i="7"/>
  <c r="AN425" i="7"/>
  <c r="AN424" i="7"/>
  <c r="AN421" i="7"/>
  <c r="AN420" i="7"/>
  <c r="AN413" i="7"/>
  <c r="AN412" i="7"/>
  <c r="AN360" i="7"/>
  <c r="AN359" i="7"/>
  <c r="AN357" i="7"/>
  <c r="AN353" i="7"/>
  <c r="AN352" i="7"/>
  <c r="AN350" i="7"/>
  <c r="AN346" i="7"/>
  <c r="AN345" i="7"/>
  <c r="AN344" i="7"/>
  <c r="AN343" i="7"/>
  <c r="AN339" i="7"/>
  <c r="AN338" i="7"/>
  <c r="AN337" i="7"/>
  <c r="AN336" i="7"/>
  <c r="AN332" i="7"/>
  <c r="AN329" i="7"/>
  <c r="AN328" i="7"/>
  <c r="AN327" i="7"/>
  <c r="AN326" i="7"/>
  <c r="AN321" i="7"/>
  <c r="AN320" i="7"/>
  <c r="AN319" i="7"/>
  <c r="AN318" i="7"/>
  <c r="AN317" i="7"/>
  <c r="AN316" i="7"/>
  <c r="AN315" i="7"/>
  <c r="AN314" i="7"/>
  <c r="AN309" i="7"/>
  <c r="AN469" i="7"/>
  <c r="AN468" i="7"/>
  <c r="AN466" i="7"/>
  <c r="AN465" i="7"/>
  <c r="AN464" i="7"/>
  <c r="AN463" i="7"/>
  <c r="AN462" i="7"/>
  <c r="AN458" i="7"/>
  <c r="AN457" i="7"/>
  <c r="AN456" i="7"/>
  <c r="AN455" i="7"/>
  <c r="AN451" i="7"/>
  <c r="AN450" i="7"/>
  <c r="AN449" i="7"/>
  <c r="AN448" i="7"/>
  <c r="AN447" i="7"/>
  <c r="AN443" i="7"/>
  <c r="AN307" i="7"/>
  <c r="AN306" i="7"/>
  <c r="AN305" i="7"/>
  <c r="AN304" i="7"/>
  <c r="AN303" i="7"/>
  <c r="AN302" i="7"/>
  <c r="AN301" i="7"/>
  <c r="AN298" i="7"/>
  <c r="AN297" i="7"/>
  <c r="AN294" i="7"/>
  <c r="AN293" i="7"/>
  <c r="AN292" i="7"/>
  <c r="AN291" i="7"/>
  <c r="AN290" i="7"/>
  <c r="AN289" i="7"/>
  <c r="AN288" i="7"/>
  <c r="AN287" i="7"/>
  <c r="AN286" i="7"/>
  <c r="AN285" i="7"/>
  <c r="AN284" i="7"/>
  <c r="AN283" i="7"/>
  <c r="AN282" i="7"/>
  <c r="AN281" i="7"/>
  <c r="AN280" i="7"/>
  <c r="AN185" i="7"/>
  <c r="AN184" i="7"/>
  <c r="AN183" i="7"/>
  <c r="AN182" i="7"/>
  <c r="AN179" i="7"/>
  <c r="AN178" i="7"/>
  <c r="AN177" i="7"/>
  <c r="AN176" i="7"/>
  <c r="AN173" i="7"/>
  <c r="AN172" i="7"/>
  <c r="AN171" i="7"/>
  <c r="AN170" i="7"/>
  <c r="AN168" i="7"/>
  <c r="AN167" i="7"/>
  <c r="AN165" i="7"/>
  <c r="AN164" i="7"/>
  <c r="AN163" i="7"/>
  <c r="AN160" i="7"/>
  <c r="AN159" i="7"/>
  <c r="AN158" i="7"/>
  <c r="AN155" i="7"/>
  <c r="AN154" i="7"/>
  <c r="AN153" i="7"/>
  <c r="AN152" i="7"/>
  <c r="AN151" i="7"/>
  <c r="AN146" i="7"/>
  <c r="AN145" i="7"/>
  <c r="AN144" i="7"/>
  <c r="AN143" i="7"/>
  <c r="AN140" i="7"/>
  <c r="AN139" i="7"/>
  <c r="AN138" i="7"/>
  <c r="AN137" i="7"/>
  <c r="AN131" i="7"/>
  <c r="AN130" i="7"/>
  <c r="AN129" i="7"/>
  <c r="AN128" i="7"/>
  <c r="AN127" i="7"/>
  <c r="AN125" i="7"/>
  <c r="AN124" i="7"/>
  <c r="AN123" i="7"/>
  <c r="AN122" i="7"/>
  <c r="AN121" i="7"/>
  <c r="AN120" i="7"/>
  <c r="AN119" i="7"/>
  <c r="AN118" i="7"/>
  <c r="AN117" i="7"/>
  <c r="AN116" i="7"/>
  <c r="AN115" i="7"/>
  <c r="AN114" i="7"/>
  <c r="AN113" i="7"/>
  <c r="AN110" i="7"/>
  <c r="AN109" i="7"/>
  <c r="AN108" i="7"/>
  <c r="AN105" i="7"/>
  <c r="AN104" i="7"/>
  <c r="AN100" i="7"/>
  <c r="AN99" i="7"/>
  <c r="AN97" i="7"/>
  <c r="AN93" i="7"/>
  <c r="AN91" i="7"/>
  <c r="AN90" i="7"/>
  <c r="AN89" i="7"/>
  <c r="AN87" i="7"/>
  <c r="AN85" i="7"/>
  <c r="AN84" i="7"/>
  <c r="AN83" i="7"/>
  <c r="AN79" i="7"/>
  <c r="AN73" i="7"/>
  <c r="AN72" i="7"/>
  <c r="AN71" i="7"/>
  <c r="AN70" i="7"/>
  <c r="AN69" i="7"/>
  <c r="AN68" i="7"/>
  <c r="AN66" i="7"/>
  <c r="AN65" i="7"/>
  <c r="AN64" i="7"/>
  <c r="AN63" i="7"/>
  <c r="AN62" i="7"/>
  <c r="AN61" i="7"/>
  <c r="AN53" i="7"/>
  <c r="AN52" i="7"/>
  <c r="AN51" i="7"/>
  <c r="AN49" i="7"/>
  <c r="AN48" i="7"/>
  <c r="AN46" i="7"/>
  <c r="AN45" i="7"/>
  <c r="AN44" i="7"/>
  <c r="AN43" i="7"/>
  <c r="AN40" i="7"/>
  <c r="AN39" i="7"/>
  <c r="AN38" i="7"/>
  <c r="AN37" i="7"/>
  <c r="AN36" i="7"/>
  <c r="AN35" i="7"/>
  <c r="AN34" i="7"/>
  <c r="AN33" i="7"/>
  <c r="AN24" i="7"/>
  <c r="AN23" i="7"/>
  <c r="AN22" i="7"/>
  <c r="AN21" i="7"/>
  <c r="AN20" i="7"/>
  <c r="AN19" i="7"/>
  <c r="AN18" i="7"/>
  <c r="AN17" i="7"/>
  <c r="AN16" i="7"/>
  <c r="AN233" i="7"/>
  <c r="AN231" i="7"/>
  <c r="AN230" i="7"/>
  <c r="AN229" i="7"/>
  <c r="AN228" i="7"/>
  <c r="AN227" i="7"/>
  <c r="AN226" i="7"/>
  <c r="AN224" i="7"/>
  <c r="AN223" i="7"/>
  <c r="AN222" i="7"/>
  <c r="AN221" i="7"/>
  <c r="AN220" i="7"/>
  <c r="AN219" i="7"/>
  <c r="AN218" i="7"/>
  <c r="AN209" i="7"/>
  <c r="AN208" i="7"/>
  <c r="AN207" i="7"/>
  <c r="AN206" i="7"/>
  <c r="AN205" i="7"/>
  <c r="AN203" i="7"/>
  <c r="AN202" i="7"/>
  <c r="AN201" i="7"/>
  <c r="AN196" i="7"/>
  <c r="AN193" i="7"/>
  <c r="AN225" i="7"/>
  <c r="AN277" i="7"/>
  <c r="AK297" i="7"/>
  <c r="AK298" i="7" s="1"/>
  <c r="AK97" i="7"/>
  <c r="AK236" i="7"/>
  <c r="AK268" i="7" s="1"/>
  <c r="AK243" i="7"/>
  <c r="AK214" i="7" s="1"/>
  <c r="AK245" i="7"/>
  <c r="AK216" i="7" s="1"/>
  <c r="AK238" i="7"/>
  <c r="AK199" i="7" s="1"/>
  <c r="AH468" i="7"/>
  <c r="AK44" i="7"/>
  <c r="AK117" i="7"/>
  <c r="AK183" i="7"/>
  <c r="AK283" i="7" s="1"/>
  <c r="AH70" i="7"/>
  <c r="AH24" i="7"/>
  <c r="AH71" i="7" s="1"/>
  <c r="AJ247" i="7"/>
  <c r="AJ212" i="7"/>
  <c r="AJ219" i="7" s="1"/>
  <c r="AJ24" i="7"/>
  <c r="AJ71" i="7" s="1"/>
  <c r="AJ70" i="7"/>
  <c r="AO8" i="7"/>
  <c r="AO6" i="7"/>
  <c r="AO7" i="7"/>
  <c r="AH286" i="7"/>
  <c r="AH288" i="7" s="1"/>
  <c r="AH353" i="7"/>
  <c r="AK17" i="7"/>
  <c r="AG145" i="7"/>
  <c r="AG140" i="7"/>
  <c r="AG159" i="7"/>
  <c r="AG160" i="7" s="1"/>
  <c r="AH158" i="7" s="1"/>
  <c r="AG122" i="7"/>
  <c r="AG123" i="7" s="1"/>
  <c r="AP4" i="7"/>
  <c r="AP11" i="7" s="1"/>
  <c r="AQ3" i="7"/>
  <c r="AP5" i="7"/>
  <c r="AH248" i="7"/>
  <c r="AK207" i="7"/>
  <c r="AK90" i="7"/>
  <c r="AK91" i="7" s="1"/>
  <c r="AK93" i="7" s="1"/>
  <c r="AK98" i="7"/>
  <c r="AK203" i="7" l="1"/>
  <c r="AI229" i="7"/>
  <c r="AI450" i="7" s="1"/>
  <c r="AI413" i="7"/>
  <c r="AI421" i="7" s="1"/>
  <c r="AJ105" i="7"/>
  <c r="AJ114" i="7" s="1"/>
  <c r="AK103" i="7"/>
  <c r="AG37" i="7"/>
  <c r="AG40" i="7" s="1"/>
  <c r="AG72" i="7" s="1"/>
  <c r="AK271" i="7"/>
  <c r="AK99" i="7"/>
  <c r="AK104" i="7" s="1"/>
  <c r="AH249" i="7"/>
  <c r="AH474" i="7" s="1"/>
  <c r="AI289" i="7"/>
  <c r="AH289" i="7"/>
  <c r="AJ248" i="7"/>
  <c r="AK254" i="7"/>
  <c r="AK269" i="7" s="1"/>
  <c r="AK198" i="7"/>
  <c r="AG144" i="7"/>
  <c r="AG146" i="7" s="1"/>
  <c r="AH143" i="7" s="1"/>
  <c r="AH137" i="7"/>
  <c r="AK19" i="7"/>
  <c r="AK68" i="7"/>
  <c r="AK197" i="7"/>
  <c r="AK240" i="7"/>
  <c r="AO248" i="7"/>
  <c r="AO247" i="7"/>
  <c r="AO246" i="7"/>
  <c r="AO245" i="7"/>
  <c r="AO244" i="7"/>
  <c r="AO243" i="7"/>
  <c r="AO242" i="7"/>
  <c r="AO241" i="7"/>
  <c r="AO240" i="7"/>
  <c r="AO239" i="7"/>
  <c r="AO238" i="7"/>
  <c r="AO237" i="7"/>
  <c r="AO249" i="7"/>
  <c r="AO254" i="7"/>
  <c r="AO256" i="7"/>
  <c r="AO257" i="7"/>
  <c r="AO258" i="7"/>
  <c r="AO259" i="7"/>
  <c r="AO261" i="7"/>
  <c r="AO262" i="7"/>
  <c r="AO263" i="7"/>
  <c r="AO264" i="7"/>
  <c r="AO236" i="7"/>
  <c r="AO252" i="7"/>
  <c r="AO253" i="7"/>
  <c r="AO265" i="7"/>
  <c r="AO266" i="7"/>
  <c r="AO214" i="7"/>
  <c r="AO213" i="7"/>
  <c r="AO57" i="7"/>
  <c r="AO269" i="7"/>
  <c r="AO212" i="7"/>
  <c r="AO200" i="7"/>
  <c r="AO271" i="7"/>
  <c r="AO199" i="7"/>
  <c r="AO268" i="7"/>
  <c r="AO217" i="7"/>
  <c r="AO198" i="7"/>
  <c r="AO216" i="7"/>
  <c r="AO270" i="7"/>
  <c r="AO215" i="7"/>
  <c r="AO378" i="7"/>
  <c r="AO376" i="7"/>
  <c r="AO405" i="7"/>
  <c r="AO404" i="7"/>
  <c r="AO403" i="7"/>
  <c r="AO379" i="7"/>
  <c r="AO395" i="7"/>
  <c r="AO407" i="7"/>
  <c r="AO406" i="7"/>
  <c r="AO374" i="7"/>
  <c r="AO373" i="7"/>
  <c r="AO197" i="7"/>
  <c r="AO377" i="7"/>
  <c r="AO375" i="7"/>
  <c r="AO399" i="7"/>
  <c r="AO398" i="7"/>
  <c r="AO397" i="7"/>
  <c r="AO396" i="7"/>
  <c r="AO394" i="7"/>
  <c r="AO389" i="7"/>
  <c r="AO388" i="7"/>
  <c r="AO386" i="7"/>
  <c r="AO385" i="7"/>
  <c r="AO383" i="7"/>
  <c r="AO32" i="7"/>
  <c r="AO31" i="7"/>
  <c r="AO30" i="7"/>
  <c r="AO390" i="7"/>
  <c r="AO387" i="7"/>
  <c r="AO29" i="7"/>
  <c r="AO28" i="7"/>
  <c r="AO27" i="7"/>
  <c r="AO26" i="7"/>
  <c r="AO98" i="7"/>
  <c r="AO437" i="7"/>
  <c r="AO76" i="7"/>
  <c r="AO436" i="7"/>
  <c r="AO435" i="7"/>
  <c r="AO434" i="7"/>
  <c r="AO433" i="7"/>
  <c r="AO417" i="7"/>
  <c r="AO416" i="7"/>
  <c r="AO358" i="7"/>
  <c r="AO75" i="7"/>
  <c r="AO77" i="7"/>
  <c r="AO367" i="7"/>
  <c r="AO366" i="7"/>
  <c r="AO371" i="7"/>
  <c r="AO361" i="7"/>
  <c r="AO354" i="7"/>
  <c r="AO347" i="7"/>
  <c r="AO340" i="7"/>
  <c r="AO330" i="7"/>
  <c r="AO333" i="7"/>
  <c r="AO323" i="7"/>
  <c r="AO59" i="7"/>
  <c r="AO58" i="7"/>
  <c r="AO15" i="7"/>
  <c r="AO103" i="7"/>
  <c r="AO351" i="7"/>
  <c r="AO331" i="7"/>
  <c r="AO485" i="7"/>
  <c r="AO483" i="7"/>
  <c r="AO482" i="7"/>
  <c r="AO478" i="7"/>
  <c r="AO149" i="7"/>
  <c r="AO134" i="7"/>
  <c r="AO488" i="7"/>
  <c r="AO477" i="7"/>
  <c r="AO476" i="7"/>
  <c r="AO475" i="7"/>
  <c r="AO474" i="7"/>
  <c r="AO472" i="7"/>
  <c r="AO471" i="7"/>
  <c r="AO470" i="7"/>
  <c r="AO469" i="7"/>
  <c r="AO487" i="7"/>
  <c r="AO486" i="7"/>
  <c r="AO468" i="7"/>
  <c r="AO466" i="7"/>
  <c r="AO465" i="7"/>
  <c r="AO464" i="7"/>
  <c r="AO463" i="7"/>
  <c r="AO462" i="7"/>
  <c r="AO458" i="7"/>
  <c r="AO457" i="7"/>
  <c r="AO456" i="7"/>
  <c r="AO455" i="7"/>
  <c r="AO451" i="7"/>
  <c r="AO450" i="7"/>
  <c r="AO449" i="7"/>
  <c r="AO448" i="7"/>
  <c r="AO447" i="7"/>
  <c r="AO443" i="7"/>
  <c r="AO204" i="7"/>
  <c r="AO431" i="7"/>
  <c r="AO430" i="7"/>
  <c r="AO427" i="7"/>
  <c r="AO425" i="7"/>
  <c r="AO424" i="7"/>
  <c r="AO421" i="7"/>
  <c r="AO420" i="7"/>
  <c r="AO413" i="7"/>
  <c r="AO412" i="7"/>
  <c r="AO360" i="7"/>
  <c r="AO359" i="7"/>
  <c r="AO357" i="7"/>
  <c r="AO353" i="7"/>
  <c r="AO352" i="7"/>
  <c r="AO350" i="7"/>
  <c r="AO346" i="7"/>
  <c r="AO345" i="7"/>
  <c r="AO344" i="7"/>
  <c r="AO343" i="7"/>
  <c r="AO339" i="7"/>
  <c r="AO338" i="7"/>
  <c r="AO337" i="7"/>
  <c r="AO336" i="7"/>
  <c r="AO332" i="7"/>
  <c r="AO329" i="7"/>
  <c r="AO328" i="7"/>
  <c r="AO327" i="7"/>
  <c r="AO326" i="7"/>
  <c r="AO321" i="7"/>
  <c r="AO320" i="7"/>
  <c r="AO319" i="7"/>
  <c r="AO318" i="7"/>
  <c r="AO314" i="7"/>
  <c r="AO307" i="7"/>
  <c r="AO306" i="7"/>
  <c r="AO305" i="7"/>
  <c r="AO304" i="7"/>
  <c r="AO303" i="7"/>
  <c r="AO302" i="7"/>
  <c r="AO301" i="7"/>
  <c r="AO298" i="7"/>
  <c r="AO297" i="7"/>
  <c r="AO294" i="7"/>
  <c r="AO293" i="7"/>
  <c r="AO292" i="7"/>
  <c r="AO291" i="7"/>
  <c r="AO290" i="7"/>
  <c r="AO289" i="7"/>
  <c r="AO288" i="7"/>
  <c r="AO287" i="7"/>
  <c r="AO286" i="7"/>
  <c r="AO285" i="7"/>
  <c r="AO284" i="7"/>
  <c r="AO283" i="7"/>
  <c r="AO282" i="7"/>
  <c r="AO281" i="7"/>
  <c r="AO280" i="7"/>
  <c r="AO185" i="7"/>
  <c r="AO184" i="7"/>
  <c r="AO183" i="7"/>
  <c r="AO182" i="7"/>
  <c r="AO179" i="7"/>
  <c r="AO178" i="7"/>
  <c r="AO177" i="7"/>
  <c r="AO176" i="7"/>
  <c r="AO173" i="7"/>
  <c r="AO172" i="7"/>
  <c r="AO171" i="7"/>
  <c r="AO170" i="7"/>
  <c r="AO168" i="7"/>
  <c r="AO167" i="7"/>
  <c r="AO165" i="7"/>
  <c r="AO164" i="7"/>
  <c r="AO163" i="7"/>
  <c r="AO160" i="7"/>
  <c r="AO159" i="7"/>
  <c r="AO158" i="7"/>
  <c r="AO155" i="7"/>
  <c r="AO154" i="7"/>
  <c r="AO153" i="7"/>
  <c r="AO152" i="7"/>
  <c r="AO151" i="7"/>
  <c r="AO146" i="7"/>
  <c r="AO145" i="7"/>
  <c r="AO144" i="7"/>
  <c r="AO143" i="7"/>
  <c r="AO140" i="7"/>
  <c r="AO139" i="7"/>
  <c r="AO316" i="7"/>
  <c r="AO315" i="7"/>
  <c r="AO309" i="7"/>
  <c r="AO317" i="7"/>
  <c r="AO138" i="7"/>
  <c r="AO137" i="7"/>
  <c r="AO131" i="7"/>
  <c r="AO130" i="7"/>
  <c r="AO129" i="7"/>
  <c r="AO128" i="7"/>
  <c r="AO127" i="7"/>
  <c r="AO125" i="7"/>
  <c r="AO124" i="7"/>
  <c r="AO123" i="7"/>
  <c r="AO122" i="7"/>
  <c r="AO121" i="7"/>
  <c r="AO120" i="7"/>
  <c r="AO119" i="7"/>
  <c r="AO118" i="7"/>
  <c r="AO117" i="7"/>
  <c r="AO116" i="7"/>
  <c r="AO115" i="7"/>
  <c r="AO114" i="7"/>
  <c r="AO113" i="7"/>
  <c r="AO110" i="7"/>
  <c r="AO109" i="7"/>
  <c r="AO108" i="7"/>
  <c r="AO105" i="7"/>
  <c r="AO104" i="7"/>
  <c r="AO100" i="7"/>
  <c r="AO99" i="7"/>
  <c r="AO97" i="7"/>
  <c r="AO93" i="7"/>
  <c r="AO91" i="7"/>
  <c r="AO90" i="7"/>
  <c r="AO89" i="7"/>
  <c r="AO87" i="7"/>
  <c r="AO85" i="7"/>
  <c r="AO84" i="7"/>
  <c r="AO83" i="7"/>
  <c r="AO79" i="7"/>
  <c r="AO73" i="7"/>
  <c r="AO72" i="7"/>
  <c r="AO71" i="7"/>
  <c r="AO70" i="7"/>
  <c r="AO69" i="7"/>
  <c r="AO68" i="7"/>
  <c r="AO66" i="7"/>
  <c r="AO65" i="7"/>
  <c r="AO64" i="7"/>
  <c r="AO63" i="7"/>
  <c r="AO62" i="7"/>
  <c r="AO61" i="7"/>
  <c r="AO53" i="7"/>
  <c r="AO52" i="7"/>
  <c r="AO51" i="7"/>
  <c r="AO49" i="7"/>
  <c r="AO48" i="7"/>
  <c r="AO46" i="7"/>
  <c r="AO45" i="7"/>
  <c r="AO233" i="7"/>
  <c r="AO231" i="7"/>
  <c r="AO230" i="7"/>
  <c r="AO229" i="7"/>
  <c r="AO228" i="7"/>
  <c r="AO227" i="7"/>
  <c r="AO226" i="7"/>
  <c r="AO224" i="7"/>
  <c r="AO223" i="7"/>
  <c r="AO222" i="7"/>
  <c r="AO221" i="7"/>
  <c r="AO220" i="7"/>
  <c r="AO219" i="7"/>
  <c r="AO218" i="7"/>
  <c r="AO209" i="7"/>
  <c r="AO208" i="7"/>
  <c r="AO207" i="7"/>
  <c r="AO206" i="7"/>
  <c r="AO205" i="7"/>
  <c r="AO203" i="7"/>
  <c r="AO202" i="7"/>
  <c r="AO201" i="7"/>
  <c r="AO196" i="7"/>
  <c r="AO193" i="7"/>
  <c r="AO225" i="7"/>
  <c r="AO277" i="7"/>
  <c r="AO44" i="7"/>
  <c r="AO43" i="7"/>
  <c r="AO40" i="7"/>
  <c r="AO39" i="7"/>
  <c r="AO38" i="7"/>
  <c r="AO37" i="7"/>
  <c r="AO36" i="7"/>
  <c r="AO35" i="7"/>
  <c r="AO34" i="7"/>
  <c r="AO33" i="7"/>
  <c r="AO24" i="7"/>
  <c r="AO23" i="7"/>
  <c r="AO22" i="7"/>
  <c r="AO21" i="7"/>
  <c r="AO20" i="7"/>
  <c r="AO19" i="7"/>
  <c r="AO18" i="7"/>
  <c r="AO17" i="7"/>
  <c r="AO16" i="7"/>
  <c r="AP8" i="7"/>
  <c r="AP6" i="7"/>
  <c r="AP7" i="7"/>
  <c r="AJ204" i="7"/>
  <c r="AK202" i="7"/>
  <c r="AK204" i="7" s="1"/>
  <c r="AG475" i="7"/>
  <c r="AG477" i="7"/>
  <c r="AG476" i="7"/>
  <c r="AG478" i="7"/>
  <c r="AH223" i="7"/>
  <c r="AH412" i="7"/>
  <c r="AH420" i="7" s="1"/>
  <c r="AI350" i="7"/>
  <c r="AR3" i="7"/>
  <c r="AQ4" i="7"/>
  <c r="AQ11" i="7" s="1"/>
  <c r="AQ5" i="7"/>
  <c r="AJ361" i="7"/>
  <c r="AJ390" i="7" s="1"/>
  <c r="AJ358" i="7" s="1"/>
  <c r="AJ287" i="7" s="1"/>
  <c r="AI249" i="7"/>
  <c r="AI474" i="7" s="1"/>
  <c r="AP13" i="7"/>
  <c r="AP441" i="7"/>
  <c r="AP275" i="7"/>
  <c r="AP191" i="7"/>
  <c r="AG124" i="7"/>
  <c r="AG125" i="7" s="1"/>
  <c r="AG167" i="7" s="1"/>
  <c r="AK212" i="7"/>
  <c r="AK219" i="7" s="1"/>
  <c r="AK247" i="7"/>
  <c r="AG46" i="7" l="1"/>
  <c r="AG59" i="7" s="1"/>
  <c r="AG58" i="7"/>
  <c r="AG427" i="7"/>
  <c r="AG424" i="7"/>
  <c r="AG425" i="7"/>
  <c r="AG182" i="7"/>
  <c r="AG280" i="7" s="1"/>
  <c r="AK105" i="7"/>
  <c r="AK114" i="7" s="1"/>
  <c r="AQ13" i="7"/>
  <c r="AQ441" i="7"/>
  <c r="AQ275" i="7"/>
  <c r="AQ191" i="7"/>
  <c r="AS3" i="7"/>
  <c r="AR4" i="7"/>
  <c r="AR11" i="7" s="1"/>
  <c r="AR5" i="7"/>
  <c r="AJ249" i="7"/>
  <c r="AJ474" i="7" s="1"/>
  <c r="AJ289" i="7"/>
  <c r="AG73" i="7"/>
  <c r="AJ360" i="7"/>
  <c r="AQ8" i="7"/>
  <c r="AQ6" i="7"/>
  <c r="AQ7" i="7"/>
  <c r="AK248" i="7"/>
  <c r="AK249" i="7" s="1"/>
  <c r="AP249" i="7"/>
  <c r="AP248" i="7"/>
  <c r="AP247" i="7"/>
  <c r="AP246" i="7"/>
  <c r="AP245" i="7"/>
  <c r="AP244" i="7"/>
  <c r="AP243" i="7"/>
  <c r="AP242" i="7"/>
  <c r="AP241" i="7"/>
  <c r="AP240" i="7"/>
  <c r="AP239" i="7"/>
  <c r="AP238" i="7"/>
  <c r="AP237" i="7"/>
  <c r="AP254" i="7"/>
  <c r="AP256" i="7"/>
  <c r="AP257" i="7"/>
  <c r="AP258" i="7"/>
  <c r="AP259" i="7"/>
  <c r="AP261" i="7"/>
  <c r="AP262" i="7"/>
  <c r="AP263" i="7"/>
  <c r="AP264" i="7"/>
  <c r="AP236" i="7"/>
  <c r="AP252" i="7"/>
  <c r="AP270" i="7"/>
  <c r="AP213" i="7"/>
  <c r="AP57" i="7"/>
  <c r="AP253" i="7"/>
  <c r="AP265" i="7"/>
  <c r="AP266" i="7"/>
  <c r="AP212" i="7"/>
  <c r="AP200" i="7"/>
  <c r="AP269" i="7"/>
  <c r="AP199" i="7"/>
  <c r="AP217" i="7"/>
  <c r="AP198" i="7"/>
  <c r="AP271" i="7"/>
  <c r="AP216" i="7"/>
  <c r="AP268" i="7"/>
  <c r="AP215" i="7"/>
  <c r="AP214" i="7"/>
  <c r="AP376" i="7"/>
  <c r="AP405" i="7"/>
  <c r="AP404" i="7"/>
  <c r="AP403" i="7"/>
  <c r="AP379" i="7"/>
  <c r="AP395" i="7"/>
  <c r="AP394" i="7"/>
  <c r="AP407" i="7"/>
  <c r="AP406" i="7"/>
  <c r="AP374" i="7"/>
  <c r="AP373" i="7"/>
  <c r="AP197" i="7"/>
  <c r="AP377" i="7"/>
  <c r="AP375" i="7"/>
  <c r="AP399" i="7"/>
  <c r="AP398" i="7"/>
  <c r="AP397" i="7"/>
  <c r="AP396" i="7"/>
  <c r="AP378" i="7"/>
  <c r="AP389" i="7"/>
  <c r="AP388" i="7"/>
  <c r="AP386" i="7"/>
  <c r="AP385" i="7"/>
  <c r="AP383" i="7"/>
  <c r="AP31" i="7"/>
  <c r="AP30" i="7"/>
  <c r="AP390" i="7"/>
  <c r="AP387" i="7"/>
  <c r="AP32" i="7"/>
  <c r="AP76" i="7"/>
  <c r="AP436" i="7"/>
  <c r="AP75" i="7"/>
  <c r="AP77" i="7"/>
  <c r="AP367" i="7"/>
  <c r="AP366" i="7"/>
  <c r="AP29" i="7"/>
  <c r="AP28" i="7"/>
  <c r="AP27" i="7"/>
  <c r="AP26" i="7"/>
  <c r="AP98" i="7"/>
  <c r="AP437" i="7"/>
  <c r="AP433" i="7"/>
  <c r="AP435" i="7"/>
  <c r="AP416" i="7"/>
  <c r="AP59" i="7"/>
  <c r="AP58" i="7"/>
  <c r="AP15" i="7"/>
  <c r="AP103" i="7"/>
  <c r="AP434" i="7"/>
  <c r="AP417" i="7"/>
  <c r="AP351" i="7"/>
  <c r="AP358" i="7"/>
  <c r="AP331" i="7"/>
  <c r="AP371" i="7"/>
  <c r="AP361" i="7"/>
  <c r="AP354" i="7"/>
  <c r="AP347" i="7"/>
  <c r="AP340" i="7"/>
  <c r="AP330" i="7"/>
  <c r="AP333" i="7"/>
  <c r="AP323" i="7"/>
  <c r="AP483" i="7"/>
  <c r="AP482" i="7"/>
  <c r="AP478" i="7"/>
  <c r="AP149" i="7"/>
  <c r="AP134" i="7"/>
  <c r="AP488" i="7"/>
  <c r="AP477" i="7"/>
  <c r="AP476" i="7"/>
  <c r="AP475" i="7"/>
  <c r="AP474" i="7"/>
  <c r="AP472" i="7"/>
  <c r="AP471" i="7"/>
  <c r="AP470" i="7"/>
  <c r="AP487" i="7"/>
  <c r="AP486" i="7"/>
  <c r="AP485" i="7"/>
  <c r="AP468" i="7"/>
  <c r="AP466" i="7"/>
  <c r="AP465" i="7"/>
  <c r="AP464" i="7"/>
  <c r="AP463" i="7"/>
  <c r="AP462" i="7"/>
  <c r="AP458" i="7"/>
  <c r="AP457" i="7"/>
  <c r="AP456" i="7"/>
  <c r="AP455" i="7"/>
  <c r="AP451" i="7"/>
  <c r="AP450" i="7"/>
  <c r="AP449" i="7"/>
  <c r="AP448" i="7"/>
  <c r="AP447" i="7"/>
  <c r="AP469" i="7"/>
  <c r="AP443" i="7"/>
  <c r="AP204" i="7"/>
  <c r="AP431" i="7"/>
  <c r="AP430" i="7"/>
  <c r="AP427" i="7"/>
  <c r="AP425" i="7"/>
  <c r="AP424" i="7"/>
  <c r="AP421" i="7"/>
  <c r="AP420" i="7"/>
  <c r="AP413" i="7"/>
  <c r="AP412" i="7"/>
  <c r="AP360" i="7"/>
  <c r="AP359" i="7"/>
  <c r="AP357" i="7"/>
  <c r="AP353" i="7"/>
  <c r="AP352" i="7"/>
  <c r="AP350" i="7"/>
  <c r="AP346" i="7"/>
  <c r="AP345" i="7"/>
  <c r="AP344" i="7"/>
  <c r="AP343" i="7"/>
  <c r="AP339" i="7"/>
  <c r="AP338" i="7"/>
  <c r="AP337" i="7"/>
  <c r="AP336" i="7"/>
  <c r="AP332" i="7"/>
  <c r="AP329" i="7"/>
  <c r="AP328" i="7"/>
  <c r="AP327" i="7"/>
  <c r="AP326" i="7"/>
  <c r="AP321" i="7"/>
  <c r="AP320" i="7"/>
  <c r="AP319" i="7"/>
  <c r="AP318" i="7"/>
  <c r="AP317" i="7"/>
  <c r="AP316" i="7"/>
  <c r="AP315" i="7"/>
  <c r="AP309" i="7"/>
  <c r="AP314" i="7"/>
  <c r="AP307" i="7"/>
  <c r="AP306" i="7"/>
  <c r="AP305" i="7"/>
  <c r="AP304" i="7"/>
  <c r="AP303" i="7"/>
  <c r="AP302" i="7"/>
  <c r="AP301" i="7"/>
  <c r="AP298" i="7"/>
  <c r="AP297" i="7"/>
  <c r="AP294" i="7"/>
  <c r="AP293" i="7"/>
  <c r="AP292" i="7"/>
  <c r="AP291" i="7"/>
  <c r="AP290" i="7"/>
  <c r="AP289" i="7"/>
  <c r="AP288" i="7"/>
  <c r="AP287" i="7"/>
  <c r="AP286" i="7"/>
  <c r="AP285" i="7"/>
  <c r="AP284" i="7"/>
  <c r="AP283" i="7"/>
  <c r="AP282" i="7"/>
  <c r="AP281" i="7"/>
  <c r="AP280" i="7"/>
  <c r="AP185" i="7"/>
  <c r="AP184" i="7"/>
  <c r="AP183" i="7"/>
  <c r="AP182" i="7"/>
  <c r="AP179" i="7"/>
  <c r="AP178" i="7"/>
  <c r="AP177" i="7"/>
  <c r="AP176" i="7"/>
  <c r="AP173" i="7"/>
  <c r="AP172" i="7"/>
  <c r="AP171" i="7"/>
  <c r="AP170" i="7"/>
  <c r="AP168" i="7"/>
  <c r="AP167" i="7"/>
  <c r="AP165" i="7"/>
  <c r="AP164" i="7"/>
  <c r="AP163" i="7"/>
  <c r="AP160" i="7"/>
  <c r="AP159" i="7"/>
  <c r="AP158" i="7"/>
  <c r="AP155" i="7"/>
  <c r="AP154" i="7"/>
  <c r="AP153" i="7"/>
  <c r="AP152" i="7"/>
  <c r="AP151" i="7"/>
  <c r="AP146" i="7"/>
  <c r="AP145" i="7"/>
  <c r="AP144" i="7"/>
  <c r="AP143" i="7"/>
  <c r="AP140" i="7"/>
  <c r="AP139" i="7"/>
  <c r="AP138" i="7"/>
  <c r="AP137" i="7"/>
  <c r="AP131" i="7"/>
  <c r="AP130" i="7"/>
  <c r="AP129" i="7"/>
  <c r="AP128" i="7"/>
  <c r="AP127" i="7"/>
  <c r="AP125" i="7"/>
  <c r="AP124" i="7"/>
  <c r="AP123" i="7"/>
  <c r="AP122" i="7"/>
  <c r="AP121" i="7"/>
  <c r="AP120" i="7"/>
  <c r="AP119" i="7"/>
  <c r="AP118" i="7"/>
  <c r="AP117" i="7"/>
  <c r="AP116" i="7"/>
  <c r="AP115" i="7"/>
  <c r="AP114" i="7"/>
  <c r="AP113" i="7"/>
  <c r="AP110" i="7"/>
  <c r="AP109" i="7"/>
  <c r="AP108" i="7"/>
  <c r="AP105" i="7"/>
  <c r="AP104" i="7"/>
  <c r="AP100" i="7"/>
  <c r="AP99" i="7"/>
  <c r="AP97" i="7"/>
  <c r="AP93" i="7"/>
  <c r="AP91" i="7"/>
  <c r="AP90" i="7"/>
  <c r="AP89" i="7"/>
  <c r="AP87" i="7"/>
  <c r="AP85" i="7"/>
  <c r="AP84" i="7"/>
  <c r="AP83" i="7"/>
  <c r="AP79" i="7"/>
  <c r="AP73" i="7"/>
  <c r="AP72" i="7"/>
  <c r="AP71" i="7"/>
  <c r="AP70" i="7"/>
  <c r="AP69" i="7"/>
  <c r="AP68" i="7"/>
  <c r="AP66" i="7"/>
  <c r="AP65" i="7"/>
  <c r="AP64" i="7"/>
  <c r="AP63" i="7"/>
  <c r="AP62" i="7"/>
  <c r="AP61" i="7"/>
  <c r="AP53" i="7"/>
  <c r="AP52" i="7"/>
  <c r="AP51" i="7"/>
  <c r="AP49" i="7"/>
  <c r="AP48" i="7"/>
  <c r="AP46" i="7"/>
  <c r="AP45" i="7"/>
  <c r="AP225" i="7"/>
  <c r="AP277" i="7"/>
  <c r="AP44" i="7"/>
  <c r="AP43" i="7"/>
  <c r="AP40" i="7"/>
  <c r="AP39" i="7"/>
  <c r="AP38" i="7"/>
  <c r="AP37" i="7"/>
  <c r="AP36" i="7"/>
  <c r="AP35" i="7"/>
  <c r="AP34" i="7"/>
  <c r="AP33" i="7"/>
  <c r="AP24" i="7"/>
  <c r="AP23" i="7"/>
  <c r="AP22" i="7"/>
  <c r="AP21" i="7"/>
  <c r="AP20" i="7"/>
  <c r="AP19" i="7"/>
  <c r="AP18" i="7"/>
  <c r="AP17" i="7"/>
  <c r="AP16" i="7"/>
  <c r="AP233" i="7"/>
  <c r="AP231" i="7"/>
  <c r="AP230" i="7"/>
  <c r="AP229" i="7"/>
  <c r="AP228" i="7"/>
  <c r="AP227" i="7"/>
  <c r="AP226" i="7"/>
  <c r="AP224" i="7"/>
  <c r="AP223" i="7"/>
  <c r="AP222" i="7"/>
  <c r="AP221" i="7"/>
  <c r="AP220" i="7"/>
  <c r="AP219" i="7"/>
  <c r="AP218" i="7"/>
  <c r="AP209" i="7"/>
  <c r="AP208" i="7"/>
  <c r="AP207" i="7"/>
  <c r="AP206" i="7"/>
  <c r="AP205" i="7"/>
  <c r="AP203" i="7"/>
  <c r="AP202" i="7"/>
  <c r="AP201" i="7"/>
  <c r="AP196" i="7"/>
  <c r="AP193" i="7"/>
  <c r="AG128" i="7"/>
  <c r="AG168" i="7"/>
  <c r="AG178" i="7" s="1"/>
  <c r="AG171" i="7" s="1"/>
  <c r="AI354" i="7"/>
  <c r="AI389" i="7" s="1"/>
  <c r="AK23" i="7"/>
  <c r="AK113" i="7"/>
  <c r="AK462" i="7"/>
  <c r="AK69" i="7"/>
  <c r="AG170" i="7" l="1"/>
  <c r="AG172" i="7" s="1"/>
  <c r="AG177" i="7" s="1"/>
  <c r="AG179" i="7" s="1"/>
  <c r="AH176" i="7" s="1"/>
  <c r="AG185" i="7"/>
  <c r="AG230" i="7" s="1"/>
  <c r="AG76" i="7" s="1"/>
  <c r="AG430" i="7"/>
  <c r="AG435" i="7" s="1"/>
  <c r="AG431" i="7"/>
  <c r="AG436" i="7" s="1"/>
  <c r="AK289" i="7"/>
  <c r="AR8" i="7"/>
  <c r="AR6" i="7"/>
  <c r="AR7" i="7"/>
  <c r="AR13" i="7"/>
  <c r="AR441" i="7"/>
  <c r="AR275" i="7"/>
  <c r="AR191" i="7"/>
  <c r="AT3" i="7"/>
  <c r="AS4" i="7"/>
  <c r="AS11" i="7" s="1"/>
  <c r="AS5" i="7"/>
  <c r="AJ229" i="7"/>
  <c r="AJ450" i="7" s="1"/>
  <c r="AJ413" i="7"/>
  <c r="AJ421" i="7" s="1"/>
  <c r="AK357" i="7"/>
  <c r="AK468" i="7"/>
  <c r="AK474" i="7" s="1"/>
  <c r="AK24" i="7"/>
  <c r="AK71" i="7" s="1"/>
  <c r="AK70" i="7"/>
  <c r="AI351" i="7"/>
  <c r="AI31" i="7"/>
  <c r="AQ248" i="7"/>
  <c r="AQ247" i="7"/>
  <c r="AQ246" i="7"/>
  <c r="AQ245" i="7"/>
  <c r="AQ244" i="7"/>
  <c r="AQ243" i="7"/>
  <c r="AQ242" i="7"/>
  <c r="AQ241" i="7"/>
  <c r="AQ240" i="7"/>
  <c r="AQ239" i="7"/>
  <c r="AQ238" i="7"/>
  <c r="AQ237" i="7"/>
  <c r="AQ249" i="7"/>
  <c r="AQ236" i="7"/>
  <c r="AQ254" i="7"/>
  <c r="AQ256" i="7"/>
  <c r="AQ257" i="7"/>
  <c r="AQ252" i="7"/>
  <c r="AQ253" i="7"/>
  <c r="AQ258" i="7"/>
  <c r="AQ259" i="7"/>
  <c r="AQ261" i="7"/>
  <c r="AQ262" i="7"/>
  <c r="AQ263" i="7"/>
  <c r="AQ264" i="7"/>
  <c r="AQ212" i="7"/>
  <c r="AQ407" i="7"/>
  <c r="AQ270" i="7"/>
  <c r="AQ200" i="7"/>
  <c r="AQ265" i="7"/>
  <c r="AQ266" i="7"/>
  <c r="AQ199" i="7"/>
  <c r="AQ217" i="7"/>
  <c r="AQ198" i="7"/>
  <c r="AQ269" i="7"/>
  <c r="AQ216" i="7"/>
  <c r="AQ215" i="7"/>
  <c r="AQ271" i="7"/>
  <c r="AQ214" i="7"/>
  <c r="AQ268" i="7"/>
  <c r="AQ213" i="7"/>
  <c r="AQ57" i="7"/>
  <c r="AQ376" i="7"/>
  <c r="AQ405" i="7"/>
  <c r="AQ404" i="7"/>
  <c r="AQ403" i="7"/>
  <c r="AQ379" i="7"/>
  <c r="AQ395" i="7"/>
  <c r="AQ394" i="7"/>
  <c r="AQ406" i="7"/>
  <c r="AQ374" i="7"/>
  <c r="AQ373" i="7"/>
  <c r="AQ197" i="7"/>
  <c r="AQ377" i="7"/>
  <c r="AQ375" i="7"/>
  <c r="AQ399" i="7"/>
  <c r="AQ398" i="7"/>
  <c r="AQ397" i="7"/>
  <c r="AQ396" i="7"/>
  <c r="AQ378" i="7"/>
  <c r="AQ388" i="7"/>
  <c r="AQ386" i="7"/>
  <c r="AQ385" i="7"/>
  <c r="AQ383" i="7"/>
  <c r="AQ32" i="7"/>
  <c r="AQ390" i="7"/>
  <c r="AQ387" i="7"/>
  <c r="AQ389" i="7"/>
  <c r="AQ436" i="7"/>
  <c r="AQ435" i="7"/>
  <c r="AQ434" i="7"/>
  <c r="AQ433" i="7"/>
  <c r="AQ417" i="7"/>
  <c r="AQ416" i="7"/>
  <c r="AQ75" i="7"/>
  <c r="AQ30" i="7"/>
  <c r="AQ77" i="7"/>
  <c r="AQ367" i="7"/>
  <c r="AQ366" i="7"/>
  <c r="AQ31" i="7"/>
  <c r="AQ29" i="7"/>
  <c r="AQ28" i="7"/>
  <c r="AQ27" i="7"/>
  <c r="AQ26" i="7"/>
  <c r="AQ98" i="7"/>
  <c r="AQ437" i="7"/>
  <c r="AQ76" i="7"/>
  <c r="AQ59" i="7"/>
  <c r="AQ58" i="7"/>
  <c r="AQ15" i="7"/>
  <c r="AQ103" i="7"/>
  <c r="AQ351" i="7"/>
  <c r="AQ358" i="7"/>
  <c r="AQ331" i="7"/>
  <c r="AQ371" i="7"/>
  <c r="AQ361" i="7"/>
  <c r="AQ354" i="7"/>
  <c r="AQ347" i="7"/>
  <c r="AQ340" i="7"/>
  <c r="AQ330" i="7"/>
  <c r="AQ333" i="7"/>
  <c r="AQ323" i="7"/>
  <c r="AQ482" i="7"/>
  <c r="AQ478" i="7"/>
  <c r="AQ149" i="7"/>
  <c r="AQ134" i="7"/>
  <c r="AQ488" i="7"/>
  <c r="AQ477" i="7"/>
  <c r="AQ476" i="7"/>
  <c r="AQ475" i="7"/>
  <c r="AQ474" i="7"/>
  <c r="AQ472" i="7"/>
  <c r="AQ471" i="7"/>
  <c r="AQ470" i="7"/>
  <c r="AQ487" i="7"/>
  <c r="AQ486" i="7"/>
  <c r="AQ485" i="7"/>
  <c r="AQ483" i="7"/>
  <c r="AQ469" i="7"/>
  <c r="AQ443" i="7"/>
  <c r="AQ204" i="7"/>
  <c r="AQ431" i="7"/>
  <c r="AQ430" i="7"/>
  <c r="AQ427" i="7"/>
  <c r="AQ425" i="7"/>
  <c r="AQ424" i="7"/>
  <c r="AQ421" i="7"/>
  <c r="AQ420" i="7"/>
  <c r="AQ413" i="7"/>
  <c r="AQ412" i="7"/>
  <c r="AQ360" i="7"/>
  <c r="AQ359" i="7"/>
  <c r="AQ357" i="7"/>
  <c r="AQ353" i="7"/>
  <c r="AQ352" i="7"/>
  <c r="AQ350" i="7"/>
  <c r="AQ346" i="7"/>
  <c r="AQ345" i="7"/>
  <c r="AQ344" i="7"/>
  <c r="AQ343" i="7"/>
  <c r="AQ339" i="7"/>
  <c r="AQ338" i="7"/>
  <c r="AQ337" i="7"/>
  <c r="AQ336" i="7"/>
  <c r="AQ332" i="7"/>
  <c r="AQ329" i="7"/>
  <c r="AQ328" i="7"/>
  <c r="AQ327" i="7"/>
  <c r="AQ326" i="7"/>
  <c r="AQ321" i="7"/>
  <c r="AQ320" i="7"/>
  <c r="AQ319" i="7"/>
  <c r="AQ318" i="7"/>
  <c r="AQ468" i="7"/>
  <c r="AQ466" i="7"/>
  <c r="AQ465" i="7"/>
  <c r="AQ464" i="7"/>
  <c r="AQ463" i="7"/>
  <c r="AQ462" i="7"/>
  <c r="AQ458" i="7"/>
  <c r="AQ457" i="7"/>
  <c r="AQ456" i="7"/>
  <c r="AQ455" i="7"/>
  <c r="AQ451" i="7"/>
  <c r="AQ450" i="7"/>
  <c r="AQ449" i="7"/>
  <c r="AQ448" i="7"/>
  <c r="AQ447" i="7"/>
  <c r="AQ316" i="7"/>
  <c r="AQ315" i="7"/>
  <c r="AQ309" i="7"/>
  <c r="AQ317" i="7"/>
  <c r="AQ314" i="7"/>
  <c r="AQ307" i="7"/>
  <c r="AQ306" i="7"/>
  <c r="AQ305" i="7"/>
  <c r="AQ304" i="7"/>
  <c r="AQ303" i="7"/>
  <c r="AQ302" i="7"/>
  <c r="AQ301" i="7"/>
  <c r="AQ298" i="7"/>
  <c r="AQ297" i="7"/>
  <c r="AQ294" i="7"/>
  <c r="AQ293" i="7"/>
  <c r="AQ292" i="7"/>
  <c r="AQ291" i="7"/>
  <c r="AQ290" i="7"/>
  <c r="AQ289" i="7"/>
  <c r="AQ288" i="7"/>
  <c r="AQ287" i="7"/>
  <c r="AQ286" i="7"/>
  <c r="AQ285" i="7"/>
  <c r="AQ284" i="7"/>
  <c r="AQ283" i="7"/>
  <c r="AQ282" i="7"/>
  <c r="AQ281" i="7"/>
  <c r="AQ280" i="7"/>
  <c r="AQ185" i="7"/>
  <c r="AQ184" i="7"/>
  <c r="AQ183" i="7"/>
  <c r="AQ182" i="7"/>
  <c r="AQ179" i="7"/>
  <c r="AQ178" i="7"/>
  <c r="AQ177" i="7"/>
  <c r="AQ176" i="7"/>
  <c r="AQ173" i="7"/>
  <c r="AQ172" i="7"/>
  <c r="AQ171" i="7"/>
  <c r="AQ170" i="7"/>
  <c r="AQ168" i="7"/>
  <c r="AQ167" i="7"/>
  <c r="AQ165" i="7"/>
  <c r="AQ164" i="7"/>
  <c r="AQ163" i="7"/>
  <c r="AQ160" i="7"/>
  <c r="AQ159" i="7"/>
  <c r="AQ158" i="7"/>
  <c r="AQ155" i="7"/>
  <c r="AQ154" i="7"/>
  <c r="AQ153" i="7"/>
  <c r="AQ152" i="7"/>
  <c r="AQ151" i="7"/>
  <c r="AQ146" i="7"/>
  <c r="AQ145" i="7"/>
  <c r="AQ144" i="7"/>
  <c r="AQ143" i="7"/>
  <c r="AQ140" i="7"/>
  <c r="AQ139" i="7"/>
  <c r="AQ138" i="7"/>
  <c r="AQ137" i="7"/>
  <c r="AQ131" i="7"/>
  <c r="AQ130" i="7"/>
  <c r="AQ129" i="7"/>
  <c r="AQ128" i="7"/>
  <c r="AQ127" i="7"/>
  <c r="AQ125" i="7"/>
  <c r="AQ124" i="7"/>
  <c r="AQ123" i="7"/>
  <c r="AQ122" i="7"/>
  <c r="AQ121" i="7"/>
  <c r="AQ120" i="7"/>
  <c r="AQ119" i="7"/>
  <c r="AQ118" i="7"/>
  <c r="AQ117" i="7"/>
  <c r="AQ116" i="7"/>
  <c r="AQ115" i="7"/>
  <c r="AQ114" i="7"/>
  <c r="AQ113" i="7"/>
  <c r="AQ110" i="7"/>
  <c r="AQ109" i="7"/>
  <c r="AQ108" i="7"/>
  <c r="AQ105" i="7"/>
  <c r="AQ104" i="7"/>
  <c r="AQ100" i="7"/>
  <c r="AQ99" i="7"/>
  <c r="AQ97" i="7"/>
  <c r="AQ93" i="7"/>
  <c r="AQ91" i="7"/>
  <c r="AQ90" i="7"/>
  <c r="AQ89" i="7"/>
  <c r="AQ87" i="7"/>
  <c r="AQ85" i="7"/>
  <c r="AQ84" i="7"/>
  <c r="AQ83" i="7"/>
  <c r="AQ79" i="7"/>
  <c r="AQ73" i="7"/>
  <c r="AQ72" i="7"/>
  <c r="AQ71" i="7"/>
  <c r="AQ70" i="7"/>
  <c r="AQ69" i="7"/>
  <c r="AQ68" i="7"/>
  <c r="AQ66" i="7"/>
  <c r="AQ65" i="7"/>
  <c r="AQ64" i="7"/>
  <c r="AQ63" i="7"/>
  <c r="AQ62" i="7"/>
  <c r="AQ61" i="7"/>
  <c r="AQ53" i="7"/>
  <c r="AQ52" i="7"/>
  <c r="AQ51" i="7"/>
  <c r="AQ49" i="7"/>
  <c r="AQ48" i="7"/>
  <c r="AQ46" i="7"/>
  <c r="AQ45" i="7"/>
  <c r="AQ225" i="7"/>
  <c r="AQ277" i="7"/>
  <c r="AQ44" i="7"/>
  <c r="AQ43" i="7"/>
  <c r="AQ40" i="7"/>
  <c r="AQ39" i="7"/>
  <c r="AQ38" i="7"/>
  <c r="AQ37" i="7"/>
  <c r="AQ36" i="7"/>
  <c r="AQ35" i="7"/>
  <c r="AQ34" i="7"/>
  <c r="AQ33" i="7"/>
  <c r="AQ24" i="7"/>
  <c r="AQ23" i="7"/>
  <c r="AQ22" i="7"/>
  <c r="AQ21" i="7"/>
  <c r="AQ20" i="7"/>
  <c r="AQ19" i="7"/>
  <c r="AQ18" i="7"/>
  <c r="AQ17" i="7"/>
  <c r="AQ16" i="7"/>
  <c r="AQ233" i="7"/>
  <c r="AQ231" i="7"/>
  <c r="AQ230" i="7"/>
  <c r="AQ229" i="7"/>
  <c r="AQ228" i="7"/>
  <c r="AQ227" i="7"/>
  <c r="AQ226" i="7"/>
  <c r="AQ224" i="7"/>
  <c r="AQ223" i="7"/>
  <c r="AQ222" i="7"/>
  <c r="AQ221" i="7"/>
  <c r="AQ220" i="7"/>
  <c r="AQ219" i="7"/>
  <c r="AQ218" i="7"/>
  <c r="AQ209" i="7"/>
  <c r="AQ208" i="7"/>
  <c r="AQ207" i="7"/>
  <c r="AQ206" i="7"/>
  <c r="AQ205" i="7"/>
  <c r="AQ203" i="7"/>
  <c r="AQ202" i="7"/>
  <c r="AQ201" i="7"/>
  <c r="AQ196" i="7"/>
  <c r="AQ193" i="7"/>
  <c r="AG437" i="7" l="1"/>
  <c r="AG48" i="7" s="1"/>
  <c r="AG127" i="7"/>
  <c r="AG129" i="7" s="1"/>
  <c r="AG130" i="7" s="1"/>
  <c r="AG225" i="7" s="1"/>
  <c r="AG290" i="7" s="1"/>
  <c r="AG293" i="7" s="1"/>
  <c r="AG294" i="7" s="1"/>
  <c r="AG317" i="7" s="1"/>
  <c r="AG318" i="7" s="1"/>
  <c r="AG320" i="7" s="1"/>
  <c r="AG173" i="7"/>
  <c r="AS13" i="7"/>
  <c r="AS441" i="7"/>
  <c r="AS191" i="7"/>
  <c r="AS275" i="7"/>
  <c r="AI286" i="7"/>
  <c r="AI288" i="7" s="1"/>
  <c r="AI353" i="7"/>
  <c r="AU3" i="7"/>
  <c r="AT4" i="7"/>
  <c r="AT11" i="7" s="1"/>
  <c r="AT5" i="7"/>
  <c r="AK361" i="7"/>
  <c r="AK390" i="7" s="1"/>
  <c r="AK358" i="7" s="1"/>
  <c r="AK287" i="7" s="1"/>
  <c r="AR249" i="7"/>
  <c r="AR248" i="7"/>
  <c r="AR247" i="7"/>
  <c r="AR246" i="7"/>
  <c r="AR245" i="7"/>
  <c r="AR244" i="7"/>
  <c r="AR243" i="7"/>
  <c r="AR242" i="7"/>
  <c r="AR241" i="7"/>
  <c r="AR240" i="7"/>
  <c r="AR239" i="7"/>
  <c r="AR238" i="7"/>
  <c r="AR237" i="7"/>
  <c r="AR236" i="7"/>
  <c r="AR254" i="7"/>
  <c r="AR252" i="7"/>
  <c r="AR253" i="7"/>
  <c r="AR268" i="7"/>
  <c r="AR200" i="7"/>
  <c r="AR258" i="7"/>
  <c r="AR259" i="7"/>
  <c r="AR261" i="7"/>
  <c r="AR262" i="7"/>
  <c r="AR263" i="7"/>
  <c r="AR264" i="7"/>
  <c r="AR199" i="7"/>
  <c r="AR256" i="7"/>
  <c r="AR270" i="7"/>
  <c r="AR217" i="7"/>
  <c r="AR198" i="7"/>
  <c r="AR265" i="7"/>
  <c r="AR266" i="7"/>
  <c r="AR216" i="7"/>
  <c r="AR215" i="7"/>
  <c r="AR269" i="7"/>
  <c r="AR214" i="7"/>
  <c r="AR257" i="7"/>
  <c r="AR213" i="7"/>
  <c r="AR271" i="7"/>
  <c r="AR212" i="7"/>
  <c r="AR405" i="7"/>
  <c r="AR404" i="7"/>
  <c r="AR403" i="7"/>
  <c r="AR379" i="7"/>
  <c r="AR395" i="7"/>
  <c r="AR394" i="7"/>
  <c r="AR406" i="7"/>
  <c r="AR374" i="7"/>
  <c r="AR373" i="7"/>
  <c r="AR197" i="7"/>
  <c r="AR407" i="7"/>
  <c r="AR377" i="7"/>
  <c r="AR375" i="7"/>
  <c r="AR399" i="7"/>
  <c r="AR398" i="7"/>
  <c r="AR397" i="7"/>
  <c r="AR396" i="7"/>
  <c r="AR378" i="7"/>
  <c r="AR57" i="7"/>
  <c r="AR376" i="7"/>
  <c r="AR388" i="7"/>
  <c r="AR386" i="7"/>
  <c r="AR385" i="7"/>
  <c r="AR383" i="7"/>
  <c r="AR32" i="7"/>
  <c r="AR31" i="7"/>
  <c r="AR30" i="7"/>
  <c r="AR29" i="7"/>
  <c r="AR390" i="7"/>
  <c r="AR387" i="7"/>
  <c r="AR389" i="7"/>
  <c r="AR75" i="7"/>
  <c r="AR77" i="7"/>
  <c r="AR367" i="7"/>
  <c r="AR366" i="7"/>
  <c r="AR28" i="7"/>
  <c r="AR27" i="7"/>
  <c r="AR26" i="7"/>
  <c r="AR98" i="7"/>
  <c r="AR437" i="7"/>
  <c r="AR76" i="7"/>
  <c r="AR436" i="7"/>
  <c r="AR435" i="7"/>
  <c r="AR434" i="7"/>
  <c r="AR433" i="7"/>
  <c r="AR59" i="7"/>
  <c r="AR58" i="7"/>
  <c r="AR15" i="7"/>
  <c r="AR103" i="7"/>
  <c r="AR416" i="7"/>
  <c r="AR351" i="7"/>
  <c r="AR417" i="7"/>
  <c r="AR358" i="7"/>
  <c r="AR331" i="7"/>
  <c r="AR371" i="7"/>
  <c r="AR361" i="7"/>
  <c r="AR354" i="7"/>
  <c r="AR347" i="7"/>
  <c r="AR340" i="7"/>
  <c r="AR330" i="7"/>
  <c r="AR333" i="7"/>
  <c r="AR323" i="7"/>
  <c r="AR478" i="7"/>
  <c r="AR149" i="7"/>
  <c r="AR134" i="7"/>
  <c r="AR488" i="7"/>
  <c r="AR477" i="7"/>
  <c r="AR476" i="7"/>
  <c r="AR475" i="7"/>
  <c r="AR474" i="7"/>
  <c r="AR472" i="7"/>
  <c r="AR471" i="7"/>
  <c r="AR470" i="7"/>
  <c r="AR469" i="7"/>
  <c r="AR487" i="7"/>
  <c r="AR486" i="7"/>
  <c r="AR485" i="7"/>
  <c r="AR483" i="7"/>
  <c r="AR482" i="7"/>
  <c r="AR443" i="7"/>
  <c r="AR204" i="7"/>
  <c r="AR431" i="7"/>
  <c r="AR430" i="7"/>
  <c r="AR427" i="7"/>
  <c r="AR425" i="7"/>
  <c r="AR424" i="7"/>
  <c r="AR421" i="7"/>
  <c r="AR420" i="7"/>
  <c r="AR413" i="7"/>
  <c r="AR412" i="7"/>
  <c r="AR360" i="7"/>
  <c r="AR359" i="7"/>
  <c r="AR357" i="7"/>
  <c r="AR353" i="7"/>
  <c r="AR352" i="7"/>
  <c r="AR350" i="7"/>
  <c r="AR346" i="7"/>
  <c r="AR345" i="7"/>
  <c r="AR344" i="7"/>
  <c r="AR343" i="7"/>
  <c r="AR339" i="7"/>
  <c r="AR338" i="7"/>
  <c r="AR337" i="7"/>
  <c r="AR336" i="7"/>
  <c r="AR332" i="7"/>
  <c r="AR329" i="7"/>
  <c r="AR328" i="7"/>
  <c r="AR327" i="7"/>
  <c r="AR326" i="7"/>
  <c r="AR321" i="7"/>
  <c r="AR320" i="7"/>
  <c r="AR319" i="7"/>
  <c r="AR318" i="7"/>
  <c r="AR317" i="7"/>
  <c r="AR316" i="7"/>
  <c r="AR315" i="7"/>
  <c r="AR314" i="7"/>
  <c r="AR309" i="7"/>
  <c r="AR468" i="7"/>
  <c r="AR466" i="7"/>
  <c r="AR465" i="7"/>
  <c r="AR464" i="7"/>
  <c r="AR463" i="7"/>
  <c r="AR462" i="7"/>
  <c r="AR458" i="7"/>
  <c r="AR457" i="7"/>
  <c r="AR456" i="7"/>
  <c r="AR455" i="7"/>
  <c r="AR451" i="7"/>
  <c r="AR450" i="7"/>
  <c r="AR449" i="7"/>
  <c r="AR448" i="7"/>
  <c r="AR447" i="7"/>
  <c r="AR307" i="7"/>
  <c r="AR306" i="7"/>
  <c r="AR305" i="7"/>
  <c r="AR304" i="7"/>
  <c r="AR303" i="7"/>
  <c r="AR302" i="7"/>
  <c r="AR301" i="7"/>
  <c r="AR298" i="7"/>
  <c r="AR297" i="7"/>
  <c r="AR294" i="7"/>
  <c r="AR293" i="7"/>
  <c r="AR292" i="7"/>
  <c r="AR291" i="7"/>
  <c r="AR290" i="7"/>
  <c r="AR289" i="7"/>
  <c r="AR288" i="7"/>
  <c r="AR287" i="7"/>
  <c r="AR286" i="7"/>
  <c r="AR285" i="7"/>
  <c r="AR284" i="7"/>
  <c r="AR283" i="7"/>
  <c r="AR282" i="7"/>
  <c r="AR281" i="7"/>
  <c r="AR280" i="7"/>
  <c r="AR185" i="7"/>
  <c r="AR184" i="7"/>
  <c r="AR183" i="7"/>
  <c r="AR182" i="7"/>
  <c r="AR179" i="7"/>
  <c r="AR178" i="7"/>
  <c r="AR177" i="7"/>
  <c r="AR176" i="7"/>
  <c r="AR173" i="7"/>
  <c r="AR172" i="7"/>
  <c r="AR171" i="7"/>
  <c r="AR170" i="7"/>
  <c r="AR168" i="7"/>
  <c r="AR167" i="7"/>
  <c r="AR165" i="7"/>
  <c r="AR164" i="7"/>
  <c r="AR163" i="7"/>
  <c r="AR160" i="7"/>
  <c r="AR159" i="7"/>
  <c r="AR158" i="7"/>
  <c r="AR155" i="7"/>
  <c r="AR154" i="7"/>
  <c r="AR153" i="7"/>
  <c r="AR152" i="7"/>
  <c r="AR151" i="7"/>
  <c r="AR146" i="7"/>
  <c r="AR145" i="7"/>
  <c r="AR144" i="7"/>
  <c r="AR143" i="7"/>
  <c r="AR140" i="7"/>
  <c r="AR139" i="7"/>
  <c r="AR138" i="7"/>
  <c r="AR137" i="7"/>
  <c r="AR131" i="7"/>
  <c r="AR130" i="7"/>
  <c r="AR129" i="7"/>
  <c r="AR128" i="7"/>
  <c r="AR127" i="7"/>
  <c r="AR125" i="7"/>
  <c r="AR124" i="7"/>
  <c r="AR123" i="7"/>
  <c r="AR122" i="7"/>
  <c r="AR121" i="7"/>
  <c r="AR120" i="7"/>
  <c r="AR119" i="7"/>
  <c r="AR118" i="7"/>
  <c r="AR117" i="7"/>
  <c r="AR116" i="7"/>
  <c r="AR115" i="7"/>
  <c r="AR114" i="7"/>
  <c r="AR113" i="7"/>
  <c r="AR110" i="7"/>
  <c r="AR109" i="7"/>
  <c r="AR108" i="7"/>
  <c r="AR105" i="7"/>
  <c r="AR104" i="7"/>
  <c r="AR100" i="7"/>
  <c r="AR99" i="7"/>
  <c r="AR97" i="7"/>
  <c r="AR93" i="7"/>
  <c r="AR91" i="7"/>
  <c r="AR90" i="7"/>
  <c r="AR89" i="7"/>
  <c r="AR87" i="7"/>
  <c r="AR85" i="7"/>
  <c r="AR84" i="7"/>
  <c r="AR83" i="7"/>
  <c r="AR79" i="7"/>
  <c r="AR73" i="7"/>
  <c r="AR72" i="7"/>
  <c r="AR71" i="7"/>
  <c r="AR70" i="7"/>
  <c r="AR69" i="7"/>
  <c r="AR68" i="7"/>
  <c r="AR66" i="7"/>
  <c r="AR65" i="7"/>
  <c r="AR64" i="7"/>
  <c r="AR63" i="7"/>
  <c r="AR62" i="7"/>
  <c r="AR61" i="7"/>
  <c r="AR53" i="7"/>
  <c r="AR52" i="7"/>
  <c r="AR51" i="7"/>
  <c r="AR49" i="7"/>
  <c r="AR48" i="7"/>
  <c r="AR46" i="7"/>
  <c r="AR45" i="7"/>
  <c r="AR225" i="7"/>
  <c r="AR277" i="7"/>
  <c r="AR44" i="7"/>
  <c r="AR43" i="7"/>
  <c r="AR40" i="7"/>
  <c r="AR39" i="7"/>
  <c r="AR38" i="7"/>
  <c r="AR37" i="7"/>
  <c r="AR36" i="7"/>
  <c r="AR35" i="7"/>
  <c r="AR34" i="7"/>
  <c r="AR33" i="7"/>
  <c r="AR24" i="7"/>
  <c r="AR23" i="7"/>
  <c r="AR22" i="7"/>
  <c r="AR21" i="7"/>
  <c r="AR20" i="7"/>
  <c r="AR19" i="7"/>
  <c r="AR18" i="7"/>
  <c r="AR17" i="7"/>
  <c r="AR16" i="7"/>
  <c r="AR233" i="7"/>
  <c r="AR231" i="7"/>
  <c r="AR230" i="7"/>
  <c r="AR229" i="7"/>
  <c r="AR228" i="7"/>
  <c r="AR227" i="7"/>
  <c r="AR226" i="7"/>
  <c r="AR224" i="7"/>
  <c r="AR223" i="7"/>
  <c r="AR222" i="7"/>
  <c r="AR221" i="7"/>
  <c r="AR220" i="7"/>
  <c r="AR219" i="7"/>
  <c r="AR218" i="7"/>
  <c r="AR209" i="7"/>
  <c r="AR208" i="7"/>
  <c r="AR207" i="7"/>
  <c r="AR206" i="7"/>
  <c r="AR205" i="7"/>
  <c r="AR203" i="7"/>
  <c r="AR202" i="7"/>
  <c r="AR201" i="7"/>
  <c r="AR196" i="7"/>
  <c r="AR193" i="7"/>
  <c r="AS8" i="7"/>
  <c r="AS6" i="7"/>
  <c r="AS7" i="7"/>
  <c r="AG49" i="7" l="1"/>
  <c r="AK360" i="7"/>
  <c r="AK229" i="7" s="1"/>
  <c r="AK450" i="7" s="1"/>
  <c r="AI223" i="7"/>
  <c r="AI412" i="7"/>
  <c r="AI420" i="7" s="1"/>
  <c r="AJ350" i="7"/>
  <c r="AT8" i="7"/>
  <c r="AT6" i="7"/>
  <c r="AT7" i="7"/>
  <c r="AS248" i="7"/>
  <c r="AS247" i="7"/>
  <c r="AS246" i="7"/>
  <c r="AS245" i="7"/>
  <c r="AS244" i="7"/>
  <c r="AS243" i="7"/>
  <c r="AS242" i="7"/>
  <c r="AS241" i="7"/>
  <c r="AS240" i="7"/>
  <c r="AS239" i="7"/>
  <c r="AS238" i="7"/>
  <c r="AS237" i="7"/>
  <c r="AS249" i="7"/>
  <c r="AS236" i="7"/>
  <c r="AS252" i="7"/>
  <c r="AS253" i="7"/>
  <c r="AS271" i="7"/>
  <c r="AS199" i="7"/>
  <c r="AS268" i="7"/>
  <c r="AS217" i="7"/>
  <c r="AS198" i="7"/>
  <c r="AS258" i="7"/>
  <c r="AS259" i="7"/>
  <c r="AS261" i="7"/>
  <c r="AS262" i="7"/>
  <c r="AS263" i="7"/>
  <c r="AS264" i="7"/>
  <c r="AS216" i="7"/>
  <c r="AS256" i="7"/>
  <c r="AS270" i="7"/>
  <c r="AS215" i="7"/>
  <c r="AS265" i="7"/>
  <c r="AS266" i="7"/>
  <c r="AS214" i="7"/>
  <c r="AS213" i="7"/>
  <c r="AS254" i="7"/>
  <c r="AS269" i="7"/>
  <c r="AS212" i="7"/>
  <c r="AS257" i="7"/>
  <c r="AS406" i="7"/>
  <c r="AS374" i="7"/>
  <c r="AS373" i="7"/>
  <c r="AS197" i="7"/>
  <c r="AS407" i="7"/>
  <c r="AS377" i="7"/>
  <c r="AS200" i="7"/>
  <c r="AS375" i="7"/>
  <c r="AS399" i="7"/>
  <c r="AS398" i="7"/>
  <c r="AS397" i="7"/>
  <c r="AS396" i="7"/>
  <c r="AS378" i="7"/>
  <c r="AS57" i="7"/>
  <c r="AS376" i="7"/>
  <c r="AS405" i="7"/>
  <c r="AS404" i="7"/>
  <c r="AS403" i="7"/>
  <c r="AS379" i="7"/>
  <c r="AS31" i="7"/>
  <c r="AS30" i="7"/>
  <c r="AS29" i="7"/>
  <c r="AS395" i="7"/>
  <c r="AS390" i="7"/>
  <c r="AS387" i="7"/>
  <c r="AS389" i="7"/>
  <c r="AS394" i="7"/>
  <c r="AS388" i="7"/>
  <c r="AS386" i="7"/>
  <c r="AS385" i="7"/>
  <c r="AS383" i="7"/>
  <c r="AS77" i="7"/>
  <c r="AS367" i="7"/>
  <c r="AS366" i="7"/>
  <c r="AS28" i="7"/>
  <c r="AS27" i="7"/>
  <c r="AS26" i="7"/>
  <c r="AS98" i="7"/>
  <c r="AS437" i="7"/>
  <c r="AS76" i="7"/>
  <c r="AS436" i="7"/>
  <c r="AS435" i="7"/>
  <c r="AS434" i="7"/>
  <c r="AS433" i="7"/>
  <c r="AS417" i="7"/>
  <c r="AS416" i="7"/>
  <c r="AS358" i="7"/>
  <c r="AS32" i="7"/>
  <c r="AS75" i="7"/>
  <c r="AS59" i="7"/>
  <c r="AS58" i="7"/>
  <c r="AS15" i="7"/>
  <c r="AS103" i="7"/>
  <c r="AS351" i="7"/>
  <c r="AS331" i="7"/>
  <c r="AS371" i="7"/>
  <c r="AS361" i="7"/>
  <c r="AS354" i="7"/>
  <c r="AS347" i="7"/>
  <c r="AS340" i="7"/>
  <c r="AS330" i="7"/>
  <c r="AS333" i="7"/>
  <c r="AS323" i="7"/>
  <c r="AS149" i="7"/>
  <c r="AS134" i="7"/>
  <c r="AS488" i="7"/>
  <c r="AS477" i="7"/>
  <c r="AS476" i="7"/>
  <c r="AS475" i="7"/>
  <c r="AS474" i="7"/>
  <c r="AS472" i="7"/>
  <c r="AS471" i="7"/>
  <c r="AS487" i="7"/>
  <c r="AS486" i="7"/>
  <c r="AS485" i="7"/>
  <c r="AS483" i="7"/>
  <c r="AS482" i="7"/>
  <c r="AS478" i="7"/>
  <c r="AS443" i="7"/>
  <c r="AS470" i="7"/>
  <c r="AS204" i="7"/>
  <c r="AS431" i="7"/>
  <c r="AS430" i="7"/>
  <c r="AS427" i="7"/>
  <c r="AS425" i="7"/>
  <c r="AS424" i="7"/>
  <c r="AS421" i="7"/>
  <c r="AS420" i="7"/>
  <c r="AS413" i="7"/>
  <c r="AS412" i="7"/>
  <c r="AS360" i="7"/>
  <c r="AS359" i="7"/>
  <c r="AS357" i="7"/>
  <c r="AS353" i="7"/>
  <c r="AS352" i="7"/>
  <c r="AS350" i="7"/>
  <c r="AS346" i="7"/>
  <c r="AS345" i="7"/>
  <c r="AS344" i="7"/>
  <c r="AS343" i="7"/>
  <c r="AS339" i="7"/>
  <c r="AS338" i="7"/>
  <c r="AS337" i="7"/>
  <c r="AS336" i="7"/>
  <c r="AS332" i="7"/>
  <c r="AS329" i="7"/>
  <c r="AS328" i="7"/>
  <c r="AS327" i="7"/>
  <c r="AS326" i="7"/>
  <c r="AS321" i="7"/>
  <c r="AS320" i="7"/>
  <c r="AS319" i="7"/>
  <c r="AS318" i="7"/>
  <c r="AS317" i="7"/>
  <c r="AS316" i="7"/>
  <c r="AS315" i="7"/>
  <c r="AS314" i="7"/>
  <c r="AS309" i="7"/>
  <c r="AS468" i="7"/>
  <c r="AS466" i="7"/>
  <c r="AS465" i="7"/>
  <c r="AS464" i="7"/>
  <c r="AS463" i="7"/>
  <c r="AS462" i="7"/>
  <c r="AS458" i="7"/>
  <c r="AS457" i="7"/>
  <c r="AS456" i="7"/>
  <c r="AS455" i="7"/>
  <c r="AS451" i="7"/>
  <c r="AS450" i="7"/>
  <c r="AS449" i="7"/>
  <c r="AS448" i="7"/>
  <c r="AS447" i="7"/>
  <c r="AS469" i="7"/>
  <c r="AS307" i="7"/>
  <c r="AS306" i="7"/>
  <c r="AS305" i="7"/>
  <c r="AS304" i="7"/>
  <c r="AS303" i="7"/>
  <c r="AS302" i="7"/>
  <c r="AS301" i="7"/>
  <c r="AS298" i="7"/>
  <c r="AS297" i="7"/>
  <c r="AS294" i="7"/>
  <c r="AS293" i="7"/>
  <c r="AS292" i="7"/>
  <c r="AS291" i="7"/>
  <c r="AS290" i="7"/>
  <c r="AS289" i="7"/>
  <c r="AS288" i="7"/>
  <c r="AS287" i="7"/>
  <c r="AS286" i="7"/>
  <c r="AS285" i="7"/>
  <c r="AS284" i="7"/>
  <c r="AS283" i="7"/>
  <c r="AS282" i="7"/>
  <c r="AS281" i="7"/>
  <c r="AS280" i="7"/>
  <c r="AS185" i="7"/>
  <c r="AS184" i="7"/>
  <c r="AS183" i="7"/>
  <c r="AS182" i="7"/>
  <c r="AS179" i="7"/>
  <c r="AS178" i="7"/>
  <c r="AS177" i="7"/>
  <c r="AS176" i="7"/>
  <c r="AS173" i="7"/>
  <c r="AS172" i="7"/>
  <c r="AS171" i="7"/>
  <c r="AS170" i="7"/>
  <c r="AS168" i="7"/>
  <c r="AS167" i="7"/>
  <c r="AS165" i="7"/>
  <c r="AS164" i="7"/>
  <c r="AS163" i="7"/>
  <c r="AS160" i="7"/>
  <c r="AS159" i="7"/>
  <c r="AS158" i="7"/>
  <c r="AS155" i="7"/>
  <c r="AS154" i="7"/>
  <c r="AS153" i="7"/>
  <c r="AS152" i="7"/>
  <c r="AS151" i="7"/>
  <c r="AS146" i="7"/>
  <c r="AS145" i="7"/>
  <c r="AS144" i="7"/>
  <c r="AS143" i="7"/>
  <c r="AS140" i="7"/>
  <c r="AS139" i="7"/>
  <c r="AS138" i="7"/>
  <c r="AS137" i="7"/>
  <c r="AS131" i="7"/>
  <c r="AS130" i="7"/>
  <c r="AS129" i="7"/>
  <c r="AS128" i="7"/>
  <c r="AS127" i="7"/>
  <c r="AS125" i="7"/>
  <c r="AS124" i="7"/>
  <c r="AS123" i="7"/>
  <c r="AS122" i="7"/>
  <c r="AS121" i="7"/>
  <c r="AS120" i="7"/>
  <c r="AS119" i="7"/>
  <c r="AS118" i="7"/>
  <c r="AS117" i="7"/>
  <c r="AS116" i="7"/>
  <c r="AS115" i="7"/>
  <c r="AS114" i="7"/>
  <c r="AS113" i="7"/>
  <c r="AS110" i="7"/>
  <c r="AS109" i="7"/>
  <c r="AS108" i="7"/>
  <c r="AS105" i="7"/>
  <c r="AS104" i="7"/>
  <c r="AS100" i="7"/>
  <c r="AS99" i="7"/>
  <c r="AS97" i="7"/>
  <c r="AS93" i="7"/>
  <c r="AS91" i="7"/>
  <c r="AS90" i="7"/>
  <c r="AS89" i="7"/>
  <c r="AS87" i="7"/>
  <c r="AS85" i="7"/>
  <c r="AS84" i="7"/>
  <c r="AS83" i="7"/>
  <c r="AS79" i="7"/>
  <c r="AS73" i="7"/>
  <c r="AS72" i="7"/>
  <c r="AS71" i="7"/>
  <c r="AS70" i="7"/>
  <c r="AS69" i="7"/>
  <c r="AS68" i="7"/>
  <c r="AS66" i="7"/>
  <c r="AS65" i="7"/>
  <c r="AS64" i="7"/>
  <c r="AS63" i="7"/>
  <c r="AS62" i="7"/>
  <c r="AS61" i="7"/>
  <c r="AS53" i="7"/>
  <c r="AS52" i="7"/>
  <c r="AS51" i="7"/>
  <c r="AS49" i="7"/>
  <c r="AS48" i="7"/>
  <c r="AS46" i="7"/>
  <c r="AS45" i="7"/>
  <c r="AS225" i="7"/>
  <c r="AS277" i="7"/>
  <c r="AS44" i="7"/>
  <c r="AS43" i="7"/>
  <c r="AS40" i="7"/>
  <c r="AS39" i="7"/>
  <c r="AS38" i="7"/>
  <c r="AS37" i="7"/>
  <c r="AS36" i="7"/>
  <c r="AS35" i="7"/>
  <c r="AS34" i="7"/>
  <c r="AS33" i="7"/>
  <c r="AS24" i="7"/>
  <c r="AS23" i="7"/>
  <c r="AS22" i="7"/>
  <c r="AS21" i="7"/>
  <c r="AS20" i="7"/>
  <c r="AS19" i="7"/>
  <c r="AS18" i="7"/>
  <c r="AS17" i="7"/>
  <c r="AS16" i="7"/>
  <c r="AS233" i="7"/>
  <c r="AS231" i="7"/>
  <c r="AS230" i="7"/>
  <c r="AS229" i="7"/>
  <c r="AS228" i="7"/>
  <c r="AS227" i="7"/>
  <c r="AS226" i="7"/>
  <c r="AS224" i="7"/>
  <c r="AS223" i="7"/>
  <c r="AS222" i="7"/>
  <c r="AS221" i="7"/>
  <c r="AS220" i="7"/>
  <c r="AS219" i="7"/>
  <c r="AS218" i="7"/>
  <c r="AS209" i="7"/>
  <c r="AS208" i="7"/>
  <c r="AS207" i="7"/>
  <c r="AS206" i="7"/>
  <c r="AS205" i="7"/>
  <c r="AS203" i="7"/>
  <c r="AS202" i="7"/>
  <c r="AS201" i="7"/>
  <c r="AS196" i="7"/>
  <c r="AS193" i="7"/>
  <c r="AT13" i="7"/>
  <c r="AT441" i="7"/>
  <c r="AT191" i="7"/>
  <c r="AT275" i="7"/>
  <c r="AG327" i="7"/>
  <c r="AG328" i="7"/>
  <c r="AG338" i="7" s="1"/>
  <c r="AU4" i="7"/>
  <c r="AU11" i="7" s="1"/>
  <c r="AV3" i="7"/>
  <c r="AU5" i="7"/>
  <c r="AK413" i="7" l="1"/>
  <c r="AK421" i="7" s="1"/>
  <c r="AG329" i="7"/>
  <c r="AG302" i="7"/>
  <c r="AG339" i="7"/>
  <c r="AG345" i="7"/>
  <c r="AW3" i="7"/>
  <c r="AV4" i="7"/>
  <c r="AV11" i="7" s="1"/>
  <c r="AV5" i="7"/>
  <c r="AT249" i="7"/>
  <c r="AT248" i="7"/>
  <c r="AT247" i="7"/>
  <c r="AT246" i="7"/>
  <c r="AT245" i="7"/>
  <c r="AT244" i="7"/>
  <c r="AT243" i="7"/>
  <c r="AT242" i="7"/>
  <c r="AT241" i="7"/>
  <c r="AT240" i="7"/>
  <c r="AT239" i="7"/>
  <c r="AT238" i="7"/>
  <c r="AT237" i="7"/>
  <c r="AT252" i="7"/>
  <c r="AT253" i="7"/>
  <c r="AT254" i="7"/>
  <c r="AT256" i="7"/>
  <c r="AT257" i="7"/>
  <c r="AT236" i="7"/>
  <c r="AT217" i="7"/>
  <c r="AT198" i="7"/>
  <c r="AT271" i="7"/>
  <c r="AT216" i="7"/>
  <c r="AT197" i="7"/>
  <c r="AT268" i="7"/>
  <c r="AT215" i="7"/>
  <c r="AT258" i="7"/>
  <c r="AT259" i="7"/>
  <c r="AT261" i="7"/>
  <c r="AT262" i="7"/>
  <c r="AT263" i="7"/>
  <c r="AT264" i="7"/>
  <c r="AT214" i="7"/>
  <c r="AT270" i="7"/>
  <c r="AT213" i="7"/>
  <c r="AT265" i="7"/>
  <c r="AT266" i="7"/>
  <c r="AT212" i="7"/>
  <c r="AT269" i="7"/>
  <c r="AT199" i="7"/>
  <c r="AT407" i="7"/>
  <c r="AT377" i="7"/>
  <c r="AT200" i="7"/>
  <c r="AT375" i="7"/>
  <c r="AT399" i="7"/>
  <c r="AT398" i="7"/>
  <c r="AT397" i="7"/>
  <c r="AT396" i="7"/>
  <c r="AT378" i="7"/>
  <c r="AT57" i="7"/>
  <c r="AT376" i="7"/>
  <c r="AT405" i="7"/>
  <c r="AT404" i="7"/>
  <c r="AT403" i="7"/>
  <c r="AT379" i="7"/>
  <c r="AT406" i="7"/>
  <c r="AT374" i="7"/>
  <c r="AT373" i="7"/>
  <c r="AT395" i="7"/>
  <c r="AT390" i="7"/>
  <c r="AT387" i="7"/>
  <c r="AT389" i="7"/>
  <c r="AT394" i="7"/>
  <c r="AT388" i="7"/>
  <c r="AT386" i="7"/>
  <c r="AT385" i="7"/>
  <c r="AT383" i="7"/>
  <c r="AT32" i="7"/>
  <c r="AT77" i="7"/>
  <c r="AT367" i="7"/>
  <c r="AT366" i="7"/>
  <c r="AT30" i="7"/>
  <c r="AT28" i="7"/>
  <c r="AT27" i="7"/>
  <c r="AT26" i="7"/>
  <c r="AT98" i="7"/>
  <c r="AT437" i="7"/>
  <c r="AT76" i="7"/>
  <c r="AT31" i="7"/>
  <c r="AT29" i="7"/>
  <c r="AT436" i="7"/>
  <c r="AT435" i="7"/>
  <c r="AT434" i="7"/>
  <c r="AT433" i="7"/>
  <c r="AT417" i="7"/>
  <c r="AT416" i="7"/>
  <c r="AT358" i="7"/>
  <c r="AT75" i="7"/>
  <c r="AT351" i="7"/>
  <c r="AT331" i="7"/>
  <c r="AT371" i="7"/>
  <c r="AT361" i="7"/>
  <c r="AT354" i="7"/>
  <c r="AT347" i="7"/>
  <c r="AT340" i="7"/>
  <c r="AT330" i="7"/>
  <c r="AT333" i="7"/>
  <c r="AT323" i="7"/>
  <c r="AT477" i="7"/>
  <c r="AT476" i="7"/>
  <c r="AT475" i="7"/>
  <c r="AT474" i="7"/>
  <c r="AT472" i="7"/>
  <c r="AT471" i="7"/>
  <c r="AT470" i="7"/>
  <c r="AT59" i="7"/>
  <c r="AT487" i="7"/>
  <c r="AT486" i="7"/>
  <c r="AT485" i="7"/>
  <c r="AT58" i="7"/>
  <c r="AT483" i="7"/>
  <c r="AT103" i="7"/>
  <c r="AT482" i="7"/>
  <c r="AT478" i="7"/>
  <c r="AT15" i="7"/>
  <c r="AT149" i="7"/>
  <c r="AT134" i="7"/>
  <c r="AT488" i="7"/>
  <c r="AT204" i="7"/>
  <c r="AT431" i="7"/>
  <c r="AT430" i="7"/>
  <c r="AT427" i="7"/>
  <c r="AT425" i="7"/>
  <c r="AT424" i="7"/>
  <c r="AT421" i="7"/>
  <c r="AT420" i="7"/>
  <c r="AT413" i="7"/>
  <c r="AT412" i="7"/>
  <c r="AT360" i="7"/>
  <c r="AT359" i="7"/>
  <c r="AT357" i="7"/>
  <c r="AT353" i="7"/>
  <c r="AT352" i="7"/>
  <c r="AT350" i="7"/>
  <c r="AT346" i="7"/>
  <c r="AT345" i="7"/>
  <c r="AT344" i="7"/>
  <c r="AT343" i="7"/>
  <c r="AT339" i="7"/>
  <c r="AT338" i="7"/>
  <c r="AT337" i="7"/>
  <c r="AT336" i="7"/>
  <c r="AT332" i="7"/>
  <c r="AT329" i="7"/>
  <c r="AT328" i="7"/>
  <c r="AT327" i="7"/>
  <c r="AT326" i="7"/>
  <c r="AT321" i="7"/>
  <c r="AT320" i="7"/>
  <c r="AT319" i="7"/>
  <c r="AT318" i="7"/>
  <c r="AT317" i="7"/>
  <c r="AT316" i="7"/>
  <c r="AT468" i="7"/>
  <c r="AT466" i="7"/>
  <c r="AT465" i="7"/>
  <c r="AT464" i="7"/>
  <c r="AT463" i="7"/>
  <c r="AT462" i="7"/>
  <c r="AT458" i="7"/>
  <c r="AT457" i="7"/>
  <c r="AT456" i="7"/>
  <c r="AT455" i="7"/>
  <c r="AT451" i="7"/>
  <c r="AT450" i="7"/>
  <c r="AT449" i="7"/>
  <c r="AT448" i="7"/>
  <c r="AT447" i="7"/>
  <c r="AT469" i="7"/>
  <c r="AT443" i="7"/>
  <c r="AT315" i="7"/>
  <c r="AT309" i="7"/>
  <c r="AT307" i="7"/>
  <c r="AT306" i="7"/>
  <c r="AT305" i="7"/>
  <c r="AT304" i="7"/>
  <c r="AT303" i="7"/>
  <c r="AT302" i="7"/>
  <c r="AT301" i="7"/>
  <c r="AT298" i="7"/>
  <c r="AT297" i="7"/>
  <c r="AT294" i="7"/>
  <c r="AT293" i="7"/>
  <c r="AT292" i="7"/>
  <c r="AT291" i="7"/>
  <c r="AT290" i="7"/>
  <c r="AT289" i="7"/>
  <c r="AT288" i="7"/>
  <c r="AT287" i="7"/>
  <c r="AT286" i="7"/>
  <c r="AT285" i="7"/>
  <c r="AT284" i="7"/>
  <c r="AT283" i="7"/>
  <c r="AT282" i="7"/>
  <c r="AT281" i="7"/>
  <c r="AT280" i="7"/>
  <c r="AT185" i="7"/>
  <c r="AT184" i="7"/>
  <c r="AT183" i="7"/>
  <c r="AT182" i="7"/>
  <c r="AT179" i="7"/>
  <c r="AT178" i="7"/>
  <c r="AT177" i="7"/>
  <c r="AT176" i="7"/>
  <c r="AT173" i="7"/>
  <c r="AT172" i="7"/>
  <c r="AT171" i="7"/>
  <c r="AT170" i="7"/>
  <c r="AT168" i="7"/>
  <c r="AT167" i="7"/>
  <c r="AT165" i="7"/>
  <c r="AT164" i="7"/>
  <c r="AT163" i="7"/>
  <c r="AT160" i="7"/>
  <c r="AT159" i="7"/>
  <c r="AT158" i="7"/>
  <c r="AT155" i="7"/>
  <c r="AT154" i="7"/>
  <c r="AT153" i="7"/>
  <c r="AT152" i="7"/>
  <c r="AT151" i="7"/>
  <c r="AT146" i="7"/>
  <c r="AT145" i="7"/>
  <c r="AT144" i="7"/>
  <c r="AT143" i="7"/>
  <c r="AT140" i="7"/>
  <c r="AT139" i="7"/>
  <c r="AT314" i="7"/>
  <c r="AT138" i="7"/>
  <c r="AT137" i="7"/>
  <c r="AT131" i="7"/>
  <c r="AT130" i="7"/>
  <c r="AT129" i="7"/>
  <c r="AT128" i="7"/>
  <c r="AT127" i="7"/>
  <c r="AT125" i="7"/>
  <c r="AT124" i="7"/>
  <c r="AT123" i="7"/>
  <c r="AT122" i="7"/>
  <c r="AT121" i="7"/>
  <c r="AT120" i="7"/>
  <c r="AT119" i="7"/>
  <c r="AT118" i="7"/>
  <c r="AT117" i="7"/>
  <c r="AT116" i="7"/>
  <c r="AT115" i="7"/>
  <c r="AT114" i="7"/>
  <c r="AT113" i="7"/>
  <c r="AT110" i="7"/>
  <c r="AT109" i="7"/>
  <c r="AT108" i="7"/>
  <c r="AT105" i="7"/>
  <c r="AT104" i="7"/>
  <c r="AT100" i="7"/>
  <c r="AT99" i="7"/>
  <c r="AT97" i="7"/>
  <c r="AT93" i="7"/>
  <c r="AT91" i="7"/>
  <c r="AT90" i="7"/>
  <c r="AT89" i="7"/>
  <c r="AT87" i="7"/>
  <c r="AT85" i="7"/>
  <c r="AT84" i="7"/>
  <c r="AT83" i="7"/>
  <c r="AT79" i="7"/>
  <c r="AT73" i="7"/>
  <c r="AT72" i="7"/>
  <c r="AT71" i="7"/>
  <c r="AT70" i="7"/>
  <c r="AT69" i="7"/>
  <c r="AT68" i="7"/>
  <c r="AT66" i="7"/>
  <c r="AT65" i="7"/>
  <c r="AT64" i="7"/>
  <c r="AT63" i="7"/>
  <c r="AT62" i="7"/>
  <c r="AT61" i="7"/>
  <c r="AT53" i="7"/>
  <c r="AT52" i="7"/>
  <c r="AT51" i="7"/>
  <c r="AT49" i="7"/>
  <c r="AT48" i="7"/>
  <c r="AT46" i="7"/>
  <c r="AT45" i="7"/>
  <c r="AT225" i="7"/>
  <c r="AT277" i="7"/>
  <c r="AT44" i="7"/>
  <c r="AT43" i="7"/>
  <c r="AT40" i="7"/>
  <c r="AT39" i="7"/>
  <c r="AT38" i="7"/>
  <c r="AT37" i="7"/>
  <c r="AT36" i="7"/>
  <c r="AT35" i="7"/>
  <c r="AT34" i="7"/>
  <c r="AT33" i="7"/>
  <c r="AT24" i="7"/>
  <c r="AT23" i="7"/>
  <c r="AT22" i="7"/>
  <c r="AT21" i="7"/>
  <c r="AT20" i="7"/>
  <c r="AT19" i="7"/>
  <c r="AT18" i="7"/>
  <c r="AT17" i="7"/>
  <c r="AT16" i="7"/>
  <c r="AT233" i="7"/>
  <c r="AT231" i="7"/>
  <c r="AT230" i="7"/>
  <c r="AT229" i="7"/>
  <c r="AT228" i="7"/>
  <c r="AT227" i="7"/>
  <c r="AT226" i="7"/>
  <c r="AT224" i="7"/>
  <c r="AT223" i="7"/>
  <c r="AT222" i="7"/>
  <c r="AT221" i="7"/>
  <c r="AT220" i="7"/>
  <c r="AT219" i="7"/>
  <c r="AT218" i="7"/>
  <c r="AT209" i="7"/>
  <c r="AT208" i="7"/>
  <c r="AT207" i="7"/>
  <c r="AT206" i="7"/>
  <c r="AT205" i="7"/>
  <c r="AT203" i="7"/>
  <c r="AT202" i="7"/>
  <c r="AT201" i="7"/>
  <c r="AT196" i="7"/>
  <c r="AT193" i="7"/>
  <c r="AJ354" i="7"/>
  <c r="AJ389" i="7" s="1"/>
  <c r="AU13" i="7"/>
  <c r="AU441" i="7"/>
  <c r="AU275" i="7"/>
  <c r="AU191" i="7"/>
  <c r="AU8" i="7"/>
  <c r="AU6" i="7"/>
  <c r="AU7" i="7"/>
  <c r="AG321" i="7"/>
  <c r="AG220" i="7"/>
  <c r="AG332" i="7"/>
  <c r="AH333" i="7" s="1"/>
  <c r="AH385" i="7" s="1"/>
  <c r="AH326" i="7"/>
  <c r="AJ31" i="7" l="1"/>
  <c r="AJ351" i="7"/>
  <c r="AH330" i="7"/>
  <c r="AH386" i="7" s="1"/>
  <c r="AH27" i="7"/>
  <c r="AV8" i="7"/>
  <c r="AV6" i="7"/>
  <c r="AV7" i="7"/>
  <c r="AG346" i="7"/>
  <c r="AG303" i="7"/>
  <c r="AV13" i="7"/>
  <c r="AV441" i="7"/>
  <c r="AV275" i="7"/>
  <c r="AV191" i="7"/>
  <c r="AG221" i="7"/>
  <c r="AG449" i="7" s="1"/>
  <c r="AG485" i="7" s="1"/>
  <c r="AH336" i="7"/>
  <c r="AG301" i="7"/>
  <c r="AU249" i="7"/>
  <c r="AU248" i="7"/>
  <c r="AU247" i="7"/>
  <c r="AU246" i="7"/>
  <c r="AU245" i="7"/>
  <c r="AU244" i="7"/>
  <c r="AU243" i="7"/>
  <c r="AU242" i="7"/>
  <c r="AU241" i="7"/>
  <c r="AU240" i="7"/>
  <c r="AU239" i="7"/>
  <c r="AU238" i="7"/>
  <c r="AU237" i="7"/>
  <c r="AU252" i="7"/>
  <c r="AU253" i="7"/>
  <c r="AU236" i="7"/>
  <c r="AU254" i="7"/>
  <c r="AU256" i="7"/>
  <c r="AU257" i="7"/>
  <c r="AU269" i="7"/>
  <c r="AU216" i="7"/>
  <c r="AU197" i="7"/>
  <c r="AU215" i="7"/>
  <c r="AU271" i="7"/>
  <c r="AU214" i="7"/>
  <c r="AU268" i="7"/>
  <c r="AU213" i="7"/>
  <c r="AU258" i="7"/>
  <c r="AU259" i="7"/>
  <c r="AU261" i="7"/>
  <c r="AU262" i="7"/>
  <c r="AU263" i="7"/>
  <c r="AU264" i="7"/>
  <c r="AU212" i="7"/>
  <c r="AU270" i="7"/>
  <c r="AU200" i="7"/>
  <c r="AU265" i="7"/>
  <c r="AU266" i="7"/>
  <c r="AU217" i="7"/>
  <c r="AU375" i="7"/>
  <c r="AU399" i="7"/>
  <c r="AU398" i="7"/>
  <c r="AU397" i="7"/>
  <c r="AU396" i="7"/>
  <c r="AU378" i="7"/>
  <c r="AU57" i="7"/>
  <c r="AU376" i="7"/>
  <c r="AU405" i="7"/>
  <c r="AU404" i="7"/>
  <c r="AU403" i="7"/>
  <c r="AU379" i="7"/>
  <c r="AU198" i="7"/>
  <c r="AU406" i="7"/>
  <c r="AU374" i="7"/>
  <c r="AU373" i="7"/>
  <c r="AU199" i="7"/>
  <c r="AU407" i="7"/>
  <c r="AU377" i="7"/>
  <c r="AU395" i="7"/>
  <c r="AU390" i="7"/>
  <c r="AU387" i="7"/>
  <c r="AU389" i="7"/>
  <c r="AU394" i="7"/>
  <c r="AU388" i="7"/>
  <c r="AU386" i="7"/>
  <c r="AU385" i="7"/>
  <c r="AU383" i="7"/>
  <c r="AU32" i="7"/>
  <c r="AU31" i="7"/>
  <c r="AU30" i="7"/>
  <c r="AU29" i="7"/>
  <c r="AU77" i="7"/>
  <c r="AU367" i="7"/>
  <c r="AU366" i="7"/>
  <c r="AU28" i="7"/>
  <c r="AU27" i="7"/>
  <c r="AU26" i="7"/>
  <c r="AU98" i="7"/>
  <c r="AU437" i="7"/>
  <c r="AU76" i="7"/>
  <c r="AU436" i="7"/>
  <c r="AU435" i="7"/>
  <c r="AU434" i="7"/>
  <c r="AU433" i="7"/>
  <c r="AU417" i="7"/>
  <c r="AU416" i="7"/>
  <c r="AU75" i="7"/>
  <c r="AU351" i="7"/>
  <c r="AU331" i="7"/>
  <c r="AU371" i="7"/>
  <c r="AU361" i="7"/>
  <c r="AU354" i="7"/>
  <c r="AU347" i="7"/>
  <c r="AU340" i="7"/>
  <c r="AU330" i="7"/>
  <c r="AU333" i="7"/>
  <c r="AU323" i="7"/>
  <c r="AU358" i="7"/>
  <c r="AU59" i="7"/>
  <c r="AU58" i="7"/>
  <c r="AU15" i="7"/>
  <c r="AU103" i="7"/>
  <c r="AU487" i="7"/>
  <c r="AU486" i="7"/>
  <c r="AU485" i="7"/>
  <c r="AU483" i="7"/>
  <c r="AU482" i="7"/>
  <c r="AU478" i="7"/>
  <c r="AU149" i="7"/>
  <c r="AU134" i="7"/>
  <c r="AU488" i="7"/>
  <c r="AU477" i="7"/>
  <c r="AU476" i="7"/>
  <c r="AU475" i="7"/>
  <c r="AU474" i="7"/>
  <c r="AU472" i="7"/>
  <c r="AU471" i="7"/>
  <c r="AU204" i="7"/>
  <c r="AU431" i="7"/>
  <c r="AU430" i="7"/>
  <c r="AU427" i="7"/>
  <c r="AU425" i="7"/>
  <c r="AU424" i="7"/>
  <c r="AU421" i="7"/>
  <c r="AU420" i="7"/>
  <c r="AU413" i="7"/>
  <c r="AU412" i="7"/>
  <c r="AU360" i="7"/>
  <c r="AU359" i="7"/>
  <c r="AU357" i="7"/>
  <c r="AU353" i="7"/>
  <c r="AU352" i="7"/>
  <c r="AU350" i="7"/>
  <c r="AU346" i="7"/>
  <c r="AU345" i="7"/>
  <c r="AU344" i="7"/>
  <c r="AU343" i="7"/>
  <c r="AU339" i="7"/>
  <c r="AU338" i="7"/>
  <c r="AU337" i="7"/>
  <c r="AU336" i="7"/>
  <c r="AU332" i="7"/>
  <c r="AU329" i="7"/>
  <c r="AU328" i="7"/>
  <c r="AU327" i="7"/>
  <c r="AU326" i="7"/>
  <c r="AU321" i="7"/>
  <c r="AU320" i="7"/>
  <c r="AU319" i="7"/>
  <c r="AU318" i="7"/>
  <c r="AU317" i="7"/>
  <c r="AU316" i="7"/>
  <c r="AU315" i="7"/>
  <c r="AU314" i="7"/>
  <c r="AU309" i="7"/>
  <c r="AU470" i="7"/>
  <c r="AU468" i="7"/>
  <c r="AU466" i="7"/>
  <c r="AU465" i="7"/>
  <c r="AU464" i="7"/>
  <c r="AU463" i="7"/>
  <c r="AU462" i="7"/>
  <c r="AU458" i="7"/>
  <c r="AU457" i="7"/>
  <c r="AU456" i="7"/>
  <c r="AU455" i="7"/>
  <c r="AU451" i="7"/>
  <c r="AU450" i="7"/>
  <c r="AU449" i="7"/>
  <c r="AU448" i="7"/>
  <c r="AU447" i="7"/>
  <c r="AU469" i="7"/>
  <c r="AU443" i="7"/>
  <c r="AU307" i="7"/>
  <c r="AU306" i="7"/>
  <c r="AU305" i="7"/>
  <c r="AU304" i="7"/>
  <c r="AU303" i="7"/>
  <c r="AU302" i="7"/>
  <c r="AU301" i="7"/>
  <c r="AU298" i="7"/>
  <c r="AU297" i="7"/>
  <c r="AU294" i="7"/>
  <c r="AU293" i="7"/>
  <c r="AU292" i="7"/>
  <c r="AU291" i="7"/>
  <c r="AU290" i="7"/>
  <c r="AU289" i="7"/>
  <c r="AU288" i="7"/>
  <c r="AU287" i="7"/>
  <c r="AU286" i="7"/>
  <c r="AU285" i="7"/>
  <c r="AU284" i="7"/>
  <c r="AU283" i="7"/>
  <c r="AU282" i="7"/>
  <c r="AU281" i="7"/>
  <c r="AU280" i="7"/>
  <c r="AU185" i="7"/>
  <c r="AU184" i="7"/>
  <c r="AU183" i="7"/>
  <c r="AU182" i="7"/>
  <c r="AU179" i="7"/>
  <c r="AU178" i="7"/>
  <c r="AU177" i="7"/>
  <c r="AU176" i="7"/>
  <c r="AU173" i="7"/>
  <c r="AU172" i="7"/>
  <c r="AU171" i="7"/>
  <c r="AU170" i="7"/>
  <c r="AU168" i="7"/>
  <c r="AU167" i="7"/>
  <c r="AU165" i="7"/>
  <c r="AU164" i="7"/>
  <c r="AU163" i="7"/>
  <c r="AU160" i="7"/>
  <c r="AU159" i="7"/>
  <c r="AU158" i="7"/>
  <c r="AU155" i="7"/>
  <c r="AU154" i="7"/>
  <c r="AU153" i="7"/>
  <c r="AU152" i="7"/>
  <c r="AU151" i="7"/>
  <c r="AU146" i="7"/>
  <c r="AU145" i="7"/>
  <c r="AU144" i="7"/>
  <c r="AU143" i="7"/>
  <c r="AU140" i="7"/>
  <c r="AU139" i="7"/>
  <c r="AU138" i="7"/>
  <c r="AU137" i="7"/>
  <c r="AU131" i="7"/>
  <c r="AU130" i="7"/>
  <c r="AU129" i="7"/>
  <c r="AU128" i="7"/>
  <c r="AU127" i="7"/>
  <c r="AU125" i="7"/>
  <c r="AU124" i="7"/>
  <c r="AU123" i="7"/>
  <c r="AU122" i="7"/>
  <c r="AU121" i="7"/>
  <c r="AU120" i="7"/>
  <c r="AU119" i="7"/>
  <c r="AU118" i="7"/>
  <c r="AU117" i="7"/>
  <c r="AU116" i="7"/>
  <c r="AU115" i="7"/>
  <c r="AU114" i="7"/>
  <c r="AU113" i="7"/>
  <c r="AU110" i="7"/>
  <c r="AU109" i="7"/>
  <c r="AU108" i="7"/>
  <c r="AU105" i="7"/>
  <c r="AU104" i="7"/>
  <c r="AU100" i="7"/>
  <c r="AU99" i="7"/>
  <c r="AU97" i="7"/>
  <c r="AU93" i="7"/>
  <c r="AU91" i="7"/>
  <c r="AU90" i="7"/>
  <c r="AU89" i="7"/>
  <c r="AU87" i="7"/>
  <c r="AU85" i="7"/>
  <c r="AU84" i="7"/>
  <c r="AU83" i="7"/>
  <c r="AU79" i="7"/>
  <c r="AU73" i="7"/>
  <c r="AU72" i="7"/>
  <c r="AU71" i="7"/>
  <c r="AU70" i="7"/>
  <c r="AU69" i="7"/>
  <c r="AU68" i="7"/>
  <c r="AU66" i="7"/>
  <c r="AU65" i="7"/>
  <c r="AU64" i="7"/>
  <c r="AU63" i="7"/>
  <c r="AU62" i="7"/>
  <c r="AU61" i="7"/>
  <c r="AU53" i="7"/>
  <c r="AU52" i="7"/>
  <c r="AU51" i="7"/>
  <c r="AU49" i="7"/>
  <c r="AU48" i="7"/>
  <c r="AU46" i="7"/>
  <c r="AU45" i="7"/>
  <c r="AU225" i="7"/>
  <c r="AU277" i="7"/>
  <c r="AU44" i="7"/>
  <c r="AU43" i="7"/>
  <c r="AU40" i="7"/>
  <c r="AU39" i="7"/>
  <c r="AU38" i="7"/>
  <c r="AU37" i="7"/>
  <c r="AU36" i="7"/>
  <c r="AU35" i="7"/>
  <c r="AU34" i="7"/>
  <c r="AU33" i="7"/>
  <c r="AU24" i="7"/>
  <c r="AU23" i="7"/>
  <c r="AU22" i="7"/>
  <c r="AU21" i="7"/>
  <c r="AU20" i="7"/>
  <c r="AU19" i="7"/>
  <c r="AU18" i="7"/>
  <c r="AU17" i="7"/>
  <c r="AU16" i="7"/>
  <c r="AU233" i="7"/>
  <c r="AU231" i="7"/>
  <c r="AU230" i="7"/>
  <c r="AU229" i="7"/>
  <c r="AU228" i="7"/>
  <c r="AU227" i="7"/>
  <c r="AU226" i="7"/>
  <c r="AU224" i="7"/>
  <c r="AU223" i="7"/>
  <c r="AU222" i="7"/>
  <c r="AU221" i="7"/>
  <c r="AU220" i="7"/>
  <c r="AU219" i="7"/>
  <c r="AU218" i="7"/>
  <c r="AU209" i="7"/>
  <c r="AU208" i="7"/>
  <c r="AU207" i="7"/>
  <c r="AU206" i="7"/>
  <c r="AU205" i="7"/>
  <c r="AU203" i="7"/>
  <c r="AU202" i="7"/>
  <c r="AU201" i="7"/>
  <c r="AU196" i="7"/>
  <c r="AU193" i="7"/>
  <c r="AW4" i="7"/>
  <c r="AW11" i="7" s="1"/>
  <c r="AX3" i="7"/>
  <c r="AW5" i="7"/>
  <c r="AG307" i="7" l="1"/>
  <c r="AG309" i="7" s="1"/>
  <c r="AG196" i="7" s="1"/>
  <c r="AV249" i="7"/>
  <c r="AV248" i="7"/>
  <c r="AV247" i="7"/>
  <c r="AV246" i="7"/>
  <c r="AV245" i="7"/>
  <c r="AV244" i="7"/>
  <c r="AV243" i="7"/>
  <c r="AV242" i="7"/>
  <c r="AV241" i="7"/>
  <c r="AV240" i="7"/>
  <c r="AV239" i="7"/>
  <c r="AV238" i="7"/>
  <c r="AV237" i="7"/>
  <c r="AV252" i="7"/>
  <c r="AV253" i="7"/>
  <c r="AV236" i="7"/>
  <c r="AV254" i="7"/>
  <c r="AV256" i="7"/>
  <c r="AV215" i="7"/>
  <c r="AV257" i="7"/>
  <c r="AV269" i="7"/>
  <c r="AV214" i="7"/>
  <c r="AV213" i="7"/>
  <c r="AV271" i="7"/>
  <c r="AV212" i="7"/>
  <c r="AV268" i="7"/>
  <c r="AV200" i="7"/>
  <c r="AV258" i="7"/>
  <c r="AV259" i="7"/>
  <c r="AV261" i="7"/>
  <c r="AV262" i="7"/>
  <c r="AV263" i="7"/>
  <c r="AV264" i="7"/>
  <c r="AV199" i="7"/>
  <c r="AV270" i="7"/>
  <c r="AV217" i="7"/>
  <c r="AV265" i="7"/>
  <c r="AV266" i="7"/>
  <c r="AV216" i="7"/>
  <c r="AV197" i="7"/>
  <c r="AV375" i="7"/>
  <c r="AV399" i="7"/>
  <c r="AV398" i="7"/>
  <c r="AV397" i="7"/>
  <c r="AV396" i="7"/>
  <c r="AV378" i="7"/>
  <c r="AV57" i="7"/>
  <c r="AV376" i="7"/>
  <c r="AV405" i="7"/>
  <c r="AV404" i="7"/>
  <c r="AV403" i="7"/>
  <c r="AV379" i="7"/>
  <c r="AV198" i="7"/>
  <c r="AV406" i="7"/>
  <c r="AV374" i="7"/>
  <c r="AV373" i="7"/>
  <c r="AV407" i="7"/>
  <c r="AV377" i="7"/>
  <c r="AV395" i="7"/>
  <c r="AV390" i="7"/>
  <c r="AV387" i="7"/>
  <c r="AV389" i="7"/>
  <c r="AV394" i="7"/>
  <c r="AV388" i="7"/>
  <c r="AV386" i="7"/>
  <c r="AV385" i="7"/>
  <c r="AV383" i="7"/>
  <c r="AV32" i="7"/>
  <c r="AV31" i="7"/>
  <c r="AV30" i="7"/>
  <c r="AV29" i="7"/>
  <c r="AV28" i="7"/>
  <c r="AV27" i="7"/>
  <c r="AV26" i="7"/>
  <c r="AV98" i="7"/>
  <c r="AV437" i="7"/>
  <c r="AV76" i="7"/>
  <c r="AV436" i="7"/>
  <c r="AV435" i="7"/>
  <c r="AV434" i="7"/>
  <c r="AV433" i="7"/>
  <c r="AV417" i="7"/>
  <c r="AV416" i="7"/>
  <c r="AV75" i="7"/>
  <c r="AV77" i="7"/>
  <c r="AV367" i="7"/>
  <c r="AV366" i="7"/>
  <c r="AV331" i="7"/>
  <c r="AV371" i="7"/>
  <c r="AV361" i="7"/>
  <c r="AV354" i="7"/>
  <c r="AV347" i="7"/>
  <c r="AV340" i="7"/>
  <c r="AV330" i="7"/>
  <c r="AV333" i="7"/>
  <c r="AV323" i="7"/>
  <c r="AV358" i="7"/>
  <c r="AV59" i="7"/>
  <c r="AV58" i="7"/>
  <c r="AV15" i="7"/>
  <c r="AV103" i="7"/>
  <c r="AV351" i="7"/>
  <c r="AV486" i="7"/>
  <c r="AV485" i="7"/>
  <c r="AV483" i="7"/>
  <c r="AV482" i="7"/>
  <c r="AV478" i="7"/>
  <c r="AV149" i="7"/>
  <c r="AV134" i="7"/>
  <c r="AV488" i="7"/>
  <c r="AV477" i="7"/>
  <c r="AV476" i="7"/>
  <c r="AV475" i="7"/>
  <c r="AV474" i="7"/>
  <c r="AV472" i="7"/>
  <c r="AV471" i="7"/>
  <c r="AV470" i="7"/>
  <c r="AV487" i="7"/>
  <c r="AV204" i="7"/>
  <c r="AV431" i="7"/>
  <c r="AV430" i="7"/>
  <c r="AV427" i="7"/>
  <c r="AV425" i="7"/>
  <c r="AV424" i="7"/>
  <c r="AV421" i="7"/>
  <c r="AV420" i="7"/>
  <c r="AV413" i="7"/>
  <c r="AV412" i="7"/>
  <c r="AV360" i="7"/>
  <c r="AV359" i="7"/>
  <c r="AV357" i="7"/>
  <c r="AV353" i="7"/>
  <c r="AV352" i="7"/>
  <c r="AV350" i="7"/>
  <c r="AV346" i="7"/>
  <c r="AV345" i="7"/>
  <c r="AV344" i="7"/>
  <c r="AV343" i="7"/>
  <c r="AV339" i="7"/>
  <c r="AV338" i="7"/>
  <c r="AV337" i="7"/>
  <c r="AV336" i="7"/>
  <c r="AV332" i="7"/>
  <c r="AV329" i="7"/>
  <c r="AV328" i="7"/>
  <c r="AV327" i="7"/>
  <c r="AV326" i="7"/>
  <c r="AV321" i="7"/>
  <c r="AV320" i="7"/>
  <c r="AV319" i="7"/>
  <c r="AV318" i="7"/>
  <c r="AV317" i="7"/>
  <c r="AV316" i="7"/>
  <c r="AV315" i="7"/>
  <c r="AV314" i="7"/>
  <c r="AV309" i="7"/>
  <c r="AV468" i="7"/>
  <c r="AV466" i="7"/>
  <c r="AV465" i="7"/>
  <c r="AV464" i="7"/>
  <c r="AV463" i="7"/>
  <c r="AV462" i="7"/>
  <c r="AV458" i="7"/>
  <c r="AV457" i="7"/>
  <c r="AV456" i="7"/>
  <c r="AV455" i="7"/>
  <c r="AV451" i="7"/>
  <c r="AV450" i="7"/>
  <c r="AV449" i="7"/>
  <c r="AV448" i="7"/>
  <c r="AV447" i="7"/>
  <c r="AV469" i="7"/>
  <c r="AV443" i="7"/>
  <c r="AV307" i="7"/>
  <c r="AV306" i="7"/>
  <c r="AV305" i="7"/>
  <c r="AV304" i="7"/>
  <c r="AV303" i="7"/>
  <c r="AV302" i="7"/>
  <c r="AV301" i="7"/>
  <c r="AV298" i="7"/>
  <c r="AV297" i="7"/>
  <c r="AV294" i="7"/>
  <c r="AV293" i="7"/>
  <c r="AV292" i="7"/>
  <c r="AV291" i="7"/>
  <c r="AV290" i="7"/>
  <c r="AV289" i="7"/>
  <c r="AV288" i="7"/>
  <c r="AV287" i="7"/>
  <c r="AV286" i="7"/>
  <c r="AV285" i="7"/>
  <c r="AV284" i="7"/>
  <c r="AV283" i="7"/>
  <c r="AV282" i="7"/>
  <c r="AV281" i="7"/>
  <c r="AV280" i="7"/>
  <c r="AV185" i="7"/>
  <c r="AV184" i="7"/>
  <c r="AV183" i="7"/>
  <c r="AV182" i="7"/>
  <c r="AV179" i="7"/>
  <c r="AV178" i="7"/>
  <c r="AV177" i="7"/>
  <c r="AV176" i="7"/>
  <c r="AV173" i="7"/>
  <c r="AV172" i="7"/>
  <c r="AV171" i="7"/>
  <c r="AV170" i="7"/>
  <c r="AV168" i="7"/>
  <c r="AV167" i="7"/>
  <c r="AV165" i="7"/>
  <c r="AV164" i="7"/>
  <c r="AV163" i="7"/>
  <c r="AV160" i="7"/>
  <c r="AV159" i="7"/>
  <c r="AV158" i="7"/>
  <c r="AV155" i="7"/>
  <c r="AV154" i="7"/>
  <c r="AV153" i="7"/>
  <c r="AV152" i="7"/>
  <c r="AV151" i="7"/>
  <c r="AV146" i="7"/>
  <c r="AV145" i="7"/>
  <c r="AV144" i="7"/>
  <c r="AV143" i="7"/>
  <c r="AV140" i="7"/>
  <c r="AV139" i="7"/>
  <c r="AV138" i="7"/>
  <c r="AV137" i="7"/>
  <c r="AV131" i="7"/>
  <c r="AV130" i="7"/>
  <c r="AV129" i="7"/>
  <c r="AV128" i="7"/>
  <c r="AV127" i="7"/>
  <c r="AV125" i="7"/>
  <c r="AV124" i="7"/>
  <c r="AV123" i="7"/>
  <c r="AV122" i="7"/>
  <c r="AV121" i="7"/>
  <c r="AV120" i="7"/>
  <c r="AV119" i="7"/>
  <c r="AV118" i="7"/>
  <c r="AV117" i="7"/>
  <c r="AV116" i="7"/>
  <c r="AV115" i="7"/>
  <c r="AV114" i="7"/>
  <c r="AV113" i="7"/>
  <c r="AV110" i="7"/>
  <c r="AV109" i="7"/>
  <c r="AV108" i="7"/>
  <c r="AV105" i="7"/>
  <c r="AV104" i="7"/>
  <c r="AV100" i="7"/>
  <c r="AV99" i="7"/>
  <c r="AV97" i="7"/>
  <c r="AV93" i="7"/>
  <c r="AV91" i="7"/>
  <c r="AV90" i="7"/>
  <c r="AV89" i="7"/>
  <c r="AV87" i="7"/>
  <c r="AV85" i="7"/>
  <c r="AV84" i="7"/>
  <c r="AV83" i="7"/>
  <c r="AV79" i="7"/>
  <c r="AV73" i="7"/>
  <c r="AV72" i="7"/>
  <c r="AV71" i="7"/>
  <c r="AV70" i="7"/>
  <c r="AV69" i="7"/>
  <c r="AV68" i="7"/>
  <c r="AV66" i="7"/>
  <c r="AV65" i="7"/>
  <c r="AV64" i="7"/>
  <c r="AV63" i="7"/>
  <c r="AV62" i="7"/>
  <c r="AV61" i="7"/>
  <c r="AV53" i="7"/>
  <c r="AV52" i="7"/>
  <c r="AV51" i="7"/>
  <c r="AV49" i="7"/>
  <c r="AV48" i="7"/>
  <c r="AV46" i="7"/>
  <c r="AV45" i="7"/>
  <c r="AV44" i="7"/>
  <c r="AV43" i="7"/>
  <c r="AV40" i="7"/>
  <c r="AV39" i="7"/>
  <c r="AV38" i="7"/>
  <c r="AV37" i="7"/>
  <c r="AV36" i="7"/>
  <c r="AV35" i="7"/>
  <c r="AV34" i="7"/>
  <c r="AV33" i="7"/>
  <c r="AV24" i="7"/>
  <c r="AV23" i="7"/>
  <c r="AV22" i="7"/>
  <c r="AV21" i="7"/>
  <c r="AV20" i="7"/>
  <c r="AV19" i="7"/>
  <c r="AV18" i="7"/>
  <c r="AV17" i="7"/>
  <c r="AV16" i="7"/>
  <c r="AV233" i="7"/>
  <c r="AV231" i="7"/>
  <c r="AV230" i="7"/>
  <c r="AV229" i="7"/>
  <c r="AV228" i="7"/>
  <c r="AV227" i="7"/>
  <c r="AV226" i="7"/>
  <c r="AV224" i="7"/>
  <c r="AV223" i="7"/>
  <c r="AV222" i="7"/>
  <c r="AV221" i="7"/>
  <c r="AV220" i="7"/>
  <c r="AV219" i="7"/>
  <c r="AV218" i="7"/>
  <c r="AV209" i="7"/>
  <c r="AV208" i="7"/>
  <c r="AV207" i="7"/>
  <c r="AV206" i="7"/>
  <c r="AV205" i="7"/>
  <c r="AV203" i="7"/>
  <c r="AV202" i="7"/>
  <c r="AV201" i="7"/>
  <c r="AV196" i="7"/>
  <c r="AV193" i="7"/>
  <c r="AV225" i="7"/>
  <c r="AV277" i="7"/>
  <c r="AG201" i="7"/>
  <c r="AG209" i="7" s="1"/>
  <c r="AH323" i="7"/>
  <c r="AH383" i="7" s="1"/>
  <c r="AH26" i="7" s="1"/>
  <c r="AH314" i="7"/>
  <c r="AH316" i="7" s="1"/>
  <c r="AG222" i="7"/>
  <c r="AG224" i="7" s="1"/>
  <c r="AG447" i="7" s="1"/>
  <c r="AH343" i="7"/>
  <c r="AW8" i="7"/>
  <c r="AW6" i="7"/>
  <c r="AW7" i="7"/>
  <c r="AH337" i="7"/>
  <c r="AH340" i="7"/>
  <c r="AH387" i="7" s="1"/>
  <c r="AX4" i="7"/>
  <c r="AX11" i="7" s="1"/>
  <c r="AY3" i="7"/>
  <c r="AX5" i="7"/>
  <c r="AH28" i="7"/>
  <c r="AJ286" i="7"/>
  <c r="AJ288" i="7" s="1"/>
  <c r="AJ353" i="7"/>
  <c r="AW13" i="7"/>
  <c r="AW441" i="7"/>
  <c r="AW275" i="7"/>
  <c r="AW191" i="7"/>
  <c r="AG227" i="7" l="1"/>
  <c r="AG231" i="7" s="1"/>
  <c r="AG451" i="7"/>
  <c r="AH29" i="7"/>
  <c r="AG75" i="7"/>
  <c r="AZ3" i="7"/>
  <c r="AY4" i="7"/>
  <c r="AY11" i="7" s="1"/>
  <c r="AY5" i="7"/>
  <c r="AX8" i="7"/>
  <c r="AX6" i="7"/>
  <c r="AX7" i="7"/>
  <c r="AW248" i="7"/>
  <c r="AW247" i="7"/>
  <c r="AW246" i="7"/>
  <c r="AW245" i="7"/>
  <c r="AW244" i="7"/>
  <c r="AW243" i="7"/>
  <c r="AW242" i="7"/>
  <c r="AW241" i="7"/>
  <c r="AW240" i="7"/>
  <c r="AW239" i="7"/>
  <c r="AW238" i="7"/>
  <c r="AW237" i="7"/>
  <c r="AW249" i="7"/>
  <c r="AW254" i="7"/>
  <c r="AW256" i="7"/>
  <c r="AW257" i="7"/>
  <c r="AW258" i="7"/>
  <c r="AW259" i="7"/>
  <c r="AW261" i="7"/>
  <c r="AW262" i="7"/>
  <c r="AW263" i="7"/>
  <c r="AW264" i="7"/>
  <c r="AW236" i="7"/>
  <c r="AW252" i="7"/>
  <c r="AW253" i="7"/>
  <c r="AW265" i="7"/>
  <c r="AW266" i="7"/>
  <c r="AW214" i="7"/>
  <c r="AW213" i="7"/>
  <c r="AW57" i="7"/>
  <c r="AW269" i="7"/>
  <c r="AW212" i="7"/>
  <c r="AW200" i="7"/>
  <c r="AW271" i="7"/>
  <c r="AW199" i="7"/>
  <c r="AW268" i="7"/>
  <c r="AW217" i="7"/>
  <c r="AW198" i="7"/>
  <c r="AW216" i="7"/>
  <c r="AW270" i="7"/>
  <c r="AW215" i="7"/>
  <c r="AW378" i="7"/>
  <c r="AW376" i="7"/>
  <c r="AW405" i="7"/>
  <c r="AW404" i="7"/>
  <c r="AW403" i="7"/>
  <c r="AW379" i="7"/>
  <c r="AW395" i="7"/>
  <c r="AW394" i="7"/>
  <c r="AW406" i="7"/>
  <c r="AW374" i="7"/>
  <c r="AW373" i="7"/>
  <c r="AW407" i="7"/>
  <c r="AW377" i="7"/>
  <c r="AW197" i="7"/>
  <c r="AW375" i="7"/>
  <c r="AW399" i="7"/>
  <c r="AW398" i="7"/>
  <c r="AW397" i="7"/>
  <c r="AW396" i="7"/>
  <c r="AW389" i="7"/>
  <c r="AW388" i="7"/>
  <c r="AW386" i="7"/>
  <c r="AW385" i="7"/>
  <c r="AW383" i="7"/>
  <c r="AW32" i="7"/>
  <c r="AW31" i="7"/>
  <c r="AW30" i="7"/>
  <c r="AW390" i="7"/>
  <c r="AW387" i="7"/>
  <c r="AW28" i="7"/>
  <c r="AW27" i="7"/>
  <c r="AW26" i="7"/>
  <c r="AW98" i="7"/>
  <c r="AW437" i="7"/>
  <c r="AW76" i="7"/>
  <c r="AW436" i="7"/>
  <c r="AW435" i="7"/>
  <c r="AW434" i="7"/>
  <c r="AW433" i="7"/>
  <c r="AW417" i="7"/>
  <c r="AW416" i="7"/>
  <c r="AW358" i="7"/>
  <c r="AW75" i="7"/>
  <c r="AW29" i="7"/>
  <c r="AW77" i="7"/>
  <c r="AW367" i="7"/>
  <c r="AW366" i="7"/>
  <c r="AW371" i="7"/>
  <c r="AW361" i="7"/>
  <c r="AW354" i="7"/>
  <c r="AW347" i="7"/>
  <c r="AW340" i="7"/>
  <c r="AW330" i="7"/>
  <c r="AW333" i="7"/>
  <c r="AW323" i="7"/>
  <c r="AW59" i="7"/>
  <c r="AW58" i="7"/>
  <c r="AW15" i="7"/>
  <c r="AW103" i="7"/>
  <c r="AW351" i="7"/>
  <c r="AW331" i="7"/>
  <c r="AW485" i="7"/>
  <c r="AW483" i="7"/>
  <c r="AW482" i="7"/>
  <c r="AW478" i="7"/>
  <c r="AW149" i="7"/>
  <c r="AW134" i="7"/>
  <c r="AW488" i="7"/>
  <c r="AW477" i="7"/>
  <c r="AW476" i="7"/>
  <c r="AW475" i="7"/>
  <c r="AW474" i="7"/>
  <c r="AW472" i="7"/>
  <c r="AW471" i="7"/>
  <c r="AW470" i="7"/>
  <c r="AW469" i="7"/>
  <c r="AW487" i="7"/>
  <c r="AW486" i="7"/>
  <c r="AW468" i="7"/>
  <c r="AW466" i="7"/>
  <c r="AW465" i="7"/>
  <c r="AW464" i="7"/>
  <c r="AW463" i="7"/>
  <c r="AW462" i="7"/>
  <c r="AW458" i="7"/>
  <c r="AW457" i="7"/>
  <c r="AW456" i="7"/>
  <c r="AW455" i="7"/>
  <c r="AW451" i="7"/>
  <c r="AW450" i="7"/>
  <c r="AW449" i="7"/>
  <c r="AW448" i="7"/>
  <c r="AW447" i="7"/>
  <c r="AW443" i="7"/>
  <c r="AW204" i="7"/>
  <c r="AW431" i="7"/>
  <c r="AW430" i="7"/>
  <c r="AW427" i="7"/>
  <c r="AW425" i="7"/>
  <c r="AW424" i="7"/>
  <c r="AW421" i="7"/>
  <c r="AW420" i="7"/>
  <c r="AW413" i="7"/>
  <c r="AW412" i="7"/>
  <c r="AW360" i="7"/>
  <c r="AW359" i="7"/>
  <c r="AW357" i="7"/>
  <c r="AW353" i="7"/>
  <c r="AW352" i="7"/>
  <c r="AW350" i="7"/>
  <c r="AW346" i="7"/>
  <c r="AW345" i="7"/>
  <c r="AW344" i="7"/>
  <c r="AW343" i="7"/>
  <c r="AW339" i="7"/>
  <c r="AW338" i="7"/>
  <c r="AW337" i="7"/>
  <c r="AW336" i="7"/>
  <c r="AW332" i="7"/>
  <c r="AW329" i="7"/>
  <c r="AW328" i="7"/>
  <c r="AW327" i="7"/>
  <c r="AW326" i="7"/>
  <c r="AW321" i="7"/>
  <c r="AW320" i="7"/>
  <c r="AW319" i="7"/>
  <c r="AW318" i="7"/>
  <c r="AW315" i="7"/>
  <c r="AW309" i="7"/>
  <c r="AW307" i="7"/>
  <c r="AW306" i="7"/>
  <c r="AW305" i="7"/>
  <c r="AW304" i="7"/>
  <c r="AW303" i="7"/>
  <c r="AW302" i="7"/>
  <c r="AW301" i="7"/>
  <c r="AW298" i="7"/>
  <c r="AW297" i="7"/>
  <c r="AW294" i="7"/>
  <c r="AW293" i="7"/>
  <c r="AW292" i="7"/>
  <c r="AW291" i="7"/>
  <c r="AW290" i="7"/>
  <c r="AW289" i="7"/>
  <c r="AW288" i="7"/>
  <c r="AW287" i="7"/>
  <c r="AW286" i="7"/>
  <c r="AW285" i="7"/>
  <c r="AW284" i="7"/>
  <c r="AW283" i="7"/>
  <c r="AW282" i="7"/>
  <c r="AW281" i="7"/>
  <c r="AW280" i="7"/>
  <c r="AW185" i="7"/>
  <c r="AW184" i="7"/>
  <c r="AW183" i="7"/>
  <c r="AW182" i="7"/>
  <c r="AW179" i="7"/>
  <c r="AW178" i="7"/>
  <c r="AW177" i="7"/>
  <c r="AW176" i="7"/>
  <c r="AW173" i="7"/>
  <c r="AW172" i="7"/>
  <c r="AW171" i="7"/>
  <c r="AW170" i="7"/>
  <c r="AW168" i="7"/>
  <c r="AW167" i="7"/>
  <c r="AW165" i="7"/>
  <c r="AW164" i="7"/>
  <c r="AW163" i="7"/>
  <c r="AW160" i="7"/>
  <c r="AW159" i="7"/>
  <c r="AW158" i="7"/>
  <c r="AW155" i="7"/>
  <c r="AW154" i="7"/>
  <c r="AW153" i="7"/>
  <c r="AW152" i="7"/>
  <c r="AW151" i="7"/>
  <c r="AW146" i="7"/>
  <c r="AW145" i="7"/>
  <c r="AW144" i="7"/>
  <c r="AW143" i="7"/>
  <c r="AW140" i="7"/>
  <c r="AW139" i="7"/>
  <c r="AW316" i="7"/>
  <c r="AW317" i="7"/>
  <c r="AW314" i="7"/>
  <c r="AW138" i="7"/>
  <c r="AW137" i="7"/>
  <c r="AW131" i="7"/>
  <c r="AW130" i="7"/>
  <c r="AW129" i="7"/>
  <c r="AW128" i="7"/>
  <c r="AW127" i="7"/>
  <c r="AW125" i="7"/>
  <c r="AW124" i="7"/>
  <c r="AW123" i="7"/>
  <c r="AW122" i="7"/>
  <c r="AW121" i="7"/>
  <c r="AW120" i="7"/>
  <c r="AW119" i="7"/>
  <c r="AW118" i="7"/>
  <c r="AW117" i="7"/>
  <c r="AW116" i="7"/>
  <c r="AW115" i="7"/>
  <c r="AW114" i="7"/>
  <c r="AW113" i="7"/>
  <c r="AW110" i="7"/>
  <c r="AW109" i="7"/>
  <c r="AW108" i="7"/>
  <c r="AW105" i="7"/>
  <c r="AW104" i="7"/>
  <c r="AW100" i="7"/>
  <c r="AW99" i="7"/>
  <c r="AW97" i="7"/>
  <c r="AW93" i="7"/>
  <c r="AW91" i="7"/>
  <c r="AW90" i="7"/>
  <c r="AW89" i="7"/>
  <c r="AW87" i="7"/>
  <c r="AW85" i="7"/>
  <c r="AW84" i="7"/>
  <c r="AW83" i="7"/>
  <c r="AW79" i="7"/>
  <c r="AW73" i="7"/>
  <c r="AW72" i="7"/>
  <c r="AW71" i="7"/>
  <c r="AW70" i="7"/>
  <c r="AW69" i="7"/>
  <c r="AW68" i="7"/>
  <c r="AW66" i="7"/>
  <c r="AW65" i="7"/>
  <c r="AW64" i="7"/>
  <c r="AW63" i="7"/>
  <c r="AW62" i="7"/>
  <c r="AW61" i="7"/>
  <c r="AW53" i="7"/>
  <c r="AW52" i="7"/>
  <c r="AW51" i="7"/>
  <c r="AW49" i="7"/>
  <c r="AW48" i="7"/>
  <c r="AW46" i="7"/>
  <c r="AW45" i="7"/>
  <c r="AW233" i="7"/>
  <c r="AW231" i="7"/>
  <c r="AW230" i="7"/>
  <c r="AW229" i="7"/>
  <c r="AW228" i="7"/>
  <c r="AW227" i="7"/>
  <c r="AW226" i="7"/>
  <c r="AW224" i="7"/>
  <c r="AW223" i="7"/>
  <c r="AW222" i="7"/>
  <c r="AW221" i="7"/>
  <c r="AW220" i="7"/>
  <c r="AW219" i="7"/>
  <c r="AW218" i="7"/>
  <c r="AW209" i="7"/>
  <c r="AW208" i="7"/>
  <c r="AW207" i="7"/>
  <c r="AW206" i="7"/>
  <c r="AW205" i="7"/>
  <c r="AW203" i="7"/>
  <c r="AW202" i="7"/>
  <c r="AW201" i="7"/>
  <c r="AW196" i="7"/>
  <c r="AW193" i="7"/>
  <c r="AW225" i="7"/>
  <c r="AW277" i="7"/>
  <c r="AW44" i="7"/>
  <c r="AW43" i="7"/>
  <c r="AW40" i="7"/>
  <c r="AW39" i="7"/>
  <c r="AW38" i="7"/>
  <c r="AW37" i="7"/>
  <c r="AW36" i="7"/>
  <c r="AW35" i="7"/>
  <c r="AW34" i="7"/>
  <c r="AW33" i="7"/>
  <c r="AW24" i="7"/>
  <c r="AW23" i="7"/>
  <c r="AW22" i="7"/>
  <c r="AW21" i="7"/>
  <c r="AW20" i="7"/>
  <c r="AW19" i="7"/>
  <c r="AW18" i="7"/>
  <c r="AW17" i="7"/>
  <c r="AW16" i="7"/>
  <c r="AJ412" i="7"/>
  <c r="AJ420" i="7" s="1"/>
  <c r="AJ223" i="7"/>
  <c r="AK350" i="7"/>
  <c r="AX13" i="7"/>
  <c r="AX441" i="7"/>
  <c r="AX275" i="7"/>
  <c r="AX191" i="7"/>
  <c r="AG233" i="7"/>
  <c r="AG77" i="7"/>
  <c r="AG482" i="7"/>
  <c r="AH344" i="7"/>
  <c r="AH319" i="7" s="1"/>
  <c r="AH347" i="7"/>
  <c r="AH388" i="7" s="1"/>
  <c r="AH395" i="7" s="1"/>
  <c r="AH456" i="7" s="1"/>
  <c r="AG448" i="7"/>
  <c r="AG483" i="7" s="1"/>
  <c r="AG486" i="7"/>
  <c r="AH476" i="7" l="1"/>
  <c r="AH470" i="7"/>
  <c r="AH464" i="7"/>
  <c r="AH30" i="7"/>
  <c r="AH32" i="7" s="1"/>
  <c r="AH394" i="7"/>
  <c r="AH455" i="7" s="1"/>
  <c r="AH397" i="7"/>
  <c r="AH396" i="7"/>
  <c r="AH457" i="7" s="1"/>
  <c r="AX249" i="7"/>
  <c r="AX248" i="7"/>
  <c r="AX247" i="7"/>
  <c r="AX246" i="7"/>
  <c r="AX245" i="7"/>
  <c r="AX244" i="7"/>
  <c r="AX243" i="7"/>
  <c r="AX242" i="7"/>
  <c r="AX241" i="7"/>
  <c r="AX240" i="7"/>
  <c r="AX239" i="7"/>
  <c r="AX238" i="7"/>
  <c r="AX237" i="7"/>
  <c r="AX254" i="7"/>
  <c r="AX256" i="7"/>
  <c r="AX257" i="7"/>
  <c r="AX258" i="7"/>
  <c r="AX259" i="7"/>
  <c r="AX261" i="7"/>
  <c r="AX262" i="7"/>
  <c r="AX263" i="7"/>
  <c r="AX264" i="7"/>
  <c r="AX236" i="7"/>
  <c r="AX252" i="7"/>
  <c r="AX270" i="7"/>
  <c r="AX213" i="7"/>
  <c r="AX57" i="7"/>
  <c r="AX265" i="7"/>
  <c r="AX266" i="7"/>
  <c r="AX212" i="7"/>
  <c r="AX407" i="7"/>
  <c r="AX253" i="7"/>
  <c r="AX200" i="7"/>
  <c r="AX269" i="7"/>
  <c r="AX199" i="7"/>
  <c r="AX217" i="7"/>
  <c r="AX198" i="7"/>
  <c r="AX271" i="7"/>
  <c r="AX216" i="7"/>
  <c r="AX268" i="7"/>
  <c r="AX215" i="7"/>
  <c r="AX214" i="7"/>
  <c r="AX376" i="7"/>
  <c r="AX405" i="7"/>
  <c r="AX404" i="7"/>
  <c r="AX403" i="7"/>
  <c r="AX379" i="7"/>
  <c r="AX395" i="7"/>
  <c r="AX394" i="7"/>
  <c r="AX406" i="7"/>
  <c r="AX374" i="7"/>
  <c r="AX373" i="7"/>
  <c r="AX377" i="7"/>
  <c r="AX197" i="7"/>
  <c r="AX375" i="7"/>
  <c r="AX399" i="7"/>
  <c r="AX398" i="7"/>
  <c r="AX397" i="7"/>
  <c r="AX396" i="7"/>
  <c r="AX378" i="7"/>
  <c r="AX389" i="7"/>
  <c r="AX388" i="7"/>
  <c r="AX386" i="7"/>
  <c r="AX385" i="7"/>
  <c r="AX383" i="7"/>
  <c r="AX31" i="7"/>
  <c r="AX30" i="7"/>
  <c r="AX390" i="7"/>
  <c r="AX387" i="7"/>
  <c r="AX76" i="7"/>
  <c r="AX436" i="7"/>
  <c r="AX75" i="7"/>
  <c r="AX29" i="7"/>
  <c r="AX77" i="7"/>
  <c r="AX367" i="7"/>
  <c r="AX366" i="7"/>
  <c r="AX32" i="7"/>
  <c r="AX28" i="7"/>
  <c r="AX27" i="7"/>
  <c r="AX26" i="7"/>
  <c r="AX98" i="7"/>
  <c r="AX437" i="7"/>
  <c r="AX435" i="7"/>
  <c r="AX416" i="7"/>
  <c r="AX358" i="7"/>
  <c r="AX417" i="7"/>
  <c r="AX59" i="7"/>
  <c r="AX58" i="7"/>
  <c r="AX15" i="7"/>
  <c r="AX103" i="7"/>
  <c r="AX434" i="7"/>
  <c r="AX351" i="7"/>
  <c r="AX331" i="7"/>
  <c r="AX433" i="7"/>
  <c r="AX371" i="7"/>
  <c r="AX361" i="7"/>
  <c r="AX354" i="7"/>
  <c r="AX347" i="7"/>
  <c r="AX340" i="7"/>
  <c r="AX330" i="7"/>
  <c r="AX333" i="7"/>
  <c r="AX323" i="7"/>
  <c r="AX483" i="7"/>
  <c r="AX482" i="7"/>
  <c r="AX478" i="7"/>
  <c r="AX149" i="7"/>
  <c r="AX134" i="7"/>
  <c r="AX488" i="7"/>
  <c r="AX477" i="7"/>
  <c r="AX476" i="7"/>
  <c r="AX475" i="7"/>
  <c r="AX474" i="7"/>
  <c r="AX472" i="7"/>
  <c r="AX471" i="7"/>
  <c r="AX470" i="7"/>
  <c r="AX487" i="7"/>
  <c r="AX486" i="7"/>
  <c r="AX485" i="7"/>
  <c r="AX468" i="7"/>
  <c r="AX466" i="7"/>
  <c r="AX465" i="7"/>
  <c r="AX464" i="7"/>
  <c r="AX463" i="7"/>
  <c r="AX462" i="7"/>
  <c r="AX458" i="7"/>
  <c r="AX457" i="7"/>
  <c r="AX456" i="7"/>
  <c r="AX455" i="7"/>
  <c r="AX451" i="7"/>
  <c r="AX450" i="7"/>
  <c r="AX449" i="7"/>
  <c r="AX448" i="7"/>
  <c r="AX447" i="7"/>
  <c r="AX469" i="7"/>
  <c r="AX443" i="7"/>
  <c r="AX204" i="7"/>
  <c r="AX431" i="7"/>
  <c r="AX430" i="7"/>
  <c r="AX427" i="7"/>
  <c r="AX425" i="7"/>
  <c r="AX424" i="7"/>
  <c r="AX421" i="7"/>
  <c r="AX420" i="7"/>
  <c r="AX413" i="7"/>
  <c r="AX412" i="7"/>
  <c r="AX360" i="7"/>
  <c r="AX359" i="7"/>
  <c r="AX357" i="7"/>
  <c r="AX353" i="7"/>
  <c r="AX352" i="7"/>
  <c r="AX350" i="7"/>
  <c r="AX346" i="7"/>
  <c r="AX345" i="7"/>
  <c r="AX344" i="7"/>
  <c r="AX343" i="7"/>
  <c r="AX339" i="7"/>
  <c r="AX338" i="7"/>
  <c r="AX337" i="7"/>
  <c r="AX336" i="7"/>
  <c r="AX332" i="7"/>
  <c r="AX329" i="7"/>
  <c r="AX328" i="7"/>
  <c r="AX327" i="7"/>
  <c r="AX326" i="7"/>
  <c r="AX321" i="7"/>
  <c r="AX320" i="7"/>
  <c r="AX319" i="7"/>
  <c r="AX318" i="7"/>
  <c r="AX317" i="7"/>
  <c r="AX316" i="7"/>
  <c r="AX314" i="7"/>
  <c r="AX315" i="7"/>
  <c r="AX309" i="7"/>
  <c r="AX307" i="7"/>
  <c r="AX306" i="7"/>
  <c r="AX305" i="7"/>
  <c r="AX304" i="7"/>
  <c r="AX303" i="7"/>
  <c r="AX302" i="7"/>
  <c r="AX301" i="7"/>
  <c r="AX298" i="7"/>
  <c r="AX297" i="7"/>
  <c r="AX294" i="7"/>
  <c r="AX293" i="7"/>
  <c r="AX292" i="7"/>
  <c r="AX291" i="7"/>
  <c r="AX290" i="7"/>
  <c r="AX289" i="7"/>
  <c r="AX288" i="7"/>
  <c r="AX287" i="7"/>
  <c r="AX286" i="7"/>
  <c r="AX285" i="7"/>
  <c r="AX284" i="7"/>
  <c r="AX283" i="7"/>
  <c r="AX282" i="7"/>
  <c r="AX281" i="7"/>
  <c r="AX280" i="7"/>
  <c r="AX185" i="7"/>
  <c r="AX184" i="7"/>
  <c r="AX183" i="7"/>
  <c r="AX182" i="7"/>
  <c r="AX179" i="7"/>
  <c r="AX178" i="7"/>
  <c r="AX177" i="7"/>
  <c r="AX176" i="7"/>
  <c r="AX173" i="7"/>
  <c r="AX172" i="7"/>
  <c r="AX171" i="7"/>
  <c r="AX170" i="7"/>
  <c r="AX168" i="7"/>
  <c r="AX167" i="7"/>
  <c r="AX165" i="7"/>
  <c r="AX164" i="7"/>
  <c r="AX163" i="7"/>
  <c r="AX160" i="7"/>
  <c r="AX159" i="7"/>
  <c r="AX158" i="7"/>
  <c r="AX155" i="7"/>
  <c r="AX154" i="7"/>
  <c r="AX153" i="7"/>
  <c r="AX152" i="7"/>
  <c r="AX151" i="7"/>
  <c r="AX146" i="7"/>
  <c r="AX145" i="7"/>
  <c r="AX144" i="7"/>
  <c r="AX143" i="7"/>
  <c r="AX140" i="7"/>
  <c r="AX139" i="7"/>
  <c r="AX138" i="7"/>
  <c r="AX137" i="7"/>
  <c r="AX131" i="7"/>
  <c r="AX130" i="7"/>
  <c r="AX129" i="7"/>
  <c r="AX128" i="7"/>
  <c r="AX127" i="7"/>
  <c r="AX125" i="7"/>
  <c r="AX124" i="7"/>
  <c r="AX123" i="7"/>
  <c r="AX122" i="7"/>
  <c r="AX121" i="7"/>
  <c r="AX120" i="7"/>
  <c r="AX119" i="7"/>
  <c r="AX118" i="7"/>
  <c r="AX117" i="7"/>
  <c r="AX116" i="7"/>
  <c r="AX115" i="7"/>
  <c r="AX114" i="7"/>
  <c r="AX113" i="7"/>
  <c r="AX110" i="7"/>
  <c r="AX109" i="7"/>
  <c r="AX108" i="7"/>
  <c r="AX105" i="7"/>
  <c r="AX104" i="7"/>
  <c r="AX100" i="7"/>
  <c r="AX99" i="7"/>
  <c r="AX97" i="7"/>
  <c r="AX93" i="7"/>
  <c r="AX91" i="7"/>
  <c r="AX90" i="7"/>
  <c r="AX89" i="7"/>
  <c r="AX87" i="7"/>
  <c r="AX85" i="7"/>
  <c r="AX84" i="7"/>
  <c r="AX83" i="7"/>
  <c r="AX79" i="7"/>
  <c r="AX73" i="7"/>
  <c r="AX72" i="7"/>
  <c r="AX71" i="7"/>
  <c r="AX70" i="7"/>
  <c r="AX69" i="7"/>
  <c r="AX68" i="7"/>
  <c r="AX66" i="7"/>
  <c r="AX65" i="7"/>
  <c r="AX64" i="7"/>
  <c r="AX63" i="7"/>
  <c r="AX62" i="7"/>
  <c r="AX61" i="7"/>
  <c r="AX53" i="7"/>
  <c r="AX52" i="7"/>
  <c r="AX51" i="7"/>
  <c r="AX49" i="7"/>
  <c r="AX48" i="7"/>
  <c r="AX46" i="7"/>
  <c r="AX45" i="7"/>
  <c r="AX44" i="7"/>
  <c r="AX225" i="7"/>
  <c r="AX277" i="7"/>
  <c r="AX43" i="7"/>
  <c r="AX40" i="7"/>
  <c r="AX39" i="7"/>
  <c r="AX38" i="7"/>
  <c r="AX37" i="7"/>
  <c r="AX36" i="7"/>
  <c r="AX35" i="7"/>
  <c r="AX34" i="7"/>
  <c r="AX33" i="7"/>
  <c r="AX24" i="7"/>
  <c r="AX23" i="7"/>
  <c r="AX22" i="7"/>
  <c r="AX21" i="7"/>
  <c r="AX20" i="7"/>
  <c r="AX19" i="7"/>
  <c r="AX18" i="7"/>
  <c r="AX17" i="7"/>
  <c r="AX16" i="7"/>
  <c r="AX233" i="7"/>
  <c r="AX231" i="7"/>
  <c r="AX230" i="7"/>
  <c r="AX229" i="7"/>
  <c r="AX228" i="7"/>
  <c r="AX227" i="7"/>
  <c r="AX226" i="7"/>
  <c r="AX224" i="7"/>
  <c r="AX223" i="7"/>
  <c r="AX222" i="7"/>
  <c r="AX221" i="7"/>
  <c r="AX220" i="7"/>
  <c r="AX219" i="7"/>
  <c r="AX218" i="7"/>
  <c r="AX209" i="7"/>
  <c r="AX208" i="7"/>
  <c r="AX207" i="7"/>
  <c r="AX206" i="7"/>
  <c r="AX205" i="7"/>
  <c r="AX203" i="7"/>
  <c r="AX202" i="7"/>
  <c r="AX201" i="7"/>
  <c r="AX196" i="7"/>
  <c r="AX193" i="7"/>
  <c r="AG487" i="7"/>
  <c r="AG488" i="7"/>
  <c r="AK354" i="7"/>
  <c r="AK389" i="7" s="1"/>
  <c r="AY8" i="7"/>
  <c r="AY6" i="7"/>
  <c r="AY7" i="7"/>
  <c r="AY13" i="7"/>
  <c r="AY441" i="7"/>
  <c r="AY275" i="7"/>
  <c r="AY191" i="7"/>
  <c r="BA3" i="7"/>
  <c r="AZ4" i="7"/>
  <c r="AZ11" i="7" s="1"/>
  <c r="AZ5" i="7"/>
  <c r="AH118" i="7" l="1"/>
  <c r="AH121" i="7" s="1"/>
  <c r="AH35" i="7"/>
  <c r="AH36" i="7" s="1"/>
  <c r="AH131" i="7" s="1"/>
  <c r="AH398" i="7"/>
  <c r="AH399" i="7" s="1"/>
  <c r="AH469" i="7"/>
  <c r="AH475" i="7"/>
  <c r="AH463" i="7"/>
  <c r="AH471" i="7"/>
  <c r="AH465" i="7"/>
  <c r="AH477" i="7"/>
  <c r="AZ8" i="7"/>
  <c r="AZ6" i="7"/>
  <c r="AZ7" i="7"/>
  <c r="AZ13" i="7"/>
  <c r="AZ441" i="7"/>
  <c r="AZ275" i="7"/>
  <c r="AZ191" i="7"/>
  <c r="AK351" i="7"/>
  <c r="AK31" i="7"/>
  <c r="BB3" i="7"/>
  <c r="BA4" i="7"/>
  <c r="BA11" i="7" s="1"/>
  <c r="BA5" i="7"/>
  <c r="AY248" i="7"/>
  <c r="AY247" i="7"/>
  <c r="AY246" i="7"/>
  <c r="AY245" i="7"/>
  <c r="AY244" i="7"/>
  <c r="AY243" i="7"/>
  <c r="AY242" i="7"/>
  <c r="AY241" i="7"/>
  <c r="AY240" i="7"/>
  <c r="AY239" i="7"/>
  <c r="AY238" i="7"/>
  <c r="AY237" i="7"/>
  <c r="AY249" i="7"/>
  <c r="AY236" i="7"/>
  <c r="AY254" i="7"/>
  <c r="AY256" i="7"/>
  <c r="AY257" i="7"/>
  <c r="AY252" i="7"/>
  <c r="AY253" i="7"/>
  <c r="AY212" i="7"/>
  <c r="AY407" i="7"/>
  <c r="AY270" i="7"/>
  <c r="AY200" i="7"/>
  <c r="AY265" i="7"/>
  <c r="AY266" i="7"/>
  <c r="AY199" i="7"/>
  <c r="AY217" i="7"/>
  <c r="AY198" i="7"/>
  <c r="AY269" i="7"/>
  <c r="AY216" i="7"/>
  <c r="AY215" i="7"/>
  <c r="AY258" i="7"/>
  <c r="AY259" i="7"/>
  <c r="AY261" i="7"/>
  <c r="AY262" i="7"/>
  <c r="AY263" i="7"/>
  <c r="AY264" i="7"/>
  <c r="AY271" i="7"/>
  <c r="AY214" i="7"/>
  <c r="AY268" i="7"/>
  <c r="AY213" i="7"/>
  <c r="AY376" i="7"/>
  <c r="AY405" i="7"/>
  <c r="AY404" i="7"/>
  <c r="AY403" i="7"/>
  <c r="AY379" i="7"/>
  <c r="AY395" i="7"/>
  <c r="AY394" i="7"/>
  <c r="AY57" i="7"/>
  <c r="AY406" i="7"/>
  <c r="AY374" i="7"/>
  <c r="AY373" i="7"/>
  <c r="AY377" i="7"/>
  <c r="AY197" i="7"/>
  <c r="AY375" i="7"/>
  <c r="AY399" i="7"/>
  <c r="AY398" i="7"/>
  <c r="AY397" i="7"/>
  <c r="AY396" i="7"/>
  <c r="AY378" i="7"/>
  <c r="AY388" i="7"/>
  <c r="AY386" i="7"/>
  <c r="AY385" i="7"/>
  <c r="AY383" i="7"/>
  <c r="AY32" i="7"/>
  <c r="AY390" i="7"/>
  <c r="AY387" i="7"/>
  <c r="AY389" i="7"/>
  <c r="AY436" i="7"/>
  <c r="AY435" i="7"/>
  <c r="AY434" i="7"/>
  <c r="AY433" i="7"/>
  <c r="AY417" i="7"/>
  <c r="AY416" i="7"/>
  <c r="AY358" i="7"/>
  <c r="AY75" i="7"/>
  <c r="AY30" i="7"/>
  <c r="AY29" i="7"/>
  <c r="AY31" i="7"/>
  <c r="AY77" i="7"/>
  <c r="AY367" i="7"/>
  <c r="AY366" i="7"/>
  <c r="AY28" i="7"/>
  <c r="AY27" i="7"/>
  <c r="AY26" i="7"/>
  <c r="AY98" i="7"/>
  <c r="AY437" i="7"/>
  <c r="AY76" i="7"/>
  <c r="AY59" i="7"/>
  <c r="AY58" i="7"/>
  <c r="AY15" i="7"/>
  <c r="AY103" i="7"/>
  <c r="AY351" i="7"/>
  <c r="AY331" i="7"/>
  <c r="AY371" i="7"/>
  <c r="AY361" i="7"/>
  <c r="AY354" i="7"/>
  <c r="AY347" i="7"/>
  <c r="AY340" i="7"/>
  <c r="AY330" i="7"/>
  <c r="AY333" i="7"/>
  <c r="AY323" i="7"/>
  <c r="AY482" i="7"/>
  <c r="AY478" i="7"/>
  <c r="AY149" i="7"/>
  <c r="AY134" i="7"/>
  <c r="AY488" i="7"/>
  <c r="AY477" i="7"/>
  <c r="AY476" i="7"/>
  <c r="AY475" i="7"/>
  <c r="AY474" i="7"/>
  <c r="AY472" i="7"/>
  <c r="AY471" i="7"/>
  <c r="AY470" i="7"/>
  <c r="AY487" i="7"/>
  <c r="AY486" i="7"/>
  <c r="AY485" i="7"/>
  <c r="AY483" i="7"/>
  <c r="AY469" i="7"/>
  <c r="AY443" i="7"/>
  <c r="AY204" i="7"/>
  <c r="AY431" i="7"/>
  <c r="AY430" i="7"/>
  <c r="AY427" i="7"/>
  <c r="AY425" i="7"/>
  <c r="AY424" i="7"/>
  <c r="AY421" i="7"/>
  <c r="AY420" i="7"/>
  <c r="AY413" i="7"/>
  <c r="AY412" i="7"/>
  <c r="AY360" i="7"/>
  <c r="AY359" i="7"/>
  <c r="AY357" i="7"/>
  <c r="AY353" i="7"/>
  <c r="AY352" i="7"/>
  <c r="AY350" i="7"/>
  <c r="AY346" i="7"/>
  <c r="AY345" i="7"/>
  <c r="AY344" i="7"/>
  <c r="AY343" i="7"/>
  <c r="AY339" i="7"/>
  <c r="AY338" i="7"/>
  <c r="AY337" i="7"/>
  <c r="AY336" i="7"/>
  <c r="AY332" i="7"/>
  <c r="AY329" i="7"/>
  <c r="AY328" i="7"/>
  <c r="AY327" i="7"/>
  <c r="AY326" i="7"/>
  <c r="AY321" i="7"/>
  <c r="AY320" i="7"/>
  <c r="AY319" i="7"/>
  <c r="AY318" i="7"/>
  <c r="AY468" i="7"/>
  <c r="AY466" i="7"/>
  <c r="AY465" i="7"/>
  <c r="AY464" i="7"/>
  <c r="AY463" i="7"/>
  <c r="AY462" i="7"/>
  <c r="AY458" i="7"/>
  <c r="AY457" i="7"/>
  <c r="AY456" i="7"/>
  <c r="AY455" i="7"/>
  <c r="AY451" i="7"/>
  <c r="AY450" i="7"/>
  <c r="AY449" i="7"/>
  <c r="AY448" i="7"/>
  <c r="AY447" i="7"/>
  <c r="AY316" i="7"/>
  <c r="AY317" i="7"/>
  <c r="AY314" i="7"/>
  <c r="AY315" i="7"/>
  <c r="AY309" i="7"/>
  <c r="AY307" i="7"/>
  <c r="AY306" i="7"/>
  <c r="AY305" i="7"/>
  <c r="AY304" i="7"/>
  <c r="AY303" i="7"/>
  <c r="AY302" i="7"/>
  <c r="AY301" i="7"/>
  <c r="AY298" i="7"/>
  <c r="AY297" i="7"/>
  <c r="AY294" i="7"/>
  <c r="AY293" i="7"/>
  <c r="AY292" i="7"/>
  <c r="AY291" i="7"/>
  <c r="AY290" i="7"/>
  <c r="AY289" i="7"/>
  <c r="AY288" i="7"/>
  <c r="AY287" i="7"/>
  <c r="AY286" i="7"/>
  <c r="AY285" i="7"/>
  <c r="AY284" i="7"/>
  <c r="AY283" i="7"/>
  <c r="AY282" i="7"/>
  <c r="AY281" i="7"/>
  <c r="AY280" i="7"/>
  <c r="AY185" i="7"/>
  <c r="AY184" i="7"/>
  <c r="AY183" i="7"/>
  <c r="AY182" i="7"/>
  <c r="AY179" i="7"/>
  <c r="AY178" i="7"/>
  <c r="AY177" i="7"/>
  <c r="AY176" i="7"/>
  <c r="AY173" i="7"/>
  <c r="AY172" i="7"/>
  <c r="AY171" i="7"/>
  <c r="AY170" i="7"/>
  <c r="AY168" i="7"/>
  <c r="AY167" i="7"/>
  <c r="AY165" i="7"/>
  <c r="AY164" i="7"/>
  <c r="AY163" i="7"/>
  <c r="AY160" i="7"/>
  <c r="AY159" i="7"/>
  <c r="AY158" i="7"/>
  <c r="AY155" i="7"/>
  <c r="AY154" i="7"/>
  <c r="AY153" i="7"/>
  <c r="AY152" i="7"/>
  <c r="AY151" i="7"/>
  <c r="AY146" i="7"/>
  <c r="AY145" i="7"/>
  <c r="AY144" i="7"/>
  <c r="AY143" i="7"/>
  <c r="AY140" i="7"/>
  <c r="AY139" i="7"/>
  <c r="AY138" i="7"/>
  <c r="AY137" i="7"/>
  <c r="AY131" i="7"/>
  <c r="AY130" i="7"/>
  <c r="AY129" i="7"/>
  <c r="AY128" i="7"/>
  <c r="AY127" i="7"/>
  <c r="AY125" i="7"/>
  <c r="AY124" i="7"/>
  <c r="AY123" i="7"/>
  <c r="AY122" i="7"/>
  <c r="AY121" i="7"/>
  <c r="AY120" i="7"/>
  <c r="AY119" i="7"/>
  <c r="AY118" i="7"/>
  <c r="AY117" i="7"/>
  <c r="AY116" i="7"/>
  <c r="AY115" i="7"/>
  <c r="AY114" i="7"/>
  <c r="AY113" i="7"/>
  <c r="AY110" i="7"/>
  <c r="AY109" i="7"/>
  <c r="AY108" i="7"/>
  <c r="AY105" i="7"/>
  <c r="AY104" i="7"/>
  <c r="AY100" i="7"/>
  <c r="AY99" i="7"/>
  <c r="AY97" i="7"/>
  <c r="AY93" i="7"/>
  <c r="AY91" i="7"/>
  <c r="AY90" i="7"/>
  <c r="AY89" i="7"/>
  <c r="AY87" i="7"/>
  <c r="AY85" i="7"/>
  <c r="AY84" i="7"/>
  <c r="AY83" i="7"/>
  <c r="AY79" i="7"/>
  <c r="AY73" i="7"/>
  <c r="AY72" i="7"/>
  <c r="AY71" i="7"/>
  <c r="AY70" i="7"/>
  <c r="AY69" i="7"/>
  <c r="AY68" i="7"/>
  <c r="AY66" i="7"/>
  <c r="AY65" i="7"/>
  <c r="AY64" i="7"/>
  <c r="AY63" i="7"/>
  <c r="AY62" i="7"/>
  <c r="AY61" i="7"/>
  <c r="AY53" i="7"/>
  <c r="AY52" i="7"/>
  <c r="AY51" i="7"/>
  <c r="AY49" i="7"/>
  <c r="AY48" i="7"/>
  <c r="AY46" i="7"/>
  <c r="AY45" i="7"/>
  <c r="AY225" i="7"/>
  <c r="AY277" i="7"/>
  <c r="AY43" i="7"/>
  <c r="AY40" i="7"/>
  <c r="AY39" i="7"/>
  <c r="AY38" i="7"/>
  <c r="AY37" i="7"/>
  <c r="AY36" i="7"/>
  <c r="AY35" i="7"/>
  <c r="AY34" i="7"/>
  <c r="AY33" i="7"/>
  <c r="AY24" i="7"/>
  <c r="AY23" i="7"/>
  <c r="AY22" i="7"/>
  <c r="AY21" i="7"/>
  <c r="AY20" i="7"/>
  <c r="AY19" i="7"/>
  <c r="AY18" i="7"/>
  <c r="AY17" i="7"/>
  <c r="AY16" i="7"/>
  <c r="AY44" i="7"/>
  <c r="AY233" i="7"/>
  <c r="AY231" i="7"/>
  <c r="AY230" i="7"/>
  <c r="AY229" i="7"/>
  <c r="AY228" i="7"/>
  <c r="AY227" i="7"/>
  <c r="AY226" i="7"/>
  <c r="AY224" i="7"/>
  <c r="AY223" i="7"/>
  <c r="AY222" i="7"/>
  <c r="AY221" i="7"/>
  <c r="AY220" i="7"/>
  <c r="AY219" i="7"/>
  <c r="AY218" i="7"/>
  <c r="AY209" i="7"/>
  <c r="AY208" i="7"/>
  <c r="AY207" i="7"/>
  <c r="AY206" i="7"/>
  <c r="AY205" i="7"/>
  <c r="AY203" i="7"/>
  <c r="AY202" i="7"/>
  <c r="AY201" i="7"/>
  <c r="AY196" i="7"/>
  <c r="AY193" i="7"/>
  <c r="AH37" i="7" l="1"/>
  <c r="AH39" i="7"/>
  <c r="AH458" i="7"/>
  <c r="AH152" i="7"/>
  <c r="AH138" i="7"/>
  <c r="BA8" i="7"/>
  <c r="BA6" i="7"/>
  <c r="BA7" i="7"/>
  <c r="BA13" i="7"/>
  <c r="BA441" i="7"/>
  <c r="BA191" i="7"/>
  <c r="BA275" i="7"/>
  <c r="BC3" i="7"/>
  <c r="BB4" i="7"/>
  <c r="BB11" i="7" s="1"/>
  <c r="BB5" i="7"/>
  <c r="AZ249" i="7"/>
  <c r="AZ248" i="7"/>
  <c r="AZ247" i="7"/>
  <c r="AZ246" i="7"/>
  <c r="AZ245" i="7"/>
  <c r="AZ244" i="7"/>
  <c r="AZ243" i="7"/>
  <c r="AZ242" i="7"/>
  <c r="AZ241" i="7"/>
  <c r="AZ240" i="7"/>
  <c r="AZ239" i="7"/>
  <c r="AZ238" i="7"/>
  <c r="AZ237" i="7"/>
  <c r="AZ236" i="7"/>
  <c r="AZ254" i="7"/>
  <c r="AZ252" i="7"/>
  <c r="AZ253" i="7"/>
  <c r="AZ268" i="7"/>
  <c r="AZ200" i="7"/>
  <c r="AZ199" i="7"/>
  <c r="AZ257" i="7"/>
  <c r="AZ270" i="7"/>
  <c r="AZ217" i="7"/>
  <c r="AZ198" i="7"/>
  <c r="AZ265" i="7"/>
  <c r="AZ266" i="7"/>
  <c r="AZ216" i="7"/>
  <c r="AZ256" i="7"/>
  <c r="AZ215" i="7"/>
  <c r="AZ269" i="7"/>
  <c r="AZ214" i="7"/>
  <c r="AZ213" i="7"/>
  <c r="AZ258" i="7"/>
  <c r="AZ259" i="7"/>
  <c r="AZ261" i="7"/>
  <c r="AZ262" i="7"/>
  <c r="AZ263" i="7"/>
  <c r="AZ264" i="7"/>
  <c r="AZ271" i="7"/>
  <c r="AZ212" i="7"/>
  <c r="AZ405" i="7"/>
  <c r="AZ404" i="7"/>
  <c r="AZ403" i="7"/>
  <c r="AZ379" i="7"/>
  <c r="AZ395" i="7"/>
  <c r="AZ394" i="7"/>
  <c r="AZ57" i="7"/>
  <c r="AZ406" i="7"/>
  <c r="AZ374" i="7"/>
  <c r="AZ373" i="7"/>
  <c r="AZ377" i="7"/>
  <c r="AZ197" i="7"/>
  <c r="AZ407" i="7"/>
  <c r="AZ375" i="7"/>
  <c r="AZ399" i="7"/>
  <c r="AZ398" i="7"/>
  <c r="AZ397" i="7"/>
  <c r="AZ396" i="7"/>
  <c r="AZ378" i="7"/>
  <c r="AZ376" i="7"/>
  <c r="AZ388" i="7"/>
  <c r="AZ386" i="7"/>
  <c r="AZ385" i="7"/>
  <c r="AZ383" i="7"/>
  <c r="AZ32" i="7"/>
  <c r="AZ31" i="7"/>
  <c r="AZ30" i="7"/>
  <c r="AZ29" i="7"/>
  <c r="AZ390" i="7"/>
  <c r="AZ387" i="7"/>
  <c r="AZ389" i="7"/>
  <c r="AZ75" i="7"/>
  <c r="AZ77" i="7"/>
  <c r="AZ367" i="7"/>
  <c r="AZ366" i="7"/>
  <c r="AZ28" i="7"/>
  <c r="AZ27" i="7"/>
  <c r="AZ26" i="7"/>
  <c r="AZ98" i="7"/>
  <c r="AZ437" i="7"/>
  <c r="AZ76" i="7"/>
  <c r="AZ436" i="7"/>
  <c r="AZ435" i="7"/>
  <c r="AZ434" i="7"/>
  <c r="AZ433" i="7"/>
  <c r="AZ416" i="7"/>
  <c r="AZ358" i="7"/>
  <c r="AZ59" i="7"/>
  <c r="AZ58" i="7"/>
  <c r="AZ15" i="7"/>
  <c r="AZ103" i="7"/>
  <c r="AZ417" i="7"/>
  <c r="AZ351" i="7"/>
  <c r="AZ331" i="7"/>
  <c r="AZ371" i="7"/>
  <c r="AZ361" i="7"/>
  <c r="AZ354" i="7"/>
  <c r="AZ347" i="7"/>
  <c r="AZ340" i="7"/>
  <c r="AZ330" i="7"/>
  <c r="AZ333" i="7"/>
  <c r="AZ323" i="7"/>
  <c r="AZ478" i="7"/>
  <c r="AZ149" i="7"/>
  <c r="AZ134" i="7"/>
  <c r="AZ488" i="7"/>
  <c r="AZ477" i="7"/>
  <c r="AZ476" i="7"/>
  <c r="AZ475" i="7"/>
  <c r="AZ474" i="7"/>
  <c r="AZ472" i="7"/>
  <c r="AZ471" i="7"/>
  <c r="AZ470" i="7"/>
  <c r="AZ469" i="7"/>
  <c r="AZ487" i="7"/>
  <c r="AZ486" i="7"/>
  <c r="AZ485" i="7"/>
  <c r="AZ483" i="7"/>
  <c r="AZ482" i="7"/>
  <c r="AZ443" i="7"/>
  <c r="AZ204" i="7"/>
  <c r="AZ431" i="7"/>
  <c r="AZ430" i="7"/>
  <c r="AZ427" i="7"/>
  <c r="AZ425" i="7"/>
  <c r="AZ424" i="7"/>
  <c r="AZ421" i="7"/>
  <c r="AZ420" i="7"/>
  <c r="AZ413" i="7"/>
  <c r="AZ412" i="7"/>
  <c r="AZ360" i="7"/>
  <c r="AZ359" i="7"/>
  <c r="AZ357" i="7"/>
  <c r="AZ353" i="7"/>
  <c r="AZ352" i="7"/>
  <c r="AZ350" i="7"/>
  <c r="AZ346" i="7"/>
  <c r="AZ345" i="7"/>
  <c r="AZ344" i="7"/>
  <c r="AZ343" i="7"/>
  <c r="AZ339" i="7"/>
  <c r="AZ338" i="7"/>
  <c r="AZ337" i="7"/>
  <c r="AZ336" i="7"/>
  <c r="AZ332" i="7"/>
  <c r="AZ329" i="7"/>
  <c r="AZ328" i="7"/>
  <c r="AZ327" i="7"/>
  <c r="AZ326" i="7"/>
  <c r="AZ321" i="7"/>
  <c r="AZ320" i="7"/>
  <c r="AZ319" i="7"/>
  <c r="AZ318" i="7"/>
  <c r="AZ317" i="7"/>
  <c r="AZ316" i="7"/>
  <c r="AZ315" i="7"/>
  <c r="AZ314" i="7"/>
  <c r="AZ309" i="7"/>
  <c r="AZ468" i="7"/>
  <c r="AZ466" i="7"/>
  <c r="AZ465" i="7"/>
  <c r="AZ464" i="7"/>
  <c r="AZ463" i="7"/>
  <c r="AZ462" i="7"/>
  <c r="AZ458" i="7"/>
  <c r="AZ457" i="7"/>
  <c r="AZ456" i="7"/>
  <c r="AZ455" i="7"/>
  <c r="AZ451" i="7"/>
  <c r="AZ450" i="7"/>
  <c r="AZ449" i="7"/>
  <c r="AZ448" i="7"/>
  <c r="AZ447" i="7"/>
  <c r="AZ307" i="7"/>
  <c r="AZ306" i="7"/>
  <c r="AZ305" i="7"/>
  <c r="AZ304" i="7"/>
  <c r="AZ303" i="7"/>
  <c r="AZ302" i="7"/>
  <c r="AZ301" i="7"/>
  <c r="AZ298" i="7"/>
  <c r="AZ297" i="7"/>
  <c r="AZ294" i="7"/>
  <c r="AZ293" i="7"/>
  <c r="AZ292" i="7"/>
  <c r="AZ291" i="7"/>
  <c r="AZ290" i="7"/>
  <c r="AZ289" i="7"/>
  <c r="AZ288" i="7"/>
  <c r="AZ287" i="7"/>
  <c r="AZ286" i="7"/>
  <c r="AZ285" i="7"/>
  <c r="AZ284" i="7"/>
  <c r="AZ283" i="7"/>
  <c r="AZ282" i="7"/>
  <c r="AZ281" i="7"/>
  <c r="AZ280" i="7"/>
  <c r="AZ185" i="7"/>
  <c r="AZ184" i="7"/>
  <c r="AZ183" i="7"/>
  <c r="AZ182" i="7"/>
  <c r="AZ179" i="7"/>
  <c r="AZ178" i="7"/>
  <c r="AZ177" i="7"/>
  <c r="AZ176" i="7"/>
  <c r="AZ173" i="7"/>
  <c r="AZ172" i="7"/>
  <c r="AZ171" i="7"/>
  <c r="AZ170" i="7"/>
  <c r="AZ168" i="7"/>
  <c r="AZ167" i="7"/>
  <c r="AZ165" i="7"/>
  <c r="AZ164" i="7"/>
  <c r="AZ163" i="7"/>
  <c r="AZ160" i="7"/>
  <c r="AZ159" i="7"/>
  <c r="AZ158" i="7"/>
  <c r="AZ155" i="7"/>
  <c r="AZ154" i="7"/>
  <c r="AZ153" i="7"/>
  <c r="AZ152" i="7"/>
  <c r="AZ151" i="7"/>
  <c r="AZ146" i="7"/>
  <c r="AZ145" i="7"/>
  <c r="AZ144" i="7"/>
  <c r="AZ143" i="7"/>
  <c r="AZ140" i="7"/>
  <c r="AZ139" i="7"/>
  <c r="AZ138" i="7"/>
  <c r="AZ137" i="7"/>
  <c r="AZ131" i="7"/>
  <c r="AZ130" i="7"/>
  <c r="AZ129" i="7"/>
  <c r="AZ128" i="7"/>
  <c r="AZ127" i="7"/>
  <c r="AZ125" i="7"/>
  <c r="AZ124" i="7"/>
  <c r="AZ123" i="7"/>
  <c r="AZ122" i="7"/>
  <c r="AZ121" i="7"/>
  <c r="AZ120" i="7"/>
  <c r="AZ119" i="7"/>
  <c r="AZ118" i="7"/>
  <c r="AZ117" i="7"/>
  <c r="AZ116" i="7"/>
  <c r="AZ115" i="7"/>
  <c r="AZ114" i="7"/>
  <c r="AZ113" i="7"/>
  <c r="AZ110" i="7"/>
  <c r="AZ109" i="7"/>
  <c r="AZ108" i="7"/>
  <c r="AZ105" i="7"/>
  <c r="AZ104" i="7"/>
  <c r="AZ100" i="7"/>
  <c r="AZ99" i="7"/>
  <c r="AZ97" i="7"/>
  <c r="AZ93" i="7"/>
  <c r="AZ91" i="7"/>
  <c r="AZ90" i="7"/>
  <c r="AZ89" i="7"/>
  <c r="AZ87" i="7"/>
  <c r="AZ85" i="7"/>
  <c r="AZ84" i="7"/>
  <c r="AZ83" i="7"/>
  <c r="AZ79" i="7"/>
  <c r="AZ73" i="7"/>
  <c r="AZ72" i="7"/>
  <c r="AZ71" i="7"/>
  <c r="AZ70" i="7"/>
  <c r="AZ69" i="7"/>
  <c r="AZ68" i="7"/>
  <c r="AZ66" i="7"/>
  <c r="AZ65" i="7"/>
  <c r="AZ64" i="7"/>
  <c r="AZ63" i="7"/>
  <c r="AZ62" i="7"/>
  <c r="AZ61" i="7"/>
  <c r="AZ53" i="7"/>
  <c r="AZ52" i="7"/>
  <c r="AZ51" i="7"/>
  <c r="AZ49" i="7"/>
  <c r="AZ48" i="7"/>
  <c r="AZ46" i="7"/>
  <c r="AZ45" i="7"/>
  <c r="AZ225" i="7"/>
  <c r="AZ277" i="7"/>
  <c r="AZ43" i="7"/>
  <c r="AZ40" i="7"/>
  <c r="AZ39" i="7"/>
  <c r="AZ38" i="7"/>
  <c r="AZ37" i="7"/>
  <c r="AZ36" i="7"/>
  <c r="AZ35" i="7"/>
  <c r="AZ34" i="7"/>
  <c r="AZ33" i="7"/>
  <c r="AZ24" i="7"/>
  <c r="AZ23" i="7"/>
  <c r="AZ22" i="7"/>
  <c r="AZ21" i="7"/>
  <c r="AZ20" i="7"/>
  <c r="AZ19" i="7"/>
  <c r="AZ18" i="7"/>
  <c r="AZ17" i="7"/>
  <c r="AZ16" i="7"/>
  <c r="AZ44" i="7"/>
  <c r="AZ233" i="7"/>
  <c r="AZ231" i="7"/>
  <c r="AZ230" i="7"/>
  <c r="AZ229" i="7"/>
  <c r="AZ228" i="7"/>
  <c r="AZ227" i="7"/>
  <c r="AZ226" i="7"/>
  <c r="AZ224" i="7"/>
  <c r="AZ223" i="7"/>
  <c r="AZ222" i="7"/>
  <c r="AZ221" i="7"/>
  <c r="AZ220" i="7"/>
  <c r="AZ219" i="7"/>
  <c r="AZ218" i="7"/>
  <c r="AZ209" i="7"/>
  <c r="AZ208" i="7"/>
  <c r="AZ207" i="7"/>
  <c r="AZ206" i="7"/>
  <c r="AZ205" i="7"/>
  <c r="AZ203" i="7"/>
  <c r="AZ202" i="7"/>
  <c r="AZ201" i="7"/>
  <c r="AZ196" i="7"/>
  <c r="AZ193" i="7"/>
  <c r="AK286" i="7"/>
  <c r="AK288" i="7" s="1"/>
  <c r="AK353" i="7"/>
  <c r="AH40" i="7" l="1"/>
  <c r="AH182" i="7" s="1"/>
  <c r="AH145" i="7"/>
  <c r="AH140" i="7"/>
  <c r="AH153" i="7"/>
  <c r="AH159" i="7" s="1"/>
  <c r="AH160" i="7" s="1"/>
  <c r="AI158" i="7" s="1"/>
  <c r="AH478" i="7"/>
  <c r="AH472" i="7"/>
  <c r="AH466" i="7"/>
  <c r="AK223" i="7"/>
  <c r="AK412" i="7"/>
  <c r="AK420" i="7" s="1"/>
  <c r="BB8" i="7"/>
  <c r="BB6" i="7"/>
  <c r="BB7" i="7"/>
  <c r="BB13" i="7"/>
  <c r="BB441" i="7"/>
  <c r="BB191" i="7"/>
  <c r="BB275" i="7"/>
  <c r="BA248" i="7"/>
  <c r="BA247" i="7"/>
  <c r="BA246" i="7"/>
  <c r="BA245" i="7"/>
  <c r="BA244" i="7"/>
  <c r="BA243" i="7"/>
  <c r="BA242" i="7"/>
  <c r="BA241" i="7"/>
  <c r="BA240" i="7"/>
  <c r="BA239" i="7"/>
  <c r="BA238" i="7"/>
  <c r="BA237" i="7"/>
  <c r="BA249" i="7"/>
  <c r="BA236" i="7"/>
  <c r="BA252" i="7"/>
  <c r="BA253" i="7"/>
  <c r="BA258" i="7"/>
  <c r="BA259" i="7"/>
  <c r="BA261" i="7"/>
  <c r="BA262" i="7"/>
  <c r="BA263" i="7"/>
  <c r="BA264" i="7"/>
  <c r="BA271" i="7"/>
  <c r="BA199" i="7"/>
  <c r="BA268" i="7"/>
  <c r="BA217" i="7"/>
  <c r="BA198" i="7"/>
  <c r="BA216" i="7"/>
  <c r="BA257" i="7"/>
  <c r="BA270" i="7"/>
  <c r="BA215" i="7"/>
  <c r="BA265" i="7"/>
  <c r="BA266" i="7"/>
  <c r="BA214" i="7"/>
  <c r="BA256" i="7"/>
  <c r="BA213" i="7"/>
  <c r="BA269" i="7"/>
  <c r="BA212" i="7"/>
  <c r="BA254" i="7"/>
  <c r="BA200" i="7"/>
  <c r="BA57" i="7"/>
  <c r="BA406" i="7"/>
  <c r="BA374" i="7"/>
  <c r="BA373" i="7"/>
  <c r="BA377" i="7"/>
  <c r="BA197" i="7"/>
  <c r="BA407" i="7"/>
  <c r="BA375" i="7"/>
  <c r="BA399" i="7"/>
  <c r="BA398" i="7"/>
  <c r="BA397" i="7"/>
  <c r="BA396" i="7"/>
  <c r="BA378" i="7"/>
  <c r="BA376" i="7"/>
  <c r="BA405" i="7"/>
  <c r="BA404" i="7"/>
  <c r="BA403" i="7"/>
  <c r="BA379" i="7"/>
  <c r="BA31" i="7"/>
  <c r="BA30" i="7"/>
  <c r="BA29" i="7"/>
  <c r="BA394" i="7"/>
  <c r="BA390" i="7"/>
  <c r="BA387" i="7"/>
  <c r="BA389" i="7"/>
  <c r="BA395" i="7"/>
  <c r="BA388" i="7"/>
  <c r="BA386" i="7"/>
  <c r="BA385" i="7"/>
  <c r="BA383" i="7"/>
  <c r="BA77" i="7"/>
  <c r="BA367" i="7"/>
  <c r="BA366" i="7"/>
  <c r="BA28" i="7"/>
  <c r="BA27" i="7"/>
  <c r="BA26" i="7"/>
  <c r="BA98" i="7"/>
  <c r="BA437" i="7"/>
  <c r="BA32" i="7"/>
  <c r="BA76" i="7"/>
  <c r="BA436" i="7"/>
  <c r="BA435" i="7"/>
  <c r="BA434" i="7"/>
  <c r="BA433" i="7"/>
  <c r="BA417" i="7"/>
  <c r="BA416" i="7"/>
  <c r="BA358" i="7"/>
  <c r="BA75" i="7"/>
  <c r="BA59" i="7"/>
  <c r="BA58" i="7"/>
  <c r="BA15" i="7"/>
  <c r="BA103" i="7"/>
  <c r="BA351" i="7"/>
  <c r="BA331" i="7"/>
  <c r="BA371" i="7"/>
  <c r="BA361" i="7"/>
  <c r="BA354" i="7"/>
  <c r="BA347" i="7"/>
  <c r="BA340" i="7"/>
  <c r="BA330" i="7"/>
  <c r="BA333" i="7"/>
  <c r="BA323" i="7"/>
  <c r="BA149" i="7"/>
  <c r="BA134" i="7"/>
  <c r="BA488" i="7"/>
  <c r="BA477" i="7"/>
  <c r="BA476" i="7"/>
  <c r="BA475" i="7"/>
  <c r="BA474" i="7"/>
  <c r="BA472" i="7"/>
  <c r="BA471" i="7"/>
  <c r="BA487" i="7"/>
  <c r="BA486" i="7"/>
  <c r="BA485" i="7"/>
  <c r="BA483" i="7"/>
  <c r="BA482" i="7"/>
  <c r="BA478" i="7"/>
  <c r="BA443" i="7"/>
  <c r="BA470" i="7"/>
  <c r="BA469" i="7"/>
  <c r="BA204" i="7"/>
  <c r="BA431" i="7"/>
  <c r="BA430" i="7"/>
  <c r="BA427" i="7"/>
  <c r="BA425" i="7"/>
  <c r="BA424" i="7"/>
  <c r="BA421" i="7"/>
  <c r="BA420" i="7"/>
  <c r="BA413" i="7"/>
  <c r="BA412" i="7"/>
  <c r="BA360" i="7"/>
  <c r="BA359" i="7"/>
  <c r="BA357" i="7"/>
  <c r="BA353" i="7"/>
  <c r="BA352" i="7"/>
  <c r="BA350" i="7"/>
  <c r="BA346" i="7"/>
  <c r="BA345" i="7"/>
  <c r="BA344" i="7"/>
  <c r="BA343" i="7"/>
  <c r="BA339" i="7"/>
  <c r="BA338" i="7"/>
  <c r="BA337" i="7"/>
  <c r="BA336" i="7"/>
  <c r="BA332" i="7"/>
  <c r="BA329" i="7"/>
  <c r="BA328" i="7"/>
  <c r="BA327" i="7"/>
  <c r="BA326" i="7"/>
  <c r="BA321" i="7"/>
  <c r="BA320" i="7"/>
  <c r="BA319" i="7"/>
  <c r="BA318" i="7"/>
  <c r="BA317" i="7"/>
  <c r="BA316" i="7"/>
  <c r="BA315" i="7"/>
  <c r="BA314" i="7"/>
  <c r="BA309" i="7"/>
  <c r="BA468" i="7"/>
  <c r="BA466" i="7"/>
  <c r="BA465" i="7"/>
  <c r="BA464" i="7"/>
  <c r="BA463" i="7"/>
  <c r="BA462" i="7"/>
  <c r="BA458" i="7"/>
  <c r="BA457" i="7"/>
  <c r="BA456" i="7"/>
  <c r="BA455" i="7"/>
  <c r="BA451" i="7"/>
  <c r="BA450" i="7"/>
  <c r="BA449" i="7"/>
  <c r="BA448" i="7"/>
  <c r="BA447" i="7"/>
  <c r="BA307" i="7"/>
  <c r="BA306" i="7"/>
  <c r="BA305" i="7"/>
  <c r="BA304" i="7"/>
  <c r="BA303" i="7"/>
  <c r="BA302" i="7"/>
  <c r="BA301" i="7"/>
  <c r="BA298" i="7"/>
  <c r="BA297" i="7"/>
  <c r="BA294" i="7"/>
  <c r="BA293" i="7"/>
  <c r="BA292" i="7"/>
  <c r="BA291" i="7"/>
  <c r="BA290" i="7"/>
  <c r="BA289" i="7"/>
  <c r="BA288" i="7"/>
  <c r="BA287" i="7"/>
  <c r="BA286" i="7"/>
  <c r="BA285" i="7"/>
  <c r="BA284" i="7"/>
  <c r="BA283" i="7"/>
  <c r="BA282" i="7"/>
  <c r="BA281" i="7"/>
  <c r="BA280" i="7"/>
  <c r="BA185" i="7"/>
  <c r="BA184" i="7"/>
  <c r="BA183" i="7"/>
  <c r="BA182" i="7"/>
  <c r="BA179" i="7"/>
  <c r="BA178" i="7"/>
  <c r="BA177" i="7"/>
  <c r="BA176" i="7"/>
  <c r="BA173" i="7"/>
  <c r="BA172" i="7"/>
  <c r="BA171" i="7"/>
  <c r="BA170" i="7"/>
  <c r="BA168" i="7"/>
  <c r="BA167" i="7"/>
  <c r="BA165" i="7"/>
  <c r="BA164" i="7"/>
  <c r="BA163" i="7"/>
  <c r="BA160" i="7"/>
  <c r="BA159" i="7"/>
  <c r="BA158" i="7"/>
  <c r="BA155" i="7"/>
  <c r="BA154" i="7"/>
  <c r="BA153" i="7"/>
  <c r="BA152" i="7"/>
  <c r="BA151" i="7"/>
  <c r="BA146" i="7"/>
  <c r="BA145" i="7"/>
  <c r="BA144" i="7"/>
  <c r="BA143" i="7"/>
  <c r="BA140" i="7"/>
  <c r="BA139" i="7"/>
  <c r="BA138" i="7"/>
  <c r="BA137" i="7"/>
  <c r="BA131" i="7"/>
  <c r="BA130" i="7"/>
  <c r="BA129" i="7"/>
  <c r="BA128" i="7"/>
  <c r="BA127" i="7"/>
  <c r="BA125" i="7"/>
  <c r="BA124" i="7"/>
  <c r="BA123" i="7"/>
  <c r="BA122" i="7"/>
  <c r="BA121" i="7"/>
  <c r="BA120" i="7"/>
  <c r="BA119" i="7"/>
  <c r="BA118" i="7"/>
  <c r="BA117" i="7"/>
  <c r="BA116" i="7"/>
  <c r="BA115" i="7"/>
  <c r="BA114" i="7"/>
  <c r="BA113" i="7"/>
  <c r="BA110" i="7"/>
  <c r="BA109" i="7"/>
  <c r="BA108" i="7"/>
  <c r="BA105" i="7"/>
  <c r="BA104" i="7"/>
  <c r="BA100" i="7"/>
  <c r="BA99" i="7"/>
  <c r="BA97" i="7"/>
  <c r="BA93" i="7"/>
  <c r="BA91" i="7"/>
  <c r="BA90" i="7"/>
  <c r="BA89" i="7"/>
  <c r="BA87" i="7"/>
  <c r="BA85" i="7"/>
  <c r="BA84" i="7"/>
  <c r="BA83" i="7"/>
  <c r="BA79" i="7"/>
  <c r="BA73" i="7"/>
  <c r="BA72" i="7"/>
  <c r="BA71" i="7"/>
  <c r="BA70" i="7"/>
  <c r="BA69" i="7"/>
  <c r="BA68" i="7"/>
  <c r="BA66" i="7"/>
  <c r="BA65" i="7"/>
  <c r="BA64" i="7"/>
  <c r="BA63" i="7"/>
  <c r="BA62" i="7"/>
  <c r="BA61" i="7"/>
  <c r="BA53" i="7"/>
  <c r="BA52" i="7"/>
  <c r="BA51" i="7"/>
  <c r="BA49" i="7"/>
  <c r="BA48" i="7"/>
  <c r="BA46" i="7"/>
  <c r="BA45" i="7"/>
  <c r="BA225" i="7"/>
  <c r="BA277" i="7"/>
  <c r="BA43" i="7"/>
  <c r="BA40" i="7"/>
  <c r="BA39" i="7"/>
  <c r="BA38" i="7"/>
  <c r="BA37" i="7"/>
  <c r="BA36" i="7"/>
  <c r="BA35" i="7"/>
  <c r="BA34" i="7"/>
  <c r="BA33" i="7"/>
  <c r="BA24" i="7"/>
  <c r="BA23" i="7"/>
  <c r="BA22" i="7"/>
  <c r="BA21" i="7"/>
  <c r="BA20" i="7"/>
  <c r="BA19" i="7"/>
  <c r="BA18" i="7"/>
  <c r="BA17" i="7"/>
  <c r="BA16" i="7"/>
  <c r="BA44" i="7"/>
  <c r="BA233" i="7"/>
  <c r="BA231" i="7"/>
  <c r="BA230" i="7"/>
  <c r="BA229" i="7"/>
  <c r="BA228" i="7"/>
  <c r="BA227" i="7"/>
  <c r="BA226" i="7"/>
  <c r="BA224" i="7"/>
  <c r="BA223" i="7"/>
  <c r="BA222" i="7"/>
  <c r="BA221" i="7"/>
  <c r="BA220" i="7"/>
  <c r="BA219" i="7"/>
  <c r="BA218" i="7"/>
  <c r="BA209" i="7"/>
  <c r="BA208" i="7"/>
  <c r="BA207" i="7"/>
  <c r="BA206" i="7"/>
  <c r="BA205" i="7"/>
  <c r="BA203" i="7"/>
  <c r="BA202" i="7"/>
  <c r="BA201" i="7"/>
  <c r="BA196" i="7"/>
  <c r="BA193" i="7"/>
  <c r="BC4" i="7"/>
  <c r="BC11" i="7" s="1"/>
  <c r="BD3" i="7"/>
  <c r="BC5" i="7"/>
  <c r="AH424" i="7" l="1"/>
  <c r="AH58" i="7"/>
  <c r="AH280" i="7"/>
  <c r="AH185" i="7"/>
  <c r="AH230" i="7" s="1"/>
  <c r="AH76" i="7" s="1"/>
  <c r="AH425" i="7"/>
  <c r="AH46" i="7"/>
  <c r="AH72" i="7"/>
  <c r="AH427" i="7"/>
  <c r="AH430" i="7" s="1"/>
  <c r="AH435" i="7" s="1"/>
  <c r="AH155" i="7"/>
  <c r="AI151" i="7" s="1"/>
  <c r="AH144" i="7"/>
  <c r="AH146" i="7" s="1"/>
  <c r="AI143" i="7" s="1"/>
  <c r="AI137" i="7"/>
  <c r="AH122" i="7"/>
  <c r="AH123" i="7" s="1"/>
  <c r="BE3" i="7"/>
  <c r="BD4" i="7"/>
  <c r="BD11" i="7" s="1"/>
  <c r="BD5" i="7"/>
  <c r="BC8" i="7"/>
  <c r="BC6" i="7"/>
  <c r="BC7" i="7"/>
  <c r="BC13" i="7"/>
  <c r="BC441" i="7"/>
  <c r="BC275" i="7"/>
  <c r="BC191" i="7"/>
  <c r="BB249" i="7"/>
  <c r="BB248" i="7"/>
  <c r="BB247" i="7"/>
  <c r="BB246" i="7"/>
  <c r="BB245" i="7"/>
  <c r="BB244" i="7"/>
  <c r="BB243" i="7"/>
  <c r="BB242" i="7"/>
  <c r="BB241" i="7"/>
  <c r="BB240" i="7"/>
  <c r="BB239" i="7"/>
  <c r="BB238" i="7"/>
  <c r="BB237" i="7"/>
  <c r="BB252" i="7"/>
  <c r="BB253" i="7"/>
  <c r="BB254" i="7"/>
  <c r="BB256" i="7"/>
  <c r="BB257" i="7"/>
  <c r="BB236" i="7"/>
  <c r="BB217" i="7"/>
  <c r="BB198" i="7"/>
  <c r="BB258" i="7"/>
  <c r="BB259" i="7"/>
  <c r="BB261" i="7"/>
  <c r="BB262" i="7"/>
  <c r="BB263" i="7"/>
  <c r="BB264" i="7"/>
  <c r="BB271" i="7"/>
  <c r="BB216" i="7"/>
  <c r="BB197" i="7"/>
  <c r="BB268" i="7"/>
  <c r="BB215" i="7"/>
  <c r="BB214" i="7"/>
  <c r="BB270" i="7"/>
  <c r="BB213" i="7"/>
  <c r="BB265" i="7"/>
  <c r="BB266" i="7"/>
  <c r="BB212" i="7"/>
  <c r="BB269" i="7"/>
  <c r="BB377" i="7"/>
  <c r="BB407" i="7"/>
  <c r="BB375" i="7"/>
  <c r="BB399" i="7"/>
  <c r="BB398" i="7"/>
  <c r="BB397" i="7"/>
  <c r="BB396" i="7"/>
  <c r="BB378" i="7"/>
  <c r="BB376" i="7"/>
  <c r="BB199" i="7"/>
  <c r="BB405" i="7"/>
  <c r="BB404" i="7"/>
  <c r="BB403" i="7"/>
  <c r="BB379" i="7"/>
  <c r="BB200" i="7"/>
  <c r="BB57" i="7"/>
  <c r="BB406" i="7"/>
  <c r="BB374" i="7"/>
  <c r="BB373" i="7"/>
  <c r="BB394" i="7"/>
  <c r="BB390" i="7"/>
  <c r="BB387" i="7"/>
  <c r="BB389" i="7"/>
  <c r="BB395" i="7"/>
  <c r="BB388" i="7"/>
  <c r="BB386" i="7"/>
  <c r="BB385" i="7"/>
  <c r="BB383" i="7"/>
  <c r="BB32" i="7"/>
  <c r="BB30" i="7"/>
  <c r="BB29" i="7"/>
  <c r="BB77" i="7"/>
  <c r="BB367" i="7"/>
  <c r="BB366" i="7"/>
  <c r="BB31" i="7"/>
  <c r="BB28" i="7"/>
  <c r="BB27" i="7"/>
  <c r="BB26" i="7"/>
  <c r="BB98" i="7"/>
  <c r="BB437" i="7"/>
  <c r="BB76" i="7"/>
  <c r="BB436" i="7"/>
  <c r="BB435" i="7"/>
  <c r="BB434" i="7"/>
  <c r="BB433" i="7"/>
  <c r="BB417" i="7"/>
  <c r="BB416" i="7"/>
  <c r="BB358" i="7"/>
  <c r="BB75" i="7"/>
  <c r="BB351" i="7"/>
  <c r="BB331" i="7"/>
  <c r="BB371" i="7"/>
  <c r="BB361" i="7"/>
  <c r="BB354" i="7"/>
  <c r="BB347" i="7"/>
  <c r="BB340" i="7"/>
  <c r="BB330" i="7"/>
  <c r="BB333" i="7"/>
  <c r="BB323" i="7"/>
  <c r="BB59" i="7"/>
  <c r="BB477" i="7"/>
  <c r="BB476" i="7"/>
  <c r="BB475" i="7"/>
  <c r="BB474" i="7"/>
  <c r="BB472" i="7"/>
  <c r="BB471" i="7"/>
  <c r="BB470" i="7"/>
  <c r="BB469" i="7"/>
  <c r="BB487" i="7"/>
  <c r="BB486" i="7"/>
  <c r="BB58" i="7"/>
  <c r="BB485" i="7"/>
  <c r="BB103" i="7"/>
  <c r="BB483" i="7"/>
  <c r="BB482" i="7"/>
  <c r="BB15" i="7"/>
  <c r="BB478" i="7"/>
  <c r="BB149" i="7"/>
  <c r="BB134" i="7"/>
  <c r="BB488" i="7"/>
  <c r="BB204" i="7"/>
  <c r="BB431" i="7"/>
  <c r="BB430" i="7"/>
  <c r="BB427" i="7"/>
  <c r="BB425" i="7"/>
  <c r="BB424" i="7"/>
  <c r="BB421" i="7"/>
  <c r="BB420" i="7"/>
  <c r="BB413" i="7"/>
  <c r="BB412" i="7"/>
  <c r="BB360" i="7"/>
  <c r="BB359" i="7"/>
  <c r="BB357" i="7"/>
  <c r="BB353" i="7"/>
  <c r="BB352" i="7"/>
  <c r="BB350" i="7"/>
  <c r="BB346" i="7"/>
  <c r="BB345" i="7"/>
  <c r="BB344" i="7"/>
  <c r="BB343" i="7"/>
  <c r="BB339" i="7"/>
  <c r="BB338" i="7"/>
  <c r="BB337" i="7"/>
  <c r="BB336" i="7"/>
  <c r="BB332" i="7"/>
  <c r="BB329" i="7"/>
  <c r="BB328" i="7"/>
  <c r="BB327" i="7"/>
  <c r="BB326" i="7"/>
  <c r="BB321" i="7"/>
  <c r="BB320" i="7"/>
  <c r="BB319" i="7"/>
  <c r="BB318" i="7"/>
  <c r="BB317" i="7"/>
  <c r="BB316" i="7"/>
  <c r="BB315" i="7"/>
  <c r="BB468" i="7"/>
  <c r="BB466" i="7"/>
  <c r="BB465" i="7"/>
  <c r="BB464" i="7"/>
  <c r="BB463" i="7"/>
  <c r="BB462" i="7"/>
  <c r="BB458" i="7"/>
  <c r="BB457" i="7"/>
  <c r="BB456" i="7"/>
  <c r="BB455" i="7"/>
  <c r="BB451" i="7"/>
  <c r="BB450" i="7"/>
  <c r="BB449" i="7"/>
  <c r="BB448" i="7"/>
  <c r="BB447" i="7"/>
  <c r="BB443" i="7"/>
  <c r="BB314" i="7"/>
  <c r="BB307" i="7"/>
  <c r="BB306" i="7"/>
  <c r="BB305" i="7"/>
  <c r="BB304" i="7"/>
  <c r="BB303" i="7"/>
  <c r="BB302" i="7"/>
  <c r="BB301" i="7"/>
  <c r="BB298" i="7"/>
  <c r="BB297" i="7"/>
  <c r="BB294" i="7"/>
  <c r="BB293" i="7"/>
  <c r="BB292" i="7"/>
  <c r="BB291" i="7"/>
  <c r="BB290" i="7"/>
  <c r="BB289" i="7"/>
  <c r="BB288" i="7"/>
  <c r="BB287" i="7"/>
  <c r="BB286" i="7"/>
  <c r="BB285" i="7"/>
  <c r="BB284" i="7"/>
  <c r="BB283" i="7"/>
  <c r="BB282" i="7"/>
  <c r="BB281" i="7"/>
  <c r="BB280" i="7"/>
  <c r="BB185" i="7"/>
  <c r="BB184" i="7"/>
  <c r="BB183" i="7"/>
  <c r="BB182" i="7"/>
  <c r="BB179" i="7"/>
  <c r="BB178" i="7"/>
  <c r="BB177" i="7"/>
  <c r="BB176" i="7"/>
  <c r="BB173" i="7"/>
  <c r="BB172" i="7"/>
  <c r="BB171" i="7"/>
  <c r="BB170" i="7"/>
  <c r="BB168" i="7"/>
  <c r="BB167" i="7"/>
  <c r="BB165" i="7"/>
  <c r="BB164" i="7"/>
  <c r="BB163" i="7"/>
  <c r="BB160" i="7"/>
  <c r="BB159" i="7"/>
  <c r="BB158" i="7"/>
  <c r="BB155" i="7"/>
  <c r="BB154" i="7"/>
  <c r="BB153" i="7"/>
  <c r="BB152" i="7"/>
  <c r="BB151" i="7"/>
  <c r="BB146" i="7"/>
  <c r="BB145" i="7"/>
  <c r="BB144" i="7"/>
  <c r="BB143" i="7"/>
  <c r="BB140" i="7"/>
  <c r="BB139" i="7"/>
  <c r="BB309" i="7"/>
  <c r="BB138" i="7"/>
  <c r="BB137" i="7"/>
  <c r="BB131" i="7"/>
  <c r="BB130" i="7"/>
  <c r="BB129" i="7"/>
  <c r="BB128" i="7"/>
  <c r="BB127" i="7"/>
  <c r="BB125" i="7"/>
  <c r="BB124" i="7"/>
  <c r="BB123" i="7"/>
  <c r="BB122" i="7"/>
  <c r="BB121" i="7"/>
  <c r="BB120" i="7"/>
  <c r="BB119" i="7"/>
  <c r="BB118" i="7"/>
  <c r="BB117" i="7"/>
  <c r="BB116" i="7"/>
  <c r="BB115" i="7"/>
  <c r="BB114" i="7"/>
  <c r="BB113" i="7"/>
  <c r="BB110" i="7"/>
  <c r="BB109" i="7"/>
  <c r="BB108" i="7"/>
  <c r="BB105" i="7"/>
  <c r="BB104" i="7"/>
  <c r="BB100" i="7"/>
  <c r="BB99" i="7"/>
  <c r="BB97" i="7"/>
  <c r="BB93" i="7"/>
  <c r="BB91" i="7"/>
  <c r="BB90" i="7"/>
  <c r="BB89" i="7"/>
  <c r="BB87" i="7"/>
  <c r="BB85" i="7"/>
  <c r="BB84" i="7"/>
  <c r="BB83" i="7"/>
  <c r="BB79" i="7"/>
  <c r="BB73" i="7"/>
  <c r="BB72" i="7"/>
  <c r="BB71" i="7"/>
  <c r="BB70" i="7"/>
  <c r="BB69" i="7"/>
  <c r="BB68" i="7"/>
  <c r="BB66" i="7"/>
  <c r="BB65" i="7"/>
  <c r="BB64" i="7"/>
  <c r="BB63" i="7"/>
  <c r="BB62" i="7"/>
  <c r="BB61" i="7"/>
  <c r="BB53" i="7"/>
  <c r="BB52" i="7"/>
  <c r="BB51" i="7"/>
  <c r="BB49" i="7"/>
  <c r="BB48" i="7"/>
  <c r="BB46" i="7"/>
  <c r="BB45" i="7"/>
  <c r="BB44" i="7"/>
  <c r="BB225" i="7"/>
  <c r="BB277" i="7"/>
  <c r="BB43" i="7"/>
  <c r="BB40" i="7"/>
  <c r="BB39" i="7"/>
  <c r="BB38" i="7"/>
  <c r="BB37" i="7"/>
  <c r="BB36" i="7"/>
  <c r="BB35" i="7"/>
  <c r="BB34" i="7"/>
  <c r="BB33" i="7"/>
  <c r="BB24" i="7"/>
  <c r="BB23" i="7"/>
  <c r="BB22" i="7"/>
  <c r="BB21" i="7"/>
  <c r="BB20" i="7"/>
  <c r="BB19" i="7"/>
  <c r="BB18" i="7"/>
  <c r="BB17" i="7"/>
  <c r="BB16" i="7"/>
  <c r="BB233" i="7"/>
  <c r="BB231" i="7"/>
  <c r="BB230" i="7"/>
  <c r="BB229" i="7"/>
  <c r="BB228" i="7"/>
  <c r="BB227" i="7"/>
  <c r="BB226" i="7"/>
  <c r="BB224" i="7"/>
  <c r="BB223" i="7"/>
  <c r="BB222" i="7"/>
  <c r="BB221" i="7"/>
  <c r="BB220" i="7"/>
  <c r="BB219" i="7"/>
  <c r="BB218" i="7"/>
  <c r="BB209" i="7"/>
  <c r="BB208" i="7"/>
  <c r="BB207" i="7"/>
  <c r="BB206" i="7"/>
  <c r="BB205" i="7"/>
  <c r="BB203" i="7"/>
  <c r="BB202" i="7"/>
  <c r="BB201" i="7"/>
  <c r="BB196" i="7"/>
  <c r="BB193" i="7"/>
  <c r="AH73" i="7" l="1"/>
  <c r="AH59" i="7"/>
  <c r="AH431" i="7"/>
  <c r="AH436" i="7" s="1"/>
  <c r="AH437" i="7" s="1"/>
  <c r="AH124" i="7"/>
  <c r="AH125" i="7" s="1"/>
  <c r="AH167" i="7" s="1"/>
  <c r="BC249" i="7"/>
  <c r="BC248" i="7"/>
  <c r="BC247" i="7"/>
  <c r="BC246" i="7"/>
  <c r="BC245" i="7"/>
  <c r="BC244" i="7"/>
  <c r="BC243" i="7"/>
  <c r="BC242" i="7"/>
  <c r="BC241" i="7"/>
  <c r="BC240" i="7"/>
  <c r="BC239" i="7"/>
  <c r="BC238" i="7"/>
  <c r="BC237" i="7"/>
  <c r="BC252" i="7"/>
  <c r="BC253" i="7"/>
  <c r="BC236" i="7"/>
  <c r="BC254" i="7"/>
  <c r="BC256" i="7"/>
  <c r="BC269" i="7"/>
  <c r="BC216" i="7"/>
  <c r="BC197" i="7"/>
  <c r="BC215" i="7"/>
  <c r="BC258" i="7"/>
  <c r="BC259" i="7"/>
  <c r="BC261" i="7"/>
  <c r="BC262" i="7"/>
  <c r="BC263" i="7"/>
  <c r="BC264" i="7"/>
  <c r="BC271" i="7"/>
  <c r="BC214" i="7"/>
  <c r="BC268" i="7"/>
  <c r="BC213" i="7"/>
  <c r="BC257" i="7"/>
  <c r="BC212" i="7"/>
  <c r="BC270" i="7"/>
  <c r="BC200" i="7"/>
  <c r="BC265" i="7"/>
  <c r="BC266" i="7"/>
  <c r="BC217" i="7"/>
  <c r="BC407" i="7"/>
  <c r="BC375" i="7"/>
  <c r="BC399" i="7"/>
  <c r="BC398" i="7"/>
  <c r="BC397" i="7"/>
  <c r="BC396" i="7"/>
  <c r="BC378" i="7"/>
  <c r="BC198" i="7"/>
  <c r="BC376" i="7"/>
  <c r="BC199" i="7"/>
  <c r="BC405" i="7"/>
  <c r="BC404" i="7"/>
  <c r="BC403" i="7"/>
  <c r="BC379" i="7"/>
  <c r="BC57" i="7"/>
  <c r="BC406" i="7"/>
  <c r="BC374" i="7"/>
  <c r="BC373" i="7"/>
  <c r="BC377" i="7"/>
  <c r="BC394" i="7"/>
  <c r="BC390" i="7"/>
  <c r="BC387" i="7"/>
  <c r="BC389" i="7"/>
  <c r="BC395" i="7"/>
  <c r="BC388" i="7"/>
  <c r="BC386" i="7"/>
  <c r="BC385" i="7"/>
  <c r="BC383" i="7"/>
  <c r="BC32" i="7"/>
  <c r="BC31" i="7"/>
  <c r="BC30" i="7"/>
  <c r="BC29" i="7"/>
  <c r="BC77" i="7"/>
  <c r="BC367" i="7"/>
  <c r="BC366" i="7"/>
  <c r="BC28" i="7"/>
  <c r="BC27" i="7"/>
  <c r="BC26" i="7"/>
  <c r="BC98" i="7"/>
  <c r="BC437" i="7"/>
  <c r="BC76" i="7"/>
  <c r="BC436" i="7"/>
  <c r="BC435" i="7"/>
  <c r="BC434" i="7"/>
  <c r="BC433" i="7"/>
  <c r="BC417" i="7"/>
  <c r="BC416" i="7"/>
  <c r="BC75" i="7"/>
  <c r="BC351" i="7"/>
  <c r="BC331" i="7"/>
  <c r="BC371" i="7"/>
  <c r="BC361" i="7"/>
  <c r="BC354" i="7"/>
  <c r="BC347" i="7"/>
  <c r="BC340" i="7"/>
  <c r="BC330" i="7"/>
  <c r="BC333" i="7"/>
  <c r="BC323" i="7"/>
  <c r="BC59" i="7"/>
  <c r="BC58" i="7"/>
  <c r="BC15" i="7"/>
  <c r="BC103" i="7"/>
  <c r="BC358" i="7"/>
  <c r="BC487" i="7"/>
  <c r="BC486" i="7"/>
  <c r="BC485" i="7"/>
  <c r="BC483" i="7"/>
  <c r="BC482" i="7"/>
  <c r="BC478" i="7"/>
  <c r="BC149" i="7"/>
  <c r="BC134" i="7"/>
  <c r="BC488" i="7"/>
  <c r="BC477" i="7"/>
  <c r="BC476" i="7"/>
  <c r="BC475" i="7"/>
  <c r="BC474" i="7"/>
  <c r="BC472" i="7"/>
  <c r="BC471" i="7"/>
  <c r="BC470" i="7"/>
  <c r="BC469" i="7"/>
  <c r="BC204" i="7"/>
  <c r="BC431" i="7"/>
  <c r="BC430" i="7"/>
  <c r="BC427" i="7"/>
  <c r="BC425" i="7"/>
  <c r="BC424" i="7"/>
  <c r="BC421" i="7"/>
  <c r="BC420" i="7"/>
  <c r="BC413" i="7"/>
  <c r="BC412" i="7"/>
  <c r="BC360" i="7"/>
  <c r="BC359" i="7"/>
  <c r="BC357" i="7"/>
  <c r="BC353" i="7"/>
  <c r="BC352" i="7"/>
  <c r="BC350" i="7"/>
  <c r="BC346" i="7"/>
  <c r="BC345" i="7"/>
  <c r="BC344" i="7"/>
  <c r="BC343" i="7"/>
  <c r="BC339" i="7"/>
  <c r="BC338" i="7"/>
  <c r="BC337" i="7"/>
  <c r="BC336" i="7"/>
  <c r="BC332" i="7"/>
  <c r="BC329" i="7"/>
  <c r="BC328" i="7"/>
  <c r="BC327" i="7"/>
  <c r="BC326" i="7"/>
  <c r="BC321" i="7"/>
  <c r="BC320" i="7"/>
  <c r="BC319" i="7"/>
  <c r="BC318" i="7"/>
  <c r="BC317" i="7"/>
  <c r="BC316" i="7"/>
  <c r="BC315" i="7"/>
  <c r="BC314" i="7"/>
  <c r="BC309" i="7"/>
  <c r="BC468" i="7"/>
  <c r="BC466" i="7"/>
  <c r="BC465" i="7"/>
  <c r="BC464" i="7"/>
  <c r="BC463" i="7"/>
  <c r="BC462" i="7"/>
  <c r="BC458" i="7"/>
  <c r="BC457" i="7"/>
  <c r="BC456" i="7"/>
  <c r="BC455" i="7"/>
  <c r="BC451" i="7"/>
  <c r="BC450" i="7"/>
  <c r="BC449" i="7"/>
  <c r="BC448" i="7"/>
  <c r="BC447" i="7"/>
  <c r="BC443" i="7"/>
  <c r="BC307" i="7"/>
  <c r="BC306" i="7"/>
  <c r="BC305" i="7"/>
  <c r="BC304" i="7"/>
  <c r="BC303" i="7"/>
  <c r="BC302" i="7"/>
  <c r="BC301" i="7"/>
  <c r="BC298" i="7"/>
  <c r="BC297" i="7"/>
  <c r="BC294" i="7"/>
  <c r="BC293" i="7"/>
  <c r="BC292" i="7"/>
  <c r="BC291" i="7"/>
  <c r="BC290" i="7"/>
  <c r="BC289" i="7"/>
  <c r="BC288" i="7"/>
  <c r="BC287" i="7"/>
  <c r="BC286" i="7"/>
  <c r="BC285" i="7"/>
  <c r="BC284" i="7"/>
  <c r="BC283" i="7"/>
  <c r="BC282" i="7"/>
  <c r="BC281" i="7"/>
  <c r="BC280" i="7"/>
  <c r="BC185" i="7"/>
  <c r="BC184" i="7"/>
  <c r="BC183" i="7"/>
  <c r="BC182" i="7"/>
  <c r="BC179" i="7"/>
  <c r="BC178" i="7"/>
  <c r="BC177" i="7"/>
  <c r="BC176" i="7"/>
  <c r="BC173" i="7"/>
  <c r="BC172" i="7"/>
  <c r="BC171" i="7"/>
  <c r="BC170" i="7"/>
  <c r="BC168" i="7"/>
  <c r="BC167" i="7"/>
  <c r="BC165" i="7"/>
  <c r="BC164" i="7"/>
  <c r="BC163" i="7"/>
  <c r="BC160" i="7"/>
  <c r="BC159" i="7"/>
  <c r="BC158" i="7"/>
  <c r="BC155" i="7"/>
  <c r="BC154" i="7"/>
  <c r="BC153" i="7"/>
  <c r="BC152" i="7"/>
  <c r="BC151" i="7"/>
  <c r="BC146" i="7"/>
  <c r="BC145" i="7"/>
  <c r="BC144" i="7"/>
  <c r="BC143" i="7"/>
  <c r="BC140" i="7"/>
  <c r="BC139" i="7"/>
  <c r="BC138" i="7"/>
  <c r="BC137" i="7"/>
  <c r="BC131" i="7"/>
  <c r="BC130" i="7"/>
  <c r="BC129" i="7"/>
  <c r="BC128" i="7"/>
  <c r="BC127" i="7"/>
  <c r="BC125" i="7"/>
  <c r="BC124" i="7"/>
  <c r="BC123" i="7"/>
  <c r="BC122" i="7"/>
  <c r="BC121" i="7"/>
  <c r="BC120" i="7"/>
  <c r="BC119" i="7"/>
  <c r="BC118" i="7"/>
  <c r="BC117" i="7"/>
  <c r="BC116" i="7"/>
  <c r="BC115" i="7"/>
  <c r="BC114" i="7"/>
  <c r="BC113" i="7"/>
  <c r="BC110" i="7"/>
  <c r="BC109" i="7"/>
  <c r="BC108" i="7"/>
  <c r="BC105" i="7"/>
  <c r="BC104" i="7"/>
  <c r="BC100" i="7"/>
  <c r="BC99" i="7"/>
  <c r="BC97" i="7"/>
  <c r="BC93" i="7"/>
  <c r="BC91" i="7"/>
  <c r="BC90" i="7"/>
  <c r="BC89" i="7"/>
  <c r="BC87" i="7"/>
  <c r="BC85" i="7"/>
  <c r="BC84" i="7"/>
  <c r="BC83" i="7"/>
  <c r="BC79" i="7"/>
  <c r="BC73" i="7"/>
  <c r="BC72" i="7"/>
  <c r="BC71" i="7"/>
  <c r="BC70" i="7"/>
  <c r="BC69" i="7"/>
  <c r="BC68" i="7"/>
  <c r="BC66" i="7"/>
  <c r="BC65" i="7"/>
  <c r="BC64" i="7"/>
  <c r="BC63" i="7"/>
  <c r="BC62" i="7"/>
  <c r="BC61" i="7"/>
  <c r="BC53" i="7"/>
  <c r="BC52" i="7"/>
  <c r="BC51" i="7"/>
  <c r="BC49" i="7"/>
  <c r="BC48" i="7"/>
  <c r="BC46" i="7"/>
  <c r="BC45" i="7"/>
  <c r="BC225" i="7"/>
  <c r="BC277" i="7"/>
  <c r="BC43" i="7"/>
  <c r="BC40" i="7"/>
  <c r="BC39" i="7"/>
  <c r="BC38" i="7"/>
  <c r="BC37" i="7"/>
  <c r="BC36" i="7"/>
  <c r="BC35" i="7"/>
  <c r="BC34" i="7"/>
  <c r="BC33" i="7"/>
  <c r="BC24" i="7"/>
  <c r="BC23" i="7"/>
  <c r="BC22" i="7"/>
  <c r="BC21" i="7"/>
  <c r="BC20" i="7"/>
  <c r="BC19" i="7"/>
  <c r="BC18" i="7"/>
  <c r="BC17" i="7"/>
  <c r="BC16" i="7"/>
  <c r="BC233" i="7"/>
  <c r="BC231" i="7"/>
  <c r="BC230" i="7"/>
  <c r="BC229" i="7"/>
  <c r="BC228" i="7"/>
  <c r="BC227" i="7"/>
  <c r="BC226" i="7"/>
  <c r="BC224" i="7"/>
  <c r="BC223" i="7"/>
  <c r="BC222" i="7"/>
  <c r="BC221" i="7"/>
  <c r="BC220" i="7"/>
  <c r="BC219" i="7"/>
  <c r="BC218" i="7"/>
  <c r="BC209" i="7"/>
  <c r="BC208" i="7"/>
  <c r="BC207" i="7"/>
  <c r="BC206" i="7"/>
  <c r="BC205" i="7"/>
  <c r="BC203" i="7"/>
  <c r="BC202" i="7"/>
  <c r="BC201" i="7"/>
  <c r="BC196" i="7"/>
  <c r="BC193" i="7"/>
  <c r="BC44" i="7"/>
  <c r="BD8" i="7"/>
  <c r="BD6" i="7"/>
  <c r="BD7" i="7"/>
  <c r="BD13" i="7"/>
  <c r="BD441" i="7"/>
  <c r="BD275" i="7"/>
  <c r="BD191" i="7"/>
  <c r="BE4" i="7"/>
  <c r="BE11" i="7" s="1"/>
  <c r="BF3" i="7"/>
  <c r="BE5" i="7"/>
  <c r="AH48" i="7" l="1"/>
  <c r="AH49" i="7"/>
  <c r="AH128" i="7"/>
  <c r="AH168" i="7"/>
  <c r="BF4" i="7"/>
  <c r="BF11" i="7" s="1"/>
  <c r="BG3" i="7"/>
  <c r="BF5" i="7"/>
  <c r="BE8" i="7"/>
  <c r="BE6" i="7"/>
  <c r="BE7" i="7"/>
  <c r="BE13" i="7"/>
  <c r="BE441" i="7"/>
  <c r="BE275" i="7"/>
  <c r="BE191" i="7"/>
  <c r="BD249" i="7"/>
  <c r="BD248" i="7"/>
  <c r="BD247" i="7"/>
  <c r="BD246" i="7"/>
  <c r="BD245" i="7"/>
  <c r="BD244" i="7"/>
  <c r="BD243" i="7"/>
  <c r="BD242" i="7"/>
  <c r="BD241" i="7"/>
  <c r="BD240" i="7"/>
  <c r="BD239" i="7"/>
  <c r="BD238" i="7"/>
  <c r="BD237" i="7"/>
  <c r="BD252" i="7"/>
  <c r="BD253" i="7"/>
  <c r="BD236" i="7"/>
  <c r="BD254" i="7"/>
  <c r="BD256" i="7"/>
  <c r="BD215" i="7"/>
  <c r="BD269" i="7"/>
  <c r="BD214" i="7"/>
  <c r="BD213" i="7"/>
  <c r="BD258" i="7"/>
  <c r="BD259" i="7"/>
  <c r="BD261" i="7"/>
  <c r="BD262" i="7"/>
  <c r="BD263" i="7"/>
  <c r="BD264" i="7"/>
  <c r="BD271" i="7"/>
  <c r="BD212" i="7"/>
  <c r="BD268" i="7"/>
  <c r="BD200" i="7"/>
  <c r="BD257" i="7"/>
  <c r="BD199" i="7"/>
  <c r="BD270" i="7"/>
  <c r="BD217" i="7"/>
  <c r="BD265" i="7"/>
  <c r="BD266" i="7"/>
  <c r="BD216" i="7"/>
  <c r="BD407" i="7"/>
  <c r="BD375" i="7"/>
  <c r="BD399" i="7"/>
  <c r="BD398" i="7"/>
  <c r="BD397" i="7"/>
  <c r="BD396" i="7"/>
  <c r="BD378" i="7"/>
  <c r="BD197" i="7"/>
  <c r="BD198" i="7"/>
  <c r="BD376" i="7"/>
  <c r="BD405" i="7"/>
  <c r="BD404" i="7"/>
  <c r="BD403" i="7"/>
  <c r="BD379" i="7"/>
  <c r="BD395" i="7"/>
  <c r="BD57" i="7"/>
  <c r="BD406" i="7"/>
  <c r="BD374" i="7"/>
  <c r="BD373" i="7"/>
  <c r="BD377" i="7"/>
  <c r="BD394" i="7"/>
  <c r="BD390" i="7"/>
  <c r="BD387" i="7"/>
  <c r="BD389" i="7"/>
  <c r="BD388" i="7"/>
  <c r="BD386" i="7"/>
  <c r="BD385" i="7"/>
  <c r="BD383" i="7"/>
  <c r="BD32" i="7"/>
  <c r="BD31" i="7"/>
  <c r="BD30" i="7"/>
  <c r="BD29" i="7"/>
  <c r="BD28" i="7"/>
  <c r="BD27" i="7"/>
  <c r="BD26" i="7"/>
  <c r="BD98" i="7"/>
  <c r="BD437" i="7"/>
  <c r="BD76" i="7"/>
  <c r="BD436" i="7"/>
  <c r="BD435" i="7"/>
  <c r="BD434" i="7"/>
  <c r="BD433" i="7"/>
  <c r="BD417" i="7"/>
  <c r="BD416" i="7"/>
  <c r="BD75" i="7"/>
  <c r="BD77" i="7"/>
  <c r="BD367" i="7"/>
  <c r="BD366" i="7"/>
  <c r="BD331" i="7"/>
  <c r="BD371" i="7"/>
  <c r="BD361" i="7"/>
  <c r="BD354" i="7"/>
  <c r="BD347" i="7"/>
  <c r="BD340" i="7"/>
  <c r="BD330" i="7"/>
  <c r="BD333" i="7"/>
  <c r="BD323" i="7"/>
  <c r="BD59" i="7"/>
  <c r="BD58" i="7"/>
  <c r="BD15" i="7"/>
  <c r="BD103" i="7"/>
  <c r="BD358" i="7"/>
  <c r="BD351" i="7"/>
  <c r="BD486" i="7"/>
  <c r="BD485" i="7"/>
  <c r="BD483" i="7"/>
  <c r="BD482" i="7"/>
  <c r="BD478" i="7"/>
  <c r="BD149" i="7"/>
  <c r="BD134" i="7"/>
  <c r="BD488" i="7"/>
  <c r="BD477" i="7"/>
  <c r="BD476" i="7"/>
  <c r="BD475" i="7"/>
  <c r="BD474" i="7"/>
  <c r="BD472" i="7"/>
  <c r="BD471" i="7"/>
  <c r="BD470" i="7"/>
  <c r="BD469" i="7"/>
  <c r="BD487" i="7"/>
  <c r="BD204" i="7"/>
  <c r="BD431" i="7"/>
  <c r="BD430" i="7"/>
  <c r="BD427" i="7"/>
  <c r="BD425" i="7"/>
  <c r="BD424" i="7"/>
  <c r="BD421" i="7"/>
  <c r="BD420" i="7"/>
  <c r="BD413" i="7"/>
  <c r="BD412" i="7"/>
  <c r="BD360" i="7"/>
  <c r="BD359" i="7"/>
  <c r="BD357" i="7"/>
  <c r="BD353" i="7"/>
  <c r="BD352" i="7"/>
  <c r="BD350" i="7"/>
  <c r="BD346" i="7"/>
  <c r="BD345" i="7"/>
  <c r="BD344" i="7"/>
  <c r="BD343" i="7"/>
  <c r="BD339" i="7"/>
  <c r="BD338" i="7"/>
  <c r="BD337" i="7"/>
  <c r="BD336" i="7"/>
  <c r="BD332" i="7"/>
  <c r="BD329" i="7"/>
  <c r="BD328" i="7"/>
  <c r="BD327" i="7"/>
  <c r="BD326" i="7"/>
  <c r="BD321" i="7"/>
  <c r="BD320" i="7"/>
  <c r="BD319" i="7"/>
  <c r="BD318" i="7"/>
  <c r="BD317" i="7"/>
  <c r="BD316" i="7"/>
  <c r="BD315" i="7"/>
  <c r="BD314" i="7"/>
  <c r="BD309" i="7"/>
  <c r="BD468" i="7"/>
  <c r="BD466" i="7"/>
  <c r="BD465" i="7"/>
  <c r="BD464" i="7"/>
  <c r="BD463" i="7"/>
  <c r="BD462" i="7"/>
  <c r="BD458" i="7"/>
  <c r="BD457" i="7"/>
  <c r="BD456" i="7"/>
  <c r="BD455" i="7"/>
  <c r="BD451" i="7"/>
  <c r="BD450" i="7"/>
  <c r="BD449" i="7"/>
  <c r="BD448" i="7"/>
  <c r="BD447" i="7"/>
  <c r="BD443" i="7"/>
  <c r="BD307" i="7"/>
  <c r="BD306" i="7"/>
  <c r="BD305" i="7"/>
  <c r="BD304" i="7"/>
  <c r="BD303" i="7"/>
  <c r="BD302" i="7"/>
  <c r="BD301" i="7"/>
  <c r="BD298" i="7"/>
  <c r="BD297" i="7"/>
  <c r="BD294" i="7"/>
  <c r="BD293" i="7"/>
  <c r="BD292" i="7"/>
  <c r="BD291" i="7"/>
  <c r="BD290" i="7"/>
  <c r="BD289" i="7"/>
  <c r="BD288" i="7"/>
  <c r="BD287" i="7"/>
  <c r="BD286" i="7"/>
  <c r="BD285" i="7"/>
  <c r="BD284" i="7"/>
  <c r="BD283" i="7"/>
  <c r="BD282" i="7"/>
  <c r="BD281" i="7"/>
  <c r="BD280" i="7"/>
  <c r="BD185" i="7"/>
  <c r="BD184" i="7"/>
  <c r="BD183" i="7"/>
  <c r="BD182" i="7"/>
  <c r="BD179" i="7"/>
  <c r="BD178" i="7"/>
  <c r="BD177" i="7"/>
  <c r="BD176" i="7"/>
  <c r="BD173" i="7"/>
  <c r="BD172" i="7"/>
  <c r="BD171" i="7"/>
  <c r="BD170" i="7"/>
  <c r="BD168" i="7"/>
  <c r="BD167" i="7"/>
  <c r="BD165" i="7"/>
  <c r="BD164" i="7"/>
  <c r="BD163" i="7"/>
  <c r="BD160" i="7"/>
  <c r="BD159" i="7"/>
  <c r="BD158" i="7"/>
  <c r="BD155" i="7"/>
  <c r="BD154" i="7"/>
  <c r="BD153" i="7"/>
  <c r="BD152" i="7"/>
  <c r="BD151" i="7"/>
  <c r="BD146" i="7"/>
  <c r="BD145" i="7"/>
  <c r="BD144" i="7"/>
  <c r="BD143" i="7"/>
  <c r="BD140" i="7"/>
  <c r="BD139" i="7"/>
  <c r="BD138" i="7"/>
  <c r="BD137" i="7"/>
  <c r="BD131" i="7"/>
  <c r="BD130" i="7"/>
  <c r="BD129" i="7"/>
  <c r="BD128" i="7"/>
  <c r="BD127" i="7"/>
  <c r="BD125" i="7"/>
  <c r="BD124" i="7"/>
  <c r="BD123" i="7"/>
  <c r="BD122" i="7"/>
  <c r="BD121" i="7"/>
  <c r="BD120" i="7"/>
  <c r="BD119" i="7"/>
  <c r="BD118" i="7"/>
  <c r="BD117" i="7"/>
  <c r="BD116" i="7"/>
  <c r="BD115" i="7"/>
  <c r="BD114" i="7"/>
  <c r="BD113" i="7"/>
  <c r="BD110" i="7"/>
  <c r="BD109" i="7"/>
  <c r="BD108" i="7"/>
  <c r="BD105" i="7"/>
  <c r="BD104" i="7"/>
  <c r="BD100" i="7"/>
  <c r="BD99" i="7"/>
  <c r="BD97" i="7"/>
  <c r="BD93" i="7"/>
  <c r="BD91" i="7"/>
  <c r="BD90" i="7"/>
  <c r="BD89" i="7"/>
  <c r="BD87" i="7"/>
  <c r="BD85" i="7"/>
  <c r="BD84" i="7"/>
  <c r="BD83" i="7"/>
  <c r="BD79" i="7"/>
  <c r="BD73" i="7"/>
  <c r="BD72" i="7"/>
  <c r="BD71" i="7"/>
  <c r="BD70" i="7"/>
  <c r="BD69" i="7"/>
  <c r="BD68" i="7"/>
  <c r="BD66" i="7"/>
  <c r="BD65" i="7"/>
  <c r="BD64" i="7"/>
  <c r="BD63" i="7"/>
  <c r="BD62" i="7"/>
  <c r="BD61" i="7"/>
  <c r="BD53" i="7"/>
  <c r="BD52" i="7"/>
  <c r="BD51" i="7"/>
  <c r="BD49" i="7"/>
  <c r="BD48" i="7"/>
  <c r="BD46" i="7"/>
  <c r="BD45" i="7"/>
  <c r="BD44" i="7"/>
  <c r="BD43" i="7"/>
  <c r="BD40" i="7"/>
  <c r="BD39" i="7"/>
  <c r="BD38" i="7"/>
  <c r="BD37" i="7"/>
  <c r="BD36" i="7"/>
  <c r="BD35" i="7"/>
  <c r="BD34" i="7"/>
  <c r="BD33" i="7"/>
  <c r="BD24" i="7"/>
  <c r="BD23" i="7"/>
  <c r="BD22" i="7"/>
  <c r="BD21" i="7"/>
  <c r="BD20" i="7"/>
  <c r="BD19" i="7"/>
  <c r="BD18" i="7"/>
  <c r="BD17" i="7"/>
  <c r="BD16" i="7"/>
  <c r="BD233" i="7"/>
  <c r="BD231" i="7"/>
  <c r="BD230" i="7"/>
  <c r="BD229" i="7"/>
  <c r="BD228" i="7"/>
  <c r="BD227" i="7"/>
  <c r="BD226" i="7"/>
  <c r="BD224" i="7"/>
  <c r="BD223" i="7"/>
  <c r="BD222" i="7"/>
  <c r="BD221" i="7"/>
  <c r="BD220" i="7"/>
  <c r="BD219" i="7"/>
  <c r="BD218" i="7"/>
  <c r="BD209" i="7"/>
  <c r="BD208" i="7"/>
  <c r="BD207" i="7"/>
  <c r="BD206" i="7"/>
  <c r="BD205" i="7"/>
  <c r="BD203" i="7"/>
  <c r="BD202" i="7"/>
  <c r="BD201" i="7"/>
  <c r="BD196" i="7"/>
  <c r="BD193" i="7"/>
  <c r="BD225" i="7"/>
  <c r="BD277" i="7"/>
  <c r="AH170" i="7" l="1"/>
  <c r="AH178" i="7"/>
  <c r="AH171" i="7" s="1"/>
  <c r="BF13" i="7"/>
  <c r="BF441" i="7"/>
  <c r="BF275" i="7"/>
  <c r="BF191" i="7"/>
  <c r="BE248" i="7"/>
  <c r="BE247" i="7"/>
  <c r="BE246" i="7"/>
  <c r="BE245" i="7"/>
  <c r="BE244" i="7"/>
  <c r="BE243" i="7"/>
  <c r="BE242" i="7"/>
  <c r="BE241" i="7"/>
  <c r="BE240" i="7"/>
  <c r="BE239" i="7"/>
  <c r="BE238" i="7"/>
  <c r="BE237" i="7"/>
  <c r="BE249" i="7"/>
  <c r="BE254" i="7"/>
  <c r="BE256" i="7"/>
  <c r="BE257" i="7"/>
  <c r="BE258" i="7"/>
  <c r="BE259" i="7"/>
  <c r="BE261" i="7"/>
  <c r="BE262" i="7"/>
  <c r="BE263" i="7"/>
  <c r="BE264" i="7"/>
  <c r="BE236" i="7"/>
  <c r="BE252" i="7"/>
  <c r="BE253" i="7"/>
  <c r="BE265" i="7"/>
  <c r="BE266" i="7"/>
  <c r="BE214" i="7"/>
  <c r="BE213" i="7"/>
  <c r="BE57" i="7"/>
  <c r="BE269" i="7"/>
  <c r="BE212" i="7"/>
  <c r="BE200" i="7"/>
  <c r="BE271" i="7"/>
  <c r="BE199" i="7"/>
  <c r="BE268" i="7"/>
  <c r="BE217" i="7"/>
  <c r="BE198" i="7"/>
  <c r="BE216" i="7"/>
  <c r="BE270" i="7"/>
  <c r="BE215" i="7"/>
  <c r="BE378" i="7"/>
  <c r="BE197" i="7"/>
  <c r="BE376" i="7"/>
  <c r="BE405" i="7"/>
  <c r="BE404" i="7"/>
  <c r="BE403" i="7"/>
  <c r="BE379" i="7"/>
  <c r="BE395" i="7"/>
  <c r="BE394" i="7"/>
  <c r="BE406" i="7"/>
  <c r="BE374" i="7"/>
  <c r="BE373" i="7"/>
  <c r="BE377" i="7"/>
  <c r="BE407" i="7"/>
  <c r="BE375" i="7"/>
  <c r="BE399" i="7"/>
  <c r="BE398" i="7"/>
  <c r="BE397" i="7"/>
  <c r="BE396" i="7"/>
  <c r="BE389" i="7"/>
  <c r="BE388" i="7"/>
  <c r="BE386" i="7"/>
  <c r="BE385" i="7"/>
  <c r="BE383" i="7"/>
  <c r="BE32" i="7"/>
  <c r="BE31" i="7"/>
  <c r="BE30" i="7"/>
  <c r="BE390" i="7"/>
  <c r="BE387" i="7"/>
  <c r="BE29" i="7"/>
  <c r="BE28" i="7"/>
  <c r="BE27" i="7"/>
  <c r="BE26" i="7"/>
  <c r="BE98" i="7"/>
  <c r="BE437" i="7"/>
  <c r="BE76" i="7"/>
  <c r="BE436" i="7"/>
  <c r="BE435" i="7"/>
  <c r="BE434" i="7"/>
  <c r="BE433" i="7"/>
  <c r="BE417" i="7"/>
  <c r="BE416" i="7"/>
  <c r="BE358" i="7"/>
  <c r="BE75" i="7"/>
  <c r="BE77" i="7"/>
  <c r="BE367" i="7"/>
  <c r="BE366" i="7"/>
  <c r="BE371" i="7"/>
  <c r="BE361" i="7"/>
  <c r="BE354" i="7"/>
  <c r="BE347" i="7"/>
  <c r="BE340" i="7"/>
  <c r="BE330" i="7"/>
  <c r="BE333" i="7"/>
  <c r="BE323" i="7"/>
  <c r="BE59" i="7"/>
  <c r="BE58" i="7"/>
  <c r="BE15" i="7"/>
  <c r="BE103" i="7"/>
  <c r="BE351" i="7"/>
  <c r="BE331" i="7"/>
  <c r="BE485" i="7"/>
  <c r="BE483" i="7"/>
  <c r="BE482" i="7"/>
  <c r="BE478" i="7"/>
  <c r="BE149" i="7"/>
  <c r="BE134" i="7"/>
  <c r="BE488" i="7"/>
  <c r="BE477" i="7"/>
  <c r="BE476" i="7"/>
  <c r="BE475" i="7"/>
  <c r="BE474" i="7"/>
  <c r="BE472" i="7"/>
  <c r="BE471" i="7"/>
  <c r="BE470" i="7"/>
  <c r="BE469" i="7"/>
  <c r="BE487" i="7"/>
  <c r="BE486" i="7"/>
  <c r="BE468" i="7"/>
  <c r="BE466" i="7"/>
  <c r="BE465" i="7"/>
  <c r="BE464" i="7"/>
  <c r="BE463" i="7"/>
  <c r="BE462" i="7"/>
  <c r="BE458" i="7"/>
  <c r="BE457" i="7"/>
  <c r="BE456" i="7"/>
  <c r="BE455" i="7"/>
  <c r="BE451" i="7"/>
  <c r="BE450" i="7"/>
  <c r="BE449" i="7"/>
  <c r="BE448" i="7"/>
  <c r="BE447" i="7"/>
  <c r="BE443" i="7"/>
  <c r="BE204" i="7"/>
  <c r="BE431" i="7"/>
  <c r="BE430" i="7"/>
  <c r="BE427" i="7"/>
  <c r="BE425" i="7"/>
  <c r="BE424" i="7"/>
  <c r="BE421" i="7"/>
  <c r="BE420" i="7"/>
  <c r="BE413" i="7"/>
  <c r="BE412" i="7"/>
  <c r="BE360" i="7"/>
  <c r="BE359" i="7"/>
  <c r="BE357" i="7"/>
  <c r="BE353" i="7"/>
  <c r="BE352" i="7"/>
  <c r="BE350" i="7"/>
  <c r="BE346" i="7"/>
  <c r="BE345" i="7"/>
  <c r="BE344" i="7"/>
  <c r="BE343" i="7"/>
  <c r="BE339" i="7"/>
  <c r="BE338" i="7"/>
  <c r="BE337" i="7"/>
  <c r="BE336" i="7"/>
  <c r="BE332" i="7"/>
  <c r="BE329" i="7"/>
  <c r="BE328" i="7"/>
  <c r="BE327" i="7"/>
  <c r="BE326" i="7"/>
  <c r="BE321" i="7"/>
  <c r="BE320" i="7"/>
  <c r="BE319" i="7"/>
  <c r="BE318" i="7"/>
  <c r="BE314" i="7"/>
  <c r="BE307" i="7"/>
  <c r="BE306" i="7"/>
  <c r="BE305" i="7"/>
  <c r="BE304" i="7"/>
  <c r="BE303" i="7"/>
  <c r="BE302" i="7"/>
  <c r="BE301" i="7"/>
  <c r="BE298" i="7"/>
  <c r="BE297" i="7"/>
  <c r="BE294" i="7"/>
  <c r="BE293" i="7"/>
  <c r="BE292" i="7"/>
  <c r="BE291" i="7"/>
  <c r="BE290" i="7"/>
  <c r="BE289" i="7"/>
  <c r="BE288" i="7"/>
  <c r="BE287" i="7"/>
  <c r="BE286" i="7"/>
  <c r="BE285" i="7"/>
  <c r="BE284" i="7"/>
  <c r="BE283" i="7"/>
  <c r="BE282" i="7"/>
  <c r="BE281" i="7"/>
  <c r="BE280" i="7"/>
  <c r="BE185" i="7"/>
  <c r="BE184" i="7"/>
  <c r="BE183" i="7"/>
  <c r="BE182" i="7"/>
  <c r="BE179" i="7"/>
  <c r="BE178" i="7"/>
  <c r="BE177" i="7"/>
  <c r="BE176" i="7"/>
  <c r="BE173" i="7"/>
  <c r="BE172" i="7"/>
  <c r="BE171" i="7"/>
  <c r="BE170" i="7"/>
  <c r="BE168" i="7"/>
  <c r="BE167" i="7"/>
  <c r="BE165" i="7"/>
  <c r="BE164" i="7"/>
  <c r="BE163" i="7"/>
  <c r="BE160" i="7"/>
  <c r="BE159" i="7"/>
  <c r="BE158" i="7"/>
  <c r="BE155" i="7"/>
  <c r="BE154" i="7"/>
  <c r="BE153" i="7"/>
  <c r="BE152" i="7"/>
  <c r="BE151" i="7"/>
  <c r="BE146" i="7"/>
  <c r="BE145" i="7"/>
  <c r="BE144" i="7"/>
  <c r="BE143" i="7"/>
  <c r="BE140" i="7"/>
  <c r="BE139" i="7"/>
  <c r="BE317" i="7"/>
  <c r="BE309" i="7"/>
  <c r="BE315" i="7"/>
  <c r="BE316" i="7"/>
  <c r="BE138" i="7"/>
  <c r="BE137" i="7"/>
  <c r="BE131" i="7"/>
  <c r="BE130" i="7"/>
  <c r="BE129" i="7"/>
  <c r="BE128" i="7"/>
  <c r="BE127" i="7"/>
  <c r="BE125" i="7"/>
  <c r="BE124" i="7"/>
  <c r="BE123" i="7"/>
  <c r="BE122" i="7"/>
  <c r="BE121" i="7"/>
  <c r="BE120" i="7"/>
  <c r="BE119" i="7"/>
  <c r="BE118" i="7"/>
  <c r="BE117" i="7"/>
  <c r="BE116" i="7"/>
  <c r="BE115" i="7"/>
  <c r="BE114" i="7"/>
  <c r="BE113" i="7"/>
  <c r="BE110" i="7"/>
  <c r="BE109" i="7"/>
  <c r="BE108" i="7"/>
  <c r="BE105" i="7"/>
  <c r="BE104" i="7"/>
  <c r="BE100" i="7"/>
  <c r="BE99" i="7"/>
  <c r="BE97" i="7"/>
  <c r="BE93" i="7"/>
  <c r="BE91" i="7"/>
  <c r="BE90" i="7"/>
  <c r="BE89" i="7"/>
  <c r="BE87" i="7"/>
  <c r="BE85" i="7"/>
  <c r="BE84" i="7"/>
  <c r="BE83" i="7"/>
  <c r="BE79" i="7"/>
  <c r="BE73" i="7"/>
  <c r="BE72" i="7"/>
  <c r="BE71" i="7"/>
  <c r="BE70" i="7"/>
  <c r="BE69" i="7"/>
  <c r="BE68" i="7"/>
  <c r="BE66" i="7"/>
  <c r="BE65" i="7"/>
  <c r="BE64" i="7"/>
  <c r="BE63" i="7"/>
  <c r="BE62" i="7"/>
  <c r="BE61" i="7"/>
  <c r="BE53" i="7"/>
  <c r="BE52" i="7"/>
  <c r="BE51" i="7"/>
  <c r="BE49" i="7"/>
  <c r="BE48" i="7"/>
  <c r="BE46" i="7"/>
  <c r="BE45" i="7"/>
  <c r="BE233" i="7"/>
  <c r="BE231" i="7"/>
  <c r="BE230" i="7"/>
  <c r="BE229" i="7"/>
  <c r="BE228" i="7"/>
  <c r="BE227" i="7"/>
  <c r="BE226" i="7"/>
  <c r="BE224" i="7"/>
  <c r="BE223" i="7"/>
  <c r="BE222" i="7"/>
  <c r="BE221" i="7"/>
  <c r="BE220" i="7"/>
  <c r="BE219" i="7"/>
  <c r="BE218" i="7"/>
  <c r="BE209" i="7"/>
  <c r="BE208" i="7"/>
  <c r="BE207" i="7"/>
  <c r="BE206" i="7"/>
  <c r="BE205" i="7"/>
  <c r="BE203" i="7"/>
  <c r="BE202" i="7"/>
  <c r="BE201" i="7"/>
  <c r="BE196" i="7"/>
  <c r="BE193" i="7"/>
  <c r="BE44" i="7"/>
  <c r="BE225" i="7"/>
  <c r="BE277" i="7"/>
  <c r="BE43" i="7"/>
  <c r="BE40" i="7"/>
  <c r="BE39" i="7"/>
  <c r="BE38" i="7"/>
  <c r="BE37" i="7"/>
  <c r="BE36" i="7"/>
  <c r="BE35" i="7"/>
  <c r="BE34" i="7"/>
  <c r="BE33" i="7"/>
  <c r="BE24" i="7"/>
  <c r="BE23" i="7"/>
  <c r="BE22" i="7"/>
  <c r="BE21" i="7"/>
  <c r="BE20" i="7"/>
  <c r="BE19" i="7"/>
  <c r="BE18" i="7"/>
  <c r="BE17" i="7"/>
  <c r="BE16" i="7"/>
  <c r="BF8" i="7"/>
  <c r="BF6" i="7"/>
  <c r="BF7" i="7"/>
  <c r="BH3" i="7"/>
  <c r="BG4" i="7"/>
  <c r="BG11" i="7" s="1"/>
  <c r="BG5" i="7"/>
  <c r="AH172" i="7" l="1"/>
  <c r="BG8" i="7"/>
  <c r="BG6" i="7"/>
  <c r="BG7" i="7"/>
  <c r="BG13" i="7"/>
  <c r="BG441" i="7"/>
  <c r="BG275" i="7"/>
  <c r="BG191" i="7"/>
  <c r="BI3" i="7"/>
  <c r="BH4" i="7"/>
  <c r="BH11" i="7" s="1"/>
  <c r="BH5" i="7"/>
  <c r="BF249" i="7"/>
  <c r="BF248" i="7"/>
  <c r="BF247" i="7"/>
  <c r="BF246" i="7"/>
  <c r="BF245" i="7"/>
  <c r="BF244" i="7"/>
  <c r="BF243" i="7"/>
  <c r="BF242" i="7"/>
  <c r="BF241" i="7"/>
  <c r="BF240" i="7"/>
  <c r="BF239" i="7"/>
  <c r="BF238" i="7"/>
  <c r="BF237" i="7"/>
  <c r="BF254" i="7"/>
  <c r="BF256" i="7"/>
  <c r="BF257" i="7"/>
  <c r="BF258" i="7"/>
  <c r="BF259" i="7"/>
  <c r="BF261" i="7"/>
  <c r="BF262" i="7"/>
  <c r="BF263" i="7"/>
  <c r="BF264" i="7"/>
  <c r="BF236" i="7"/>
  <c r="BF270" i="7"/>
  <c r="BF213" i="7"/>
  <c r="BF57" i="7"/>
  <c r="BF265" i="7"/>
  <c r="BF266" i="7"/>
  <c r="BF212" i="7"/>
  <c r="BF407" i="7"/>
  <c r="BF200" i="7"/>
  <c r="BF253" i="7"/>
  <c r="BF269" i="7"/>
  <c r="BF199" i="7"/>
  <c r="BF217" i="7"/>
  <c r="BF198" i="7"/>
  <c r="BF271" i="7"/>
  <c r="BF216" i="7"/>
  <c r="BF197" i="7"/>
  <c r="BF268" i="7"/>
  <c r="BF215" i="7"/>
  <c r="BF252" i="7"/>
  <c r="BF214" i="7"/>
  <c r="BF376" i="7"/>
  <c r="BF405" i="7"/>
  <c r="BF404" i="7"/>
  <c r="BF403" i="7"/>
  <c r="BF379" i="7"/>
  <c r="BF395" i="7"/>
  <c r="BF394" i="7"/>
  <c r="BF406" i="7"/>
  <c r="BF374" i="7"/>
  <c r="BF373" i="7"/>
  <c r="BF377" i="7"/>
  <c r="BF375" i="7"/>
  <c r="BF399" i="7"/>
  <c r="BF398" i="7"/>
  <c r="BF397" i="7"/>
  <c r="BF396" i="7"/>
  <c r="BF378" i="7"/>
  <c r="BF389" i="7"/>
  <c r="BF388" i="7"/>
  <c r="BF386" i="7"/>
  <c r="BF385" i="7"/>
  <c r="BF383" i="7"/>
  <c r="BF31" i="7"/>
  <c r="BF30" i="7"/>
  <c r="BF390" i="7"/>
  <c r="BF387" i="7"/>
  <c r="BF76" i="7"/>
  <c r="BF436" i="7"/>
  <c r="BF435" i="7"/>
  <c r="BF75" i="7"/>
  <c r="BF32" i="7"/>
  <c r="BF77" i="7"/>
  <c r="BF367" i="7"/>
  <c r="BF366" i="7"/>
  <c r="BF29" i="7"/>
  <c r="BF28" i="7"/>
  <c r="BF27" i="7"/>
  <c r="BF26" i="7"/>
  <c r="BF98" i="7"/>
  <c r="BF437" i="7"/>
  <c r="BF417" i="7"/>
  <c r="BF434" i="7"/>
  <c r="BF59" i="7"/>
  <c r="BF58" i="7"/>
  <c r="BF15" i="7"/>
  <c r="BF103" i="7"/>
  <c r="BF358" i="7"/>
  <c r="BF351" i="7"/>
  <c r="BF433" i="7"/>
  <c r="BF331" i="7"/>
  <c r="BF416" i="7"/>
  <c r="BF371" i="7"/>
  <c r="BF361" i="7"/>
  <c r="BF354" i="7"/>
  <c r="BF347" i="7"/>
  <c r="BF340" i="7"/>
  <c r="BF330" i="7"/>
  <c r="BF333" i="7"/>
  <c r="BF323" i="7"/>
  <c r="BF483" i="7"/>
  <c r="BF482" i="7"/>
  <c r="BF478" i="7"/>
  <c r="BF149" i="7"/>
  <c r="BF134" i="7"/>
  <c r="BF488" i="7"/>
  <c r="BF477" i="7"/>
  <c r="BF476" i="7"/>
  <c r="BF475" i="7"/>
  <c r="BF474" i="7"/>
  <c r="BF472" i="7"/>
  <c r="BF471" i="7"/>
  <c r="BF470" i="7"/>
  <c r="BF487" i="7"/>
  <c r="BF486" i="7"/>
  <c r="BF485" i="7"/>
  <c r="BF468" i="7"/>
  <c r="BF466" i="7"/>
  <c r="BF465" i="7"/>
  <c r="BF464" i="7"/>
  <c r="BF463" i="7"/>
  <c r="BF462" i="7"/>
  <c r="BF458" i="7"/>
  <c r="BF457" i="7"/>
  <c r="BF456" i="7"/>
  <c r="BF455" i="7"/>
  <c r="BF451" i="7"/>
  <c r="BF450" i="7"/>
  <c r="BF449" i="7"/>
  <c r="BF448" i="7"/>
  <c r="BF447" i="7"/>
  <c r="BF443" i="7"/>
  <c r="BF204" i="7"/>
  <c r="BF431" i="7"/>
  <c r="BF430" i="7"/>
  <c r="BF427" i="7"/>
  <c r="BF425" i="7"/>
  <c r="BF424" i="7"/>
  <c r="BF421" i="7"/>
  <c r="BF420" i="7"/>
  <c r="BF413" i="7"/>
  <c r="BF412" i="7"/>
  <c r="BF360" i="7"/>
  <c r="BF359" i="7"/>
  <c r="BF357" i="7"/>
  <c r="BF353" i="7"/>
  <c r="BF352" i="7"/>
  <c r="BF350" i="7"/>
  <c r="BF346" i="7"/>
  <c r="BF345" i="7"/>
  <c r="BF344" i="7"/>
  <c r="BF343" i="7"/>
  <c r="BF339" i="7"/>
  <c r="BF338" i="7"/>
  <c r="BF337" i="7"/>
  <c r="BF336" i="7"/>
  <c r="BF332" i="7"/>
  <c r="BF329" i="7"/>
  <c r="BF328" i="7"/>
  <c r="BF327" i="7"/>
  <c r="BF326" i="7"/>
  <c r="BF321" i="7"/>
  <c r="BF320" i="7"/>
  <c r="BF319" i="7"/>
  <c r="BF318" i="7"/>
  <c r="BF317" i="7"/>
  <c r="BF316" i="7"/>
  <c r="BF315" i="7"/>
  <c r="BF469" i="7"/>
  <c r="BF309" i="7"/>
  <c r="BF314" i="7"/>
  <c r="BF307" i="7"/>
  <c r="BF306" i="7"/>
  <c r="BF305" i="7"/>
  <c r="BF304" i="7"/>
  <c r="BF303" i="7"/>
  <c r="BF302" i="7"/>
  <c r="BF301" i="7"/>
  <c r="BF298" i="7"/>
  <c r="BF297" i="7"/>
  <c r="BF294" i="7"/>
  <c r="BF293" i="7"/>
  <c r="BF292" i="7"/>
  <c r="BF291" i="7"/>
  <c r="BF290" i="7"/>
  <c r="BF289" i="7"/>
  <c r="BF288" i="7"/>
  <c r="BF287" i="7"/>
  <c r="BF286" i="7"/>
  <c r="BF285" i="7"/>
  <c r="BF284" i="7"/>
  <c r="BF283" i="7"/>
  <c r="BF282" i="7"/>
  <c r="BF281" i="7"/>
  <c r="BF280" i="7"/>
  <c r="BF185" i="7"/>
  <c r="BF184" i="7"/>
  <c r="BF183" i="7"/>
  <c r="BF182" i="7"/>
  <c r="BF179" i="7"/>
  <c r="BF178" i="7"/>
  <c r="BF177" i="7"/>
  <c r="BF176" i="7"/>
  <c r="BF173" i="7"/>
  <c r="BF172" i="7"/>
  <c r="BF171" i="7"/>
  <c r="BF170" i="7"/>
  <c r="BF168" i="7"/>
  <c r="BF167" i="7"/>
  <c r="BF165" i="7"/>
  <c r="BF164" i="7"/>
  <c r="BF163" i="7"/>
  <c r="BF160" i="7"/>
  <c r="BF159" i="7"/>
  <c r="BF158" i="7"/>
  <c r="BF155" i="7"/>
  <c r="BF154" i="7"/>
  <c r="BF153" i="7"/>
  <c r="BF152" i="7"/>
  <c r="BF151" i="7"/>
  <c r="BF146" i="7"/>
  <c r="BF145" i="7"/>
  <c r="BF144" i="7"/>
  <c r="BF143" i="7"/>
  <c r="BF140" i="7"/>
  <c r="BF139" i="7"/>
  <c r="BF138" i="7"/>
  <c r="BF137" i="7"/>
  <c r="BF131" i="7"/>
  <c r="BF130" i="7"/>
  <c r="BF129" i="7"/>
  <c r="BF128" i="7"/>
  <c r="BF127" i="7"/>
  <c r="BF125" i="7"/>
  <c r="BF124" i="7"/>
  <c r="BF123" i="7"/>
  <c r="BF122" i="7"/>
  <c r="BF121" i="7"/>
  <c r="BF120" i="7"/>
  <c r="BF119" i="7"/>
  <c r="BF118" i="7"/>
  <c r="BF117" i="7"/>
  <c r="BF116" i="7"/>
  <c r="BF115" i="7"/>
  <c r="BF114" i="7"/>
  <c r="BF113" i="7"/>
  <c r="BF110" i="7"/>
  <c r="BF109" i="7"/>
  <c r="BF108" i="7"/>
  <c r="BF105" i="7"/>
  <c r="BF104" i="7"/>
  <c r="BF100" i="7"/>
  <c r="BF99" i="7"/>
  <c r="BF97" i="7"/>
  <c r="BF93" i="7"/>
  <c r="BF91" i="7"/>
  <c r="BF90" i="7"/>
  <c r="BF89" i="7"/>
  <c r="BF87" i="7"/>
  <c r="BF85" i="7"/>
  <c r="BF84" i="7"/>
  <c r="BF83" i="7"/>
  <c r="BF79" i="7"/>
  <c r="BF73" i="7"/>
  <c r="BF72" i="7"/>
  <c r="BF71" i="7"/>
  <c r="BF70" i="7"/>
  <c r="BF69" i="7"/>
  <c r="BF68" i="7"/>
  <c r="BF66" i="7"/>
  <c r="BF65" i="7"/>
  <c r="BF64" i="7"/>
  <c r="BF63" i="7"/>
  <c r="BF62" i="7"/>
  <c r="BF61" i="7"/>
  <c r="BF53" i="7"/>
  <c r="BF52" i="7"/>
  <c r="BF51" i="7"/>
  <c r="BF49" i="7"/>
  <c r="BF48" i="7"/>
  <c r="BF46" i="7"/>
  <c r="BF45" i="7"/>
  <c r="BF44" i="7"/>
  <c r="BF225" i="7"/>
  <c r="BF277" i="7"/>
  <c r="BF43" i="7"/>
  <c r="BF40" i="7"/>
  <c r="BF39" i="7"/>
  <c r="BF38" i="7"/>
  <c r="BF37" i="7"/>
  <c r="BF36" i="7"/>
  <c r="BF35" i="7"/>
  <c r="BF34" i="7"/>
  <c r="BF33" i="7"/>
  <c r="BF24" i="7"/>
  <c r="BF23" i="7"/>
  <c r="BF22" i="7"/>
  <c r="BF21" i="7"/>
  <c r="BF20" i="7"/>
  <c r="BF19" i="7"/>
  <c r="BF18" i="7"/>
  <c r="BF17" i="7"/>
  <c r="BF16" i="7"/>
  <c r="BF233" i="7"/>
  <c r="BF231" i="7"/>
  <c r="BF230" i="7"/>
  <c r="BF229" i="7"/>
  <c r="BF228" i="7"/>
  <c r="BF227" i="7"/>
  <c r="BF226" i="7"/>
  <c r="BF224" i="7"/>
  <c r="BF223" i="7"/>
  <c r="BF222" i="7"/>
  <c r="BF221" i="7"/>
  <c r="BF220" i="7"/>
  <c r="BF219" i="7"/>
  <c r="BF218" i="7"/>
  <c r="BF209" i="7"/>
  <c r="BF208" i="7"/>
  <c r="BF207" i="7"/>
  <c r="BF206" i="7"/>
  <c r="BF205" i="7"/>
  <c r="BF203" i="7"/>
  <c r="BF202" i="7"/>
  <c r="BF201" i="7"/>
  <c r="BF196" i="7"/>
  <c r="BF193" i="7"/>
  <c r="AH127" i="7" l="1"/>
  <c r="AH129" i="7" s="1"/>
  <c r="AH130" i="7" s="1"/>
  <c r="AH225" i="7" s="1"/>
  <c r="AH173" i="7"/>
  <c r="AH177" i="7"/>
  <c r="AH179" i="7" s="1"/>
  <c r="AI176" i="7" s="1"/>
  <c r="BH13" i="7"/>
  <c r="BH441" i="7"/>
  <c r="BH275" i="7"/>
  <c r="BH191" i="7"/>
  <c r="BI4" i="7"/>
  <c r="BI11" i="7" s="1"/>
  <c r="BI5" i="7"/>
  <c r="BG248" i="7"/>
  <c r="BG247" i="7"/>
  <c r="BG246" i="7"/>
  <c r="BG245" i="7"/>
  <c r="BG244" i="7"/>
  <c r="BG243" i="7"/>
  <c r="BG242" i="7"/>
  <c r="BG241" i="7"/>
  <c r="BG240" i="7"/>
  <c r="BG239" i="7"/>
  <c r="BG238" i="7"/>
  <c r="BG237" i="7"/>
  <c r="BG249" i="7"/>
  <c r="BG236" i="7"/>
  <c r="BG254" i="7"/>
  <c r="BG256" i="7"/>
  <c r="BG257" i="7"/>
  <c r="BG252" i="7"/>
  <c r="BG253" i="7"/>
  <c r="BG212" i="7"/>
  <c r="BG407" i="7"/>
  <c r="BG270" i="7"/>
  <c r="BG200" i="7"/>
  <c r="BG265" i="7"/>
  <c r="BG266" i="7"/>
  <c r="BG199" i="7"/>
  <c r="BG217" i="7"/>
  <c r="BG198" i="7"/>
  <c r="BG258" i="7"/>
  <c r="BG259" i="7"/>
  <c r="BG261" i="7"/>
  <c r="BG262" i="7"/>
  <c r="BG263" i="7"/>
  <c r="BG264" i="7"/>
  <c r="BG269" i="7"/>
  <c r="BG216" i="7"/>
  <c r="BG197" i="7"/>
  <c r="BG215" i="7"/>
  <c r="BG271" i="7"/>
  <c r="BG214" i="7"/>
  <c r="BG268" i="7"/>
  <c r="BG213" i="7"/>
  <c r="BG376" i="7"/>
  <c r="BG405" i="7"/>
  <c r="BG404" i="7"/>
  <c r="BG403" i="7"/>
  <c r="BG379" i="7"/>
  <c r="BG395" i="7"/>
  <c r="BG394" i="7"/>
  <c r="BG406" i="7"/>
  <c r="BG374" i="7"/>
  <c r="BG373" i="7"/>
  <c r="BG377" i="7"/>
  <c r="BG57" i="7"/>
  <c r="BG375" i="7"/>
  <c r="BG399" i="7"/>
  <c r="BG398" i="7"/>
  <c r="BG397" i="7"/>
  <c r="BG396" i="7"/>
  <c r="BG378" i="7"/>
  <c r="BG388" i="7"/>
  <c r="BG386" i="7"/>
  <c r="BG385" i="7"/>
  <c r="BG383" i="7"/>
  <c r="BG32" i="7"/>
  <c r="BG390" i="7"/>
  <c r="BG387" i="7"/>
  <c r="BG389" i="7"/>
  <c r="BG30" i="7"/>
  <c r="BG436" i="7"/>
  <c r="BG435" i="7"/>
  <c r="BG434" i="7"/>
  <c r="BG433" i="7"/>
  <c r="BG417" i="7"/>
  <c r="BG416" i="7"/>
  <c r="BG358" i="7"/>
  <c r="BG75" i="7"/>
  <c r="BG31" i="7"/>
  <c r="BG77" i="7"/>
  <c r="BG367" i="7"/>
  <c r="BG366" i="7"/>
  <c r="BG29" i="7"/>
  <c r="BG28" i="7"/>
  <c r="BG27" i="7"/>
  <c r="BG26" i="7"/>
  <c r="BG98" i="7"/>
  <c r="BG437" i="7"/>
  <c r="BG76" i="7"/>
  <c r="BG59" i="7"/>
  <c r="BG58" i="7"/>
  <c r="BG15" i="7"/>
  <c r="BG103" i="7"/>
  <c r="BG351" i="7"/>
  <c r="BG331" i="7"/>
  <c r="BG371" i="7"/>
  <c r="BG361" i="7"/>
  <c r="BG354" i="7"/>
  <c r="BG347" i="7"/>
  <c r="BG340" i="7"/>
  <c r="BG330" i="7"/>
  <c r="BG333" i="7"/>
  <c r="BG323" i="7"/>
  <c r="BG482" i="7"/>
  <c r="BG478" i="7"/>
  <c r="BG149" i="7"/>
  <c r="BG134" i="7"/>
  <c r="BG488" i="7"/>
  <c r="BG477" i="7"/>
  <c r="BG476" i="7"/>
  <c r="BG475" i="7"/>
  <c r="BG474" i="7"/>
  <c r="BG472" i="7"/>
  <c r="BG471" i="7"/>
  <c r="BG470" i="7"/>
  <c r="BG487" i="7"/>
  <c r="BG486" i="7"/>
  <c r="BG485" i="7"/>
  <c r="BG483" i="7"/>
  <c r="BG443" i="7"/>
  <c r="BG204" i="7"/>
  <c r="BG431" i="7"/>
  <c r="BG430" i="7"/>
  <c r="BG427" i="7"/>
  <c r="BG425" i="7"/>
  <c r="BG424" i="7"/>
  <c r="BG421" i="7"/>
  <c r="BG420" i="7"/>
  <c r="BG413" i="7"/>
  <c r="BG412" i="7"/>
  <c r="BG360" i="7"/>
  <c r="BG359" i="7"/>
  <c r="BG357" i="7"/>
  <c r="BG353" i="7"/>
  <c r="BG352" i="7"/>
  <c r="BG350" i="7"/>
  <c r="BG346" i="7"/>
  <c r="BG345" i="7"/>
  <c r="BG344" i="7"/>
  <c r="BG343" i="7"/>
  <c r="BG339" i="7"/>
  <c r="BG338" i="7"/>
  <c r="BG337" i="7"/>
  <c r="BG336" i="7"/>
  <c r="BG332" i="7"/>
  <c r="BG329" i="7"/>
  <c r="BG328" i="7"/>
  <c r="BG327" i="7"/>
  <c r="BG326" i="7"/>
  <c r="BG321" i="7"/>
  <c r="BG320" i="7"/>
  <c r="BG319" i="7"/>
  <c r="BG318" i="7"/>
  <c r="BG469" i="7"/>
  <c r="BG468" i="7"/>
  <c r="BG466" i="7"/>
  <c r="BG465" i="7"/>
  <c r="BG464" i="7"/>
  <c r="BG463" i="7"/>
  <c r="BG462" i="7"/>
  <c r="BG458" i="7"/>
  <c r="BG457" i="7"/>
  <c r="BG456" i="7"/>
  <c r="BG455" i="7"/>
  <c r="BG451" i="7"/>
  <c r="BG450" i="7"/>
  <c r="BG449" i="7"/>
  <c r="BG448" i="7"/>
  <c r="BG447" i="7"/>
  <c r="BG317" i="7"/>
  <c r="BG309" i="7"/>
  <c r="BG315" i="7"/>
  <c r="BG316" i="7"/>
  <c r="BG314" i="7"/>
  <c r="BG307" i="7"/>
  <c r="BG306" i="7"/>
  <c r="BG305" i="7"/>
  <c r="BG304" i="7"/>
  <c r="BG303" i="7"/>
  <c r="BG302" i="7"/>
  <c r="BG301" i="7"/>
  <c r="BG298" i="7"/>
  <c r="BG297" i="7"/>
  <c r="BG294" i="7"/>
  <c r="BG293" i="7"/>
  <c r="BG292" i="7"/>
  <c r="BG291" i="7"/>
  <c r="BG290" i="7"/>
  <c r="BG289" i="7"/>
  <c r="BG288" i="7"/>
  <c r="BG287" i="7"/>
  <c r="BG286" i="7"/>
  <c r="BG285" i="7"/>
  <c r="BG284" i="7"/>
  <c r="BG283" i="7"/>
  <c r="BG282" i="7"/>
  <c r="BG281" i="7"/>
  <c r="BG280" i="7"/>
  <c r="BG185" i="7"/>
  <c r="BG184" i="7"/>
  <c r="BG183" i="7"/>
  <c r="BG182" i="7"/>
  <c r="BG179" i="7"/>
  <c r="BG178" i="7"/>
  <c r="BG177" i="7"/>
  <c r="BG176" i="7"/>
  <c r="BG173" i="7"/>
  <c r="BG172" i="7"/>
  <c r="BG171" i="7"/>
  <c r="BG170" i="7"/>
  <c r="BG168" i="7"/>
  <c r="BG167" i="7"/>
  <c r="BG165" i="7"/>
  <c r="BG164" i="7"/>
  <c r="BG163" i="7"/>
  <c r="BG160" i="7"/>
  <c r="BG159" i="7"/>
  <c r="BG158" i="7"/>
  <c r="BG155" i="7"/>
  <c r="BG154" i="7"/>
  <c r="BG153" i="7"/>
  <c r="BG152" i="7"/>
  <c r="BG151" i="7"/>
  <c r="BG146" i="7"/>
  <c r="BG145" i="7"/>
  <c r="BG144" i="7"/>
  <c r="BG143" i="7"/>
  <c r="BG140" i="7"/>
  <c r="BG139" i="7"/>
  <c r="BG138" i="7"/>
  <c r="BG137" i="7"/>
  <c r="BG131" i="7"/>
  <c r="BG130" i="7"/>
  <c r="BG129" i="7"/>
  <c r="BG128" i="7"/>
  <c r="BG127" i="7"/>
  <c r="BG125" i="7"/>
  <c r="BG124" i="7"/>
  <c r="BG123" i="7"/>
  <c r="BG122" i="7"/>
  <c r="BG121" i="7"/>
  <c r="BG120" i="7"/>
  <c r="BG119" i="7"/>
  <c r="BG118" i="7"/>
  <c r="BG117" i="7"/>
  <c r="BG116" i="7"/>
  <c r="BG115" i="7"/>
  <c r="BG114" i="7"/>
  <c r="BG113" i="7"/>
  <c r="BG110" i="7"/>
  <c r="BG109" i="7"/>
  <c r="BG108" i="7"/>
  <c r="BG105" i="7"/>
  <c r="BG104" i="7"/>
  <c r="BG100" i="7"/>
  <c r="BG99" i="7"/>
  <c r="BG97" i="7"/>
  <c r="BG93" i="7"/>
  <c r="BG91" i="7"/>
  <c r="BG90" i="7"/>
  <c r="BG89" i="7"/>
  <c r="BG87" i="7"/>
  <c r="BG85" i="7"/>
  <c r="BG84" i="7"/>
  <c r="BG83" i="7"/>
  <c r="BG79" i="7"/>
  <c r="BG73" i="7"/>
  <c r="BG72" i="7"/>
  <c r="BG71" i="7"/>
  <c r="BG70" i="7"/>
  <c r="BG69" i="7"/>
  <c r="BG68" i="7"/>
  <c r="BG66" i="7"/>
  <c r="BG65" i="7"/>
  <c r="BG64" i="7"/>
  <c r="BG63" i="7"/>
  <c r="BG62" i="7"/>
  <c r="BG61" i="7"/>
  <c r="BG53" i="7"/>
  <c r="BG52" i="7"/>
  <c r="BG51" i="7"/>
  <c r="BG49" i="7"/>
  <c r="BG48" i="7"/>
  <c r="BG46" i="7"/>
  <c r="BG45" i="7"/>
  <c r="BG44" i="7"/>
  <c r="BG225" i="7"/>
  <c r="BG277" i="7"/>
  <c r="BG43" i="7"/>
  <c r="BG40" i="7"/>
  <c r="BG39" i="7"/>
  <c r="BG38" i="7"/>
  <c r="BG37" i="7"/>
  <c r="BG36" i="7"/>
  <c r="BG35" i="7"/>
  <c r="BG34" i="7"/>
  <c r="BG33" i="7"/>
  <c r="BG24" i="7"/>
  <c r="BG23" i="7"/>
  <c r="BG22" i="7"/>
  <c r="BG21" i="7"/>
  <c r="BG20" i="7"/>
  <c r="BG19" i="7"/>
  <c r="BG18" i="7"/>
  <c r="BG17" i="7"/>
  <c r="BG16" i="7"/>
  <c r="BG233" i="7"/>
  <c r="BG231" i="7"/>
  <c r="BG230" i="7"/>
  <c r="BG229" i="7"/>
  <c r="BG228" i="7"/>
  <c r="BG227" i="7"/>
  <c r="BG226" i="7"/>
  <c r="BG224" i="7"/>
  <c r="BG223" i="7"/>
  <c r="BG222" i="7"/>
  <c r="BG221" i="7"/>
  <c r="BG220" i="7"/>
  <c r="BG219" i="7"/>
  <c r="BG218" i="7"/>
  <c r="BG209" i="7"/>
  <c r="BG208" i="7"/>
  <c r="BG207" i="7"/>
  <c r="BG206" i="7"/>
  <c r="BG205" i="7"/>
  <c r="BG203" i="7"/>
  <c r="BG202" i="7"/>
  <c r="BG201" i="7"/>
  <c r="BG196" i="7"/>
  <c r="BG193" i="7"/>
  <c r="BH8" i="7"/>
  <c r="BH6" i="7"/>
  <c r="BH7" i="7"/>
  <c r="AH290" i="7" l="1"/>
  <c r="AH293" i="7" s="1"/>
  <c r="AH294" i="7" s="1"/>
  <c r="BI8" i="7"/>
  <c r="AB8" i="7" s="1"/>
  <c r="BI6" i="7"/>
  <c r="BI7" i="7"/>
  <c r="BI13" i="7"/>
  <c r="BI441" i="7"/>
  <c r="BI191" i="7"/>
  <c r="BI275" i="7"/>
  <c r="BH249" i="7"/>
  <c r="BH248" i="7"/>
  <c r="BH247" i="7"/>
  <c r="BH246" i="7"/>
  <c r="BH245" i="7"/>
  <c r="BH244" i="7"/>
  <c r="BH243" i="7"/>
  <c r="BH242" i="7"/>
  <c r="BH241" i="7"/>
  <c r="BH240" i="7"/>
  <c r="BH239" i="7"/>
  <c r="BH238" i="7"/>
  <c r="BH237" i="7"/>
  <c r="BH236" i="7"/>
  <c r="BH254" i="7"/>
  <c r="BH252" i="7"/>
  <c r="BH253" i="7"/>
  <c r="BH268" i="7"/>
  <c r="BH200" i="7"/>
  <c r="BH199" i="7"/>
  <c r="BH270" i="7"/>
  <c r="BH217" i="7"/>
  <c r="BH198" i="7"/>
  <c r="BH265" i="7"/>
  <c r="BH266" i="7"/>
  <c r="BH216" i="7"/>
  <c r="BH197" i="7"/>
  <c r="BH215" i="7"/>
  <c r="BH258" i="7"/>
  <c r="BH259" i="7"/>
  <c r="BH261" i="7"/>
  <c r="BH262" i="7"/>
  <c r="BH263" i="7"/>
  <c r="BH264" i="7"/>
  <c r="BH269" i="7"/>
  <c r="BH214" i="7"/>
  <c r="BH256" i="7"/>
  <c r="BH257" i="7"/>
  <c r="BH213" i="7"/>
  <c r="BH271" i="7"/>
  <c r="BH212" i="7"/>
  <c r="BH405" i="7"/>
  <c r="BH404" i="7"/>
  <c r="BH403" i="7"/>
  <c r="BH379" i="7"/>
  <c r="BH395" i="7"/>
  <c r="BH394" i="7"/>
  <c r="BH406" i="7"/>
  <c r="BH374" i="7"/>
  <c r="BH373" i="7"/>
  <c r="BH390" i="7"/>
  <c r="BH377" i="7"/>
  <c r="BH57" i="7"/>
  <c r="BH375" i="7"/>
  <c r="BH399" i="7"/>
  <c r="BH398" i="7"/>
  <c r="BH397" i="7"/>
  <c r="BH396" i="7"/>
  <c r="BH378" i="7"/>
  <c r="BH407" i="7"/>
  <c r="BH376" i="7"/>
  <c r="BH388" i="7"/>
  <c r="BH386" i="7"/>
  <c r="BH385" i="7"/>
  <c r="BH383" i="7"/>
  <c r="BH32" i="7"/>
  <c r="BH31" i="7"/>
  <c r="BH30" i="7"/>
  <c r="BH29" i="7"/>
  <c r="BH387" i="7"/>
  <c r="BH389" i="7"/>
  <c r="BH75" i="7"/>
  <c r="BH77" i="7"/>
  <c r="BH367" i="7"/>
  <c r="BH366" i="7"/>
  <c r="BH28" i="7"/>
  <c r="BH27" i="7"/>
  <c r="BH26" i="7"/>
  <c r="BH98" i="7"/>
  <c r="BH437" i="7"/>
  <c r="BH76" i="7"/>
  <c r="BH436" i="7"/>
  <c r="BH435" i="7"/>
  <c r="BH434" i="7"/>
  <c r="BH433" i="7"/>
  <c r="BH417" i="7"/>
  <c r="BH59" i="7"/>
  <c r="BH58" i="7"/>
  <c r="BH15" i="7"/>
  <c r="BH103" i="7"/>
  <c r="BH351" i="7"/>
  <c r="BH358" i="7"/>
  <c r="BH331" i="7"/>
  <c r="BH371" i="7"/>
  <c r="BH361" i="7"/>
  <c r="BH354" i="7"/>
  <c r="BH347" i="7"/>
  <c r="BH340" i="7"/>
  <c r="BH330" i="7"/>
  <c r="BH333" i="7"/>
  <c r="BH323" i="7"/>
  <c r="BH416" i="7"/>
  <c r="BH478" i="7"/>
  <c r="BH149" i="7"/>
  <c r="BH134" i="7"/>
  <c r="BH488" i="7"/>
  <c r="BH477" i="7"/>
  <c r="BH476" i="7"/>
  <c r="BH475" i="7"/>
  <c r="BH474" i="7"/>
  <c r="BH472" i="7"/>
  <c r="BH471" i="7"/>
  <c r="BH470" i="7"/>
  <c r="BH469" i="7"/>
  <c r="BH487" i="7"/>
  <c r="BH486" i="7"/>
  <c r="BH485" i="7"/>
  <c r="BH483" i="7"/>
  <c r="BH482" i="7"/>
  <c r="BH443" i="7"/>
  <c r="BH204" i="7"/>
  <c r="BH431" i="7"/>
  <c r="BH430" i="7"/>
  <c r="BH427" i="7"/>
  <c r="BH425" i="7"/>
  <c r="BH424" i="7"/>
  <c r="BH421" i="7"/>
  <c r="BH420" i="7"/>
  <c r="BH413" i="7"/>
  <c r="BH412" i="7"/>
  <c r="BH360" i="7"/>
  <c r="BH359" i="7"/>
  <c r="BH357" i="7"/>
  <c r="BH353" i="7"/>
  <c r="BH352" i="7"/>
  <c r="BH350" i="7"/>
  <c r="BH346" i="7"/>
  <c r="BH345" i="7"/>
  <c r="BH344" i="7"/>
  <c r="BH343" i="7"/>
  <c r="BH339" i="7"/>
  <c r="BH338" i="7"/>
  <c r="BH337" i="7"/>
  <c r="BH336" i="7"/>
  <c r="BH332" i="7"/>
  <c r="BH329" i="7"/>
  <c r="BH328" i="7"/>
  <c r="BH327" i="7"/>
  <c r="BH326" i="7"/>
  <c r="BH321" i="7"/>
  <c r="BH320" i="7"/>
  <c r="BH319" i="7"/>
  <c r="BH318" i="7"/>
  <c r="BH317" i="7"/>
  <c r="BH316" i="7"/>
  <c r="BH315" i="7"/>
  <c r="BH314" i="7"/>
  <c r="BH309" i="7"/>
  <c r="BH307" i="7"/>
  <c r="BH468" i="7"/>
  <c r="BH466" i="7"/>
  <c r="BH465" i="7"/>
  <c r="BH464" i="7"/>
  <c r="BH463" i="7"/>
  <c r="BH462" i="7"/>
  <c r="BH458" i="7"/>
  <c r="BH457" i="7"/>
  <c r="BH456" i="7"/>
  <c r="BH455" i="7"/>
  <c r="BH451" i="7"/>
  <c r="BH450" i="7"/>
  <c r="BH449" i="7"/>
  <c r="BH448" i="7"/>
  <c r="BH447" i="7"/>
  <c r="BH306" i="7"/>
  <c r="BH305" i="7"/>
  <c r="BH304" i="7"/>
  <c r="BH303" i="7"/>
  <c r="BH302" i="7"/>
  <c r="BH301" i="7"/>
  <c r="BH298" i="7"/>
  <c r="BH297" i="7"/>
  <c r="BH294" i="7"/>
  <c r="BH293" i="7"/>
  <c r="BH292" i="7"/>
  <c r="BH291" i="7"/>
  <c r="BH290" i="7"/>
  <c r="BH289" i="7"/>
  <c r="BH288" i="7"/>
  <c r="BH287" i="7"/>
  <c r="BH286" i="7"/>
  <c r="BH285" i="7"/>
  <c r="BH284" i="7"/>
  <c r="BH283" i="7"/>
  <c r="BH282" i="7"/>
  <c r="BH281" i="7"/>
  <c r="BH280" i="7"/>
  <c r="BH185" i="7"/>
  <c r="BH184" i="7"/>
  <c r="BH183" i="7"/>
  <c r="BH182" i="7"/>
  <c r="BH179" i="7"/>
  <c r="BH178" i="7"/>
  <c r="BH177" i="7"/>
  <c r="BH176" i="7"/>
  <c r="BH173" i="7"/>
  <c r="BH172" i="7"/>
  <c r="BH171" i="7"/>
  <c r="BH170" i="7"/>
  <c r="BH168" i="7"/>
  <c r="BH167" i="7"/>
  <c r="BH165" i="7"/>
  <c r="BH164" i="7"/>
  <c r="BH163" i="7"/>
  <c r="BH160" i="7"/>
  <c r="BH159" i="7"/>
  <c r="BH158" i="7"/>
  <c r="BH155" i="7"/>
  <c r="BH154" i="7"/>
  <c r="BH153" i="7"/>
  <c r="BH152" i="7"/>
  <c r="BH151" i="7"/>
  <c r="BH146" i="7"/>
  <c r="BH145" i="7"/>
  <c r="BH144" i="7"/>
  <c r="BH143" i="7"/>
  <c r="BH140" i="7"/>
  <c r="BH139" i="7"/>
  <c r="BH138" i="7"/>
  <c r="BH137" i="7"/>
  <c r="BH131" i="7"/>
  <c r="BH130" i="7"/>
  <c r="BH129" i="7"/>
  <c r="BH128" i="7"/>
  <c r="BH127" i="7"/>
  <c r="BH125" i="7"/>
  <c r="BH124" i="7"/>
  <c r="BH123" i="7"/>
  <c r="BH122" i="7"/>
  <c r="BH121" i="7"/>
  <c r="BH120" i="7"/>
  <c r="BH119" i="7"/>
  <c r="BH118" i="7"/>
  <c r="BH117" i="7"/>
  <c r="BH116" i="7"/>
  <c r="BH115" i="7"/>
  <c r="BH114" i="7"/>
  <c r="BH113" i="7"/>
  <c r="BH110" i="7"/>
  <c r="BH109" i="7"/>
  <c r="BH108" i="7"/>
  <c r="BH105" i="7"/>
  <c r="BH104" i="7"/>
  <c r="BH100" i="7"/>
  <c r="BH99" i="7"/>
  <c r="BH97" i="7"/>
  <c r="BH93" i="7"/>
  <c r="BH91" i="7"/>
  <c r="BH90" i="7"/>
  <c r="BH89" i="7"/>
  <c r="BH87" i="7"/>
  <c r="BH85" i="7"/>
  <c r="BH84" i="7"/>
  <c r="BH83" i="7"/>
  <c r="BH79" i="7"/>
  <c r="BH73" i="7"/>
  <c r="BH72" i="7"/>
  <c r="BH71" i="7"/>
  <c r="BH70" i="7"/>
  <c r="BH69" i="7"/>
  <c r="BH68" i="7"/>
  <c r="BH66" i="7"/>
  <c r="BH65" i="7"/>
  <c r="BH64" i="7"/>
  <c r="BH63" i="7"/>
  <c r="BH62" i="7"/>
  <c r="BH61" i="7"/>
  <c r="BH53" i="7"/>
  <c r="BH52" i="7"/>
  <c r="BH51" i="7"/>
  <c r="BH49" i="7"/>
  <c r="BH48" i="7"/>
  <c r="BH46" i="7"/>
  <c r="BH45" i="7"/>
  <c r="BH44" i="7"/>
  <c r="BH225" i="7"/>
  <c r="BH277" i="7"/>
  <c r="BH43" i="7"/>
  <c r="BH40" i="7"/>
  <c r="BH39" i="7"/>
  <c r="BH38" i="7"/>
  <c r="BH37" i="7"/>
  <c r="BH36" i="7"/>
  <c r="BH35" i="7"/>
  <c r="BH34" i="7"/>
  <c r="BH33" i="7"/>
  <c r="BH24" i="7"/>
  <c r="BH23" i="7"/>
  <c r="BH22" i="7"/>
  <c r="BH21" i="7"/>
  <c r="BH20" i="7"/>
  <c r="BH19" i="7"/>
  <c r="BH18" i="7"/>
  <c r="BH17" i="7"/>
  <c r="BH16" i="7"/>
  <c r="BH233" i="7"/>
  <c r="BH231" i="7"/>
  <c r="BH230" i="7"/>
  <c r="BH229" i="7"/>
  <c r="BH228" i="7"/>
  <c r="BH227" i="7"/>
  <c r="BH226" i="7"/>
  <c r="BH224" i="7"/>
  <c r="BH223" i="7"/>
  <c r="BH222" i="7"/>
  <c r="BH221" i="7"/>
  <c r="BH220" i="7"/>
  <c r="BH219" i="7"/>
  <c r="BH218" i="7"/>
  <c r="BH209" i="7"/>
  <c r="BH208" i="7"/>
  <c r="BH207" i="7"/>
  <c r="BH206" i="7"/>
  <c r="BH205" i="7"/>
  <c r="BH203" i="7"/>
  <c r="BH202" i="7"/>
  <c r="BH201" i="7"/>
  <c r="BH196" i="7"/>
  <c r="BH193" i="7"/>
  <c r="AH317" i="7" l="1"/>
  <c r="AH318" i="7" s="1"/>
  <c r="AH320" i="7" s="1"/>
  <c r="BI248" i="7"/>
  <c r="BI247" i="7"/>
  <c r="BI246" i="7"/>
  <c r="BI245" i="7"/>
  <c r="BI244" i="7"/>
  <c r="BI243" i="7"/>
  <c r="BI242" i="7"/>
  <c r="BI241" i="7"/>
  <c r="BI240" i="7"/>
  <c r="BI239" i="7"/>
  <c r="BI238" i="7"/>
  <c r="BI237" i="7"/>
  <c r="BI249" i="7"/>
  <c r="BI236" i="7"/>
  <c r="BI252" i="7"/>
  <c r="BI253" i="7"/>
  <c r="BI254" i="7"/>
  <c r="BI271" i="7"/>
  <c r="BI199" i="7"/>
  <c r="BI268" i="7"/>
  <c r="BI217" i="7"/>
  <c r="BI198" i="7"/>
  <c r="BI216" i="7"/>
  <c r="BI197" i="7"/>
  <c r="BI270" i="7"/>
  <c r="BI215" i="7"/>
  <c r="BI265" i="7"/>
  <c r="BI266" i="7"/>
  <c r="BI214" i="7"/>
  <c r="BI213" i="7"/>
  <c r="BI258" i="7"/>
  <c r="BI259" i="7"/>
  <c r="BI261" i="7"/>
  <c r="BI262" i="7"/>
  <c r="BI263" i="7"/>
  <c r="BI264" i="7"/>
  <c r="BI269" i="7"/>
  <c r="BI212" i="7"/>
  <c r="BI256" i="7"/>
  <c r="BI257" i="7"/>
  <c r="BI200" i="7"/>
  <c r="BI406" i="7"/>
  <c r="BI374" i="7"/>
  <c r="BI373" i="7"/>
  <c r="BI390" i="7"/>
  <c r="BI377" i="7"/>
  <c r="BI57" i="7"/>
  <c r="BI375" i="7"/>
  <c r="BI399" i="7"/>
  <c r="BI398" i="7"/>
  <c r="BI397" i="7"/>
  <c r="BI396" i="7"/>
  <c r="BI378" i="7"/>
  <c r="BI407" i="7"/>
  <c r="BI376" i="7"/>
  <c r="BI405" i="7"/>
  <c r="BI404" i="7"/>
  <c r="BI403" i="7"/>
  <c r="BI379" i="7"/>
  <c r="BI395" i="7"/>
  <c r="BI31" i="7"/>
  <c r="BI30" i="7"/>
  <c r="BI29" i="7"/>
  <c r="BI387" i="7"/>
  <c r="BI389" i="7"/>
  <c r="BI394" i="7"/>
  <c r="BI388" i="7"/>
  <c r="BI386" i="7"/>
  <c r="BI385" i="7"/>
  <c r="BI383" i="7"/>
  <c r="BI77" i="7"/>
  <c r="BI367" i="7"/>
  <c r="BI366" i="7"/>
  <c r="BI32" i="7"/>
  <c r="BI28" i="7"/>
  <c r="BI27" i="7"/>
  <c r="BI26" i="7"/>
  <c r="BI98" i="7"/>
  <c r="BI437" i="7"/>
  <c r="BI76" i="7"/>
  <c r="BI436" i="7"/>
  <c r="BI435" i="7"/>
  <c r="BI434" i="7"/>
  <c r="BI433" i="7"/>
  <c r="BI417" i="7"/>
  <c r="BI416" i="7"/>
  <c r="BI358" i="7"/>
  <c r="BI75" i="7"/>
  <c r="BI59" i="7"/>
  <c r="BI58" i="7"/>
  <c r="BI15" i="7"/>
  <c r="BI103" i="7"/>
  <c r="BI351" i="7"/>
  <c r="BI331" i="7"/>
  <c r="BI371" i="7"/>
  <c r="BI361" i="7"/>
  <c r="BI354" i="7"/>
  <c r="BI347" i="7"/>
  <c r="BI340" i="7"/>
  <c r="BI330" i="7"/>
  <c r="BI333" i="7"/>
  <c r="BI323" i="7"/>
  <c r="BI149" i="7"/>
  <c r="BI134" i="7"/>
  <c r="BI488" i="7"/>
  <c r="BI477" i="7"/>
  <c r="BI476" i="7"/>
  <c r="BI475" i="7"/>
  <c r="BI474" i="7"/>
  <c r="BI472" i="7"/>
  <c r="BI471" i="7"/>
  <c r="BI470" i="7"/>
  <c r="BI487" i="7"/>
  <c r="BI486" i="7"/>
  <c r="BI485" i="7"/>
  <c r="BI483" i="7"/>
  <c r="BI482" i="7"/>
  <c r="BI478" i="7"/>
  <c r="BI443" i="7"/>
  <c r="BI204" i="7"/>
  <c r="BI431" i="7"/>
  <c r="BI430" i="7"/>
  <c r="BI427" i="7"/>
  <c r="BI425" i="7"/>
  <c r="BI424" i="7"/>
  <c r="BI421" i="7"/>
  <c r="BI420" i="7"/>
  <c r="BI413" i="7"/>
  <c r="BI412" i="7"/>
  <c r="BI360" i="7"/>
  <c r="BI359" i="7"/>
  <c r="BI357" i="7"/>
  <c r="BI353" i="7"/>
  <c r="BI352" i="7"/>
  <c r="BI350" i="7"/>
  <c r="BI346" i="7"/>
  <c r="BI345" i="7"/>
  <c r="BI344" i="7"/>
  <c r="BI343" i="7"/>
  <c r="BI339" i="7"/>
  <c r="BI338" i="7"/>
  <c r="BI337" i="7"/>
  <c r="BI336" i="7"/>
  <c r="BI332" i="7"/>
  <c r="BI329" i="7"/>
  <c r="BI328" i="7"/>
  <c r="BI327" i="7"/>
  <c r="BI326" i="7"/>
  <c r="BI321" i="7"/>
  <c r="BI320" i="7"/>
  <c r="BI319" i="7"/>
  <c r="BI318" i="7"/>
  <c r="BI317" i="7"/>
  <c r="BI316" i="7"/>
  <c r="BI315" i="7"/>
  <c r="BI314" i="7"/>
  <c r="BI309" i="7"/>
  <c r="BI307" i="7"/>
  <c r="BI469" i="7"/>
  <c r="BI468" i="7"/>
  <c r="BI466" i="7"/>
  <c r="BI465" i="7"/>
  <c r="BI464" i="7"/>
  <c r="BI463" i="7"/>
  <c r="BI462" i="7"/>
  <c r="BI458" i="7"/>
  <c r="BI457" i="7"/>
  <c r="BI456" i="7"/>
  <c r="BI455" i="7"/>
  <c r="BI451" i="7"/>
  <c r="BI450" i="7"/>
  <c r="BI449" i="7"/>
  <c r="BI448" i="7"/>
  <c r="BI447" i="7"/>
  <c r="BI306" i="7"/>
  <c r="BI305" i="7"/>
  <c r="BI304" i="7"/>
  <c r="BI303" i="7"/>
  <c r="BI302" i="7"/>
  <c r="BI301" i="7"/>
  <c r="BI298" i="7"/>
  <c r="BI297" i="7"/>
  <c r="BI294" i="7"/>
  <c r="BI293" i="7"/>
  <c r="BI292" i="7"/>
  <c r="BI291" i="7"/>
  <c r="BI290" i="7"/>
  <c r="BI289" i="7"/>
  <c r="BI288" i="7"/>
  <c r="BI287" i="7"/>
  <c r="BI286" i="7"/>
  <c r="BI285" i="7"/>
  <c r="BI284" i="7"/>
  <c r="BI283" i="7"/>
  <c r="BI282" i="7"/>
  <c r="BI281" i="7"/>
  <c r="BI280" i="7"/>
  <c r="BI185" i="7"/>
  <c r="BI184" i="7"/>
  <c r="BI183" i="7"/>
  <c r="BI182" i="7"/>
  <c r="BI179" i="7"/>
  <c r="BI178" i="7"/>
  <c r="BI177" i="7"/>
  <c r="BI176" i="7"/>
  <c r="BI173" i="7"/>
  <c r="BI172" i="7"/>
  <c r="BI171" i="7"/>
  <c r="BI170" i="7"/>
  <c r="BI168" i="7"/>
  <c r="BI167" i="7"/>
  <c r="BI165" i="7"/>
  <c r="BI164" i="7"/>
  <c r="BI163" i="7"/>
  <c r="BI160" i="7"/>
  <c r="BI159" i="7"/>
  <c r="BI158" i="7"/>
  <c r="BI155" i="7"/>
  <c r="BI154" i="7"/>
  <c r="BI153" i="7"/>
  <c r="BI152" i="7"/>
  <c r="BI151" i="7"/>
  <c r="BI146" i="7"/>
  <c r="BI145" i="7"/>
  <c r="BI144" i="7"/>
  <c r="BI143" i="7"/>
  <c r="BI140" i="7"/>
  <c r="BI139" i="7"/>
  <c r="BI138" i="7"/>
  <c r="BI137" i="7"/>
  <c r="BI131" i="7"/>
  <c r="BI130" i="7"/>
  <c r="BI129" i="7"/>
  <c r="BI128" i="7"/>
  <c r="BI127" i="7"/>
  <c r="BI125" i="7"/>
  <c r="BI124" i="7"/>
  <c r="BI123" i="7"/>
  <c r="BI122" i="7"/>
  <c r="BI121" i="7"/>
  <c r="BI120" i="7"/>
  <c r="BI119" i="7"/>
  <c r="BI118" i="7"/>
  <c r="BI117" i="7"/>
  <c r="BI116" i="7"/>
  <c r="BI115" i="7"/>
  <c r="BI114" i="7"/>
  <c r="BI113" i="7"/>
  <c r="BI110" i="7"/>
  <c r="BI109" i="7"/>
  <c r="BI108" i="7"/>
  <c r="BI105" i="7"/>
  <c r="BI104" i="7"/>
  <c r="BI100" i="7"/>
  <c r="BI99" i="7"/>
  <c r="BI97" i="7"/>
  <c r="BI93" i="7"/>
  <c r="BI91" i="7"/>
  <c r="BI90" i="7"/>
  <c r="BI89" i="7"/>
  <c r="BI87" i="7"/>
  <c r="BI85" i="7"/>
  <c r="BI84" i="7"/>
  <c r="BI83" i="7"/>
  <c r="BI79" i="7"/>
  <c r="BI73" i="7"/>
  <c r="BI72" i="7"/>
  <c r="BI71" i="7"/>
  <c r="BI70" i="7"/>
  <c r="BI69" i="7"/>
  <c r="BI68" i="7"/>
  <c r="BI66" i="7"/>
  <c r="BI65" i="7"/>
  <c r="BI64" i="7"/>
  <c r="BI63" i="7"/>
  <c r="BI62" i="7"/>
  <c r="BI61" i="7"/>
  <c r="BI53" i="7"/>
  <c r="BI52" i="7"/>
  <c r="BI51" i="7"/>
  <c r="BI49" i="7"/>
  <c r="BI48" i="7"/>
  <c r="BI46" i="7"/>
  <c r="BI45" i="7"/>
  <c r="BI44" i="7"/>
  <c r="BI225" i="7"/>
  <c r="BI277" i="7"/>
  <c r="BI43" i="7"/>
  <c r="BI40" i="7"/>
  <c r="BI39" i="7"/>
  <c r="BI38" i="7"/>
  <c r="BI37" i="7"/>
  <c r="BI36" i="7"/>
  <c r="BI35" i="7"/>
  <c r="BI34" i="7"/>
  <c r="BI33" i="7"/>
  <c r="BI24" i="7"/>
  <c r="BI23" i="7"/>
  <c r="BI22" i="7"/>
  <c r="BI21" i="7"/>
  <c r="BI20" i="7"/>
  <c r="BI19" i="7"/>
  <c r="BI18" i="7"/>
  <c r="BI17" i="7"/>
  <c r="BI16" i="7"/>
  <c r="BI233" i="7"/>
  <c r="BI231" i="7"/>
  <c r="BI230" i="7"/>
  <c r="BI229" i="7"/>
  <c r="BI228" i="7"/>
  <c r="BI227" i="7"/>
  <c r="BI226" i="7"/>
  <c r="BI224" i="7"/>
  <c r="BI223" i="7"/>
  <c r="BI222" i="7"/>
  <c r="BI221" i="7"/>
  <c r="BI220" i="7"/>
  <c r="BI219" i="7"/>
  <c r="BI218" i="7"/>
  <c r="BI209" i="7"/>
  <c r="BI208" i="7"/>
  <c r="BI207" i="7"/>
  <c r="BI206" i="7"/>
  <c r="BI205" i="7"/>
  <c r="BI203" i="7"/>
  <c r="BI202" i="7"/>
  <c r="BI201" i="7"/>
  <c r="BI196" i="7"/>
  <c r="BI193" i="7"/>
  <c r="AB13" i="7"/>
  <c r="AA8" i="7"/>
  <c r="AB11" i="7"/>
  <c r="AH327" i="7" l="1"/>
  <c r="AH328" i="7"/>
  <c r="AH338" i="7" s="1"/>
  <c r="AB191" i="7"/>
  <c r="AB275" i="7"/>
  <c r="AB441" i="7"/>
  <c r="Z8" i="7"/>
  <c r="AA13" i="7"/>
  <c r="AA11" i="7"/>
  <c r="AB241" i="7"/>
  <c r="AB215" i="7"/>
  <c r="AB242" i="7"/>
  <c r="AB199" i="7"/>
  <c r="AB243" i="7"/>
  <c r="AB213" i="7"/>
  <c r="AB244" i="7"/>
  <c r="AB236" i="7"/>
  <c r="AB197" i="7"/>
  <c r="AB216" i="7"/>
  <c r="AB254" i="7"/>
  <c r="AB256" i="7"/>
  <c r="AB245" i="7"/>
  <c r="AB237" i="7"/>
  <c r="AB200" i="7"/>
  <c r="AB249" i="7"/>
  <c r="AB246" i="7"/>
  <c r="AB238" i="7"/>
  <c r="AB214" i="7"/>
  <c r="AB247" i="7"/>
  <c r="AB239" i="7"/>
  <c r="AB198" i="7"/>
  <c r="AB217" i="7"/>
  <c r="AB252" i="7"/>
  <c r="AB268" i="7" s="1"/>
  <c r="AB253" i="7"/>
  <c r="AB248" i="7"/>
  <c r="AB240" i="7"/>
  <c r="AB212" i="7"/>
  <c r="AB257" i="7"/>
  <c r="AB258" i="7"/>
  <c r="AB259" i="7"/>
  <c r="AB261" i="7"/>
  <c r="AB262" i="7"/>
  <c r="AB263" i="7"/>
  <c r="AB264" i="7"/>
  <c r="AB265" i="7"/>
  <c r="AB266" i="7"/>
  <c r="AB389" i="7"/>
  <c r="AB390" i="7"/>
  <c r="AB57" i="7"/>
  <c r="AB354" i="7"/>
  <c r="AB361" i="7"/>
  <c r="AB15" i="7"/>
  <c r="AB45" i="7"/>
  <c r="AB89" i="7"/>
  <c r="AB119" i="7"/>
  <c r="AB139" i="7"/>
  <c r="AB154" i="7"/>
  <c r="AB282" i="7"/>
  <c r="AB286" i="7"/>
  <c r="AB371" i="7" a="1"/>
  <c r="AB371" i="7" s="1"/>
  <c r="AB417" i="7"/>
  <c r="AB306" i="7"/>
  <c r="AB18" i="7"/>
  <c r="AB22" i="7"/>
  <c r="AB93" i="7"/>
  <c r="AB51" i="7"/>
  <c r="AB85" i="7"/>
  <c r="AB98" i="7"/>
  <c r="AB104" i="7"/>
  <c r="AB113" i="7"/>
  <c r="AB117" i="7"/>
  <c r="AB183" i="7"/>
  <c r="AB193" i="7"/>
  <c r="AB202" i="7"/>
  <c r="AB206" i="7"/>
  <c r="AB291" i="7"/>
  <c r="AB351" i="7"/>
  <c r="AB359" i="7"/>
  <c r="AB375" i="7" a="1"/>
  <c r="AB375" i="7" s="1"/>
  <c r="AB377" i="7" a="1"/>
  <c r="AB377" i="7" s="1"/>
  <c r="AB379" i="7" a="1"/>
  <c r="AB379" i="7" s="1"/>
  <c r="AB404" i="7"/>
  <c r="AB450" i="7"/>
  <c r="AB24" i="7"/>
  <c r="AB44" i="7"/>
  <c r="AB360" i="7"/>
  <c r="AB413" i="7" s="1"/>
  <c r="AB281" i="7"/>
  <c r="AB285" i="7"/>
  <c r="AB289" i="7"/>
  <c r="AB17" i="7"/>
  <c r="AB21" i="7"/>
  <c r="AB34" i="7"/>
  <c r="AB84" i="7"/>
  <c r="AB97" i="7"/>
  <c r="AB103" i="7"/>
  <c r="AB116" i="7"/>
  <c r="AB163" i="7"/>
  <c r="AB205" i="7"/>
  <c r="AB218" i="7"/>
  <c r="AB277" i="7"/>
  <c r="AB350" i="7"/>
  <c r="AB358" i="7"/>
  <c r="AB403" i="7"/>
  <c r="AB443" i="7"/>
  <c r="AB184" i="7"/>
  <c r="AB38" i="7"/>
  <c r="AB43" i="7"/>
  <c r="AB91" i="7"/>
  <c r="AB226" i="7"/>
  <c r="AB284" i="7"/>
  <c r="AB288" i="7"/>
  <c r="AB305" i="7"/>
  <c r="AB373" i="7" a="1"/>
  <c r="AB373" i="7" s="1"/>
  <c r="AB53" i="7"/>
  <c r="AB16" i="7"/>
  <c r="AB20" i="7"/>
  <c r="AB63" i="7" s="1"/>
  <c r="AB33" i="7"/>
  <c r="AB52" i="7"/>
  <c r="AB228" i="7"/>
  <c r="AB83" i="7"/>
  <c r="AB100" i="7"/>
  <c r="AB115" i="7"/>
  <c r="AB149" i="7"/>
  <c r="AB204" i="7"/>
  <c r="AB208" i="7"/>
  <c r="AB223" i="7"/>
  <c r="AB298" i="7"/>
  <c r="AB357" i="7"/>
  <c r="AB367" i="7"/>
  <c r="AB376" i="7" a="1"/>
  <c r="AB376" i="7" s="1"/>
  <c r="AB378" i="7" a="1"/>
  <c r="AB378" i="7" s="1"/>
  <c r="AB331" i="7"/>
  <c r="AB31" i="7"/>
  <c r="AB434" i="7"/>
  <c r="AB229" i="7"/>
  <c r="AB90" i="7"/>
  <c r="AB120" i="7"/>
  <c r="AB134" i="7"/>
  <c r="AB283" i="7"/>
  <c r="AB287" i="7"/>
  <c r="AB304" i="7"/>
  <c r="AB19" i="7"/>
  <c r="AB23" i="7"/>
  <c r="AB353" i="7"/>
  <c r="AB412" i="7" s="1"/>
  <c r="AB99" i="7"/>
  <c r="AB105" i="7"/>
  <c r="AB114" i="7"/>
  <c r="AB203" i="7"/>
  <c r="AB207" i="7"/>
  <c r="AB292" i="7"/>
  <c r="AB297" i="7"/>
  <c r="AB315" i="7"/>
  <c r="AB352" i="7"/>
  <c r="AB366" i="7"/>
  <c r="AB405" i="7"/>
  <c r="AB416" i="7"/>
  <c r="AB219" i="7"/>
  <c r="AB406" i="7" l="1"/>
  <c r="AB269" i="7"/>
  <c r="AB65" i="7"/>
  <c r="AB70" i="7"/>
  <c r="AB69" i="7"/>
  <c r="AB61" i="7"/>
  <c r="AB270" i="7"/>
  <c r="AB62" i="7"/>
  <c r="AB66" i="7"/>
  <c r="AB407" i="7"/>
  <c r="AB420" i="7"/>
  <c r="AH302" i="7"/>
  <c r="AH339" i="7"/>
  <c r="AH345" i="7"/>
  <c r="AH321" i="7" s="1"/>
  <c r="AB433" i="7"/>
  <c r="AB421" i="7"/>
  <c r="AB64" i="7"/>
  <c r="AB271" i="7"/>
  <c r="AH329" i="7"/>
  <c r="AB71" i="7"/>
  <c r="AB462" i="7"/>
  <c r="AB68" i="7"/>
  <c r="AA191" i="7"/>
  <c r="AA275" i="7"/>
  <c r="AA441" i="7"/>
  <c r="AA249" i="7"/>
  <c r="AA248" i="7"/>
  <c r="AA240" i="7"/>
  <c r="AA213" i="7"/>
  <c r="AA241" i="7"/>
  <c r="AA197" i="7"/>
  <c r="AA216" i="7"/>
  <c r="AA254" i="7"/>
  <c r="AA242" i="7"/>
  <c r="AA200" i="7"/>
  <c r="AA256" i="7"/>
  <c r="AA257" i="7"/>
  <c r="AA243" i="7"/>
  <c r="AA214" i="7"/>
  <c r="AA244" i="7"/>
  <c r="AA236" i="7"/>
  <c r="AA198" i="7"/>
  <c r="AA217" i="7"/>
  <c r="AA245" i="7"/>
  <c r="AA237" i="7"/>
  <c r="AA212" i="7"/>
  <c r="AA252" i="7"/>
  <c r="AA253" i="7"/>
  <c r="AA246" i="7"/>
  <c r="AA238" i="7"/>
  <c r="AA215" i="7"/>
  <c r="AA247" i="7"/>
  <c r="AA239" i="7"/>
  <c r="AA199" i="7"/>
  <c r="AA258" i="7"/>
  <c r="AA259" i="7"/>
  <c r="AA261" i="7"/>
  <c r="AA262" i="7"/>
  <c r="AA263" i="7"/>
  <c r="AA264" i="7"/>
  <c r="AA265" i="7"/>
  <c r="AA266" i="7"/>
  <c r="AA361" i="7"/>
  <c r="AA389" i="7"/>
  <c r="AA390" i="7"/>
  <c r="AA57" i="7"/>
  <c r="AA15" i="7"/>
  <c r="AA354" i="7"/>
  <c r="AA18" i="7"/>
  <c r="AA22" i="7"/>
  <c r="AA24" i="7"/>
  <c r="AA353" i="7"/>
  <c r="AA412" i="7" s="1"/>
  <c r="AA51" i="7"/>
  <c r="AA85" i="7"/>
  <c r="AA98" i="7"/>
  <c r="AA104" i="7"/>
  <c r="AA113" i="7"/>
  <c r="AA117" i="7"/>
  <c r="AA183" i="7"/>
  <c r="AA193" i="7"/>
  <c r="AA202" i="7"/>
  <c r="AA206" i="7"/>
  <c r="AA291" i="7"/>
  <c r="AA351" i="7"/>
  <c r="AA359" i="7"/>
  <c r="AA404" i="7"/>
  <c r="AA416" i="7"/>
  <c r="AA44" i="7"/>
  <c r="AA281" i="7"/>
  <c r="AA285" i="7"/>
  <c r="AA289" i="7"/>
  <c r="AA17" i="7"/>
  <c r="AA21" i="7"/>
  <c r="AA34" i="7"/>
  <c r="AA93" i="7"/>
  <c r="AA84" i="7"/>
  <c r="AA97" i="7"/>
  <c r="AA103" i="7"/>
  <c r="AA116" i="7"/>
  <c r="AA163" i="7"/>
  <c r="AA205" i="7"/>
  <c r="AA218" i="7"/>
  <c r="AA277" i="7"/>
  <c r="AA350" i="7"/>
  <c r="AA358" i="7"/>
  <c r="AA373" i="7" a="1"/>
  <c r="AA373" i="7" s="1"/>
  <c r="AA403" i="7"/>
  <c r="AA443" i="7"/>
  <c r="AA417" i="7"/>
  <c r="AA184" i="7"/>
  <c r="AA38" i="7"/>
  <c r="AA43" i="7"/>
  <c r="AA360" i="7"/>
  <c r="AA413" i="7" s="1"/>
  <c r="AA228" i="7"/>
  <c r="AA91" i="7"/>
  <c r="AA149" i="7"/>
  <c r="AA226" i="7"/>
  <c r="AA284" i="7"/>
  <c r="AA288" i="7"/>
  <c r="AA305" i="7"/>
  <c r="AA376" i="7" a="1"/>
  <c r="AA376" i="7" s="1"/>
  <c r="AA378" i="7" a="1"/>
  <c r="AA378" i="7" s="1"/>
  <c r="AA16" i="7"/>
  <c r="AA61" i="7" s="1"/>
  <c r="AA20" i="7"/>
  <c r="AA33" i="7"/>
  <c r="AA229" i="7"/>
  <c r="AA83" i="7"/>
  <c r="AA100" i="7"/>
  <c r="AA115" i="7"/>
  <c r="AA134" i="7"/>
  <c r="AA204" i="7"/>
  <c r="AA208" i="7"/>
  <c r="AA223" i="7"/>
  <c r="AA298" i="7"/>
  <c r="AA357" i="7"/>
  <c r="AA367" i="7"/>
  <c r="AA331" i="7"/>
  <c r="AA31" i="7"/>
  <c r="AA90" i="7"/>
  <c r="AA120" i="7"/>
  <c r="AA283" i="7"/>
  <c r="AA287" i="7"/>
  <c r="AA304" i="7"/>
  <c r="AA19" i="7"/>
  <c r="AA462" i="7" s="1"/>
  <c r="AA23" i="7"/>
  <c r="AA52" i="7"/>
  <c r="AA99" i="7"/>
  <c r="AA105" i="7"/>
  <c r="AA114" i="7"/>
  <c r="AA139" i="7"/>
  <c r="AA154" i="7"/>
  <c r="AA203" i="7"/>
  <c r="AA207" i="7"/>
  <c r="AA292" i="7"/>
  <c r="AA297" i="7"/>
  <c r="AA315" i="7"/>
  <c r="AA352" i="7"/>
  <c r="AA366" i="7"/>
  <c r="AA371" i="7" a="1"/>
  <c r="AA371" i="7" s="1"/>
  <c r="AA405" i="7"/>
  <c r="AA45" i="7"/>
  <c r="AA434" i="7"/>
  <c r="AA89" i="7"/>
  <c r="AA119" i="7"/>
  <c r="AA282" i="7"/>
  <c r="AA286" i="7"/>
  <c r="AA375" i="7" a="1"/>
  <c r="AA375" i="7" s="1"/>
  <c r="AA377" i="7" a="1"/>
  <c r="AA377" i="7" s="1"/>
  <c r="AA379" i="7" a="1"/>
  <c r="AA379" i="7" s="1"/>
  <c r="AA450" i="7"/>
  <c r="AA53" i="7"/>
  <c r="AA306" i="7"/>
  <c r="AA219" i="7"/>
  <c r="Z13" i="7"/>
  <c r="Y8" i="7"/>
  <c r="Z11" i="7"/>
  <c r="AA70" i="7" l="1"/>
  <c r="AA68" i="7"/>
  <c r="AA66" i="7"/>
  <c r="AA433" i="7"/>
  <c r="AA62" i="7"/>
  <c r="AA63" i="7"/>
  <c r="AA71" i="7"/>
  <c r="AA406" i="7"/>
  <c r="AA407" i="7"/>
  <c r="AA268" i="7"/>
  <c r="AA269" i="7"/>
  <c r="AA271" i="7"/>
  <c r="AA64" i="7"/>
  <c r="AH346" i="7"/>
  <c r="AH303" i="7"/>
  <c r="AH221" i="7"/>
  <c r="AI336" i="7"/>
  <c r="Z336" i="7" s="1"/>
  <c r="AA421" i="7"/>
  <c r="AH332" i="7"/>
  <c r="AI333" i="7" s="1"/>
  <c r="AI385" i="7" s="1"/>
  <c r="Z385" i="7" s="1"/>
  <c r="Z374" i="7" s="1"/>
  <c r="AI326" i="7"/>
  <c r="Z326" i="7" s="1"/>
  <c r="AH220" i="7"/>
  <c r="AA468" i="7"/>
  <c r="AA474" i="7" s="1"/>
  <c r="AA420" i="7"/>
  <c r="AB468" i="7"/>
  <c r="AB474" i="7" s="1"/>
  <c r="AA69" i="7"/>
  <c r="AA270" i="7"/>
  <c r="Z191" i="7"/>
  <c r="Z275" i="7"/>
  <c r="Z441" i="7"/>
  <c r="Y13" i="7"/>
  <c r="X8" i="7"/>
  <c r="Y11" i="7"/>
  <c r="Z247" i="7"/>
  <c r="Z239" i="7"/>
  <c r="Z200" i="7"/>
  <c r="Z248" i="7"/>
  <c r="Z240" i="7"/>
  <c r="Z214" i="7"/>
  <c r="Z256" i="7"/>
  <c r="Z257" i="7"/>
  <c r="Z258" i="7"/>
  <c r="Z259" i="7"/>
  <c r="Z261" i="7"/>
  <c r="Z262" i="7"/>
  <c r="Z263" i="7"/>
  <c r="Z264" i="7"/>
  <c r="Z265" i="7"/>
  <c r="Z241" i="7"/>
  <c r="Z198" i="7"/>
  <c r="Z217" i="7"/>
  <c r="Z249" i="7"/>
  <c r="Z242" i="7"/>
  <c r="Z212" i="7"/>
  <c r="Z243" i="7"/>
  <c r="Z215" i="7"/>
  <c r="Z252" i="7"/>
  <c r="Z244" i="7"/>
  <c r="Z236" i="7"/>
  <c r="Z199" i="7"/>
  <c r="Z245" i="7"/>
  <c r="Z237" i="7"/>
  <c r="Z213" i="7"/>
  <c r="Z246" i="7"/>
  <c r="Z238" i="7"/>
  <c r="Z197" i="7"/>
  <c r="Z216" i="7"/>
  <c r="Z254" i="7"/>
  <c r="Z253" i="7"/>
  <c r="Z266" i="7"/>
  <c r="Z354" i="7"/>
  <c r="Z361" i="7"/>
  <c r="Z15" i="7"/>
  <c r="Z389" i="7"/>
  <c r="Z390" i="7"/>
  <c r="Z57" i="7"/>
  <c r="Z44" i="7"/>
  <c r="Z434" i="7"/>
  <c r="Z281" i="7"/>
  <c r="Z285" i="7"/>
  <c r="Z289" i="7"/>
  <c r="Z373" i="7" a="1"/>
  <c r="Z373" i="7" s="1"/>
  <c r="Z53" i="7"/>
  <c r="Z17" i="7"/>
  <c r="Z21" i="7"/>
  <c r="Z34" i="7"/>
  <c r="Z353" i="7"/>
  <c r="Z412" i="7" s="1"/>
  <c r="Z228" i="7"/>
  <c r="Z84" i="7"/>
  <c r="Z97" i="7"/>
  <c r="Z103" i="7"/>
  <c r="Z116" i="7"/>
  <c r="Z163" i="7"/>
  <c r="Z205" i="7"/>
  <c r="Z218" i="7"/>
  <c r="Z277" i="7"/>
  <c r="Z350" i="7"/>
  <c r="Z358" i="7"/>
  <c r="Z376" i="7" a="1"/>
  <c r="Z376" i="7" s="1"/>
  <c r="Z378" i="7" a="1"/>
  <c r="Z378" i="7" s="1"/>
  <c r="Z403" i="7"/>
  <c r="Z443" i="7"/>
  <c r="Z184" i="7"/>
  <c r="Z38" i="7"/>
  <c r="Z43" i="7"/>
  <c r="Z229" i="7"/>
  <c r="Z91" i="7"/>
  <c r="Z149" i="7"/>
  <c r="Z226" i="7"/>
  <c r="Z284" i="7"/>
  <c r="Z288" i="7"/>
  <c r="Z305" i="7"/>
  <c r="Z416" i="7"/>
  <c r="Z16" i="7"/>
  <c r="Z20" i="7"/>
  <c r="Z33" i="7"/>
  <c r="Z93" i="7"/>
  <c r="Z83" i="7"/>
  <c r="Z100" i="7"/>
  <c r="Z115" i="7"/>
  <c r="Z134" i="7"/>
  <c r="Z204" i="7"/>
  <c r="Z208" i="7"/>
  <c r="Z223" i="7"/>
  <c r="Z298" i="7"/>
  <c r="Z357" i="7"/>
  <c r="Z367" i="7"/>
  <c r="Z331" i="7"/>
  <c r="Z31" i="7"/>
  <c r="Z360" i="7"/>
  <c r="Z413" i="7" s="1"/>
  <c r="Z90" i="7"/>
  <c r="Z120" i="7"/>
  <c r="Z283" i="7"/>
  <c r="Z287" i="7"/>
  <c r="Z304" i="7"/>
  <c r="Z371" i="7" a="1"/>
  <c r="Z371" i="7" s="1"/>
  <c r="Z417" i="7"/>
  <c r="Z19" i="7"/>
  <c r="Z23" i="7"/>
  <c r="Z99" i="7"/>
  <c r="Z105" i="7"/>
  <c r="Z114" i="7"/>
  <c r="Z139" i="7"/>
  <c r="Z154" i="7"/>
  <c r="Z203" i="7"/>
  <c r="Z207" i="7"/>
  <c r="Z292" i="7"/>
  <c r="Z297" i="7"/>
  <c r="Z315" i="7"/>
  <c r="Z352" i="7"/>
  <c r="Z366" i="7"/>
  <c r="Z375" i="7" a="1"/>
  <c r="Z375" i="7" s="1"/>
  <c r="Z377" i="7" a="1"/>
  <c r="Z377" i="7" s="1"/>
  <c r="Z379" i="7" a="1"/>
  <c r="Z379" i="7" s="1"/>
  <c r="Z405" i="7"/>
  <c r="Z450" i="7"/>
  <c r="Z24" i="7"/>
  <c r="Z45" i="7"/>
  <c r="Z89" i="7"/>
  <c r="Z119" i="7"/>
  <c r="Z282" i="7"/>
  <c r="Z286" i="7"/>
  <c r="Z18" i="7"/>
  <c r="Z22" i="7"/>
  <c r="Z52" i="7"/>
  <c r="Z51" i="7"/>
  <c r="Z85" i="7"/>
  <c r="Z98" i="7"/>
  <c r="Z104" i="7"/>
  <c r="Z113" i="7"/>
  <c r="Z117" i="7"/>
  <c r="Z183" i="7"/>
  <c r="Z193" i="7"/>
  <c r="Z202" i="7"/>
  <c r="Z206" i="7"/>
  <c r="Z291" i="7"/>
  <c r="Z351" i="7"/>
  <c r="Z359" i="7"/>
  <c r="Z404" i="7"/>
  <c r="Z333" i="7"/>
  <c r="Z143" i="7"/>
  <c r="Z176" i="7"/>
  <c r="Z137" i="7"/>
  <c r="Z158" i="7"/>
  <c r="Z151" i="7"/>
  <c r="Z219" i="7"/>
  <c r="Z306" i="7"/>
  <c r="AA65" i="7"/>
  <c r="Z433" i="7" l="1"/>
  <c r="Z407" i="7"/>
  <c r="Z270" i="7"/>
  <c r="Z68" i="7"/>
  <c r="AH449" i="7"/>
  <c r="AH485" i="7" s="1"/>
  <c r="Z64" i="7"/>
  <c r="Z71" i="7"/>
  <c r="Z69" i="7"/>
  <c r="Z421" i="7"/>
  <c r="Z61" i="7"/>
  <c r="Z66" i="7"/>
  <c r="Z65" i="7"/>
  <c r="Z406" i="7"/>
  <c r="Z62" i="7"/>
  <c r="Z70" i="7"/>
  <c r="Z63" i="7"/>
  <c r="Z271" i="7"/>
  <c r="AI340" i="7"/>
  <c r="AI337" i="7"/>
  <c r="AH222" i="7"/>
  <c r="AH224" i="7" s="1"/>
  <c r="AI343" i="7"/>
  <c r="Z420" i="7"/>
  <c r="Z269" i="7"/>
  <c r="AH301" i="7"/>
  <c r="AH307" i="7" s="1"/>
  <c r="AH309" i="7" s="1"/>
  <c r="AH196" i="7" s="1"/>
  <c r="Y196" i="7" s="1"/>
  <c r="Z462" i="7"/>
  <c r="Z268" i="7"/>
  <c r="AI330" i="7"/>
  <c r="AI27" i="7"/>
  <c r="Z27" i="7" s="1"/>
  <c r="Y191" i="7"/>
  <c r="Y275" i="7"/>
  <c r="Y441" i="7"/>
  <c r="X13" i="7"/>
  <c r="W8" i="7"/>
  <c r="X11" i="7"/>
  <c r="Y246" i="7"/>
  <c r="Y238" i="7"/>
  <c r="Y198" i="7"/>
  <c r="Y217" i="7"/>
  <c r="Y256" i="7"/>
  <c r="Y257" i="7"/>
  <c r="Y258" i="7"/>
  <c r="Y259" i="7"/>
  <c r="Y261" i="7"/>
  <c r="Y262" i="7"/>
  <c r="Y263" i="7"/>
  <c r="Y264" i="7"/>
  <c r="Y265" i="7"/>
  <c r="Y247" i="7"/>
  <c r="Y239" i="7"/>
  <c r="Y212" i="7"/>
  <c r="Y248" i="7"/>
  <c r="Y240" i="7"/>
  <c r="Y215" i="7"/>
  <c r="Y241" i="7"/>
  <c r="Y199" i="7"/>
  <c r="Y252" i="7"/>
  <c r="Y253" i="7"/>
  <c r="Y242" i="7"/>
  <c r="Y213" i="7"/>
  <c r="Y243" i="7"/>
  <c r="Y197" i="7"/>
  <c r="Y216" i="7"/>
  <c r="Y254" i="7"/>
  <c r="Y249" i="7"/>
  <c r="Y244" i="7"/>
  <c r="Y236" i="7"/>
  <c r="Y200" i="7"/>
  <c r="Y245" i="7"/>
  <c r="Y237" i="7"/>
  <c r="Y214" i="7"/>
  <c r="Y266" i="7"/>
  <c r="Y390" i="7"/>
  <c r="Y57" i="7"/>
  <c r="Y354" i="7"/>
  <c r="Y361" i="7"/>
  <c r="Y15" i="7"/>
  <c r="Y389" i="7"/>
  <c r="Y17" i="7"/>
  <c r="Y21" i="7"/>
  <c r="Y34" i="7"/>
  <c r="Y52" i="7"/>
  <c r="Y229" i="7"/>
  <c r="Y84" i="7"/>
  <c r="Y97" i="7"/>
  <c r="Y103" i="7"/>
  <c r="Y116" i="7"/>
  <c r="Y163" i="7"/>
  <c r="Y205" i="7"/>
  <c r="Y218" i="7"/>
  <c r="Y277" i="7"/>
  <c r="Y350" i="7"/>
  <c r="Y358" i="7"/>
  <c r="Y403" i="7"/>
  <c r="Y443" i="7"/>
  <c r="Y184" i="7"/>
  <c r="Y38" i="7"/>
  <c r="Y43" i="7"/>
  <c r="Y434" i="7"/>
  <c r="Y91" i="7"/>
  <c r="Y149" i="7"/>
  <c r="Y226" i="7"/>
  <c r="Y284" i="7"/>
  <c r="Y288" i="7"/>
  <c r="Y305" i="7"/>
  <c r="Y176" i="7"/>
  <c r="Y16" i="7"/>
  <c r="Y20" i="7"/>
  <c r="Y33" i="7"/>
  <c r="Y353" i="7"/>
  <c r="Y412" i="7" s="1"/>
  <c r="Y83" i="7"/>
  <c r="Y100" i="7"/>
  <c r="Y115" i="7"/>
  <c r="Y134" i="7"/>
  <c r="Y204" i="7"/>
  <c r="Y208" i="7"/>
  <c r="Y223" i="7"/>
  <c r="Y298" i="7"/>
  <c r="Y357" i="7"/>
  <c r="Y367" i="7"/>
  <c r="Y371" i="7" a="1"/>
  <c r="Y371" i="7" s="1"/>
  <c r="Y143" i="7"/>
  <c r="Y331" i="7"/>
  <c r="Y53" i="7"/>
  <c r="Y31" i="7"/>
  <c r="Y90" i="7"/>
  <c r="Y120" i="7"/>
  <c r="Y283" i="7"/>
  <c r="Y287" i="7"/>
  <c r="Y304" i="7"/>
  <c r="Y375" i="7" a="1"/>
  <c r="Y375" i="7" s="1"/>
  <c r="Y377" i="7" a="1"/>
  <c r="Y377" i="7" s="1"/>
  <c r="Y379" i="7" a="1"/>
  <c r="Y379" i="7" s="1"/>
  <c r="Y450" i="7"/>
  <c r="Y19" i="7"/>
  <c r="Y462" i="7" s="1"/>
  <c r="Y23" i="7"/>
  <c r="Y24" i="7"/>
  <c r="Y93" i="7"/>
  <c r="Y99" i="7"/>
  <c r="Y105" i="7"/>
  <c r="Y114" i="7"/>
  <c r="Y139" i="7"/>
  <c r="Y154" i="7"/>
  <c r="Y203" i="7"/>
  <c r="Y207" i="7"/>
  <c r="Y292" i="7"/>
  <c r="Y297" i="7"/>
  <c r="Y315" i="7"/>
  <c r="Y352" i="7"/>
  <c r="Y366" i="7"/>
  <c r="Y405" i="7"/>
  <c r="Y158" i="7"/>
  <c r="Y416" i="7"/>
  <c r="Y45" i="7"/>
  <c r="Y360" i="7"/>
  <c r="Y413" i="7" s="1"/>
  <c r="Y89" i="7"/>
  <c r="Y119" i="7"/>
  <c r="Y282" i="7"/>
  <c r="Y286" i="7"/>
  <c r="Y306" i="7"/>
  <c r="Y18" i="7"/>
  <c r="Y22" i="7"/>
  <c r="Y51" i="7"/>
  <c r="Y85" i="7"/>
  <c r="Y98" i="7"/>
  <c r="Y104" i="7"/>
  <c r="Y113" i="7"/>
  <c r="Y117" i="7"/>
  <c r="Y183" i="7"/>
  <c r="Y193" i="7"/>
  <c r="Y202" i="7"/>
  <c r="Y206" i="7"/>
  <c r="Y291" i="7"/>
  <c r="Y351" i="7"/>
  <c r="Y359" i="7"/>
  <c r="Y373" i="7" a="1"/>
  <c r="Y373" i="7" s="1"/>
  <c r="Y404" i="7"/>
  <c r="Y151" i="7"/>
  <c r="Y44" i="7"/>
  <c r="Y228" i="7"/>
  <c r="Y281" i="7"/>
  <c r="Y285" i="7"/>
  <c r="Y289" i="7"/>
  <c r="Y376" i="7" a="1"/>
  <c r="Y376" i="7" s="1"/>
  <c r="Y378" i="7" a="1"/>
  <c r="Y378" i="7" s="1"/>
  <c r="Y137" i="7"/>
  <c r="Y328" i="7"/>
  <c r="Y303" i="7"/>
  <c r="Y293" i="7"/>
  <c r="Y280" i="7"/>
  <c r="Y179" i="7"/>
  <c r="Y177" i="7"/>
  <c r="Y138" i="7"/>
  <c r="Y36" i="7"/>
  <c r="Y59" i="7"/>
  <c r="Y58" i="7"/>
  <c r="Y336" i="7"/>
  <c r="Y39" i="7"/>
  <c r="Y145" i="7"/>
  <c r="Y35" i="7"/>
  <c r="Y230" i="7"/>
  <c r="Y32" i="7"/>
  <c r="Y26" i="7"/>
  <c r="Y455" i="7"/>
  <c r="Y394" i="7"/>
  <c r="Y333" i="7"/>
  <c r="Y30" i="7"/>
  <c r="Y396" i="7"/>
  <c r="Y449" i="7"/>
  <c r="Y346" i="7"/>
  <c r="Y317" i="7"/>
  <c r="Y314" i="7"/>
  <c r="Y182" i="7"/>
  <c r="Y159" i="7"/>
  <c r="Y155" i="7"/>
  <c r="Y152" i="7"/>
  <c r="Y46" i="7"/>
  <c r="Y73" i="7" s="1"/>
  <c r="Y457" i="7"/>
  <c r="Y456" i="7"/>
  <c r="Y388" i="7"/>
  <c r="Y344" i="7"/>
  <c r="Y29" i="7"/>
  <c r="Y339" i="7"/>
  <c r="Y323" i="7"/>
  <c r="Y321" i="7"/>
  <c r="Y225" i="7"/>
  <c r="Y221" i="7"/>
  <c r="Y171" i="7"/>
  <c r="Y167" i="7"/>
  <c r="Y130" i="7"/>
  <c r="Y128" i="7"/>
  <c r="Y125" i="7"/>
  <c r="Y118" i="7"/>
  <c r="Y399" i="7"/>
  <c r="Y387" i="7"/>
  <c r="Y343" i="7"/>
  <c r="Y330" i="7"/>
  <c r="Y319" i="7"/>
  <c r="Y28" i="7"/>
  <c r="Y219" i="7"/>
  <c r="Y417" i="7"/>
  <c r="Y329" i="7"/>
  <c r="Y327" i="7"/>
  <c r="Y302" i="7"/>
  <c r="Y294" i="7"/>
  <c r="Y290" i="7"/>
  <c r="Y178" i="7"/>
  <c r="Y121" i="7"/>
  <c r="Y140" i="7"/>
  <c r="Y398" i="7"/>
  <c r="Y386" i="7"/>
  <c r="Y340" i="7"/>
  <c r="Y27" i="7"/>
  <c r="Y383" i="7"/>
  <c r="Y332" i="7"/>
  <c r="Y185" i="7"/>
  <c r="Y124" i="7"/>
  <c r="Y168" i="7"/>
  <c r="Y146" i="7"/>
  <c r="Y144" i="7"/>
  <c r="Y37" i="7"/>
  <c r="Y458" i="7"/>
  <c r="Y466" i="7" s="1"/>
  <c r="Y397" i="7"/>
  <c r="Y385" i="7"/>
  <c r="Y374" i="7" s="1"/>
  <c r="Y345" i="7"/>
  <c r="Y318" i="7"/>
  <c r="Y316" i="7"/>
  <c r="Y172" i="7"/>
  <c r="Y160" i="7"/>
  <c r="Y153" i="7"/>
  <c r="Y123" i="7"/>
  <c r="Y40" i="7"/>
  <c r="Y72" i="7" s="1"/>
  <c r="Y338" i="7"/>
  <c r="Y320" i="7"/>
  <c r="Y222" i="7"/>
  <c r="Y220" i="7"/>
  <c r="Y170" i="7"/>
  <c r="Y131" i="7"/>
  <c r="Y129" i="7"/>
  <c r="Y127" i="7"/>
  <c r="Y122" i="7"/>
  <c r="Y76" i="7"/>
  <c r="Y395" i="7"/>
  <c r="Y347" i="7"/>
  <c r="Y337" i="7"/>
  <c r="Y326" i="7"/>
  <c r="Y309" i="7" l="1"/>
  <c r="Y463" i="7"/>
  <c r="Y307" i="7"/>
  <c r="Y464" i="7"/>
  <c r="Y64" i="7"/>
  <c r="Y465" i="7"/>
  <c r="Y66" i="7"/>
  <c r="Y301" i="7"/>
  <c r="Y407" i="7"/>
  <c r="Y270" i="7"/>
  <c r="Y109" i="7"/>
  <c r="Y65" i="7"/>
  <c r="Y62" i="7"/>
  <c r="Y70" i="7"/>
  <c r="Y63" i="7"/>
  <c r="Y268" i="7"/>
  <c r="Y71" i="7"/>
  <c r="Y406" i="7"/>
  <c r="Y173" i="7"/>
  <c r="Y68" i="7"/>
  <c r="Y110" i="7"/>
  <c r="Y79" i="7" s="1"/>
  <c r="Y87" i="7" s="1"/>
  <c r="Y433" i="7"/>
  <c r="Y427" i="7" s="1"/>
  <c r="Y421" i="7"/>
  <c r="AH447" i="7"/>
  <c r="AH227" i="7"/>
  <c r="AH75" i="7"/>
  <c r="Y75" i="7" s="1"/>
  <c r="AH451" i="7"/>
  <c r="Y224" i="7"/>
  <c r="Y69" i="7"/>
  <c r="AI347" i="7"/>
  <c r="AI344" i="7"/>
  <c r="Z344" i="7" s="1"/>
  <c r="Z343" i="7"/>
  <c r="Y61" i="7"/>
  <c r="Z468" i="7"/>
  <c r="Z474" i="7" s="1"/>
  <c r="Y165" i="7"/>
  <c r="Y164" i="7" s="1"/>
  <c r="AI323" i="7"/>
  <c r="AI314" i="7"/>
  <c r="AH201" i="7"/>
  <c r="Z337" i="7"/>
  <c r="AI387" i="7"/>
  <c r="Z340" i="7"/>
  <c r="Y420" i="7"/>
  <c r="Y269" i="7"/>
  <c r="AI386" i="7"/>
  <c r="Z330" i="7"/>
  <c r="Y485" i="7"/>
  <c r="Y468" i="7"/>
  <c r="Y471" i="7" s="1"/>
  <c r="X275" i="7"/>
  <c r="X441" i="7"/>
  <c r="X191" i="7"/>
  <c r="W13" i="7"/>
  <c r="W11" i="7"/>
  <c r="X245" i="7"/>
  <c r="X237" i="7"/>
  <c r="X215" i="7"/>
  <c r="X249" i="7"/>
  <c r="X246" i="7"/>
  <c r="X238" i="7"/>
  <c r="X199" i="7"/>
  <c r="X247" i="7"/>
  <c r="X239" i="7"/>
  <c r="X213" i="7"/>
  <c r="X252" i="7"/>
  <c r="X253" i="7"/>
  <c r="X248" i="7"/>
  <c r="X240" i="7"/>
  <c r="X197" i="7"/>
  <c r="X216" i="7"/>
  <c r="X254" i="7"/>
  <c r="X241" i="7"/>
  <c r="X200" i="7"/>
  <c r="X242" i="7"/>
  <c r="X214" i="7"/>
  <c r="X243" i="7"/>
  <c r="X198" i="7"/>
  <c r="X217" i="7"/>
  <c r="X244" i="7"/>
  <c r="X236" i="7"/>
  <c r="X212" i="7"/>
  <c r="X256" i="7"/>
  <c r="X257" i="7"/>
  <c r="X258" i="7"/>
  <c r="X259" i="7"/>
  <c r="X261" i="7"/>
  <c r="X262" i="7"/>
  <c r="X263" i="7"/>
  <c r="X264" i="7"/>
  <c r="X265" i="7"/>
  <c r="X266" i="7"/>
  <c r="X389" i="7"/>
  <c r="X340" i="7"/>
  <c r="X390" i="7"/>
  <c r="X386" i="7"/>
  <c r="X383" i="7"/>
  <c r="X57" i="7"/>
  <c r="X28" i="7"/>
  <c r="X354" i="7"/>
  <c r="X323" i="7"/>
  <c r="X388" i="7"/>
  <c r="X361" i="7"/>
  <c r="X15" i="7"/>
  <c r="X347" i="7"/>
  <c r="X330" i="7"/>
  <c r="X387" i="7"/>
  <c r="X30" i="7"/>
  <c r="X38" i="7"/>
  <c r="X43" i="7"/>
  <c r="X91" i="7"/>
  <c r="X137" i="7"/>
  <c r="X149" i="7"/>
  <c r="X226" i="7"/>
  <c r="X284" i="7"/>
  <c r="X288" i="7"/>
  <c r="X305" i="7"/>
  <c r="X326" i="7"/>
  <c r="X371" i="7" a="1"/>
  <c r="X371" i="7" s="1"/>
  <c r="X124" i="7"/>
  <c r="X138" i="7"/>
  <c r="X153" i="7"/>
  <c r="X168" i="7"/>
  <c r="X385" i="7"/>
  <c r="X417" i="7"/>
  <c r="X16" i="7"/>
  <c r="X20" i="7"/>
  <c r="X33" i="7"/>
  <c r="X52" i="7"/>
  <c r="X83" i="7"/>
  <c r="X100" i="7"/>
  <c r="X115" i="7"/>
  <c r="X134" i="7"/>
  <c r="X204" i="7"/>
  <c r="X208" i="7"/>
  <c r="X223" i="7"/>
  <c r="X298" i="7"/>
  <c r="X314" i="7"/>
  <c r="X316" i="7"/>
  <c r="X343" i="7"/>
  <c r="X357" i="7"/>
  <c r="X367" i="7"/>
  <c r="X375" i="7" a="1"/>
  <c r="X375" i="7" s="1"/>
  <c r="X377" i="7" a="1"/>
  <c r="X377" i="7" s="1"/>
  <c r="X379" i="7" a="1"/>
  <c r="X379" i="7" s="1"/>
  <c r="X450" i="7"/>
  <c r="X125" i="7"/>
  <c r="X140" i="7"/>
  <c r="X155" i="7"/>
  <c r="X331" i="7"/>
  <c r="X374" i="7"/>
  <c r="X24" i="7"/>
  <c r="X71" i="7" s="1"/>
  <c r="X31" i="7"/>
  <c r="X434" i="7"/>
  <c r="X90" i="7"/>
  <c r="X120" i="7"/>
  <c r="X283" i="7"/>
  <c r="X287" i="7"/>
  <c r="X304" i="7"/>
  <c r="X27" i="7"/>
  <c r="X123" i="7"/>
  <c r="X109" i="7" s="1"/>
  <c r="X108" i="7" s="1"/>
  <c r="X127" i="7"/>
  <c r="X177" i="7"/>
  <c r="X394" i="7"/>
  <c r="X19" i="7"/>
  <c r="X23" i="7"/>
  <c r="X353" i="7"/>
  <c r="X412" i="7" s="1"/>
  <c r="X99" i="7"/>
  <c r="X105" i="7"/>
  <c r="X114" i="7"/>
  <c r="X139" i="7"/>
  <c r="X143" i="7"/>
  <c r="X154" i="7"/>
  <c r="X158" i="7"/>
  <c r="X203" i="7"/>
  <c r="X207" i="7"/>
  <c r="X292" i="7"/>
  <c r="X297" i="7"/>
  <c r="X315" i="7"/>
  <c r="X336" i="7"/>
  <c r="X344" i="7"/>
  <c r="X352" i="7"/>
  <c r="X366" i="7"/>
  <c r="X405" i="7"/>
  <c r="X32" i="7"/>
  <c r="X128" i="7"/>
  <c r="X144" i="7"/>
  <c r="X167" i="7"/>
  <c r="X178" i="7"/>
  <c r="X396" i="7"/>
  <c r="X26" i="7"/>
  <c r="X45" i="7"/>
  <c r="X89" i="7"/>
  <c r="X119" i="7"/>
  <c r="X282" i="7"/>
  <c r="X286" i="7"/>
  <c r="X373" i="7" a="1"/>
  <c r="X373" i="7" s="1"/>
  <c r="X35" i="7"/>
  <c r="X129" i="7"/>
  <c r="X145" i="7"/>
  <c r="X170" i="7"/>
  <c r="X179" i="7"/>
  <c r="X53" i="7"/>
  <c r="X306" i="7"/>
  <c r="X18" i="7"/>
  <c r="X22" i="7"/>
  <c r="X93" i="7"/>
  <c r="X51" i="7"/>
  <c r="X66" i="7" s="1"/>
  <c r="X228" i="7"/>
  <c r="X85" i="7"/>
  <c r="X98" i="7"/>
  <c r="X104" i="7"/>
  <c r="X113" i="7"/>
  <c r="X117" i="7"/>
  <c r="X176" i="7"/>
  <c r="X183" i="7"/>
  <c r="X193" i="7"/>
  <c r="X202" i="7"/>
  <c r="X206" i="7"/>
  <c r="X291" i="7"/>
  <c r="X319" i="7"/>
  <c r="X337" i="7"/>
  <c r="X351" i="7"/>
  <c r="X359" i="7"/>
  <c r="X376" i="7" a="1"/>
  <c r="X376" i="7" s="1"/>
  <c r="X378" i="7" a="1"/>
  <c r="X378" i="7" s="1"/>
  <c r="X404" i="7"/>
  <c r="X36" i="7"/>
  <c r="X118" i="7"/>
  <c r="X130" i="7"/>
  <c r="X146" i="7"/>
  <c r="X171" i="7"/>
  <c r="X225" i="7"/>
  <c r="X455" i="7"/>
  <c r="X29" i="7"/>
  <c r="X44" i="7"/>
  <c r="X360" i="7"/>
  <c r="X413" i="7" s="1"/>
  <c r="X229" i="7"/>
  <c r="X281" i="7"/>
  <c r="X285" i="7"/>
  <c r="X289" i="7"/>
  <c r="X37" i="7"/>
  <c r="X121" i="7"/>
  <c r="X131" i="7"/>
  <c r="X159" i="7"/>
  <c r="X172" i="7"/>
  <c r="X290" i="7"/>
  <c r="X17" i="7"/>
  <c r="X68" i="7" s="1"/>
  <c r="X21" i="7"/>
  <c r="X64" i="7" s="1"/>
  <c r="X34" i="7"/>
  <c r="X84" i="7"/>
  <c r="X97" i="7"/>
  <c r="X103" i="7"/>
  <c r="X116" i="7"/>
  <c r="X151" i="7"/>
  <c r="X163" i="7"/>
  <c r="X205" i="7"/>
  <c r="X218" i="7"/>
  <c r="X277" i="7"/>
  <c r="X350" i="7"/>
  <c r="X358" i="7"/>
  <c r="X403" i="7"/>
  <c r="X443" i="7"/>
  <c r="X122" i="7"/>
  <c r="X152" i="7"/>
  <c r="X160" i="7"/>
  <c r="X293" i="7"/>
  <c r="X333" i="7"/>
  <c r="X451" i="7"/>
  <c r="X395" i="7"/>
  <c r="X346" i="7"/>
  <c r="X301" i="7"/>
  <c r="X39" i="7"/>
  <c r="X327" i="7"/>
  <c r="X196" i="7"/>
  <c r="X345" i="7"/>
  <c r="X321" i="7"/>
  <c r="X294" i="7"/>
  <c r="X75" i="7"/>
  <c r="X219" i="7"/>
  <c r="X416" i="7"/>
  <c r="X40" i="7"/>
  <c r="X72" i="7" s="1"/>
  <c r="X332" i="7"/>
  <c r="X320" i="7"/>
  <c r="X280" i="7"/>
  <c r="X76" i="7"/>
  <c r="X457" i="7"/>
  <c r="X230" i="7"/>
  <c r="X46" i="7"/>
  <c r="X73" i="7" s="1"/>
  <c r="X447" i="7"/>
  <c r="X222" i="7"/>
  <c r="X77" i="7"/>
  <c r="X227" i="7"/>
  <c r="X398" i="7"/>
  <c r="X448" i="7"/>
  <c r="X449" i="7"/>
  <c r="X307" i="7"/>
  <c r="X201" i="7"/>
  <c r="X456" i="7"/>
  <c r="X329" i="7"/>
  <c r="X318" i="7"/>
  <c r="X221" i="7"/>
  <c r="X182" i="7"/>
  <c r="X184" i="7"/>
  <c r="X339" i="7"/>
  <c r="X328" i="7"/>
  <c r="X317" i="7"/>
  <c r="X220" i="7"/>
  <c r="X59" i="7"/>
  <c r="X399" i="7"/>
  <c r="X231" i="7"/>
  <c r="X303" i="7"/>
  <c r="X185" i="7"/>
  <c r="X338" i="7"/>
  <c r="X309" i="7"/>
  <c r="X209" i="7"/>
  <c r="X458" i="7"/>
  <c r="X58" i="7"/>
  <c r="X397" i="7"/>
  <c r="X302" i="7"/>
  <c r="X224" i="7"/>
  <c r="Y472" i="7"/>
  <c r="Y271" i="7"/>
  <c r="X62" i="7" l="1"/>
  <c r="X433" i="7"/>
  <c r="X427" i="7" s="1"/>
  <c r="X61" i="7"/>
  <c r="X69" i="7"/>
  <c r="X63" i="7"/>
  <c r="X270" i="7"/>
  <c r="X406" i="7"/>
  <c r="Y424" i="7"/>
  <c r="Y430" i="7" s="1"/>
  <c r="Y435" i="7" s="1"/>
  <c r="Y108" i="7"/>
  <c r="Y425" i="7"/>
  <c r="Y431" i="7" s="1"/>
  <c r="Y436" i="7" s="1"/>
  <c r="X233" i="7"/>
  <c r="X110" i="7"/>
  <c r="X79" i="7" s="1"/>
  <c r="X87" i="7" s="1"/>
  <c r="X462" i="7"/>
  <c r="X468" i="7" s="1"/>
  <c r="X469" i="7" s="1"/>
  <c r="X407" i="7"/>
  <c r="X269" i="7"/>
  <c r="X268" i="7"/>
  <c r="X173" i="7"/>
  <c r="AI319" i="7"/>
  <c r="Z319" i="7" s="1"/>
  <c r="X482" i="7"/>
  <c r="AI388" i="7"/>
  <c r="AI397" i="7" s="1"/>
  <c r="Z347" i="7"/>
  <c r="X483" i="7"/>
  <c r="AI28" i="7"/>
  <c r="Z28" i="7" s="1"/>
  <c r="Z386" i="7"/>
  <c r="AH209" i="7"/>
  <c r="Y201" i="7"/>
  <c r="AI316" i="7"/>
  <c r="Z314" i="7"/>
  <c r="AI383" i="7"/>
  <c r="Z323" i="7"/>
  <c r="AH482" i="7"/>
  <c r="Y451" i="7"/>
  <c r="X70" i="7"/>
  <c r="X420" i="7"/>
  <c r="X271" i="7"/>
  <c r="AI29" i="7"/>
  <c r="Z29" i="7" s="1"/>
  <c r="Z387" i="7"/>
  <c r="AH231" i="7"/>
  <c r="Y231" i="7" s="1"/>
  <c r="Y227" i="7"/>
  <c r="Y474" i="7"/>
  <c r="Y470" i="7"/>
  <c r="Y469" i="7"/>
  <c r="AH486" i="7"/>
  <c r="AH448" i="7"/>
  <c r="Y447" i="7"/>
  <c r="Y486" i="7" s="1"/>
  <c r="X421" i="7"/>
  <c r="X65" i="7"/>
  <c r="X165" i="7"/>
  <c r="X164" i="7" s="1"/>
  <c r="W275" i="7"/>
  <c r="W441" i="7"/>
  <c r="W191" i="7"/>
  <c r="W244" i="7"/>
  <c r="W236" i="7"/>
  <c r="W213" i="7"/>
  <c r="W245" i="7"/>
  <c r="W237" i="7"/>
  <c r="W197" i="7"/>
  <c r="W216" i="7"/>
  <c r="W252" i="7"/>
  <c r="W268" i="7" s="1"/>
  <c r="W253" i="7"/>
  <c r="W270" i="7" s="1"/>
  <c r="W254" i="7"/>
  <c r="W269" i="7" s="1"/>
  <c r="W246" i="7"/>
  <c r="W238" i="7"/>
  <c r="W200" i="7"/>
  <c r="W247" i="7"/>
  <c r="W239" i="7"/>
  <c r="W214" i="7"/>
  <c r="W248" i="7"/>
  <c r="W240" i="7"/>
  <c r="W198" i="7"/>
  <c r="W217" i="7"/>
  <c r="W249" i="7"/>
  <c r="W241" i="7"/>
  <c r="W212" i="7"/>
  <c r="W242" i="7"/>
  <c r="W215" i="7"/>
  <c r="W256" i="7"/>
  <c r="W243" i="7"/>
  <c r="W199" i="7"/>
  <c r="W257" i="7"/>
  <c r="W258" i="7"/>
  <c r="W259" i="7"/>
  <c r="W261" i="7"/>
  <c r="W262" i="7"/>
  <c r="W263" i="7"/>
  <c r="W264" i="7"/>
  <c r="W265" i="7"/>
  <c r="W266" i="7"/>
  <c r="W75" i="7"/>
  <c r="W77" i="7"/>
  <c r="W76" i="7"/>
  <c r="W59" i="7"/>
  <c r="W28" i="7"/>
  <c r="W389" i="7"/>
  <c r="W406" i="7" s="1"/>
  <c r="W340" i="7"/>
  <c r="W390" i="7"/>
  <c r="W407" i="7" s="1"/>
  <c r="W386" i="7"/>
  <c r="W383" i="7"/>
  <c r="W57" i="7"/>
  <c r="W354" i="7"/>
  <c r="W333" i="7"/>
  <c r="W323" i="7"/>
  <c r="W58" i="7"/>
  <c r="W388" i="7"/>
  <c r="W361" i="7"/>
  <c r="W385" i="7"/>
  <c r="W347" i="7"/>
  <c r="W330" i="7"/>
  <c r="W27" i="7"/>
  <c r="W387" i="7"/>
  <c r="W16" i="7"/>
  <c r="W20" i="7"/>
  <c r="W24" i="7"/>
  <c r="W33" i="7"/>
  <c r="W83" i="7"/>
  <c r="W100" i="7"/>
  <c r="W123" i="7"/>
  <c r="W109" i="7" s="1"/>
  <c r="W108" i="7" s="1"/>
  <c r="W115" i="7"/>
  <c r="W122" i="7"/>
  <c r="W134" i="7"/>
  <c r="W152" i="7"/>
  <c r="W170" i="7"/>
  <c r="W179" i="7"/>
  <c r="W204" i="7"/>
  <c r="W208" i="7"/>
  <c r="W223" i="7"/>
  <c r="W293" i="7"/>
  <c r="W298" i="7"/>
  <c r="W303" i="7"/>
  <c r="W314" i="7"/>
  <c r="W316" i="7"/>
  <c r="W343" i="7"/>
  <c r="W357" i="7"/>
  <c r="W367" i="7"/>
  <c r="W396" i="7"/>
  <c r="W457" i="7"/>
  <c r="W477" i="7" s="1"/>
  <c r="W331" i="7"/>
  <c r="W31" i="7"/>
  <c r="W46" i="7"/>
  <c r="W224" i="7"/>
  <c r="W90" i="7"/>
  <c r="W120" i="7"/>
  <c r="W124" i="7"/>
  <c r="W138" i="7"/>
  <c r="W140" i="7"/>
  <c r="W153" i="7"/>
  <c r="W155" i="7"/>
  <c r="W171" i="7"/>
  <c r="Q182" i="7"/>
  <c r="W283" i="7"/>
  <c r="W287" i="7"/>
  <c r="W294" i="7"/>
  <c r="W304" i="7"/>
  <c r="W329" i="7"/>
  <c r="W19" i="7"/>
  <c r="W462" i="7" s="1"/>
  <c r="W23" i="7"/>
  <c r="W52" i="7"/>
  <c r="W228" i="7"/>
  <c r="W89" i="7"/>
  <c r="W99" i="7"/>
  <c r="W105" i="7"/>
  <c r="W114" i="7"/>
  <c r="W118" i="7"/>
  <c r="W125" i="7"/>
  <c r="W139" i="7"/>
  <c r="W143" i="7"/>
  <c r="W154" i="7"/>
  <c r="W158" i="7"/>
  <c r="W172" i="7"/>
  <c r="W182" i="7"/>
  <c r="Q184" i="7"/>
  <c r="W196" i="7"/>
  <c r="W203" i="7"/>
  <c r="W207" i="7"/>
  <c r="W292" i="7"/>
  <c r="W297" i="7"/>
  <c r="W315" i="7"/>
  <c r="W317" i="7"/>
  <c r="W336" i="7"/>
  <c r="W344" i="7"/>
  <c r="W352" i="7"/>
  <c r="W366" i="7"/>
  <c r="W373" i="7" a="1"/>
  <c r="W373" i="7" s="1"/>
  <c r="W397" i="7"/>
  <c r="W405" i="7"/>
  <c r="W451" i="7"/>
  <c r="W458" i="7"/>
  <c r="W478" i="7" s="1"/>
  <c r="W26" i="7"/>
  <c r="W45" i="7"/>
  <c r="W434" i="7"/>
  <c r="W229" i="7"/>
  <c r="W119" i="7"/>
  <c r="W127" i="7"/>
  <c r="Q183" i="7"/>
  <c r="W184" i="7"/>
  <c r="W201" i="7"/>
  <c r="W282" i="7"/>
  <c r="W286" i="7"/>
  <c r="W290" i="7"/>
  <c r="W318" i="7"/>
  <c r="W376" i="7" a="1"/>
  <c r="W376" i="7" s="1"/>
  <c r="W378" i="7" a="1"/>
  <c r="W378" i="7" s="1"/>
  <c r="W321" i="7"/>
  <c r="W18" i="7"/>
  <c r="W22" i="7"/>
  <c r="W35" i="7"/>
  <c r="W353" i="7"/>
  <c r="W412" i="7" s="1"/>
  <c r="W51" i="7"/>
  <c r="W230" i="7"/>
  <c r="W85" i="7"/>
  <c r="W98" i="7"/>
  <c r="W104" i="7"/>
  <c r="W113" i="7"/>
  <c r="W117" i="7"/>
  <c r="W128" i="7"/>
  <c r="W144" i="7"/>
  <c r="W159" i="7"/>
  <c r="W176" i="7"/>
  <c r="W183" i="7"/>
  <c r="Q185" i="7"/>
  <c r="W193" i="7"/>
  <c r="W202" i="7"/>
  <c r="W206" i="7"/>
  <c r="W219" i="7"/>
  <c r="W280" i="7"/>
  <c r="W291" i="7"/>
  <c r="W319" i="7"/>
  <c r="W337" i="7"/>
  <c r="W345" i="7"/>
  <c r="W351" i="7"/>
  <c r="W359" i="7"/>
  <c r="W394" i="7"/>
  <c r="W398" i="7"/>
  <c r="W404" i="7"/>
  <c r="W447" i="7"/>
  <c r="W455" i="7"/>
  <c r="W469" i="7" s="1"/>
  <c r="W327" i="7"/>
  <c r="W29" i="7"/>
  <c r="W36" i="7"/>
  <c r="W39" i="7"/>
  <c r="W44" i="7"/>
  <c r="W93" i="7"/>
  <c r="W129" i="7"/>
  <c r="W145" i="7"/>
  <c r="W160" i="7"/>
  <c r="W185" i="7"/>
  <c r="W220" i="7"/>
  <c r="W227" i="7"/>
  <c r="W281" i="7"/>
  <c r="W285" i="7"/>
  <c r="W289" i="7"/>
  <c r="W306" i="7"/>
  <c r="W346" i="7"/>
  <c r="W399" i="7"/>
  <c r="W448" i="7"/>
  <c r="W471" i="7"/>
  <c r="W328" i="7"/>
  <c r="W53" i="7"/>
  <c r="W417" i="7"/>
  <c r="W17" i="7"/>
  <c r="W21" i="7"/>
  <c r="W34" i="7"/>
  <c r="W37" i="7"/>
  <c r="W40" i="7"/>
  <c r="W84" i="7"/>
  <c r="W97" i="7"/>
  <c r="W103" i="7"/>
  <c r="W116" i="7"/>
  <c r="W130" i="7"/>
  <c r="W146" i="7"/>
  <c r="W151" i="7"/>
  <c r="W163" i="7"/>
  <c r="W164" i="7" s="1"/>
  <c r="W167" i="7"/>
  <c r="W177" i="7"/>
  <c r="W205" i="7"/>
  <c r="W218" i="7"/>
  <c r="W221" i="7"/>
  <c r="W225" i="7"/>
  <c r="W231" i="7"/>
  <c r="W277" i="7"/>
  <c r="W301" i="7"/>
  <c r="W307" i="7"/>
  <c r="W320" i="7"/>
  <c r="W338" i="7"/>
  <c r="W350" i="7"/>
  <c r="W358" i="7"/>
  <c r="W371" i="7" a="1"/>
  <c r="W371" i="7" s="1"/>
  <c r="W374" i="7"/>
  <c r="W395" i="7"/>
  <c r="W403" i="7"/>
  <c r="W443" i="7"/>
  <c r="W449" i="7"/>
  <c r="W456" i="7"/>
  <c r="W464" i="7" s="1"/>
  <c r="W332" i="7"/>
  <c r="W15" i="7"/>
  <c r="W30" i="7"/>
  <c r="W32" i="7"/>
  <c r="W38" i="7"/>
  <c r="W43" i="7"/>
  <c r="W360" i="7"/>
  <c r="W413" i="7" s="1"/>
  <c r="W209" i="7"/>
  <c r="W91" i="7"/>
  <c r="W121" i="7"/>
  <c r="W173" i="7" s="1"/>
  <c r="W131" i="7"/>
  <c r="W137" i="7"/>
  <c r="W149" i="7"/>
  <c r="W168" i="7"/>
  <c r="W178" i="7"/>
  <c r="W222" i="7"/>
  <c r="W226" i="7"/>
  <c r="W284" i="7"/>
  <c r="W288" i="7"/>
  <c r="W302" i="7"/>
  <c r="W305" i="7"/>
  <c r="W309" i="7"/>
  <c r="W326" i="7"/>
  <c r="W339" i="7"/>
  <c r="W375" i="7" a="1"/>
  <c r="W375" i="7" s="1"/>
  <c r="W377" i="7" a="1"/>
  <c r="W377" i="7" s="1"/>
  <c r="W379" i="7" a="1"/>
  <c r="W379" i="7" s="1"/>
  <c r="W450" i="7"/>
  <c r="W416" i="7"/>
  <c r="W233" i="7" l="1"/>
  <c r="X487" i="7"/>
  <c r="X465" i="7"/>
  <c r="X488" i="7"/>
  <c r="X466" i="7"/>
  <c r="W62" i="7"/>
  <c r="X474" i="7"/>
  <c r="X476" i="7" s="1"/>
  <c r="X472" i="7"/>
  <c r="X471" i="7"/>
  <c r="W79" i="7"/>
  <c r="W110" i="7" s="1"/>
  <c r="X486" i="7"/>
  <c r="X464" i="7"/>
  <c r="X463" i="7"/>
  <c r="W463" i="7"/>
  <c r="X470" i="7"/>
  <c r="X485" i="7"/>
  <c r="W421" i="7"/>
  <c r="W271" i="7"/>
  <c r="W483" i="7"/>
  <c r="X424" i="7"/>
  <c r="X430" i="7" s="1"/>
  <c r="X435" i="7" s="1"/>
  <c r="W482" i="7"/>
  <c r="W433" i="7"/>
  <c r="W427" i="7" s="1"/>
  <c r="W420" i="7"/>
  <c r="W466" i="7"/>
  <c r="W472" i="7"/>
  <c r="W465" i="7"/>
  <c r="AI396" i="7"/>
  <c r="AI457" i="7" s="1"/>
  <c r="AI395" i="7"/>
  <c r="Z395" i="7" s="1"/>
  <c r="Y437" i="7"/>
  <c r="Z397" i="7"/>
  <c r="Z316" i="7"/>
  <c r="AI398" i="7"/>
  <c r="Z398" i="7" s="1"/>
  <c r="Y478" i="7"/>
  <c r="Y475" i="7"/>
  <c r="Y476" i="7"/>
  <c r="Y477" i="7"/>
  <c r="W475" i="7"/>
  <c r="Y482" i="7"/>
  <c r="AH77" i="7"/>
  <c r="Y77" i="7" s="1"/>
  <c r="AH233" i="7"/>
  <c r="Y209" i="7"/>
  <c r="Y233" i="7" s="1"/>
  <c r="AH487" i="7"/>
  <c r="AH488" i="7"/>
  <c r="Y448" i="7"/>
  <c r="Y483" i="7" s="1"/>
  <c r="AH483" i="7"/>
  <c r="AI30" i="7"/>
  <c r="Z30" i="7" s="1"/>
  <c r="Z388" i="7"/>
  <c r="AI394" i="7"/>
  <c r="AI26" i="7"/>
  <c r="Z383" i="7"/>
  <c r="W468" i="7"/>
  <c r="W474" i="7" s="1"/>
  <c r="W487" i="7"/>
  <c r="W488" i="7"/>
  <c r="W485" i="7"/>
  <c r="W486" i="7"/>
  <c r="W66" i="7"/>
  <c r="W71" i="7"/>
  <c r="W72" i="7"/>
  <c r="W64" i="7"/>
  <c r="W65" i="7"/>
  <c r="W470" i="7"/>
  <c r="X425" i="7"/>
  <c r="X431" i="7" s="1"/>
  <c r="X436" i="7" s="1"/>
  <c r="W476" i="7"/>
  <c r="W69" i="7"/>
  <c r="W165" i="7"/>
  <c r="W68" i="7"/>
  <c r="W63" i="7"/>
  <c r="W61" i="7"/>
  <c r="W73" i="7"/>
  <c r="W70" i="7"/>
  <c r="W424" i="7" l="1"/>
  <c r="W430" i="7" s="1"/>
  <c r="W435" i="7" s="1"/>
  <c r="W437" i="7" s="1"/>
  <c r="W49" i="7" s="1"/>
  <c r="X477" i="7"/>
  <c r="W425" i="7"/>
  <c r="W431" i="7" s="1"/>
  <c r="W436" i="7" s="1"/>
  <c r="Z396" i="7"/>
  <c r="X478" i="7"/>
  <c r="W87" i="7"/>
  <c r="X475" i="7"/>
  <c r="AI456" i="7"/>
  <c r="AI476" i="7" s="1"/>
  <c r="AI32" i="7"/>
  <c r="Z26" i="7"/>
  <c r="AI455" i="7"/>
  <c r="Z394" i="7"/>
  <c r="AI471" i="7"/>
  <c r="AI465" i="7"/>
  <c r="AI477" i="7"/>
  <c r="Z457" i="7"/>
  <c r="AI399" i="7"/>
  <c r="Y488" i="7"/>
  <c r="Y487" i="7"/>
  <c r="X437" i="7"/>
  <c r="Y48" i="7"/>
  <c r="Y49" i="7"/>
  <c r="Z456" i="7" l="1"/>
  <c r="Z470" i="7" s="1"/>
  <c r="AI464" i="7"/>
  <c r="AI470" i="7"/>
  <c r="AI469" i="7"/>
  <c r="AI475" i="7"/>
  <c r="AI463" i="7"/>
  <c r="Z455" i="7"/>
  <c r="AI39" i="7"/>
  <c r="Z39" i="7" s="1"/>
  <c r="Z399" i="7"/>
  <c r="W48" i="7"/>
  <c r="AI118" i="7"/>
  <c r="AI35" i="7"/>
  <c r="Z32" i="7"/>
  <c r="Z477" i="7"/>
  <c r="Z471" i="7"/>
  <c r="Z465" i="7"/>
  <c r="AI458" i="7"/>
  <c r="X48" i="7"/>
  <c r="X49" i="7"/>
  <c r="Z464" i="7" l="1"/>
  <c r="Z476" i="7"/>
  <c r="AI121" i="7"/>
  <c r="Z118" i="7"/>
  <c r="Z475" i="7"/>
  <c r="Z463" i="7"/>
  <c r="Z469" i="7"/>
  <c r="AI36" i="7"/>
  <c r="AI37" i="7" s="1"/>
  <c r="Z35" i="7"/>
  <c r="AI472" i="7"/>
  <c r="AI466" i="7"/>
  <c r="AI478" i="7"/>
  <c r="Z458" i="7"/>
  <c r="AI40" i="7" l="1"/>
  <c r="Z37" i="7"/>
  <c r="Z466" i="7"/>
  <c r="Z478" i="7"/>
  <c r="Z472" i="7"/>
  <c r="AI131" i="7"/>
  <c r="Z36" i="7"/>
  <c r="Z110" i="7" s="1"/>
  <c r="Z79" i="7" s="1"/>
  <c r="Z87" i="7" s="1"/>
  <c r="AI138" i="7"/>
  <c r="AI152" i="7"/>
  <c r="Z121" i="7"/>
  <c r="AI145" i="7" l="1"/>
  <c r="Z145" i="7" s="1"/>
  <c r="AI140" i="7"/>
  <c r="Z138" i="7"/>
  <c r="Z131" i="7"/>
  <c r="AI153" i="7"/>
  <c r="Z152" i="7"/>
  <c r="AI58" i="7"/>
  <c r="Z58" i="7" s="1"/>
  <c r="AI182" i="7"/>
  <c r="AI427" i="7"/>
  <c r="AI46" i="7"/>
  <c r="AI72" i="7"/>
  <c r="AI425" i="7"/>
  <c r="AI424" i="7"/>
  <c r="Z40" i="7"/>
  <c r="AI59" i="7" l="1"/>
  <c r="Z59" i="7" s="1"/>
  <c r="AI73" i="7"/>
  <c r="Z46" i="7"/>
  <c r="Z73" i="7" s="1"/>
  <c r="AI280" i="7"/>
  <c r="AI185" i="7"/>
  <c r="Z182" i="7"/>
  <c r="AI430" i="7"/>
  <c r="AI435" i="7" s="1"/>
  <c r="AJ137" i="7"/>
  <c r="AI144" i="7"/>
  <c r="AA137" i="7"/>
  <c r="Z140" i="7"/>
  <c r="Z72" i="7"/>
  <c r="Z425" i="7"/>
  <c r="Z427" i="7"/>
  <c r="Z424" i="7"/>
  <c r="AI431" i="7"/>
  <c r="AI436" i="7" s="1"/>
  <c r="AI122" i="7"/>
  <c r="Z153" i="7"/>
  <c r="AI159" i="7"/>
  <c r="AI155" i="7"/>
  <c r="Z430" i="7" l="1"/>
  <c r="Z435" i="7" s="1"/>
  <c r="Z431" i="7"/>
  <c r="Z436" i="7" s="1"/>
  <c r="AI437" i="7"/>
  <c r="AI49" i="7" s="1"/>
  <c r="Z280" i="7"/>
  <c r="AI230" i="7"/>
  <c r="Z185" i="7"/>
  <c r="AJ151" i="7"/>
  <c r="AA151" i="7"/>
  <c r="Z155" i="7"/>
  <c r="AI160" i="7"/>
  <c r="Z159" i="7"/>
  <c r="AI123" i="7"/>
  <c r="Z122" i="7"/>
  <c r="AI146" i="7"/>
  <c r="Z144" i="7"/>
  <c r="Z437" i="7" l="1"/>
  <c r="Z49" i="7" s="1"/>
  <c r="AI48" i="7"/>
  <c r="AJ143" i="7"/>
  <c r="AA143" i="7"/>
  <c r="Z146" i="7"/>
  <c r="AI124" i="7"/>
  <c r="AI125" i="7" s="1"/>
  <c r="Z123" i="7"/>
  <c r="AI76" i="7"/>
  <c r="Z76" i="7" s="1"/>
  <c r="Z230" i="7"/>
  <c r="AJ158" i="7"/>
  <c r="AA158" i="7"/>
  <c r="Z160" i="7"/>
  <c r="Z48" i="7" l="1"/>
  <c r="AI167" i="7"/>
  <c r="Z125" i="7"/>
  <c r="AI128" i="7"/>
  <c r="Z128" i="7" s="1"/>
  <c r="Z124" i="7"/>
  <c r="AI168" i="7"/>
  <c r="Z109" i="7" l="1"/>
  <c r="Z108" i="7" s="1"/>
  <c r="Z168" i="7"/>
  <c r="Z165" i="7" s="1"/>
  <c r="Z164" i="7" s="1"/>
  <c r="AI170" i="7"/>
  <c r="AI178" i="7"/>
  <c r="Z167" i="7"/>
  <c r="AI171" i="7" l="1"/>
  <c r="Z171" i="7" s="1"/>
  <c r="Z178" i="7"/>
  <c r="Z170" i="7"/>
  <c r="AI172" i="7" l="1"/>
  <c r="AI127" i="7" s="1"/>
  <c r="Z172" i="7" l="1"/>
  <c r="Z173" i="7" s="1"/>
  <c r="AI177" i="7"/>
  <c r="AI179" i="7" s="1"/>
  <c r="AI173" i="7"/>
  <c r="AI129" i="7"/>
  <c r="Z127" i="7"/>
  <c r="Z177" i="7" l="1"/>
  <c r="Z129" i="7"/>
  <c r="AI130" i="7"/>
  <c r="AJ176" i="7"/>
  <c r="AA176" i="7"/>
  <c r="Z179" i="7"/>
  <c r="AI225" i="7" l="1"/>
  <c r="Z130" i="7"/>
  <c r="AI290" i="7" l="1"/>
  <c r="Z225" i="7"/>
  <c r="AI293" i="7" l="1"/>
  <c r="Z290" i="7"/>
  <c r="Z293" i="7" l="1"/>
  <c r="AI294" i="7"/>
  <c r="AI317" i="7" l="1"/>
  <c r="Z294" i="7"/>
  <c r="Z317" i="7" l="1"/>
  <c r="AI318" i="7"/>
  <c r="AI320" i="7" l="1"/>
  <c r="Z318" i="7"/>
  <c r="AI327" i="7" l="1"/>
  <c r="Z320" i="7"/>
  <c r="AI328" i="7"/>
  <c r="Z328" i="7" l="1"/>
  <c r="AI338" i="7"/>
  <c r="Z327" i="7"/>
  <c r="AI329" i="7"/>
  <c r="AI345" i="7" l="1"/>
  <c r="AI321" i="7" s="1"/>
  <c r="Z321" i="7" s="1"/>
  <c r="Z338" i="7"/>
  <c r="AI339" i="7"/>
  <c r="AI302" i="7"/>
  <c r="Z302" i="7" s="1"/>
  <c r="AI220" i="7"/>
  <c r="AI332" i="7"/>
  <c r="AJ326" i="7"/>
  <c r="Z329" i="7"/>
  <c r="AJ330" i="7" l="1"/>
  <c r="AA326" i="7"/>
  <c r="AI221" i="7"/>
  <c r="Z221" i="7" s="1"/>
  <c r="AJ336" i="7"/>
  <c r="Z339" i="7"/>
  <c r="AJ333" i="7"/>
  <c r="Z332" i="7"/>
  <c r="Z220" i="7"/>
  <c r="AI301" i="7"/>
  <c r="AI303" i="7"/>
  <c r="Z303" i="7" s="1"/>
  <c r="Z345" i="7"/>
  <c r="AI346" i="7"/>
  <c r="AJ385" i="7" l="1"/>
  <c r="AA333" i="7"/>
  <c r="AI307" i="7"/>
  <c r="Z301" i="7"/>
  <c r="AI449" i="7"/>
  <c r="AJ337" i="7"/>
  <c r="AJ340" i="7"/>
  <c r="AA336" i="7"/>
  <c r="AI222" i="7"/>
  <c r="Z222" i="7" s="1"/>
  <c r="AJ343" i="7"/>
  <c r="Z346" i="7"/>
  <c r="AJ386" i="7"/>
  <c r="AA330" i="7"/>
  <c r="AI224" i="7" l="1"/>
  <c r="AI447" i="7" s="1"/>
  <c r="AJ28" i="7"/>
  <c r="AA28" i="7" s="1"/>
  <c r="AA386" i="7"/>
  <c r="AI75" i="7"/>
  <c r="Z75" i="7" s="1"/>
  <c r="AI485" i="7"/>
  <c r="Z449" i="7"/>
  <c r="Z485" i="7" s="1"/>
  <c r="Z307" i="7"/>
  <c r="AI309" i="7"/>
  <c r="AA337" i="7"/>
  <c r="AJ347" i="7"/>
  <c r="AJ344" i="7"/>
  <c r="AA344" i="7" s="1"/>
  <c r="AA343" i="7"/>
  <c r="AJ387" i="7"/>
  <c r="AA340" i="7"/>
  <c r="AJ27" i="7"/>
  <c r="AA27" i="7" s="1"/>
  <c r="AA385" i="7"/>
  <c r="AA374" i="7" s="1"/>
  <c r="Z224" i="7" l="1"/>
  <c r="AI451" i="7"/>
  <c r="AI482" i="7" s="1"/>
  <c r="AI227" i="7"/>
  <c r="AI231" i="7" s="1"/>
  <c r="Z231" i="7" s="1"/>
  <c r="AJ319" i="7"/>
  <c r="AA319" i="7" s="1"/>
  <c r="Z227" i="7"/>
  <c r="AI196" i="7"/>
  <c r="Z309" i="7"/>
  <c r="AI486" i="7"/>
  <c r="Z447" i="7"/>
  <c r="Z486" i="7" s="1"/>
  <c r="AJ29" i="7"/>
  <c r="AA29" i="7" s="1"/>
  <c r="AA387" i="7"/>
  <c r="AJ388" i="7"/>
  <c r="AJ397" i="7" s="1"/>
  <c r="AA397" i="7" s="1"/>
  <c r="AA347" i="7"/>
  <c r="Z451" i="7" l="1"/>
  <c r="Z482" i="7" s="1"/>
  <c r="AJ394" i="7"/>
  <c r="AJ455" i="7" s="1"/>
  <c r="AJ396" i="7"/>
  <c r="AA396" i="7" s="1"/>
  <c r="AJ398" i="7"/>
  <c r="AJ399" i="7" s="1"/>
  <c r="AI201" i="7"/>
  <c r="AJ314" i="7"/>
  <c r="AJ323" i="7"/>
  <c r="Z196" i="7"/>
  <c r="AI448" i="7"/>
  <c r="AJ30" i="7"/>
  <c r="AA30" i="7" s="1"/>
  <c r="AA388" i="7"/>
  <c r="AJ395" i="7"/>
  <c r="AA394" i="7" l="1"/>
  <c r="AJ457" i="7"/>
  <c r="AJ477" i="7" s="1"/>
  <c r="AA398" i="7"/>
  <c r="AI209" i="7"/>
  <c r="Z201" i="7"/>
  <c r="AJ463" i="7"/>
  <c r="AJ475" i="7"/>
  <c r="AJ469" i="7"/>
  <c r="AA455" i="7"/>
  <c r="AJ383" i="7"/>
  <c r="AA323" i="7"/>
  <c r="AJ316" i="7"/>
  <c r="AA314" i="7"/>
  <c r="AJ471" i="7"/>
  <c r="AJ465" i="7"/>
  <c r="AJ458" i="7"/>
  <c r="AI488" i="7"/>
  <c r="AI487" i="7"/>
  <c r="Z448" i="7"/>
  <c r="AI483" i="7"/>
  <c r="AJ456" i="7"/>
  <c r="AA395" i="7"/>
  <c r="AJ39" i="7"/>
  <c r="AA39" i="7" s="1"/>
  <c r="AA399" i="7"/>
  <c r="AA457" i="7" l="1"/>
  <c r="AA471" i="7" s="1"/>
  <c r="AJ26" i="7"/>
  <c r="AA383" i="7"/>
  <c r="AA477" i="7"/>
  <c r="AA465" i="7"/>
  <c r="AJ470" i="7"/>
  <c r="AJ464" i="7"/>
  <c r="AJ476" i="7"/>
  <c r="AA456" i="7"/>
  <c r="AJ472" i="7"/>
  <c r="AJ466" i="7"/>
  <c r="AJ478" i="7"/>
  <c r="AA458" i="7"/>
  <c r="AA475" i="7"/>
  <c r="AA469" i="7"/>
  <c r="AA463" i="7"/>
  <c r="Z487" i="7"/>
  <c r="Z488" i="7"/>
  <c r="Z483" i="7"/>
  <c r="AA316" i="7"/>
  <c r="AI233" i="7"/>
  <c r="AI77" i="7"/>
  <c r="Z77" i="7" s="1"/>
  <c r="Z209" i="7"/>
  <c r="Z233" i="7" s="1"/>
  <c r="AA478" i="7" l="1"/>
  <c r="AA472" i="7"/>
  <c r="AA466" i="7"/>
  <c r="AA476" i="7"/>
  <c r="AA470" i="7"/>
  <c r="AA464" i="7"/>
  <c r="AJ32" i="7"/>
  <c r="AA26" i="7"/>
  <c r="AJ118" i="7" l="1"/>
  <c r="AJ35" i="7"/>
  <c r="AA32" i="7"/>
  <c r="AA35" i="7" l="1"/>
  <c r="AJ36" i="7"/>
  <c r="AJ121" i="7"/>
  <c r="AA118" i="7"/>
  <c r="AJ131" i="7" l="1"/>
  <c r="AA36" i="7"/>
  <c r="AA110" i="7" s="1"/>
  <c r="AA79" i="7" s="1"/>
  <c r="AA87" i="7" s="1"/>
  <c r="AJ152" i="7"/>
  <c r="AJ138" i="7"/>
  <c r="AA121" i="7"/>
  <c r="AJ37" i="7"/>
  <c r="AJ40" i="7" l="1"/>
  <c r="AA37" i="7"/>
  <c r="AJ145" i="7"/>
  <c r="AA145" i="7" s="1"/>
  <c r="AA138" i="7"/>
  <c r="AJ140" i="7"/>
  <c r="AA152" i="7"/>
  <c r="AJ153" i="7"/>
  <c r="AJ159" i="7" s="1"/>
  <c r="AA131" i="7"/>
  <c r="AK137" i="7" l="1"/>
  <c r="AJ144" i="7"/>
  <c r="AB137" i="7"/>
  <c r="AA140" i="7"/>
  <c r="AA159" i="7"/>
  <c r="AJ160" i="7"/>
  <c r="AJ46" i="7"/>
  <c r="AJ72" i="7"/>
  <c r="AA40" i="7"/>
  <c r="AJ425" i="7"/>
  <c r="AJ424" i="7"/>
  <c r="AJ427" i="7"/>
  <c r="AJ182" i="7"/>
  <c r="AJ58" i="7"/>
  <c r="AA58" i="7" s="1"/>
  <c r="AJ122" i="7"/>
  <c r="AA153" i="7"/>
  <c r="AJ155" i="7"/>
  <c r="AJ430" i="7" l="1"/>
  <c r="AJ435" i="7" s="1"/>
  <c r="AK158" i="7"/>
  <c r="AB158" i="7"/>
  <c r="AA160" i="7"/>
  <c r="AJ123" i="7"/>
  <c r="AA122" i="7"/>
  <c r="AJ73" i="7"/>
  <c r="AA46" i="7"/>
  <c r="AA73" i="7" s="1"/>
  <c r="AJ59" i="7"/>
  <c r="AA59" i="7" s="1"/>
  <c r="AJ431" i="7"/>
  <c r="AJ436" i="7" s="1"/>
  <c r="AJ437" i="7" s="1"/>
  <c r="AJ280" i="7"/>
  <c r="AJ185" i="7"/>
  <c r="AA182" i="7"/>
  <c r="AK151" i="7"/>
  <c r="AB151" i="7"/>
  <c r="AA155" i="7"/>
  <c r="AA144" i="7"/>
  <c r="AJ146" i="7"/>
  <c r="AA72" i="7"/>
  <c r="AA424" i="7"/>
  <c r="AA425" i="7"/>
  <c r="AA427" i="7"/>
  <c r="AA431" i="7" l="1"/>
  <c r="AA436" i="7" s="1"/>
  <c r="AJ124" i="7"/>
  <c r="AA123" i="7"/>
  <c r="AA185" i="7"/>
  <c r="AJ230" i="7"/>
  <c r="AJ49" i="7"/>
  <c r="AJ48" i="7"/>
  <c r="AA280" i="7"/>
  <c r="AK143" i="7"/>
  <c r="AB143" i="7"/>
  <c r="AA146" i="7"/>
  <c r="AA430" i="7"/>
  <c r="AA435" i="7" s="1"/>
  <c r="AA437" i="7" l="1"/>
  <c r="AA49" i="7" s="1"/>
  <c r="AJ128" i="7"/>
  <c r="AA128" i="7" s="1"/>
  <c r="AA124" i="7"/>
  <c r="AA109" i="7" s="1"/>
  <c r="AA108" i="7" s="1"/>
  <c r="AJ168" i="7"/>
  <c r="AA230" i="7"/>
  <c r="AJ76" i="7"/>
  <c r="AA76" i="7" s="1"/>
  <c r="AJ125" i="7"/>
  <c r="AA48" i="7" l="1"/>
  <c r="AA168" i="7"/>
  <c r="AA165" i="7" s="1"/>
  <c r="AA164" i="7" s="1"/>
  <c r="AJ167" i="7"/>
  <c r="AA125" i="7"/>
  <c r="AJ170" i="7" l="1"/>
  <c r="AJ178" i="7" s="1"/>
  <c r="AA167" i="7"/>
  <c r="AJ177" i="7"/>
  <c r="AA177" i="7" l="1"/>
  <c r="AJ179" i="7"/>
  <c r="AJ171" i="7"/>
  <c r="AA171" i="7" s="1"/>
  <c r="AA178" i="7"/>
  <c r="AA170" i="7"/>
  <c r="AJ172" i="7" l="1"/>
  <c r="AJ127" i="7"/>
  <c r="AA172" i="7"/>
  <c r="AA173" i="7" s="1"/>
  <c r="AJ173" i="7"/>
  <c r="AK176" i="7"/>
  <c r="AB176" i="7"/>
  <c r="AA179" i="7"/>
  <c r="AJ129" i="7" l="1"/>
  <c r="AA127" i="7"/>
  <c r="AA129" i="7" l="1"/>
  <c r="AJ130" i="7"/>
  <c r="AJ225" i="7" l="1"/>
  <c r="AA130" i="7"/>
  <c r="AA225" i="7" l="1"/>
  <c r="AJ290" i="7"/>
  <c r="AA290" i="7" l="1"/>
  <c r="AJ293" i="7"/>
  <c r="AA293" i="7" l="1"/>
  <c r="AJ294" i="7"/>
  <c r="AJ317" i="7" l="1"/>
  <c r="AA294" i="7"/>
  <c r="AA317" i="7" l="1"/>
  <c r="AJ318" i="7"/>
  <c r="AJ320" i="7" l="1"/>
  <c r="AA318" i="7"/>
  <c r="AJ327" i="7" l="1"/>
  <c r="AA320" i="7"/>
  <c r="AJ328" i="7"/>
  <c r="AJ338" i="7" s="1"/>
  <c r="AJ345" i="7" l="1"/>
  <c r="AJ321" i="7" s="1"/>
  <c r="AA321" i="7" s="1"/>
  <c r="AA338" i="7"/>
  <c r="AJ339" i="7"/>
  <c r="AJ302" i="7"/>
  <c r="AA302" i="7" s="1"/>
  <c r="AA328" i="7"/>
  <c r="AA327" i="7"/>
  <c r="AJ329" i="7"/>
  <c r="AK326" i="7" l="1"/>
  <c r="AJ220" i="7"/>
  <c r="AJ332" i="7"/>
  <c r="AA329" i="7"/>
  <c r="AJ221" i="7"/>
  <c r="AK336" i="7"/>
  <c r="AA339" i="7"/>
  <c r="AJ303" i="7"/>
  <c r="AA303" i="7" s="1"/>
  <c r="AA345" i="7"/>
  <c r="AJ346" i="7"/>
  <c r="AK333" i="7" l="1"/>
  <c r="AA332" i="7"/>
  <c r="AJ449" i="7"/>
  <c r="AA221" i="7"/>
  <c r="AA220" i="7"/>
  <c r="AJ301" i="7"/>
  <c r="AK337" i="7"/>
  <c r="AK340" i="7"/>
  <c r="AB336" i="7"/>
  <c r="AJ222" i="7"/>
  <c r="AA222" i="7" s="1"/>
  <c r="AK343" i="7"/>
  <c r="AA346" i="7"/>
  <c r="AK330" i="7"/>
  <c r="AB326" i="7"/>
  <c r="AJ485" i="7" l="1"/>
  <c r="AA449" i="7"/>
  <c r="AA485" i="7" s="1"/>
  <c r="AK387" i="7"/>
  <c r="AB340" i="7"/>
  <c r="AJ224" i="7"/>
  <c r="AK386" i="7"/>
  <c r="AB330" i="7"/>
  <c r="AB337" i="7"/>
  <c r="AK347" i="7"/>
  <c r="AK344" i="7"/>
  <c r="AK319" i="7" s="1"/>
  <c r="AB319" i="7" s="1"/>
  <c r="AB343" i="7"/>
  <c r="AJ307" i="7"/>
  <c r="AA301" i="7"/>
  <c r="AK385" i="7"/>
  <c r="AB333" i="7"/>
  <c r="AJ447" i="7" l="1"/>
  <c r="AJ227" i="7"/>
  <c r="AA224" i="7"/>
  <c r="AJ75" i="7"/>
  <c r="AA75" i="7" s="1"/>
  <c r="AJ451" i="7"/>
  <c r="AB344" i="7"/>
  <c r="AK29" i="7"/>
  <c r="AB29" i="7" s="1"/>
  <c r="AB387" i="7"/>
  <c r="AA307" i="7"/>
  <c r="AJ309" i="7"/>
  <c r="AK388" i="7"/>
  <c r="AK395" i="7" s="1"/>
  <c r="AB347" i="7"/>
  <c r="AK28" i="7"/>
  <c r="AB28" i="7" s="1"/>
  <c r="AB386" i="7"/>
  <c r="AK27" i="7"/>
  <c r="AB27" i="7" s="1"/>
  <c r="AB385" i="7"/>
  <c r="AB374" i="7" s="1"/>
  <c r="AK397" i="7" l="1"/>
  <c r="AK398" i="7" s="1"/>
  <c r="AB398" i="7" s="1"/>
  <c r="AK394" i="7"/>
  <c r="AK455" i="7" s="1"/>
  <c r="AK396" i="7"/>
  <c r="AK457" i="7" s="1"/>
  <c r="AK456" i="7"/>
  <c r="AB395" i="7"/>
  <c r="AA451" i="7"/>
  <c r="AJ482" i="7"/>
  <c r="AK399" i="7"/>
  <c r="AB397" i="7"/>
  <c r="AA227" i="7"/>
  <c r="AJ231" i="7"/>
  <c r="AA231" i="7" s="1"/>
  <c r="AK30" i="7"/>
  <c r="AB30" i="7" s="1"/>
  <c r="AB388" i="7"/>
  <c r="AA309" i="7"/>
  <c r="AJ196" i="7"/>
  <c r="AJ448" i="7" s="1"/>
  <c r="AJ483" i="7" s="1"/>
  <c r="AJ486" i="7"/>
  <c r="AA447" i="7"/>
  <c r="AA486" i="7" s="1"/>
  <c r="AB394" i="7" l="1"/>
  <c r="AB396" i="7"/>
  <c r="AA482" i="7"/>
  <c r="AK463" i="7"/>
  <c r="AK475" i="7"/>
  <c r="AK469" i="7"/>
  <c r="AB455" i="7"/>
  <c r="AJ487" i="7"/>
  <c r="AA448" i="7"/>
  <c r="AJ488" i="7"/>
  <c r="AK471" i="7"/>
  <c r="AK465" i="7"/>
  <c r="AK477" i="7"/>
  <c r="AK458" i="7"/>
  <c r="AB457" i="7"/>
  <c r="AK39" i="7"/>
  <c r="AB39" i="7" s="1"/>
  <c r="AB399" i="7"/>
  <c r="AA196" i="7"/>
  <c r="AJ201" i="7"/>
  <c r="AK314" i="7"/>
  <c r="AK323" i="7"/>
  <c r="AK476" i="7"/>
  <c r="AK470" i="7"/>
  <c r="AK464" i="7"/>
  <c r="AB456" i="7"/>
  <c r="AA487" i="7" l="1"/>
  <c r="AA488" i="7"/>
  <c r="AB471" i="7"/>
  <c r="AB477" i="7"/>
  <c r="AB465" i="7"/>
  <c r="AK383" i="7"/>
  <c r="AB323" i="7"/>
  <c r="AK478" i="7"/>
  <c r="AK466" i="7"/>
  <c r="AK472" i="7"/>
  <c r="AB458" i="7"/>
  <c r="AJ209" i="7"/>
  <c r="AA201" i="7"/>
  <c r="AA483" i="7"/>
  <c r="AB469" i="7"/>
  <c r="AB475" i="7"/>
  <c r="AB463" i="7"/>
  <c r="AK316" i="7"/>
  <c r="AB314" i="7"/>
  <c r="AB476" i="7"/>
  <c r="AB464" i="7"/>
  <c r="AB470" i="7"/>
  <c r="AJ77" i="7" l="1"/>
  <c r="AA77" i="7" s="1"/>
  <c r="AA209" i="7"/>
  <c r="AA233" i="7" s="1"/>
  <c r="AJ233" i="7"/>
  <c r="AB472" i="7"/>
  <c r="AB466" i="7"/>
  <c r="AB478" i="7"/>
  <c r="AB316" i="7"/>
  <c r="AK26" i="7"/>
  <c r="AB383" i="7"/>
  <c r="AK32" i="7" l="1"/>
  <c r="AB26" i="7"/>
  <c r="AK118" i="7" l="1"/>
  <c r="AK35" i="7"/>
  <c r="AB32" i="7"/>
  <c r="AB35" i="7" l="1"/>
  <c r="AK36" i="7"/>
  <c r="AB118" i="7"/>
  <c r="AK121" i="7"/>
  <c r="AK138" i="7" l="1"/>
  <c r="AK152" i="7"/>
  <c r="AB121" i="7"/>
  <c r="AK131" i="7"/>
  <c r="AB36" i="7"/>
  <c r="AB110" i="7" s="1"/>
  <c r="AB79" i="7" s="1"/>
  <c r="AB87" i="7" s="1"/>
  <c r="AK37" i="7"/>
  <c r="AK40" i="7" l="1"/>
  <c r="AB37" i="7"/>
  <c r="AB131" i="7"/>
  <c r="AK153" i="7"/>
  <c r="AB153" i="7" s="1"/>
  <c r="AB152" i="7"/>
  <c r="AK145" i="7"/>
  <c r="AB145" i="7" s="1"/>
  <c r="AB138" i="7"/>
  <c r="AK140" i="7"/>
  <c r="AK144" i="7" l="1"/>
  <c r="AB140" i="7"/>
  <c r="AK155" i="7"/>
  <c r="AB155" i="7" s="1"/>
  <c r="AK159" i="7"/>
  <c r="AK122" i="7"/>
  <c r="AB40" i="7"/>
  <c r="AK425" i="7"/>
  <c r="AK182" i="7"/>
  <c r="AK46" i="7"/>
  <c r="AK427" i="7"/>
  <c r="AK72" i="7"/>
  <c r="AK424" i="7"/>
  <c r="AK58" i="7"/>
  <c r="AB58" i="7" s="1"/>
  <c r="AK431" i="7" l="1"/>
  <c r="AK436" i="7" s="1"/>
  <c r="AK430" i="7"/>
  <c r="AK435" i="7" s="1"/>
  <c r="AK437" i="7" s="1"/>
  <c r="AB182" i="7"/>
  <c r="AK280" i="7"/>
  <c r="AK185" i="7"/>
  <c r="AB424" i="7"/>
  <c r="AB425" i="7"/>
  <c r="AB427" i="7"/>
  <c r="AB72" i="7"/>
  <c r="AK123" i="7"/>
  <c r="AB122" i="7"/>
  <c r="AB159" i="7"/>
  <c r="AK160" i="7"/>
  <c r="AB160" i="7" s="1"/>
  <c r="AK73" i="7"/>
  <c r="AB46" i="7"/>
  <c r="AB73" i="7" s="1"/>
  <c r="AK59" i="7"/>
  <c r="AB59" i="7" s="1"/>
  <c r="AB144" i="7"/>
  <c r="AK146" i="7"/>
  <c r="AB146" i="7" s="1"/>
  <c r="AB431" i="7" l="1"/>
  <c r="AB436" i="7" s="1"/>
  <c r="AB430" i="7"/>
  <c r="AB435" i="7" s="1"/>
  <c r="AB437" i="7" s="1"/>
  <c r="AB185" i="7"/>
  <c r="AK230" i="7"/>
  <c r="AB280" i="7"/>
  <c r="AK124" i="7"/>
  <c r="AK125" i="7" s="1"/>
  <c r="AB123" i="7"/>
  <c r="AK49" i="7"/>
  <c r="AK48" i="7"/>
  <c r="AK167" i="7" l="1"/>
  <c r="AB125" i="7"/>
  <c r="AB230" i="7"/>
  <c r="AK76" i="7"/>
  <c r="AB76" i="7" s="1"/>
  <c r="AK128" i="7"/>
  <c r="AB128" i="7" s="1"/>
  <c r="AB124" i="7"/>
  <c r="AK168" i="7"/>
  <c r="AB48" i="7"/>
  <c r="AB49" i="7"/>
  <c r="AB109" i="7" l="1"/>
  <c r="AB108" i="7" s="1"/>
  <c r="AK177" i="7"/>
  <c r="AB168" i="7"/>
  <c r="AB165" i="7" s="1"/>
  <c r="AB164" i="7" s="1"/>
  <c r="AK170" i="7"/>
  <c r="AK178" i="7" s="1"/>
  <c r="AB167" i="7"/>
  <c r="AB177" i="7" l="1"/>
  <c r="AK179" i="7"/>
  <c r="AB179" i="7" s="1"/>
  <c r="AK171" i="7"/>
  <c r="AB171" i="7" s="1"/>
  <c r="AB178" i="7"/>
  <c r="AB170" i="7"/>
  <c r="AK172" i="7" l="1"/>
  <c r="AK127" i="7"/>
  <c r="AB172" i="7"/>
  <c r="AB173" i="7" s="1"/>
  <c r="AK173" i="7"/>
  <c r="AK129" i="7" l="1"/>
  <c r="AB127" i="7"/>
  <c r="AB129" i="7" l="1"/>
  <c r="AK130" i="7"/>
  <c r="AB130" i="7" l="1"/>
  <c r="AK225" i="7"/>
  <c r="AB225" i="7" l="1"/>
  <c r="AK290" i="7"/>
  <c r="AK293" i="7" l="1"/>
  <c r="AB290" i="7"/>
  <c r="AB293" i="7" l="1"/>
  <c r="AK294" i="7"/>
  <c r="AK317" i="7" l="1"/>
  <c r="AB294" i="7"/>
  <c r="AB317" i="7" l="1"/>
  <c r="AK318" i="7"/>
  <c r="AK320" i="7" l="1"/>
  <c r="AB318" i="7"/>
  <c r="AB320" i="7" l="1"/>
  <c r="AK327" i="7"/>
  <c r="AK328" i="7"/>
  <c r="AB328" i="7" l="1"/>
  <c r="AK338" i="7"/>
  <c r="AB327" i="7"/>
  <c r="AK329" i="7"/>
  <c r="AK220" i="7" l="1"/>
  <c r="AK332" i="7"/>
  <c r="AB332" i="7" s="1"/>
  <c r="AB329" i="7"/>
  <c r="AK345" i="7"/>
  <c r="AK321" i="7" s="1"/>
  <c r="AB321" i="7" s="1"/>
  <c r="AB338" i="7"/>
  <c r="AK339" i="7"/>
  <c r="AK302" i="7"/>
  <c r="AB302" i="7" s="1"/>
  <c r="AK221" i="7" l="1"/>
  <c r="AB221" i="7" s="1"/>
  <c r="AB339" i="7"/>
  <c r="AB345" i="7"/>
  <c r="AK346" i="7"/>
  <c r="AK303" i="7"/>
  <c r="AB303" i="7" s="1"/>
  <c r="AK449" i="7"/>
  <c r="AB220" i="7"/>
  <c r="AK301" i="7"/>
  <c r="AK485" i="7" l="1"/>
  <c r="AB449" i="7"/>
  <c r="AB485" i="7" s="1"/>
  <c r="AK222" i="7"/>
  <c r="AB346" i="7"/>
  <c r="AK307" i="7"/>
  <c r="AB301" i="7"/>
  <c r="AB307" i="7" l="1"/>
  <c r="AK309" i="7"/>
  <c r="AB222" i="7"/>
  <c r="AK224" i="7"/>
  <c r="AB309" i="7" l="1"/>
  <c r="AK196" i="7"/>
  <c r="AK447" i="7"/>
  <c r="AK227" i="7"/>
  <c r="AB224" i="7"/>
  <c r="AK451" i="7"/>
  <c r="AK75" i="7"/>
  <c r="AB75" i="7" s="1"/>
  <c r="AK201" i="7" l="1"/>
  <c r="AB196" i="7"/>
  <c r="AB451" i="7"/>
  <c r="AK482" i="7"/>
  <c r="AB227" i="7"/>
  <c r="AK231" i="7"/>
  <c r="AB231" i="7" s="1"/>
  <c r="AK486" i="7"/>
  <c r="AB447" i="7"/>
  <c r="AB486" i="7" s="1"/>
  <c r="AK448" i="7"/>
  <c r="AK483" i="7" s="1"/>
  <c r="AB482" i="7" l="1"/>
  <c r="AK487" i="7"/>
  <c r="AK488" i="7"/>
  <c r="AB448" i="7"/>
  <c r="AB201" i="7"/>
  <c r="AK209" i="7"/>
  <c r="AK77" i="7" l="1"/>
  <c r="AB77" i="7" s="1"/>
  <c r="AK233" i="7"/>
  <c r="AB209" i="7"/>
  <c r="AB233" i="7" s="1"/>
  <c r="AB488" i="7"/>
  <c r="AB487" i="7"/>
  <c r="AB483" i="7"/>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Rafael Nicolas Fermin Cota</author>
  </authors>
  <commentList>
    <comment ref="D7" authorId="0" shapeId="0" xr:uid="{00000000-0006-0000-0100-000001000000}">
      <text>
        <r>
          <rPr>
            <b/>
            <sz val="9"/>
            <color rgb="FF000000"/>
            <rFont val="Calibri"/>
            <family val="2"/>
          </rPr>
          <t>Rafael Nicolas Fermin Cota:</t>
        </r>
        <r>
          <rPr>
            <sz val="9"/>
            <color rgb="FF000000"/>
            <rFont val="Calibri"/>
            <family val="2"/>
          </rPr>
          <t xml:space="preserve">
</t>
        </r>
        <r>
          <rPr>
            <sz val="9"/>
            <color rgb="FF000000"/>
            <rFont val="Calibri"/>
            <family val="2"/>
          </rPr>
          <t>When average interest is not selected, interest expense is computed using the beginning balance.  To break the circular reference, toggle average interest off then back on.  After toggling, hit F9 to recalculate.</t>
        </r>
      </text>
    </comment>
    <comment ref="Q57" authorId="0" shapeId="0" xr:uid="{00000000-0006-0000-0100-000002000000}">
      <text>
        <r>
          <rPr>
            <b/>
            <sz val="9"/>
            <color indexed="81"/>
            <rFont val="Calibri"/>
            <family val="2"/>
          </rPr>
          <t>Rafael Nicolas Fermin Cota:</t>
        </r>
        <r>
          <rPr>
            <sz val="9"/>
            <color indexed="81"/>
            <rFont val="Calibri"/>
            <family val="2"/>
          </rPr>
          <t xml:space="preserve">
annualized</t>
        </r>
      </text>
    </comment>
    <comment ref="Q58" authorId="0" shapeId="0" xr:uid="{00000000-0006-0000-0100-000003000000}">
      <text>
        <r>
          <rPr>
            <b/>
            <sz val="9"/>
            <color indexed="81"/>
            <rFont val="Calibri"/>
            <family val="2"/>
          </rPr>
          <t>Rafael Nicolas Fermin Cota:</t>
        </r>
        <r>
          <rPr>
            <sz val="9"/>
            <color indexed="81"/>
            <rFont val="Calibri"/>
            <family val="2"/>
          </rPr>
          <t xml:space="preserve">
annualized</t>
        </r>
      </text>
    </comment>
    <comment ref="Q59" authorId="0" shapeId="0" xr:uid="{00000000-0006-0000-0100-000004000000}">
      <text>
        <r>
          <rPr>
            <b/>
            <sz val="9"/>
            <color indexed="81"/>
            <rFont val="Calibri"/>
            <family val="2"/>
          </rPr>
          <t>Rafael Nicolas Fermin Cota:</t>
        </r>
        <r>
          <rPr>
            <sz val="9"/>
            <color indexed="81"/>
            <rFont val="Calibri"/>
            <family val="2"/>
          </rPr>
          <t xml:space="preserve">
annualized</t>
        </r>
      </text>
    </comment>
    <comment ref="Q75" authorId="0" shapeId="0" xr:uid="{00000000-0006-0000-0100-000005000000}">
      <text>
        <r>
          <rPr>
            <b/>
            <sz val="9"/>
            <color rgb="FF000000"/>
            <rFont val="Calibri"/>
            <family val="2"/>
          </rPr>
          <t>Rafael Nicolas Fermin Cota:</t>
        </r>
        <r>
          <rPr>
            <sz val="9"/>
            <color rgb="FF000000"/>
            <rFont val="Calibri"/>
            <family val="2"/>
          </rPr>
          <t xml:space="preserve">
</t>
        </r>
        <r>
          <rPr>
            <sz val="9"/>
            <color rgb="FF000000"/>
            <rFont val="Calibri"/>
            <family val="2"/>
          </rPr>
          <t>annualized</t>
        </r>
      </text>
    </comment>
    <comment ref="Q76" authorId="0" shapeId="0" xr:uid="{00000000-0006-0000-0100-000006000000}">
      <text>
        <r>
          <rPr>
            <b/>
            <sz val="9"/>
            <color rgb="FF000000"/>
            <rFont val="Calibri"/>
            <family val="2"/>
          </rPr>
          <t>Rafael Nicolas Fermin Cota:</t>
        </r>
        <r>
          <rPr>
            <sz val="9"/>
            <color rgb="FF000000"/>
            <rFont val="Calibri"/>
            <family val="2"/>
          </rPr>
          <t xml:space="preserve">
</t>
        </r>
        <r>
          <rPr>
            <sz val="9"/>
            <color rgb="FF000000"/>
            <rFont val="Calibri"/>
            <family val="2"/>
          </rPr>
          <t>annualized</t>
        </r>
      </text>
    </comment>
    <comment ref="Q77" authorId="0" shapeId="0" xr:uid="{00000000-0006-0000-0100-000007000000}">
      <text>
        <r>
          <rPr>
            <b/>
            <sz val="9"/>
            <color indexed="81"/>
            <rFont val="Calibri"/>
            <family val="2"/>
          </rPr>
          <t>Rafael Nicolas Fermin Cota:</t>
        </r>
        <r>
          <rPr>
            <sz val="9"/>
            <color indexed="81"/>
            <rFont val="Calibri"/>
            <family val="2"/>
          </rPr>
          <t xml:space="preserve">
annualized</t>
        </r>
      </text>
    </comment>
    <comment ref="M90" authorId="0" shapeId="0" xr:uid="{00000000-0006-0000-0100-000008000000}">
      <text>
        <r>
          <rPr>
            <b/>
            <sz val="9"/>
            <color indexed="81"/>
            <rFont val="Calibri"/>
            <family val="2"/>
          </rPr>
          <t>Rafael Nicolas Fermin Cota:</t>
        </r>
        <r>
          <rPr>
            <sz val="9"/>
            <color indexed="81"/>
            <rFont val="Calibri"/>
            <family val="2"/>
          </rPr>
          <t xml:space="preserve">
Whether you apply the DRD to deferred taxes is a judgement call.  Accountants will generally advise you not to, since companies rarely pay "catch-up" dividends (i.e. they will not likely distribute dividends in the future that were not distributed in the current period).  So, these undistributed dividends would never qualify for the DRD because they are not expected to be distributed in the future.
If you do expect undistributed earnings to be paid out in a future period, then you would apply the DRD to the undistrubted earnings.</t>
        </r>
      </text>
    </comment>
    <comment ref="L98" authorId="0" shapeId="0" xr:uid="{00000000-0006-0000-0100-000009000000}">
      <text>
        <r>
          <rPr>
            <b/>
            <sz val="9"/>
            <color indexed="81"/>
            <rFont val="Calibri"/>
            <family val="2"/>
          </rPr>
          <t>Rafael Nicolas Fermin Cota:</t>
        </r>
        <r>
          <rPr>
            <sz val="9"/>
            <color indexed="81"/>
            <rFont val="Calibri"/>
            <family val="2"/>
          </rPr>
          <t xml:space="preserve">
Useful life periods in years</t>
        </r>
      </text>
    </comment>
    <comment ref="O98" authorId="0" shapeId="0" xr:uid="{00000000-0006-0000-0100-00000A000000}">
      <text>
        <r>
          <rPr>
            <b/>
            <sz val="9"/>
            <color indexed="81"/>
            <rFont val="Calibri"/>
            <family val="2"/>
          </rPr>
          <t>Rafael Nicolas Fermin Cota:</t>
        </r>
        <r>
          <rPr>
            <sz val="9"/>
            <color indexed="81"/>
            <rFont val="Calibri"/>
            <family val="2"/>
          </rPr>
          <t xml:space="preserve">
periods convention</t>
        </r>
      </text>
    </comment>
    <comment ref="Q99" authorId="0" shapeId="0" xr:uid="{00000000-0006-0000-0100-00000B000000}">
      <text>
        <r>
          <rPr>
            <b/>
            <sz val="9"/>
            <color indexed="81"/>
            <rFont val="Calibri"/>
            <family val="2"/>
          </rPr>
          <t>Rafael Nicolas Fermin Cota:</t>
        </r>
        <r>
          <rPr>
            <sz val="9"/>
            <color indexed="81"/>
            <rFont val="Calibri"/>
            <family val="2"/>
          </rPr>
          <t xml:space="preserve">
This is set up as a plug.  If assumptions are reasonable, this row should go to zero.</t>
        </r>
      </text>
    </comment>
    <comment ref="L103" authorId="0" shapeId="0" xr:uid="{00000000-0006-0000-0100-00000C000000}">
      <text>
        <r>
          <rPr>
            <b/>
            <sz val="9"/>
            <color indexed="81"/>
            <rFont val="Calibri"/>
            <family val="2"/>
          </rPr>
          <t>Rafael Nicolas Fermin Cota:</t>
        </r>
        <r>
          <rPr>
            <sz val="9"/>
            <color indexed="81"/>
            <rFont val="Calibri"/>
            <family val="2"/>
          </rPr>
          <t xml:space="preserve">
Property class (years)</t>
        </r>
      </text>
    </comment>
    <comment ref="M103" authorId="0" shapeId="0" xr:uid="{00000000-0006-0000-0100-00000D000000}">
      <text>
        <r>
          <rPr>
            <b/>
            <sz val="9"/>
            <color indexed="81"/>
            <rFont val="Calibri"/>
            <family val="2"/>
          </rPr>
          <t>Rafael Nicolas Fermin Cota:</t>
        </r>
        <r>
          <rPr>
            <sz val="9"/>
            <color indexed="81"/>
            <rFont val="Calibri"/>
            <family val="2"/>
          </rPr>
          <t xml:space="preserve">
Use MACRS depreciation of capex? Assume same as book depreciation by default for simplicity and to avoid masking purchase accounting adjustments on a pro forma basis.  This might be a valid assumption if the company has no existing DTA/DTL. In reality tax depreciation might use an accelerated MACRS schedule.</t>
        </r>
      </text>
    </comment>
    <comment ref="Q104" authorId="0" shapeId="0" xr:uid="{00000000-0006-0000-0100-00000E000000}">
      <text>
        <r>
          <rPr>
            <b/>
            <sz val="9"/>
            <color indexed="81"/>
            <rFont val="Calibri"/>
            <family val="2"/>
          </rPr>
          <t>Rafael Nicolas Fermin Cota:</t>
        </r>
        <r>
          <rPr>
            <sz val="9"/>
            <color indexed="81"/>
            <rFont val="Calibri"/>
            <family val="2"/>
          </rPr>
          <t xml:space="preserve">
Assume same as book depreciation for simplicity and to avoid masking purchase accounting adjustments on a pro forma basis.  This might be a valid assumption if the company has no existing DTA/DTL.
In reality tax depreciation might use an accelerated MACRS schedule.</t>
        </r>
      </text>
    </comment>
    <comment ref="Q115" authorId="0" shapeId="0" xr:uid="{00000000-0006-0000-0100-00000F000000}">
      <text>
        <r>
          <rPr>
            <b/>
            <sz val="9"/>
            <color indexed="81"/>
            <rFont val="Calibri"/>
            <family val="2"/>
          </rPr>
          <t>Rafael Nicolas Fermin Cota:</t>
        </r>
        <r>
          <rPr>
            <sz val="9"/>
            <color indexed="81"/>
            <rFont val="Calibri"/>
            <family val="2"/>
          </rPr>
          <t xml:space="preserve">
Assume same as book amortization for simplicity and to avoid masking purchase accounting adjustments on a pro forma basis.  This might be a valid assumption if the company has no existing DTA/DTL.</t>
        </r>
      </text>
    </comment>
    <comment ref="Q117" authorId="0" shapeId="0" xr:uid="{00000000-0006-0000-0100-000010000000}">
      <text>
        <r>
          <rPr>
            <b/>
            <sz val="9"/>
            <color indexed="81"/>
            <rFont val="Calibri"/>
            <family val="2"/>
          </rPr>
          <t>Rafael Nicolas Fermin Cota:</t>
        </r>
        <r>
          <rPr>
            <sz val="9"/>
            <color indexed="81"/>
            <rFont val="Calibri"/>
            <family val="2"/>
          </rPr>
          <t xml:space="preserve">
Assume same as book for simplicity.</t>
        </r>
      </text>
    </comment>
    <comment ref="M134" authorId="0" shapeId="0" xr:uid="{00000000-0006-0000-0100-000011000000}">
      <text>
        <r>
          <rPr>
            <b/>
            <sz val="9"/>
            <color indexed="81"/>
            <rFont val="Calibri"/>
            <family val="2"/>
          </rPr>
          <t>Rafael Nicolas Fermin Cota:</t>
        </r>
        <r>
          <rPr>
            <sz val="9"/>
            <color indexed="81"/>
            <rFont val="Calibri"/>
            <family val="2"/>
          </rPr>
          <t xml:space="preserve">
Remaining NOL life (yrs)</t>
        </r>
      </text>
    </comment>
    <comment ref="M138" authorId="0" shapeId="0" xr:uid="{00000000-0006-0000-0100-000012000000}">
      <text>
        <r>
          <rPr>
            <b/>
            <sz val="9"/>
            <color indexed="81"/>
            <rFont val="Calibri"/>
            <family val="2"/>
          </rPr>
          <t>Annual Sec. 382 NOL deduction limit.</t>
        </r>
        <r>
          <rPr>
            <sz val="9"/>
            <color indexed="81"/>
            <rFont val="Calibri"/>
            <family val="2"/>
          </rPr>
          <t xml:space="preserve">
This is the maximum amount of NOL that can be used to offset taxable income (as calculated for tax purposes) in each lookforward period.</t>
        </r>
      </text>
    </comment>
    <comment ref="M149" authorId="0" shapeId="0" xr:uid="{00000000-0006-0000-0100-000013000000}">
      <text>
        <r>
          <rPr>
            <b/>
            <sz val="9"/>
            <color indexed="81"/>
            <rFont val="Calibri"/>
            <family val="2"/>
          </rPr>
          <t>Rafael Nicolas Fermin Cota:</t>
        </r>
        <r>
          <rPr>
            <sz val="9"/>
            <color indexed="81"/>
            <rFont val="Calibri"/>
            <family val="2"/>
          </rPr>
          <t xml:space="preserve">
NOL may be be carried forward up to 20 years.  In practice, NOL may be accumulated over a span of time, such that the average remaining life of the NOL, in aggregate, is less than 20 years.  For simplicity, we assume that all NOL were generated in a single period 5 years ago, such that the remaining life is 20-5=15 years.  Ultimately, this is a diligence item.</t>
        </r>
      </text>
    </comment>
    <comment ref="M160" authorId="0" shapeId="0" xr:uid="{00000000-0006-0000-0100-000014000000}">
      <text>
        <r>
          <rPr>
            <b/>
            <sz val="9"/>
            <color indexed="81"/>
            <rFont val="Calibri"/>
            <family val="2"/>
          </rPr>
          <t>Rafael Nicolas Fermin Cota:</t>
        </r>
        <r>
          <rPr>
            <sz val="9"/>
            <color indexed="81"/>
            <rFont val="Calibri"/>
            <family val="2"/>
          </rPr>
          <t xml:space="preserve">
This is an approximation to ensure the math works for illustrative purposes.  The disclosed DTA attributable to NOL may not exactly equal the NOL times the tax rate.</t>
        </r>
      </text>
    </comment>
    <comment ref="Q162" authorId="0" shapeId="0" xr:uid="{00000000-0006-0000-0100-000015000000}">
      <text>
        <r>
          <rPr>
            <b/>
            <sz val="9"/>
            <color rgb="FF000000"/>
            <rFont val="Calibri"/>
            <family val="2"/>
          </rPr>
          <t>Rafael Nicolas Fermin Cota:</t>
        </r>
        <r>
          <rPr>
            <sz val="9"/>
            <color rgb="FF000000"/>
            <rFont val="Calibri"/>
            <family val="2"/>
          </rPr>
          <t xml:space="preserve">
</t>
        </r>
        <r>
          <rPr>
            <sz val="9"/>
            <color rgb="FF000000"/>
            <rFont val="Calibri"/>
            <family val="2"/>
          </rPr>
          <t>*** SOME OR ALL OF THIS SECTION MAY NOT APPLY OUTSIDE THE UNITED STATES ***</t>
        </r>
      </text>
    </comment>
    <comment ref="O255" authorId="0" shapeId="0" xr:uid="{00000000-0006-0000-0100-000016000000}">
      <text>
        <r>
          <rPr>
            <b/>
            <sz val="9"/>
            <color indexed="81"/>
            <rFont val="Calibri"/>
            <family val="2"/>
          </rPr>
          <t>Rafael Nicolas Fermin Cota:</t>
        </r>
        <r>
          <rPr>
            <sz val="9"/>
            <color indexed="81"/>
            <rFont val="Calibri"/>
            <family val="2"/>
          </rPr>
          <t xml:space="preserve">
1 = Sales, 2 = COGS</t>
        </r>
      </text>
    </comment>
    <comment ref="Q285" authorId="0" shapeId="0" xr:uid="{00000000-0006-0000-0100-000017000000}">
      <text>
        <r>
          <rPr>
            <b/>
            <sz val="9"/>
            <color rgb="FF000000"/>
            <rFont val="Calibri"/>
            <family val="2"/>
          </rPr>
          <t>Rafael Nicolas Fermin Cota:</t>
        </r>
        <r>
          <rPr>
            <sz val="9"/>
            <color rgb="FF000000"/>
            <rFont val="Calibri"/>
            <family val="2"/>
          </rPr>
          <t xml:space="preserve">
</t>
        </r>
        <r>
          <rPr>
            <sz val="9"/>
            <color rgb="FF000000"/>
            <rFont val="Calibri"/>
            <family val="2"/>
          </rPr>
          <t xml:space="preserve">Undistributed earnings1 = Equity investments1 - Equity investments0 = Equity income in affiliates1 - Cash dividends received from equity investments1
</t>
        </r>
        <r>
          <rPr>
            <sz val="9"/>
            <color rgb="FF000000"/>
            <rFont val="Calibri"/>
            <family val="2"/>
          </rPr>
          <t>Cash dividends received from equity investments1 = Equity income in affiliates1 - Equity investments1 + Equity investments0</t>
        </r>
      </text>
    </comment>
    <comment ref="O328" authorId="0" shapeId="0" xr:uid="{00000000-0006-0000-0100-000018000000}">
      <text>
        <r>
          <rPr>
            <b/>
            <sz val="9"/>
            <color indexed="81"/>
            <rFont val="Calibri"/>
            <family val="2"/>
          </rPr>
          <t>Rafael Nicolas Fermin Cota:</t>
        </r>
        <r>
          <rPr>
            <sz val="9"/>
            <color indexed="81"/>
            <rFont val="Calibri"/>
            <family val="2"/>
          </rPr>
          <t xml:space="preserve">
Cash Sweep</t>
        </r>
      </text>
    </comment>
    <comment ref="O338" authorId="0" shapeId="0" xr:uid="{00000000-0006-0000-0100-000019000000}">
      <text>
        <r>
          <rPr>
            <b/>
            <sz val="9"/>
            <color indexed="81"/>
            <rFont val="Calibri"/>
            <family val="2"/>
          </rPr>
          <t>Rafael Nicolas Fermin Cota:</t>
        </r>
        <r>
          <rPr>
            <sz val="9"/>
            <color indexed="81"/>
            <rFont val="Calibri"/>
            <family val="2"/>
          </rPr>
          <t xml:space="preserve">
Cash Sweep</t>
        </r>
      </text>
    </comment>
    <comment ref="O345" authorId="0" shapeId="0" xr:uid="{00000000-0006-0000-0100-00001A000000}">
      <text>
        <r>
          <rPr>
            <b/>
            <sz val="9"/>
            <color indexed="81"/>
            <rFont val="Calibri"/>
            <family val="2"/>
          </rPr>
          <t>Rafael Nicolas Fermin Cota:</t>
        </r>
        <r>
          <rPr>
            <sz val="9"/>
            <color indexed="81"/>
            <rFont val="Calibri"/>
            <family val="2"/>
          </rPr>
          <t xml:space="preserve">
Cash Sweep</t>
        </r>
      </text>
    </comment>
    <comment ref="L375" authorId="0" shapeId="0" xr:uid="{00000000-0006-0000-0100-00001B000000}">
      <text>
        <r>
          <rPr>
            <b/>
            <sz val="9"/>
            <color indexed="81"/>
            <rFont val="Calibri"/>
            <family val="2"/>
          </rPr>
          <t>Rafael Nicolas Fermin Cota:</t>
        </r>
        <r>
          <rPr>
            <sz val="9"/>
            <color indexed="81"/>
            <rFont val="Calibri"/>
            <family val="2"/>
          </rPr>
          <t xml:space="preserve">
Fixed Rate / Coupon</t>
        </r>
      </text>
    </comment>
    <comment ref="M375" authorId="0" shapeId="0" xr:uid="{00000000-0006-0000-0100-00001C000000}">
      <text>
        <r>
          <rPr>
            <b/>
            <sz val="9"/>
            <color indexed="81"/>
            <rFont val="Calibri"/>
            <family val="2"/>
          </rPr>
          <t>Rafael Nicolas Fermin Cota:</t>
        </r>
        <r>
          <rPr>
            <sz val="9"/>
            <color indexed="81"/>
            <rFont val="Calibri"/>
            <family val="2"/>
          </rPr>
          <t xml:space="preserve">
Spread to LIBOR</t>
        </r>
      </text>
    </comment>
    <comment ref="L376" authorId="0" shapeId="0" xr:uid="{00000000-0006-0000-0100-00001D000000}">
      <text>
        <r>
          <rPr>
            <b/>
            <sz val="9"/>
            <color indexed="81"/>
            <rFont val="Calibri"/>
            <family val="2"/>
          </rPr>
          <t>Rafael Nicolas Fermin Cota:</t>
        </r>
        <r>
          <rPr>
            <sz val="9"/>
            <color indexed="81"/>
            <rFont val="Calibri"/>
            <family val="2"/>
          </rPr>
          <t xml:space="preserve">
Fixed Rate / Coupon</t>
        </r>
      </text>
    </comment>
    <comment ref="M376" authorId="0" shapeId="0" xr:uid="{00000000-0006-0000-0100-00001E000000}">
      <text>
        <r>
          <rPr>
            <b/>
            <sz val="9"/>
            <color indexed="81"/>
            <rFont val="Calibri"/>
            <family val="2"/>
          </rPr>
          <t>Rafael Nicolas Fermin Cota:</t>
        </r>
        <r>
          <rPr>
            <sz val="9"/>
            <color indexed="81"/>
            <rFont val="Calibri"/>
            <family val="2"/>
          </rPr>
          <t xml:space="preserve">
Spread to LIBOR</t>
        </r>
      </text>
    </comment>
    <comment ref="L377" authorId="0" shapeId="0" xr:uid="{00000000-0006-0000-0100-00001F000000}">
      <text>
        <r>
          <rPr>
            <b/>
            <sz val="9"/>
            <color indexed="81"/>
            <rFont val="Calibri"/>
            <family val="2"/>
          </rPr>
          <t>Rafael Nicolas Fermin Cota:</t>
        </r>
        <r>
          <rPr>
            <sz val="9"/>
            <color indexed="81"/>
            <rFont val="Calibri"/>
            <family val="2"/>
          </rPr>
          <t xml:space="preserve">
Fixed Rate / Coupon</t>
        </r>
      </text>
    </comment>
    <comment ref="M377" authorId="0" shapeId="0" xr:uid="{00000000-0006-0000-0100-000020000000}">
      <text>
        <r>
          <rPr>
            <b/>
            <sz val="9"/>
            <color indexed="81"/>
            <rFont val="Calibri"/>
            <family val="2"/>
          </rPr>
          <t>Rafael Nicolas Fermin Cota:</t>
        </r>
        <r>
          <rPr>
            <sz val="9"/>
            <color indexed="81"/>
            <rFont val="Calibri"/>
            <family val="2"/>
          </rPr>
          <t xml:space="preserve">
Spread to LIBOR</t>
        </r>
      </text>
    </comment>
    <comment ref="L378" authorId="0" shapeId="0" xr:uid="{00000000-0006-0000-0100-000021000000}">
      <text>
        <r>
          <rPr>
            <b/>
            <sz val="9"/>
            <color indexed="81"/>
            <rFont val="Calibri"/>
            <family val="2"/>
          </rPr>
          <t>Rafael Nicolas Fermin Cota:</t>
        </r>
        <r>
          <rPr>
            <sz val="9"/>
            <color indexed="81"/>
            <rFont val="Calibri"/>
            <family val="2"/>
          </rPr>
          <t xml:space="preserve">
Fixed Rate / Coupon</t>
        </r>
      </text>
    </comment>
    <comment ref="M378" authorId="0" shapeId="0" xr:uid="{00000000-0006-0000-0100-000022000000}">
      <text>
        <r>
          <rPr>
            <b/>
            <sz val="9"/>
            <color indexed="81"/>
            <rFont val="Calibri"/>
            <family val="2"/>
          </rPr>
          <t>Rafael Nicolas Fermin Cota:</t>
        </r>
        <r>
          <rPr>
            <sz val="9"/>
            <color indexed="81"/>
            <rFont val="Calibri"/>
            <family val="2"/>
          </rPr>
          <t xml:space="preserve">
Spread to LIBOR</t>
        </r>
      </text>
    </comment>
    <comment ref="L379" authorId="0" shapeId="0" xr:uid="{00000000-0006-0000-0100-000023000000}">
      <text>
        <r>
          <rPr>
            <b/>
            <sz val="9"/>
            <color indexed="81"/>
            <rFont val="Calibri"/>
            <family val="2"/>
          </rPr>
          <t>Rafael Nicolas Fermin Cota:</t>
        </r>
        <r>
          <rPr>
            <sz val="9"/>
            <color indexed="81"/>
            <rFont val="Calibri"/>
            <family val="2"/>
          </rPr>
          <t xml:space="preserve">
Fixed Rate / Coupon</t>
        </r>
      </text>
    </comment>
    <comment ref="M379" authorId="0" shapeId="0" xr:uid="{00000000-0006-0000-0100-000024000000}">
      <text>
        <r>
          <rPr>
            <b/>
            <sz val="9"/>
            <color indexed="81"/>
            <rFont val="Calibri"/>
            <family val="2"/>
          </rPr>
          <t>Rafael Nicolas Fermin Cota:</t>
        </r>
        <r>
          <rPr>
            <sz val="9"/>
            <color indexed="81"/>
            <rFont val="Calibri"/>
            <family val="2"/>
          </rPr>
          <t xml:space="preserve">
Spread to LIBOR</t>
        </r>
      </text>
    </comment>
    <comment ref="S386" authorId="0" shapeId="0" xr:uid="{00000000-0006-0000-0100-000025000000}">
      <text>
        <r>
          <rPr>
            <b/>
            <sz val="9"/>
            <color indexed="81"/>
            <rFont val="Calibri"/>
            <family val="2"/>
          </rPr>
          <t>Rafael Nicolas Fermin Cota:</t>
        </r>
        <r>
          <rPr>
            <sz val="9"/>
            <color indexed="81"/>
            <rFont val="Calibri"/>
            <family val="2"/>
          </rPr>
          <t xml:space="preserve">
Senior Debt?</t>
        </r>
      </text>
    </comment>
    <comment ref="T386" authorId="0" shapeId="0" xr:uid="{00000000-0006-0000-0100-000026000000}">
      <text>
        <r>
          <rPr>
            <b/>
            <sz val="9"/>
            <color rgb="FF000000"/>
            <rFont val="Calibri"/>
            <family val="2"/>
          </rPr>
          <t>Rafael Nicolas Fermin Cota:</t>
        </r>
        <r>
          <rPr>
            <sz val="9"/>
            <color rgb="FF000000"/>
            <rFont val="Calibri"/>
            <family val="2"/>
          </rPr>
          <t xml:space="preserve">
</t>
        </r>
        <r>
          <rPr>
            <sz val="9"/>
            <color rgb="FF000000"/>
            <rFont val="Calibri"/>
            <family val="2"/>
          </rPr>
          <t>Preferred Security?</t>
        </r>
      </text>
    </comment>
    <comment ref="U386" authorId="0" shapeId="0" xr:uid="{00000000-0006-0000-0100-000027000000}">
      <text>
        <r>
          <rPr>
            <b/>
            <sz val="9"/>
            <color rgb="FF000000"/>
            <rFont val="Calibri"/>
            <family val="2"/>
          </rPr>
          <t>Rafael Nicolas Fermin Cota:</t>
        </r>
        <r>
          <rPr>
            <sz val="9"/>
            <color rgb="FF000000"/>
            <rFont val="Calibri"/>
            <family val="2"/>
          </rPr>
          <t xml:space="preserve">
</t>
        </r>
        <r>
          <rPr>
            <sz val="9"/>
            <color rgb="FF000000"/>
            <rFont val="Calibri"/>
            <family val="2"/>
          </rPr>
          <t>Convertible Security?</t>
        </r>
      </text>
    </comment>
    <comment ref="S387" authorId="0" shapeId="0" xr:uid="{00000000-0006-0000-0100-000028000000}">
      <text>
        <r>
          <rPr>
            <b/>
            <sz val="9"/>
            <color indexed="81"/>
            <rFont val="Calibri"/>
            <family val="2"/>
          </rPr>
          <t>Rafael Nicolas Fermin Cota:</t>
        </r>
        <r>
          <rPr>
            <sz val="9"/>
            <color indexed="81"/>
            <rFont val="Calibri"/>
            <family val="2"/>
          </rPr>
          <t xml:space="preserve">
Senior Debt?</t>
        </r>
      </text>
    </comment>
    <comment ref="T387" authorId="0" shapeId="0" xr:uid="{00000000-0006-0000-0100-000029000000}">
      <text>
        <r>
          <rPr>
            <b/>
            <sz val="9"/>
            <color indexed="81"/>
            <rFont val="Calibri"/>
            <family val="2"/>
          </rPr>
          <t>Rafael Nicolas Fermin Cota:</t>
        </r>
        <r>
          <rPr>
            <sz val="9"/>
            <color indexed="81"/>
            <rFont val="Calibri"/>
            <family val="2"/>
          </rPr>
          <t xml:space="preserve">
Preferred Security?</t>
        </r>
      </text>
    </comment>
    <comment ref="U387" authorId="0" shapeId="0" xr:uid="{00000000-0006-0000-0100-00002A000000}">
      <text>
        <r>
          <rPr>
            <b/>
            <sz val="9"/>
            <color indexed="81"/>
            <rFont val="Calibri"/>
            <family val="2"/>
          </rPr>
          <t>Rafael Nicolas Fermin Cota:</t>
        </r>
        <r>
          <rPr>
            <sz val="9"/>
            <color indexed="81"/>
            <rFont val="Calibri"/>
            <family val="2"/>
          </rPr>
          <t xml:space="preserve">
Convertible Security?</t>
        </r>
      </text>
    </comment>
    <comment ref="S388" authorId="0" shapeId="0" xr:uid="{00000000-0006-0000-0100-00002B000000}">
      <text>
        <r>
          <rPr>
            <b/>
            <sz val="9"/>
            <color indexed="81"/>
            <rFont val="Calibri"/>
            <family val="2"/>
          </rPr>
          <t>Rafael Nicolas Fermin Cota:</t>
        </r>
        <r>
          <rPr>
            <sz val="9"/>
            <color indexed="81"/>
            <rFont val="Calibri"/>
            <family val="2"/>
          </rPr>
          <t xml:space="preserve">
Senior Debt?</t>
        </r>
      </text>
    </comment>
    <comment ref="T388" authorId="0" shapeId="0" xr:uid="{00000000-0006-0000-0100-00002C000000}">
      <text>
        <r>
          <rPr>
            <b/>
            <sz val="9"/>
            <color indexed="81"/>
            <rFont val="Calibri"/>
            <family val="2"/>
          </rPr>
          <t>Rafael Nicolas Fermin Cota:</t>
        </r>
        <r>
          <rPr>
            <sz val="9"/>
            <color indexed="81"/>
            <rFont val="Calibri"/>
            <family val="2"/>
          </rPr>
          <t xml:space="preserve">
Preferred Security?</t>
        </r>
      </text>
    </comment>
    <comment ref="U388" authorId="0" shapeId="0" xr:uid="{00000000-0006-0000-0100-00002D000000}">
      <text>
        <r>
          <rPr>
            <b/>
            <sz val="9"/>
            <color indexed="81"/>
            <rFont val="Calibri"/>
            <family val="2"/>
          </rPr>
          <t>Rafael Nicolas Fermin Cota:</t>
        </r>
        <r>
          <rPr>
            <sz val="9"/>
            <color indexed="81"/>
            <rFont val="Calibri"/>
            <family val="2"/>
          </rPr>
          <t xml:space="preserve">
Convertible Security?</t>
        </r>
      </text>
    </comment>
    <comment ref="S389" authorId="0" shapeId="0" xr:uid="{00000000-0006-0000-0100-00002E000000}">
      <text>
        <r>
          <rPr>
            <b/>
            <sz val="9"/>
            <color indexed="81"/>
            <rFont val="Calibri"/>
            <family val="2"/>
          </rPr>
          <t>Rafael Nicolas Fermin Cota:</t>
        </r>
        <r>
          <rPr>
            <sz val="9"/>
            <color indexed="81"/>
            <rFont val="Calibri"/>
            <family val="2"/>
          </rPr>
          <t xml:space="preserve">
Senior Debt?</t>
        </r>
      </text>
    </comment>
    <comment ref="T389" authorId="0" shapeId="0" xr:uid="{00000000-0006-0000-0100-00002F000000}">
      <text>
        <r>
          <rPr>
            <b/>
            <sz val="9"/>
            <color indexed="81"/>
            <rFont val="Calibri"/>
            <family val="2"/>
          </rPr>
          <t>Rafael Nicolas Fermin Cota:</t>
        </r>
        <r>
          <rPr>
            <sz val="9"/>
            <color indexed="81"/>
            <rFont val="Calibri"/>
            <family val="2"/>
          </rPr>
          <t xml:space="preserve">
Preferred Security?</t>
        </r>
      </text>
    </comment>
    <comment ref="U389" authorId="0" shapeId="0" xr:uid="{00000000-0006-0000-0100-000030000000}">
      <text>
        <r>
          <rPr>
            <b/>
            <sz val="9"/>
            <color indexed="81"/>
            <rFont val="Calibri"/>
            <family val="2"/>
          </rPr>
          <t>Rafael Nicolas Fermin Cota:</t>
        </r>
        <r>
          <rPr>
            <sz val="9"/>
            <color indexed="81"/>
            <rFont val="Calibri"/>
            <family val="2"/>
          </rPr>
          <t xml:space="preserve">
Convertible Security?</t>
        </r>
      </text>
    </comment>
    <comment ref="S390" authorId="0" shapeId="0" xr:uid="{00000000-0006-0000-0100-000031000000}">
      <text>
        <r>
          <rPr>
            <b/>
            <sz val="9"/>
            <color indexed="81"/>
            <rFont val="Calibri"/>
            <family val="2"/>
          </rPr>
          <t>Rafael Nicolas Fermin Cota:</t>
        </r>
        <r>
          <rPr>
            <sz val="9"/>
            <color indexed="81"/>
            <rFont val="Calibri"/>
            <family val="2"/>
          </rPr>
          <t xml:space="preserve">
Senior Debt?</t>
        </r>
      </text>
    </comment>
    <comment ref="T390" authorId="0" shapeId="0" xr:uid="{00000000-0006-0000-0100-000032000000}">
      <text>
        <r>
          <rPr>
            <b/>
            <sz val="9"/>
            <color indexed="81"/>
            <rFont val="Calibri"/>
            <family val="2"/>
          </rPr>
          <t>Rafael Nicolas Fermin Cota:</t>
        </r>
        <r>
          <rPr>
            <sz val="9"/>
            <color indexed="81"/>
            <rFont val="Calibri"/>
            <family val="2"/>
          </rPr>
          <t xml:space="preserve">
Preferred Security?</t>
        </r>
      </text>
    </comment>
    <comment ref="U390" authorId="0" shapeId="0" xr:uid="{00000000-0006-0000-0100-000033000000}">
      <text>
        <r>
          <rPr>
            <b/>
            <sz val="9"/>
            <color indexed="81"/>
            <rFont val="Calibri"/>
            <family val="2"/>
          </rPr>
          <t>Rafael Nicolas Fermin Cota:</t>
        </r>
        <r>
          <rPr>
            <sz val="9"/>
            <color indexed="81"/>
            <rFont val="Calibri"/>
            <family val="2"/>
          </rPr>
          <t xml:space="preserve">
Convertible Security?</t>
        </r>
      </text>
    </comment>
    <comment ref="J420" authorId="0" shapeId="0" xr:uid="{00000000-0006-0000-0100-000034000000}">
      <text>
        <r>
          <rPr>
            <b/>
            <sz val="9"/>
            <color indexed="81"/>
            <rFont val="Calibri"/>
            <family val="2"/>
          </rPr>
          <t>Rafael Nicolas Fermin Cota:</t>
        </r>
        <r>
          <rPr>
            <sz val="9"/>
            <color indexed="81"/>
            <rFont val="Calibri"/>
            <family val="2"/>
          </rPr>
          <t xml:space="preserve">
Current share price</t>
        </r>
      </text>
    </comment>
    <comment ref="K420" authorId="0" shapeId="0" xr:uid="{00000000-0006-0000-0100-000035000000}">
      <text>
        <r>
          <rPr>
            <b/>
            <sz val="9"/>
            <color indexed="81"/>
            <rFont val="Calibri"/>
            <family val="2"/>
          </rPr>
          <t>Rafael Nicolas Fermin Cota:</t>
        </r>
        <r>
          <rPr>
            <sz val="9"/>
            <color indexed="81"/>
            <rFont val="Calibri"/>
            <family val="2"/>
          </rPr>
          <t xml:space="preserve">
no. tranches</t>
        </r>
      </text>
    </comment>
    <comment ref="Q423" authorId="0" shapeId="0" xr:uid="{00000000-0006-0000-0100-000036000000}">
      <text>
        <r>
          <rPr>
            <b/>
            <sz val="9"/>
            <color indexed="81"/>
            <rFont val="Calibri"/>
            <family val="2"/>
          </rPr>
          <t>Rafael Nicolas Fermin Cota:</t>
        </r>
        <r>
          <rPr>
            <sz val="9"/>
            <color indexed="81"/>
            <rFont val="Calibri"/>
            <family val="2"/>
          </rPr>
          <t xml:space="preserve">
Note that we do not tax effect the add-back of preferred dividends.</t>
        </r>
      </text>
    </comment>
    <comment ref="Q429" authorId="0" shapeId="0" xr:uid="{00000000-0006-0000-0100-000037000000}">
      <text>
        <r>
          <rPr>
            <b/>
            <sz val="9"/>
            <color indexed="81"/>
            <rFont val="Calibri"/>
            <family val="2"/>
          </rPr>
          <t>Rafael Nicolas Fermin Cota:</t>
        </r>
        <r>
          <rPr>
            <sz val="9"/>
            <color indexed="81"/>
            <rFont val="Calibri"/>
            <family val="2"/>
          </rPr>
          <t xml:space="preserve">
If the security is anti-dilutive, it is not included in the fully diluted share count.  Conversely, if the security is dilutive, it is included in the fully diluted share count.</t>
        </r>
      </text>
    </comment>
    <comment ref="O434" authorId="0" shapeId="0" xr:uid="{00000000-0006-0000-0100-000038000000}">
      <text>
        <r>
          <rPr>
            <b/>
            <sz val="9"/>
            <color rgb="FF000000"/>
            <rFont val="Calibri"/>
            <family val="2"/>
          </rPr>
          <t>Rafael Nicolas Fermin Cota:</t>
        </r>
        <r>
          <rPr>
            <sz val="9"/>
            <color rgb="FF000000"/>
            <rFont val="Calibri"/>
            <family val="2"/>
          </rPr>
          <t xml:space="preserve">
</t>
        </r>
        <r>
          <rPr>
            <sz val="9"/>
            <color rgb="FF000000"/>
            <rFont val="Calibri"/>
            <family val="2"/>
          </rPr>
          <t>In-the-money Treasury Method option shares</t>
        </r>
      </text>
    </comment>
    <comment ref="Q458" authorId="0" shapeId="0" xr:uid="{00000000-0006-0000-0100-000039000000}">
      <text>
        <r>
          <rPr>
            <b/>
            <sz val="9"/>
            <color indexed="81"/>
            <rFont val="Calibri"/>
            <family val="2"/>
          </rPr>
          <t>Rafael Nicolas Fermin Cota:</t>
        </r>
        <r>
          <rPr>
            <sz val="9"/>
            <color indexed="81"/>
            <rFont val="Calibri"/>
            <family val="2"/>
          </rPr>
          <t xml:space="preserve">
total interest &amp; preferred dividends</t>
        </r>
      </text>
    </comment>
  </commentList>
</comments>
</file>

<file path=xl/sharedStrings.xml><?xml version="1.0" encoding="utf-8"?>
<sst xmlns="http://schemas.openxmlformats.org/spreadsheetml/2006/main" count="419" uniqueCount="269">
  <si>
    <t>Depreciation</t>
  </si>
  <si>
    <t xml:space="preserve"> </t>
  </si>
  <si>
    <t>Total Current Liabilities</t>
  </si>
  <si>
    <t>Calculations</t>
  </si>
  <si>
    <t>Data Sheet</t>
  </si>
  <si>
    <t>Initial Period</t>
  </si>
  <si>
    <t>Frequency</t>
  </si>
  <si>
    <t>No. Periods Est.</t>
  </si>
  <si>
    <t>Gross Profit</t>
  </si>
  <si>
    <t>Heading starting column</t>
  </si>
  <si>
    <t>Data starting row</t>
  </si>
  <si>
    <t>Data starting column</t>
  </si>
  <si>
    <t>Comprehensive Statements</t>
  </si>
  <si>
    <t>Income Statement</t>
  </si>
  <si>
    <t>Balance Sheet</t>
  </si>
  <si>
    <t>Assets</t>
  </si>
  <si>
    <t>Cash and equivalents</t>
  </si>
  <si>
    <t>Accounts receivable</t>
  </si>
  <si>
    <t>Total current assets</t>
  </si>
  <si>
    <t>Current portion of long-term debt</t>
  </si>
  <si>
    <t>Accounts payable</t>
  </si>
  <si>
    <t>Other long-term liabilities</t>
  </si>
  <si>
    <t>Preferred stock</t>
  </si>
  <si>
    <t>Operating Activities</t>
  </si>
  <si>
    <t>Net income</t>
  </si>
  <si>
    <t>Investing Activities</t>
  </si>
  <si>
    <t>Financing Activities</t>
  </si>
  <si>
    <t>Preferred dividends</t>
  </si>
  <si>
    <t>Additions to RE</t>
  </si>
  <si>
    <t>Cash</t>
  </si>
  <si>
    <t>Inventory</t>
  </si>
  <si>
    <t>Total assets</t>
  </si>
  <si>
    <t>Total liabilities</t>
  </si>
  <si>
    <t>Tax rate</t>
  </si>
  <si>
    <t>Quarterly Indicators -- Ending Quarter</t>
  </si>
  <si>
    <t>Stock-based comp</t>
  </si>
  <si>
    <t>Interest (income) / expense</t>
  </si>
  <si>
    <t>Total revenue</t>
  </si>
  <si>
    <t>COGS</t>
  </si>
  <si>
    <t>SG&amp;A</t>
  </si>
  <si>
    <t>Amortization</t>
  </si>
  <si>
    <t>Equity income in affiliates</t>
  </si>
  <si>
    <t>Other (income) / expense</t>
  </si>
  <si>
    <t>Provision for tax</t>
  </si>
  <si>
    <t>Net income attributable to noncontrolling interests</t>
  </si>
  <si>
    <t>One-time charges</t>
  </si>
  <si>
    <t>Capital expenditures</t>
  </si>
  <si>
    <t>Common dividend per share</t>
  </si>
  <si>
    <t>Deferred tax asset, current</t>
  </si>
  <si>
    <t>Other current assets</t>
  </si>
  <si>
    <t>PP&amp;E, gross</t>
  </si>
  <si>
    <t>PP&amp;E, net</t>
  </si>
  <si>
    <t>Goodwill</t>
  </si>
  <si>
    <t>Other intangible assets</t>
  </si>
  <si>
    <t>Equity investments</t>
  </si>
  <si>
    <t>Other assets</t>
  </si>
  <si>
    <t>Accrued expenses</t>
  </si>
  <si>
    <t>Client deposits</t>
  </si>
  <si>
    <t>Income taxes payable</t>
  </si>
  <si>
    <t>Deferred revenue</t>
  </si>
  <si>
    <t>Other current liabilities</t>
  </si>
  <si>
    <t>Revolver</t>
  </si>
  <si>
    <t>Senior credit facility</t>
  </si>
  <si>
    <t>Subordinated note</t>
  </si>
  <si>
    <t>Convertible bond</t>
  </si>
  <si>
    <t>Net deferred tax liability / (asset)</t>
  </si>
  <si>
    <t>Noncontrolling interests</t>
  </si>
  <si>
    <t>Common equity</t>
  </si>
  <si>
    <t>Key Performance Metrics &amp; Drivers</t>
  </si>
  <si>
    <t>GAAP earnings growth</t>
  </si>
  <si>
    <t>Cash earnings growth</t>
  </si>
  <si>
    <t>Gross margin</t>
  </si>
  <si>
    <t>EBITDA margin</t>
  </si>
  <si>
    <t>EBIT margin</t>
  </si>
  <si>
    <t>EBITA margin</t>
  </si>
  <si>
    <t>GAAP net margin</t>
  </si>
  <si>
    <t>Cash net margin</t>
  </si>
  <si>
    <t>ROIC</t>
  </si>
  <si>
    <t>ROE</t>
  </si>
  <si>
    <t>ROA</t>
  </si>
  <si>
    <t>EBITDA</t>
  </si>
  <si>
    <t>EBIT</t>
  </si>
  <si>
    <t>EBITA</t>
  </si>
  <si>
    <t>Income before taxes</t>
  </si>
  <si>
    <t>( – ) Cash dividends received from equity investments</t>
  </si>
  <si>
    <t>Undistributed earnings</t>
  </si>
  <si>
    <t>Dividends Received Deduction (DRD)</t>
  </si>
  <si>
    <t>Current taxes payable</t>
  </si>
  <si>
    <t>Deferred tax expense</t>
  </si>
  <si>
    <t>Income tax expense</t>
  </si>
  <si>
    <t>Tax benefit from DRD</t>
  </si>
  <si>
    <t>Equity Investments</t>
  </si>
  <si>
    <t>GAAP net income</t>
  </si>
  <si>
    <t>GAAP net income available to common</t>
  </si>
  <si>
    <t>GAAP to cash reconciliation</t>
  </si>
  <si>
    <t>Cash net income available to common</t>
  </si>
  <si>
    <t>GAAP diluted EPS</t>
  </si>
  <si>
    <t>Cash diluted EPS</t>
  </si>
  <si>
    <t>Capex</t>
  </si>
  <si>
    <t>( + ) Book depreciation of existing fixed assets</t>
  </si>
  <si>
    <t>Total book depreciation expense</t>
  </si>
  <si>
    <t>Tax depreciation of capex</t>
  </si>
  <si>
    <t>( + ) Tax depreciation of existing fixed assets</t>
  </si>
  <si>
    <t>Total tax depreciation expense</t>
  </si>
  <si>
    <t>Book depreciation of capex (straight-line)</t>
  </si>
  <si>
    <t>Tax Depreciation</t>
  </si>
  <si>
    <t>Federal tax rate</t>
  </si>
  <si>
    <t>State and local tax rate</t>
  </si>
  <si>
    <t>Blended tax rate</t>
  </si>
  <si>
    <t>Cash Taxes &amp; Net DTL</t>
  </si>
  <si>
    <t>( – ) Tax depreciation</t>
  </si>
  <si>
    <t>( – ) Tax amortization of intangible assets</t>
  </si>
  <si>
    <t>( – ) Tax amortization of tax-deductible goodwill</t>
  </si>
  <si>
    <t>( – ) Stock-based compensation</t>
  </si>
  <si>
    <t>( + ) Interest income / (expense)</t>
  </si>
  <si>
    <t>( + ) Distributed equity income in affiliates</t>
  </si>
  <si>
    <t>( + ) Other income / (expense)</t>
  </si>
  <si>
    <t>Total taxable income</t>
  </si>
  <si>
    <t>( – ) NOL used</t>
  </si>
  <si>
    <t>State and local taxable income</t>
  </si>
  <si>
    <t>( – ) State and local cash taxes</t>
  </si>
  <si>
    <t>Federal taxable income</t>
  </si>
  <si>
    <t>Federal cash taxes</t>
  </si>
  <si>
    <t>( + ) State and local cash taxes</t>
  </si>
  <si>
    <t>Total cash taxes payable</t>
  </si>
  <si>
    <t>( + ) Deferred tax expense / (benefit)</t>
  </si>
  <si>
    <t>Book tax expense</t>
  </si>
  <si>
    <t>Increase / (decrease) in net DTL</t>
  </si>
  <si>
    <t>Remaining NOL life (yrs)</t>
  </si>
  <si>
    <t>Beginning balance</t>
  </si>
  <si>
    <t>( – ) NOL expired</t>
  </si>
  <si>
    <t>Ending balance</t>
  </si>
  <si>
    <t>Unused limitation carryforward</t>
  </si>
  <si>
    <t>( + ) Carryforward created</t>
  </si>
  <si>
    <t>( – ) Carryforward used</t>
  </si>
  <si>
    <t>Unencumbered NOL</t>
  </si>
  <si>
    <t>( + ) NOL created</t>
  </si>
  <si>
    <t>DTA attributable to NOL</t>
  </si>
  <si>
    <t>Increase / (decrease) in DTA attributable to NOL</t>
  </si>
  <si>
    <t>Alternative Minimum Tax (AMT)</t>
  </si>
  <si>
    <t>Corporate AMT tax rate</t>
  </si>
  <si>
    <t>Maximum taxable income offset</t>
  </si>
  <si>
    <t>Effective AMT tax rate</t>
  </si>
  <si>
    <t>Federal tax at statutory rate (post-NOL)</t>
  </si>
  <si>
    <t>Alternative minimum tax (before credits)</t>
  </si>
  <si>
    <t>Tax payable before AMT credit used</t>
  </si>
  <si>
    <t>( – ) AMT tax credit used</t>
  </si>
  <si>
    <t>Effective federal cash tax rate</t>
  </si>
  <si>
    <t>AMT tax credit carryforward</t>
  </si>
  <si>
    <t>AMT tax credit – beginning balance</t>
  </si>
  <si>
    <t>( + ) AMT tax credit generated</t>
  </si>
  <si>
    <t>AMT tax credit – ending balance</t>
  </si>
  <si>
    <t>Book Depreciation (straight-line)</t>
  </si>
  <si>
    <t>Tax Schedule</t>
  </si>
  <si>
    <t>( – ) Accumulated depreciation</t>
  </si>
  <si>
    <t>Liabilities &amp; Shareholders' Equity</t>
  </si>
  <si>
    <t>Total debt</t>
  </si>
  <si>
    <t>Total liabilities &amp; shareholders' equity</t>
  </si>
  <si>
    <t>Amortization of intangibles</t>
  </si>
  <si>
    <t>Stock-based compensation</t>
  </si>
  <si>
    <t>Cash dividends from equity investments</t>
  </si>
  <si>
    <t>Income statement adjustments</t>
  </si>
  <si>
    <t>(Increase) / decrease in working capital</t>
  </si>
  <si>
    <t>(Increase) / decrease in other assets</t>
  </si>
  <si>
    <t>Increase / (decrease) in other liabilities</t>
  </si>
  <si>
    <t>Balance sheet adjustments</t>
  </si>
  <si>
    <t>Cash flow from operating activities</t>
  </si>
  <si>
    <t>Cash flow from investing activities</t>
  </si>
  <si>
    <t>Cash flow from financing activities</t>
  </si>
  <si>
    <t>Change in cash</t>
  </si>
  <si>
    <t>Net Working Capital</t>
  </si>
  <si>
    <t>Non-cash current assets</t>
  </si>
  <si>
    <t>Non-debt current liabilities</t>
  </si>
  <si>
    <t>Net working capital</t>
  </si>
  <si>
    <t>Working Capital Drivers</t>
  </si>
  <si>
    <t>Sales</t>
  </si>
  <si>
    <t>Purchases</t>
  </si>
  <si>
    <t>Accounts receivable days</t>
  </si>
  <si>
    <t>Accounts payable days</t>
  </si>
  <si>
    <t>Inventory days</t>
  </si>
  <si>
    <t>Inventory turnover</t>
  </si>
  <si>
    <t>Debt Schedule</t>
  </si>
  <si>
    <t>Beginning cash balance</t>
  </si>
  <si>
    <t>( – ) Minimum cash balance</t>
  </si>
  <si>
    <t>Excess cash / (cash deficit)</t>
  </si>
  <si>
    <t>( + ) Cash flow available for debt service</t>
  </si>
  <si>
    <t>Total cash available for debt service</t>
  </si>
  <si>
    <t>( – ) Scheduled debt repayment</t>
  </si>
  <si>
    <t>Cash available for sweep / (revolver draw-down)</t>
  </si>
  <si>
    <t>Optional debt repayment</t>
  </si>
  <si>
    <t>( – ) Mandatory repayment</t>
  </si>
  <si>
    <t>( – ) Optional repayment</t>
  </si>
  <si>
    <t>( – ) Scheduled maturity</t>
  </si>
  <si>
    <t>( + ) PIK accretion</t>
  </si>
  <si>
    <t>( – ) Retirement</t>
  </si>
  <si>
    <t>Scheduled Debt Amortization (%)</t>
  </si>
  <si>
    <t>Interest Rates</t>
  </si>
  <si>
    <t>LIBOR</t>
  </si>
  <si>
    <t>Undrawn commitment fee</t>
  </si>
  <si>
    <t>Senior interest expense</t>
  </si>
  <si>
    <t>Cash interest expense</t>
  </si>
  <si>
    <t>Total interest expense</t>
  </si>
  <si>
    <t>Convertible preferred dividends</t>
  </si>
  <si>
    <t>Straight preferred dividends</t>
  </si>
  <si>
    <t>Total preferred dividends</t>
  </si>
  <si>
    <t>Interest &amp; Dividends Paid-in-Kind (PIK)</t>
  </si>
  <si>
    <t>Selector</t>
  </si>
  <si>
    <t>Cash Flow Statement</t>
  </si>
  <si>
    <t>Face value</t>
  </si>
  <si>
    <t>Conversion price</t>
  </si>
  <si>
    <t>Convertible shares</t>
  </si>
  <si>
    <t>EPS if converted</t>
  </si>
  <si>
    <t>Basic EPS</t>
  </si>
  <si>
    <t>Is conversion dilutive?</t>
  </si>
  <si>
    <t>Fully Diluted Shares Outstanding</t>
  </si>
  <si>
    <t>Basic shares outstanding (BSO)</t>
  </si>
  <si>
    <t>Fully diluted shares outstanding (FDSO)</t>
  </si>
  <si>
    <t>Avg. Interest</t>
  </si>
  <si>
    <t>Common dividends</t>
  </si>
  <si>
    <t>p</t>
  </si>
  <si>
    <t>Check:</t>
  </si>
  <si>
    <t>( + ) In-the-money Option shares</t>
  </si>
  <si>
    <t>Summary Credit Metrics</t>
  </si>
  <si>
    <t>Capitalization</t>
  </si>
  <si>
    <t>Net debt</t>
  </si>
  <si>
    <t>Senior debt</t>
  </si>
  <si>
    <t>Total capitalization</t>
  </si>
  <si>
    <t>Interest Expense</t>
  </si>
  <si>
    <t>Coverage</t>
  </si>
  <si>
    <t>EBITDA / senior interest expense</t>
  </si>
  <si>
    <t>EBITDA / cash interest expense</t>
  </si>
  <si>
    <t>EBITDA / total interest expense</t>
  </si>
  <si>
    <t>EBITDA / fixed charges</t>
  </si>
  <si>
    <t>EBITDA – capex</t>
  </si>
  <si>
    <t>(EBITDA – capex) / senior interest expense</t>
  </si>
  <si>
    <t>(EBITDA – capex) / cash interest expense</t>
  </si>
  <si>
    <t>(EBITDA – capex) / total interest expense</t>
  </si>
  <si>
    <t>(EBITDA – capex) / fixed charges</t>
  </si>
  <si>
    <t>EBITDA – capex – Δ WC</t>
  </si>
  <si>
    <t>(EBITDA – capex – Δ WC) / senior interest expense</t>
  </si>
  <si>
    <t>(EBITDA – capex – Δ WC) / cash interest expense</t>
  </si>
  <si>
    <t>(EBITDA – capex – Δ WC) / total interest expense</t>
  </si>
  <si>
    <t>(EBITDA – capex – Δ WC) / fixed charges</t>
  </si>
  <si>
    <t>Leverage</t>
  </si>
  <si>
    <t>Senior debt / total capitalization</t>
  </si>
  <si>
    <t>Net debt / total capitalization</t>
  </si>
  <si>
    <t>Senior debt / EBITDA</t>
  </si>
  <si>
    <t>Total debt / EBITDA</t>
  </si>
  <si>
    <t>Net debt / EBITDA</t>
  </si>
  <si>
    <t>Net debt + preferred / EBITDA</t>
  </si>
  <si>
    <t>Fixed charges</t>
  </si>
  <si>
    <t>ΔWC</t>
  </si>
  <si>
    <t>Interest (Income) / Expense / Preferred Dividends</t>
  </si>
  <si>
    <t>Commitment</t>
  </si>
  <si>
    <t>Undrawn balance</t>
  </si>
  <si>
    <t>Bank revolver</t>
  </si>
  <si>
    <t>Number of Options</t>
  </si>
  <si>
    <t>Average Strike</t>
  </si>
  <si>
    <t>Senior Debt</t>
  </si>
  <si>
    <t>Preferred Security</t>
  </si>
  <si>
    <t>Convertible Security</t>
  </si>
  <si>
    <t>Acquired NOL</t>
  </si>
  <si>
    <t>DATA_INPUTS!$A$1</t>
  </si>
  <si>
    <t>IN_THE_MONEY_OPTION_SHARES_FUNC</t>
  </si>
  <si>
    <t>MACRS_LOOKUP_FUNC</t>
  </si>
  <si>
    <t>CAPEX_BOOK_DEPRECIATION_FUNC</t>
  </si>
  <si>
    <t>CREDIT_MODEL!O434</t>
  </si>
  <si>
    <t>CREDIT_MODEL!AF98:BI98 &amp;&amp; CREDIT_MODEL!AF103:BI103</t>
  </si>
  <si>
    <t>Modified Accelerated Cost Recovery System (MACRS) Depreciation (need revision)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</si>
</sst>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2">
    <numFmt numFmtId="5" formatCode="&quot;$&quot;#,##0_);\(&quot;$&quot;#,##0\)"/>
    <numFmt numFmtId="6" formatCode="&quot;$&quot;#,##0_);[Red]\(&quot;$&quot;#,##0\)"/>
    <numFmt numFmtId="7" formatCode="&quot;$&quot;#,##0.00_);\(&quot;$&quot;#,##0.00\)"/>
    <numFmt numFmtId="8" formatCode="&quot;$&quot;#,##0.00_);[Red]\(&quot;$&quot;#,##0.00\)"/>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mmm\ yy"/>
    <numFmt numFmtId="165" formatCode="_(&quot;$&quot;* #,##0_);_(&quot;$&quot;* \(#,##0\);_(&quot;$&quot;* &quot;-&quot;??_);_(@_)"/>
    <numFmt numFmtId="166" formatCode="&quot;Consolidation Check&quot;"/>
    <numFmt numFmtId="167" formatCode="_(&quot;$&quot;#,##0.0_)_%;_(\(&quot;$&quot;#,##0.0\)_%;_(&quot;–&quot;_)_%;@_(_%"/>
    <numFmt numFmtId="168" formatCode="_(#,##0.0_)_%;_(\(#,##0.0\)_%;_(&quot;–&quot;_)_%;@_(_%"/>
    <numFmt numFmtId="169" formatCode="0.0%"/>
    <numFmt numFmtId="170" formatCode="_(* #,##0.00000_);_(* \(#,##0.00000\);_(* &quot;-&quot;??_);_(@_)"/>
    <numFmt numFmtId="171" formatCode="0.000"/>
    <numFmt numFmtId="172" formatCode="_(* #,##0.0%_);_(* \(#,##0.0%\);_(* &quot;--- %&quot;_);_(* @_%_)"/>
    <numFmt numFmtId="173" formatCode="#,##0.0_);\(#,##0.0\);@_)"/>
    <numFmt numFmtId="174" formatCode="#,##0.0_);\(#,##0.0\);&quot;-&quot;?_);@_)"/>
    <numFmt numFmtId="175" formatCode="&quot;$&quot;#,##0.0_);\(&quot;$&quot;#,##0.0\);@_)"/>
    <numFmt numFmtId="176" formatCode="&quot;$&quot;#,##0.0_);\(&quot;$&quot;#,##0.0\);&quot;-&quot;?_);@_)"/>
    <numFmt numFmtId="177" formatCode="0.0%;\-0.0%;&quot;-&quot;?_);@_)"/>
    <numFmt numFmtId="178" formatCode="_(* #,##0.00_);_(* \(#,##0.00\);_(* &quot;--&quot;??_);_(@_)"/>
    <numFmt numFmtId="179" formatCode="#,##0.0_)_%;\(#,##0.0\)_%;0.0_)_%;@_)_%"/>
    <numFmt numFmtId="180" formatCode="_ * #,##0_ ;\ \(#,##0\)_ ;_ * &quot;-&quot;_ ;_ @_ "/>
    <numFmt numFmtId="181" formatCode="##\ &quot;Years&quot;"/>
    <numFmt numFmtId="182" formatCode="#,##0.0_);\(#,##0.0\)"/>
    <numFmt numFmtId="183" formatCode="#,##0.0"/>
    <numFmt numFmtId="184" formatCode="_(* #,##0.0_);_(* \(#,##0.0\);_(* &quot;--- &quot;_)"/>
    <numFmt numFmtId="185" formatCode="_(&quot;$&quot;* #,##0.0_);_(&quot;$&quot;* \(#,##0.0\);_(&quot;$&quot;* &quot;--- &quot;_)"/>
    <numFmt numFmtId="186" formatCode="#,##0.0\x\ _);\(#,##0.0\x\)\ ;0.0\x_)\ ;@_%_)"/>
    <numFmt numFmtId="187" formatCode="_(* #,##0.0_);_(* \(#,##0.0\);_(* &quot;-&quot;?_);_(@_)"/>
    <numFmt numFmtId="188" formatCode=";;;"/>
    <numFmt numFmtId="189" formatCode="0.0\%_);\(0.0\%\);0.0\%_);@_%_)"/>
    <numFmt numFmtId="190" formatCode="&quot;£&quot;#,##0;\-&quot;£&quot;#,##0"/>
    <numFmt numFmtId="191" formatCode="&quot;n&quot;"/>
    <numFmt numFmtId="192" formatCode="General_)"/>
    <numFmt numFmtId="193" formatCode="0_)"/>
    <numFmt numFmtId="194" formatCode="_(* #,##0.0_);_(* \(#,##0.0\);_(* &quot;-&quot;??_);_(@_)"/>
    <numFmt numFmtId="195" formatCode="#,##0.00_%_);\(#,##0.00\)_%;**;@_%_)"/>
    <numFmt numFmtId="196" formatCode="#,##0_%_);\(#,##0\)_%;#,##0_%_);@_%_)"/>
    <numFmt numFmtId="197" formatCode="#,##0.0_%_);\(#,##0.0\)_%;**;@_%_)"/>
    <numFmt numFmtId="198" formatCode="#,##0.0%_);\(#,##0.0%\);0.0%_);@_%_)"/>
    <numFmt numFmtId="199" formatCode="&quot;$&quot;#,##0.00_%_);\(&quot;$&quot;#,##0.00\)_%;**;@_%_)"/>
    <numFmt numFmtId="200" formatCode="&quot;$&quot;#,##0.00_%_);\(&quot;$&quot;#,##0.00\)_%;&quot;$&quot;#,##0.00_%_);@_%_)"/>
    <numFmt numFmtId="201" formatCode="&quot;$&quot;#,##0.0_%_);\(&quot;$&quot;#,##0.0\)_%;**;@_%_)"/>
    <numFmt numFmtId="202" formatCode="#,##0.0_%_);\(#,##0.0\)_%;#,##0.0_%_);@_%_)\F\F\r"/>
    <numFmt numFmtId="203" formatCode="&quot;$&quot;#,##0.0_);\(&quot;$&quot;#,##0.0\)"/>
    <numFmt numFmtId="204" formatCode="\€\ #,##0.0_);\(\€\ #,##0.0\);@_)"/>
    <numFmt numFmtId="205" formatCode="\€\ #,##0.0_);\(\€\ #,##0.0\);&quot;-&quot;?_);@_)"/>
    <numFmt numFmtId="206" formatCode="* _(#,##0.0_);* \(#,##0.0\);* _(&quot;-&quot;??_);_(@_)"/>
    <numFmt numFmtId="207" formatCode="0.0\x_9"/>
    <numFmt numFmtId="208" formatCode="0.00_)"/>
    <numFmt numFmtId="209" formatCode="#,##0.0\x;\-#,##0.0\x;&quot;-&quot;?_);@_)"/>
    <numFmt numFmtId="210" formatCode="#,##0.0\x_);\(#,##0.0\x\);#,##0.0\x_);@_)"/>
    <numFmt numFmtId="211" formatCode="0.00\x"/>
    <numFmt numFmtId="212" formatCode="#,##0.0;\(#,##0.0\)"/>
    <numFmt numFmtId="213" formatCode="#,##0.000;\(#,##0.000\)"/>
    <numFmt numFmtId="214" formatCode="0.0%_%;\(0.0%\)_%"/>
    <numFmt numFmtId="215" formatCode="#,##0.0\%_);\(#,##0.0\%\);#,##0.0\%_);@_)"/>
    <numFmt numFmtId="216" formatCode="&quot;$&quot;#,##0.00"/>
    <numFmt numFmtId="217" formatCode="#,##0.00_);\(#,##0.00\);_(* &quot;-&quot;_)"/>
    <numFmt numFmtId="218" formatCode="#,##0.0\x"/>
    <numFmt numFmtId="219" formatCode="#,##0.0_);\(#,##0.0\);_(* &quot;-&quot;_)"/>
    <numFmt numFmtId="220" formatCode="#,##0_);\(#,##0\);_(* &quot;-&quot;_);_(* &quot;-&quot;_)"/>
    <numFmt numFmtId="221" formatCode="_(&quot;$&quot;* #,##0.00_);_(&quot;$&quot;* \(#,##0.00\);_(* &quot;-&quot;_);_(@_)"/>
    <numFmt numFmtId="222" formatCode="_(###.##%_);\(* &quot;-&quot;_);_(@_)"/>
    <numFmt numFmtId="223" formatCode="#,##0.00\x"/>
    <numFmt numFmtId="224" formatCode="0.0\ \x_);\(0.0\ \x\);@_ _x_)"/>
    <numFmt numFmtId="225" formatCode="0.0_ _x_);\(0.0\)_ _x;@_ _x_)"/>
    <numFmt numFmtId="226" formatCode="_(* #,##0.000000_);_(* \(#,##0.000000\);_(* &quot;-&quot;??_);_(@_)"/>
    <numFmt numFmtId="227" formatCode="&quot;$&quot;#,##0"/>
    <numFmt numFmtId="228" formatCode="_(* #,##0.000000000_);_(* \(#,##0.000000000\);_(* &quot;-&quot;??_);_(@_)"/>
    <numFmt numFmtId="229" formatCode="_(* #,##0.0000000_);_(* \(#,##0.0000000\);_(* &quot;-&quot;??_);_(@_)"/>
    <numFmt numFmtId="230" formatCode="_(* #,##0.00000000_);_(* \(#,##0.00000000\);_(* &quot;-&quot;??_);_(@_)"/>
    <numFmt numFmtId="231" formatCode="&quot;Yes&quot;_)_%;;&quot;No&quot;_)_%"/>
    <numFmt numFmtId="232" formatCode="&quot;$&quot;#,##0.0"/>
    <numFmt numFmtId="233" formatCode="#,##0.0000"/>
    <numFmt numFmtId="234" formatCode="0.0000000%"/>
    <numFmt numFmtId="235" formatCode="0.00&quot;x&quot;"/>
    <numFmt numFmtId="236" formatCode="_(* #,##0.0000_);_(* \(#,##0.0000\);_(* &quot;-&quot;??_);_(@_)"/>
    <numFmt numFmtId="237" formatCode="#,##0.0000_);\(#,##0.0000\)"/>
  </numFmts>
  <fonts count="159">
    <font>
      <sz val="11"/>
      <color theme="1"/>
      <name val="Calibri"/>
      <family val="2"/>
      <scheme val="minor"/>
    </font>
    <font>
      <sz val="11"/>
      <color theme="1"/>
      <name val="Calibri"/>
      <family val="2"/>
      <scheme val="minor"/>
    </font>
    <font>
      <sz val="10"/>
      <name val="Arial"/>
      <family val="2"/>
    </font>
    <font>
      <sz val="8"/>
      <color theme="1"/>
      <name val="Arial"/>
      <family val="2"/>
    </font>
    <font>
      <b/>
      <sz val="8"/>
      <color theme="0"/>
      <name val="Arial"/>
      <family val="2"/>
    </font>
    <font>
      <b/>
      <sz val="8"/>
      <color theme="1"/>
      <name val="Arial"/>
      <family val="2"/>
    </font>
    <font>
      <b/>
      <sz val="8"/>
      <color rgb="FFFF0000"/>
      <name val="Arial"/>
      <family val="2"/>
    </font>
    <font>
      <sz val="8"/>
      <color rgb="FF0000FF"/>
      <name val="Arial"/>
      <family val="2"/>
    </font>
    <font>
      <sz val="8"/>
      <color rgb="FFFF0000"/>
      <name val="Arial"/>
      <family val="2"/>
    </font>
    <font>
      <i/>
      <sz val="8"/>
      <color theme="1"/>
      <name val="Arial"/>
      <family val="2"/>
    </font>
    <font>
      <b/>
      <i/>
      <sz val="8"/>
      <color theme="1"/>
      <name val="Arial"/>
      <family val="2"/>
    </font>
    <font>
      <sz val="8"/>
      <name val="Arial"/>
      <family val="2"/>
    </font>
    <font>
      <sz val="8"/>
      <color indexed="8"/>
      <name val="Arial"/>
      <family val="2"/>
    </font>
    <font>
      <i/>
      <sz val="8"/>
      <color rgb="FF0000FF"/>
      <name val="Arial"/>
      <family val="2"/>
    </font>
    <font>
      <b/>
      <sz val="8"/>
      <name val="Arial"/>
      <family val="2"/>
    </font>
    <font>
      <i/>
      <sz val="8"/>
      <name val="Arial"/>
      <family val="2"/>
    </font>
    <font>
      <b/>
      <i/>
      <sz val="8"/>
      <name val="Arial"/>
      <family val="2"/>
    </font>
    <font>
      <sz val="10"/>
      <color indexed="16"/>
      <name val="Credit Suisse Type Roman"/>
      <family val="2"/>
    </font>
    <font>
      <u/>
      <sz val="11"/>
      <color theme="10"/>
      <name val="Calibri"/>
      <family val="2"/>
      <scheme val="minor"/>
    </font>
    <font>
      <u/>
      <sz val="11"/>
      <color theme="11"/>
      <name val="Calibri"/>
      <family val="2"/>
      <scheme val="minor"/>
    </font>
    <font>
      <i/>
      <u/>
      <sz val="8"/>
      <color theme="1"/>
      <name val="Arial"/>
      <family val="2"/>
    </font>
    <font>
      <b/>
      <sz val="10"/>
      <name val="Arial"/>
      <family val="2"/>
    </font>
    <font>
      <b/>
      <sz val="10"/>
      <color indexed="9"/>
      <name val="Arial"/>
      <family val="2"/>
    </font>
    <font>
      <b/>
      <sz val="10"/>
      <name val="MS Sans Serif"/>
      <family val="2"/>
    </font>
    <font>
      <sz val="9"/>
      <name val="Times New Roman"/>
      <family val="1"/>
    </font>
    <font>
      <sz val="10"/>
      <color indexed="8"/>
      <name val="Arial"/>
      <family val="2"/>
    </font>
    <font>
      <sz val="9"/>
      <name val="Arial"/>
      <family val="2"/>
    </font>
    <font>
      <sz val="8"/>
      <color indexed="12"/>
      <name val="Arial"/>
      <family val="2"/>
    </font>
    <font>
      <sz val="10"/>
      <name val="Geneva"/>
      <family val="2"/>
    </font>
    <font>
      <sz val="10"/>
      <name val="Arial Narrow"/>
      <family val="2"/>
    </font>
    <font>
      <sz val="10"/>
      <name val="GillSans"/>
    </font>
    <font>
      <sz val="10"/>
      <name val="Palatino"/>
      <family val="1"/>
    </font>
    <font>
      <sz val="8"/>
      <name val="MS Serif"/>
      <family val="1"/>
    </font>
    <font>
      <sz val="12"/>
      <name val="Times"/>
      <family val="1"/>
    </font>
    <font>
      <sz val="8"/>
      <color indexed="49"/>
      <name val="Times New Roman"/>
      <family val="1"/>
    </font>
    <font>
      <sz val="10"/>
      <color indexed="8"/>
      <name val="MS Sans Serif"/>
      <family val="2"/>
    </font>
    <font>
      <sz val="10"/>
      <name val="Times New Roman"/>
      <family val="1"/>
    </font>
    <font>
      <u/>
      <sz val="8.4"/>
      <color indexed="12"/>
      <name val="Arial"/>
      <family val="2"/>
    </font>
    <font>
      <sz val="12"/>
      <name val="???"/>
      <family val="1"/>
    </font>
    <font>
      <b/>
      <sz val="9"/>
      <name val="Arial"/>
      <family val="2"/>
    </font>
    <font>
      <sz val="8"/>
      <name val="Times New Roman"/>
      <family val="1"/>
    </font>
    <font>
      <sz val="10"/>
      <name val="MS Sans Serif"/>
      <family val="2"/>
    </font>
    <font>
      <sz val="11"/>
      <name val="Arial"/>
      <family val="2"/>
    </font>
    <font>
      <sz val="12"/>
      <name val="Arial"/>
      <family val="2"/>
    </font>
    <font>
      <sz val="10"/>
      <name val="SWISS"/>
    </font>
    <font>
      <sz val="8"/>
      <name val="Palatino"/>
      <family val="1"/>
    </font>
    <font>
      <sz val="9"/>
      <color indexed="8"/>
      <name val="Arial"/>
      <family val="2"/>
    </font>
    <font>
      <b/>
      <sz val="22"/>
      <color indexed="18"/>
      <name val="Arial"/>
      <family val="2"/>
    </font>
    <font>
      <b/>
      <sz val="14"/>
      <color indexed="18"/>
      <name val="Arial"/>
      <family val="2"/>
    </font>
    <font>
      <b/>
      <sz val="10"/>
      <color indexed="18"/>
      <name val="Arial"/>
      <family val="2"/>
    </font>
    <font>
      <b/>
      <sz val="9"/>
      <color indexed="18"/>
      <name val="Arial"/>
      <family val="2"/>
    </font>
    <font>
      <b/>
      <u val="singleAccounting"/>
      <sz val="10"/>
      <color indexed="18"/>
      <name val="Arial"/>
      <family val="2"/>
    </font>
    <font>
      <b/>
      <u val="singleAccounting"/>
      <sz val="9"/>
      <color indexed="18"/>
      <name val="Arial"/>
      <family val="2"/>
    </font>
    <font>
      <sz val="12"/>
      <name val="Times New Roman"/>
      <family val="1"/>
    </font>
    <font>
      <sz val="14"/>
      <name val="AngsanaUPC"/>
      <family val="1"/>
    </font>
    <font>
      <sz val="8"/>
      <name val="Helv"/>
      <family val="2"/>
    </font>
    <font>
      <sz val="12"/>
      <name val="Arial MT"/>
    </font>
    <font>
      <b/>
      <sz val="7"/>
      <name val="Arial"/>
      <family val="2"/>
    </font>
    <font>
      <sz val="10"/>
      <name val="Courier"/>
      <family val="3"/>
    </font>
    <font>
      <i/>
      <sz val="8"/>
      <color indexed="16"/>
      <name val="Arial"/>
      <family val="2"/>
    </font>
    <font>
      <i/>
      <sz val="8"/>
      <color indexed="54"/>
      <name val="Arial"/>
      <family val="2"/>
    </font>
    <font>
      <i/>
      <sz val="9"/>
      <color indexed="16"/>
      <name val="Arial"/>
      <family val="2"/>
    </font>
    <font>
      <b/>
      <sz val="11"/>
      <name val="Arial"/>
      <family val="2"/>
    </font>
    <font>
      <sz val="9"/>
      <color indexed="12"/>
      <name val="Times New Roman"/>
      <family val="1"/>
    </font>
    <font>
      <sz val="7"/>
      <name val="Ariel"/>
    </font>
    <font>
      <sz val="10"/>
      <color indexed="10"/>
      <name val="Times New Roman"/>
      <family val="1"/>
    </font>
    <font>
      <sz val="8"/>
      <color indexed="13"/>
      <name val="Arial"/>
      <family val="2"/>
    </font>
    <font>
      <sz val="10"/>
      <color indexed="8"/>
      <name val="Times"/>
      <family val="1"/>
    </font>
    <font>
      <sz val="10"/>
      <color indexed="8"/>
      <name val="Times New Roman"/>
      <family val="1"/>
    </font>
    <font>
      <sz val="9"/>
      <color indexed="9"/>
      <name val="Times New Roman"/>
      <family val="1"/>
    </font>
    <font>
      <b/>
      <sz val="10"/>
      <name val="Times New Roman"/>
      <family val="1"/>
    </font>
    <font>
      <sz val="8"/>
      <color indexed="12"/>
      <name val="Times"/>
      <family val="1"/>
    </font>
    <font>
      <sz val="9"/>
      <color indexed="18"/>
      <name val="CharterITC BT"/>
      <family val="1"/>
    </font>
    <font>
      <sz val="10"/>
      <color indexed="12"/>
      <name val="Times New Roman"/>
      <family val="1"/>
    </font>
    <font>
      <sz val="9"/>
      <color indexed="12"/>
      <name val="Times"/>
      <family val="1"/>
    </font>
    <font>
      <b/>
      <sz val="8"/>
      <name val="Arial Narrow"/>
      <family val="2"/>
    </font>
    <font>
      <b/>
      <sz val="12"/>
      <name val="Times New Roman"/>
      <family val="1"/>
    </font>
    <font>
      <sz val="8"/>
      <name val="Arial Narrow"/>
      <family val="2"/>
    </font>
    <font>
      <sz val="8"/>
      <name val="Wingdings"/>
      <charset val="2"/>
    </font>
    <font>
      <b/>
      <i/>
      <sz val="9"/>
      <name val="Arial"/>
      <family val="2"/>
    </font>
    <font>
      <b/>
      <sz val="8"/>
      <name val="TimesNewRomanPS"/>
      <family val="1"/>
    </font>
    <font>
      <sz val="11"/>
      <name val="?? ?????"/>
      <family val="3"/>
    </font>
    <font>
      <sz val="11"/>
      <name val="Book Antiqua"/>
      <family val="1"/>
    </font>
    <font>
      <b/>
      <sz val="10"/>
      <name val="Helv"/>
      <family val="2"/>
    </font>
    <font>
      <b/>
      <sz val="10"/>
      <name val="MS Serif"/>
      <family val="1"/>
    </font>
    <font>
      <b/>
      <sz val="12"/>
      <name val="Arial"/>
      <family val="2"/>
    </font>
    <font>
      <sz val="10"/>
      <color indexed="18"/>
      <name val="Times New Roman"/>
      <family val="1"/>
    </font>
    <font>
      <b/>
      <sz val="11"/>
      <name val="Times New Roman"/>
      <family val="1"/>
    </font>
    <font>
      <b/>
      <sz val="8"/>
      <name val="Book Antiqua"/>
      <family val="1"/>
    </font>
    <font>
      <b/>
      <sz val="8"/>
      <name val="GillSans"/>
    </font>
    <font>
      <u/>
      <sz val="8"/>
      <color indexed="12"/>
      <name val="Times New Roman"/>
      <family val="1"/>
    </font>
    <font>
      <sz val="10"/>
      <name val="Helv"/>
    </font>
    <font>
      <sz val="8"/>
      <color indexed="12"/>
      <name val="Times New Roman"/>
      <family val="1"/>
    </font>
    <font>
      <sz val="8"/>
      <color indexed="21"/>
      <name val="Palatino"/>
      <family val="1"/>
    </font>
    <font>
      <sz val="10"/>
      <color indexed="24"/>
      <name val="Arial"/>
      <family val="2"/>
    </font>
    <font>
      <sz val="10"/>
      <name val="BERNHARD"/>
    </font>
    <font>
      <sz val="10"/>
      <color indexed="12"/>
      <name val="Geneva"/>
      <family val="2"/>
    </font>
    <font>
      <i/>
      <sz val="9"/>
      <name val="MS Sans Serif"/>
      <family val="2"/>
    </font>
    <font>
      <sz val="24"/>
      <name val="Arial"/>
      <family val="2"/>
    </font>
    <font>
      <b/>
      <sz val="14"/>
      <name val="Arial"/>
      <family val="2"/>
    </font>
    <font>
      <sz val="10"/>
      <name val="MS Serif"/>
      <family val="1"/>
    </font>
    <font>
      <sz val="14"/>
      <name val="Palatino"/>
      <family val="1"/>
    </font>
    <font>
      <sz val="16"/>
      <name val="Palatino"/>
      <family val="1"/>
    </font>
    <font>
      <sz val="32"/>
      <name val="Helvetica-Black"/>
    </font>
    <font>
      <sz val="10"/>
      <name val="Book Antiqua"/>
      <family val="1"/>
    </font>
    <font>
      <sz val="8"/>
      <color indexed="8"/>
      <name val="Times New Roman"/>
      <family val="1"/>
    </font>
    <font>
      <sz val="11"/>
      <color indexed="12"/>
      <name val="Book Antiqua"/>
      <family val="1"/>
    </font>
    <font>
      <sz val="8"/>
      <color indexed="16"/>
      <name val="Palatino"/>
      <family val="1"/>
    </font>
    <font>
      <b/>
      <sz val="7.5"/>
      <color indexed="8"/>
      <name val="Arial"/>
      <family val="2"/>
    </font>
    <font>
      <sz val="8"/>
      <color indexed="18"/>
      <name val="Times New Roman"/>
      <family val="1"/>
    </font>
    <font>
      <u val="doubleAccounting"/>
      <sz val="10"/>
      <name val="Times New Roman"/>
      <family val="1"/>
    </font>
    <font>
      <sz val="1"/>
      <color indexed="8"/>
      <name val="Courier"/>
      <family val="3"/>
    </font>
    <font>
      <b/>
      <sz val="8"/>
      <name val="Times New Roman"/>
      <family val="1"/>
    </font>
    <font>
      <u val="doubleAccounting"/>
      <sz val="10"/>
      <name val="Arial"/>
      <family val="2"/>
    </font>
    <font>
      <b/>
      <i/>
      <sz val="8"/>
      <color indexed="12"/>
      <name val="Arial"/>
      <family val="2"/>
    </font>
    <font>
      <sz val="10"/>
      <color indexed="16"/>
      <name val="MS Serif"/>
      <family val="1"/>
    </font>
    <font>
      <b/>
      <sz val="9.5"/>
      <color indexed="10"/>
      <name val="MS Sans Serif"/>
      <family val="2"/>
    </font>
    <font>
      <b/>
      <u/>
      <sz val="12"/>
      <name val="Arial Narrow"/>
      <family val="2"/>
    </font>
    <font>
      <i/>
      <sz val="10"/>
      <color indexed="10"/>
      <name val="Times New Roman"/>
      <family val="1"/>
    </font>
    <font>
      <sz val="10"/>
      <color indexed="12"/>
      <name val="Arial Narrow"/>
      <family val="2"/>
    </font>
    <font>
      <b/>
      <sz val="7"/>
      <color indexed="12"/>
      <name val="Arial"/>
      <family val="2"/>
    </font>
    <font>
      <sz val="14"/>
      <color indexed="32"/>
      <name val="Times New Roman"/>
      <family val="1"/>
    </font>
    <font>
      <sz val="6"/>
      <color indexed="23"/>
      <name val="Helvetica-Black"/>
    </font>
    <font>
      <sz val="9.5"/>
      <color indexed="23"/>
      <name val="Helvetica-Black"/>
    </font>
    <font>
      <sz val="7"/>
      <name val="Palatino"/>
      <family val="1"/>
    </font>
    <font>
      <sz val="7"/>
      <name val="Arial"/>
      <family val="2"/>
    </font>
    <font>
      <u val="singleAccounting"/>
      <sz val="8"/>
      <name val="Arial"/>
      <family val="2"/>
    </font>
    <font>
      <u val="singleAccounting"/>
      <sz val="9"/>
      <color indexed="12"/>
      <name val="Arial"/>
      <family val="2"/>
    </font>
    <font>
      <sz val="10"/>
      <name val="C Helvetica Condensed"/>
    </font>
    <font>
      <sz val="9"/>
      <name val="Times"/>
      <family val="1"/>
    </font>
    <font>
      <b/>
      <i/>
      <sz val="8"/>
      <name val="Arial Narrow"/>
      <family val="2"/>
    </font>
    <font>
      <b/>
      <sz val="10"/>
      <color indexed="17"/>
      <name val="Helv"/>
    </font>
    <font>
      <sz val="7"/>
      <name val="Times New Roman"/>
      <family val="1"/>
    </font>
    <font>
      <b/>
      <sz val="7"/>
      <color indexed="17"/>
      <name val="Arial"/>
      <family val="2"/>
    </font>
    <font>
      <sz val="9"/>
      <name val="Futura UBS Bk"/>
      <family val="2"/>
    </font>
    <font>
      <b/>
      <sz val="10"/>
      <color indexed="9"/>
      <name val="GillSans"/>
    </font>
    <font>
      <b/>
      <i/>
      <sz val="12"/>
      <name val="Times"/>
      <family val="1"/>
    </font>
    <font>
      <b/>
      <sz val="10"/>
      <color indexed="8"/>
      <name val="GillSans"/>
    </font>
    <font>
      <sz val="6"/>
      <name val="Palatino"/>
      <family val="1"/>
    </font>
    <font>
      <b/>
      <sz val="8"/>
      <name val="Palatino"/>
      <family val="1"/>
    </font>
    <font>
      <b/>
      <sz val="8"/>
      <name val="Helv"/>
    </font>
    <font>
      <sz val="10"/>
      <name val="Helvetica-Black"/>
    </font>
    <font>
      <sz val="28"/>
      <name val="Helvetica-Black"/>
    </font>
    <font>
      <b/>
      <i/>
      <sz val="16"/>
      <name val="Helv"/>
    </font>
    <font>
      <b/>
      <sz val="26"/>
      <name val="Times New Roman"/>
      <family val="1"/>
    </font>
    <font>
      <b/>
      <sz val="18"/>
      <name val="Times New Roman"/>
      <family val="1"/>
    </font>
    <font>
      <u val="singleAccounting"/>
      <sz val="10"/>
      <name val="Arial"/>
      <family val="2"/>
    </font>
    <font>
      <b/>
      <sz val="13"/>
      <color indexed="8"/>
      <name val="Verdana"/>
      <family val="2"/>
    </font>
    <font>
      <b/>
      <sz val="8"/>
      <color indexed="9"/>
      <name val="Verdana"/>
      <family val="2"/>
    </font>
    <font>
      <b/>
      <sz val="8"/>
      <color indexed="8"/>
      <name val="Arial"/>
      <family val="2"/>
    </font>
    <font>
      <i/>
      <sz val="8"/>
      <color indexed="8"/>
      <name val="Arial"/>
      <family val="2"/>
    </font>
    <font>
      <sz val="2"/>
      <color indexed="9"/>
      <name val="Symbol"/>
      <family val="1"/>
    </font>
    <font>
      <sz val="8"/>
      <color indexed="39"/>
      <name val="Arial"/>
      <family val="2"/>
    </font>
    <font>
      <sz val="9"/>
      <color indexed="81"/>
      <name val="Calibri"/>
      <family val="2"/>
    </font>
    <font>
      <b/>
      <sz val="9"/>
      <color indexed="81"/>
      <name val="Calibri"/>
      <family val="2"/>
    </font>
    <font>
      <b/>
      <sz val="15"/>
      <color theme="3"/>
      <name val="Arial"/>
      <family val="2"/>
    </font>
    <font>
      <b/>
      <i/>
      <u/>
      <sz val="8"/>
      <color theme="1"/>
      <name val="Arial"/>
      <family val="2"/>
    </font>
    <font>
      <b/>
      <sz val="9"/>
      <color rgb="FF000000"/>
      <name val="Calibri"/>
      <family val="2"/>
    </font>
    <font>
      <sz val="9"/>
      <color rgb="FF000000"/>
      <name val="Calibri"/>
      <family val="2"/>
    </font>
  </fonts>
  <fills count="39">
    <fill>
      <patternFill patternType="none"/>
    </fill>
    <fill>
      <patternFill patternType="gray125"/>
    </fill>
    <fill>
      <patternFill patternType="solid">
        <fgColor theme="9" tint="0.79998168889431442"/>
        <bgColor indexed="64"/>
      </patternFill>
    </fill>
    <fill>
      <patternFill patternType="solid">
        <fgColor theme="1"/>
        <bgColor indexed="64"/>
      </patternFill>
    </fill>
    <fill>
      <patternFill patternType="solid">
        <fgColor theme="6" tint="0.79998168889431442"/>
        <bgColor indexed="64"/>
      </patternFill>
    </fill>
    <fill>
      <patternFill patternType="solid">
        <fgColor theme="0" tint="-4.9989318521683403E-2"/>
        <bgColor indexed="64"/>
      </patternFill>
    </fill>
    <fill>
      <patternFill patternType="solid">
        <fgColor indexed="8"/>
        <bgColor indexed="64"/>
      </patternFill>
    </fill>
    <fill>
      <patternFill patternType="solid">
        <fgColor indexed="22"/>
        <bgColor indexed="22"/>
      </patternFill>
    </fill>
    <fill>
      <patternFill patternType="solid">
        <fgColor indexed="9"/>
      </patternFill>
    </fill>
    <fill>
      <patternFill patternType="solid">
        <fgColor indexed="43"/>
      </patternFill>
    </fill>
    <fill>
      <patternFill patternType="solid">
        <fgColor indexed="36"/>
      </patternFill>
    </fill>
    <fill>
      <patternFill patternType="solid">
        <fgColor indexed="59"/>
      </patternFill>
    </fill>
    <fill>
      <patternFill patternType="solid">
        <fgColor indexed="42"/>
        <bgColor indexed="64"/>
      </patternFill>
    </fill>
    <fill>
      <patternFill patternType="solid">
        <fgColor indexed="22"/>
        <bgColor indexed="64"/>
      </patternFill>
    </fill>
    <fill>
      <patternFill patternType="solid">
        <fgColor indexed="18"/>
        <bgColor indexed="64"/>
      </patternFill>
    </fill>
    <fill>
      <patternFill patternType="solid">
        <fgColor indexed="29"/>
        <bgColor indexed="64"/>
      </patternFill>
    </fill>
    <fill>
      <patternFill patternType="solid">
        <fgColor indexed="31"/>
        <bgColor indexed="64"/>
      </patternFill>
    </fill>
    <fill>
      <patternFill patternType="solid">
        <fgColor indexed="43"/>
        <bgColor indexed="64"/>
      </patternFill>
    </fill>
    <fill>
      <patternFill patternType="solid">
        <fgColor indexed="51"/>
        <bgColor indexed="64"/>
      </patternFill>
    </fill>
    <fill>
      <patternFill patternType="gray0625">
        <fgColor indexed="10"/>
        <bgColor indexed="9"/>
      </patternFill>
    </fill>
    <fill>
      <patternFill patternType="solid">
        <fgColor indexed="44"/>
        <bgColor indexed="64"/>
      </patternFill>
    </fill>
    <fill>
      <patternFill patternType="solid">
        <fgColor indexed="32"/>
        <bgColor indexed="64"/>
      </patternFill>
    </fill>
    <fill>
      <patternFill patternType="solid">
        <fgColor indexed="17"/>
        <bgColor indexed="64"/>
      </patternFill>
    </fill>
    <fill>
      <patternFill patternType="solid">
        <fgColor indexed="9"/>
        <bgColor indexed="64"/>
      </patternFill>
    </fill>
    <fill>
      <patternFill patternType="gray0625"/>
    </fill>
    <fill>
      <patternFill patternType="lightGray">
        <fgColor indexed="14"/>
        <bgColor indexed="9"/>
      </patternFill>
    </fill>
    <fill>
      <patternFill patternType="lightGray">
        <fgColor indexed="15"/>
      </patternFill>
    </fill>
    <fill>
      <patternFill patternType="gray0625">
        <fgColor indexed="15"/>
      </patternFill>
    </fill>
    <fill>
      <patternFill patternType="lightGray">
        <fgColor indexed="12"/>
      </patternFill>
    </fill>
    <fill>
      <patternFill patternType="solid">
        <fgColor indexed="63"/>
        <bgColor indexed="64"/>
      </patternFill>
    </fill>
    <fill>
      <patternFill patternType="solid">
        <fgColor indexed="15"/>
        <bgColor indexed="64"/>
      </patternFill>
    </fill>
    <fill>
      <patternFill patternType="lightGray">
        <fgColor indexed="12"/>
        <bgColor indexed="9"/>
      </patternFill>
    </fill>
    <fill>
      <patternFill patternType="solid">
        <fgColor indexed="35"/>
        <bgColor indexed="64"/>
      </patternFill>
    </fill>
    <fill>
      <patternFill patternType="solid">
        <fgColor indexed="26"/>
        <bgColor indexed="64"/>
      </patternFill>
    </fill>
    <fill>
      <patternFill patternType="mediumGray"/>
    </fill>
    <fill>
      <patternFill patternType="solid">
        <fgColor indexed="56"/>
        <bgColor indexed="64"/>
      </patternFill>
    </fill>
    <fill>
      <patternFill patternType="solid">
        <fgColor indexed="16"/>
        <bgColor indexed="64"/>
      </patternFill>
    </fill>
    <fill>
      <patternFill patternType="solid">
        <fgColor theme="5" tint="0.79998168889431442"/>
        <bgColor indexed="64"/>
      </patternFill>
    </fill>
    <fill>
      <patternFill patternType="solid">
        <fgColor theme="8" tint="0.79998168889431442"/>
        <bgColor indexed="64"/>
      </patternFill>
    </fill>
  </fills>
  <borders count="60">
    <border>
      <left/>
      <right/>
      <top/>
      <bottom/>
      <diagonal/>
    </border>
    <border>
      <left style="hair">
        <color auto="1"/>
      </left>
      <right style="hair">
        <color auto="1"/>
      </right>
      <top style="hair">
        <color auto="1"/>
      </top>
      <bottom style="hair">
        <color auto="1"/>
      </bottom>
      <diagonal/>
    </border>
    <border>
      <left style="thin">
        <color auto="1"/>
      </left>
      <right style="thin">
        <color auto="1"/>
      </right>
      <top style="thin">
        <color auto="1"/>
      </top>
      <bottom style="thin">
        <color auto="1"/>
      </bottom>
      <diagonal/>
    </border>
    <border>
      <left style="hair">
        <color auto="1"/>
      </left>
      <right/>
      <top style="hair">
        <color auto="1"/>
      </top>
      <bottom style="hair">
        <color auto="1"/>
      </bottom>
      <diagonal/>
    </border>
    <border>
      <left/>
      <right style="hair">
        <color auto="1"/>
      </right>
      <top style="hair">
        <color auto="1"/>
      </top>
      <bottom style="hair">
        <color auto="1"/>
      </bottom>
      <diagonal/>
    </border>
    <border>
      <left/>
      <right/>
      <top style="hair">
        <color auto="1"/>
      </top>
      <bottom style="hair">
        <color auto="1"/>
      </bottom>
      <diagonal/>
    </border>
    <border>
      <left/>
      <right style="hair">
        <color auto="1"/>
      </right>
      <top/>
      <bottom/>
      <diagonal/>
    </border>
    <border>
      <left/>
      <right/>
      <top style="thin">
        <color auto="1"/>
      </top>
      <bottom/>
      <diagonal/>
    </border>
    <border>
      <left/>
      <right style="hair">
        <color auto="1"/>
      </right>
      <top style="thin">
        <color auto="1"/>
      </top>
      <bottom/>
      <diagonal/>
    </border>
    <border>
      <left/>
      <right/>
      <top/>
      <bottom style="thin">
        <color auto="1"/>
      </bottom>
      <diagonal/>
    </border>
    <border>
      <left/>
      <right style="hair">
        <color auto="1"/>
      </right>
      <top/>
      <bottom style="thin">
        <color auto="1"/>
      </bottom>
      <diagonal/>
    </border>
    <border>
      <left/>
      <right/>
      <top style="hair">
        <color auto="1"/>
      </top>
      <bottom/>
      <diagonal/>
    </border>
    <border>
      <left/>
      <right style="hair">
        <color auto="1"/>
      </right>
      <top style="hair">
        <color auto="1"/>
      </top>
      <bottom/>
      <diagonal/>
    </border>
    <border>
      <left/>
      <right/>
      <top/>
      <bottom style="hair">
        <color auto="1"/>
      </bottom>
      <diagonal/>
    </border>
    <border>
      <left/>
      <right style="hair">
        <color auto="1"/>
      </right>
      <top/>
      <bottom style="hair">
        <color auto="1"/>
      </bottom>
      <diagonal/>
    </border>
    <border>
      <left/>
      <right/>
      <top style="thin">
        <color auto="1"/>
      </top>
      <bottom style="thin">
        <color auto="1"/>
      </bottom>
      <diagonal/>
    </border>
    <border>
      <left style="hair">
        <color auto="1"/>
      </left>
      <right/>
      <top/>
      <bottom/>
      <diagonal/>
    </border>
    <border>
      <left style="hair">
        <color auto="1"/>
      </left>
      <right/>
      <top style="hair">
        <color auto="1"/>
      </top>
      <bottom/>
      <diagonal/>
    </border>
    <border>
      <left style="hair">
        <color auto="1"/>
      </left>
      <right/>
      <top/>
      <bottom style="hair">
        <color auto="1"/>
      </bottom>
      <diagonal/>
    </border>
    <border>
      <left/>
      <right/>
      <top/>
      <bottom style="double">
        <color auto="1"/>
      </bottom>
      <diagonal/>
    </border>
    <border>
      <left style="medium">
        <color auto="1"/>
      </left>
      <right style="medium">
        <color auto="1"/>
      </right>
      <top style="medium">
        <color auto="1"/>
      </top>
      <bottom style="medium">
        <color auto="1"/>
      </bottom>
      <diagonal/>
    </border>
    <border>
      <left/>
      <right/>
      <top/>
      <bottom style="medium">
        <color auto="1"/>
      </bottom>
      <diagonal/>
    </border>
    <border>
      <left/>
      <right/>
      <top style="hair">
        <color indexed="8"/>
      </top>
      <bottom style="hair">
        <color indexed="8"/>
      </bottom>
      <diagonal/>
    </border>
    <border>
      <left/>
      <right/>
      <top style="thin">
        <color indexed="8"/>
      </top>
      <bottom style="thin">
        <color indexed="8"/>
      </bottom>
      <diagonal/>
    </border>
    <border>
      <left/>
      <right/>
      <top/>
      <bottom style="medium">
        <color indexed="18"/>
      </bottom>
      <diagonal/>
    </border>
    <border>
      <left/>
      <right/>
      <top/>
      <bottom style="thin">
        <color indexed="8"/>
      </bottom>
      <diagonal/>
    </border>
    <border>
      <left style="medium">
        <color auto="1"/>
      </left>
      <right style="medium">
        <color auto="1"/>
      </right>
      <top/>
      <bottom/>
      <diagonal/>
    </border>
    <border>
      <left style="medium">
        <color auto="1"/>
      </left>
      <right style="medium">
        <color auto="1"/>
      </right>
      <top/>
      <bottom style="thick">
        <color indexed="37"/>
      </bottom>
      <diagonal/>
    </border>
    <border>
      <left style="double">
        <color auto="1"/>
      </left>
      <right/>
      <top/>
      <bottom style="hair">
        <color auto="1"/>
      </bottom>
      <diagonal/>
    </border>
    <border>
      <left style="thin">
        <color indexed="9"/>
      </left>
      <right style="thin">
        <color indexed="9"/>
      </right>
      <top style="thin">
        <color indexed="9"/>
      </top>
      <bottom style="thin">
        <color indexed="9"/>
      </bottom>
      <diagonal/>
    </border>
    <border>
      <left style="medium">
        <color indexed="12"/>
      </left>
      <right style="medium">
        <color indexed="12"/>
      </right>
      <top style="medium">
        <color indexed="12"/>
      </top>
      <bottom style="medium">
        <color indexed="12"/>
      </bottom>
      <diagonal/>
    </border>
    <border>
      <left/>
      <right/>
      <top/>
      <bottom style="dotted">
        <color auto="1"/>
      </bottom>
      <diagonal/>
    </border>
    <border>
      <left style="thin">
        <color auto="1"/>
      </left>
      <right/>
      <top/>
      <bottom/>
      <diagonal/>
    </border>
    <border>
      <left/>
      <right/>
      <top style="medium">
        <color auto="1"/>
      </top>
      <bottom/>
      <diagonal/>
    </border>
    <border>
      <left style="thin">
        <color auto="1"/>
      </left>
      <right/>
      <top style="thin">
        <color auto="1"/>
      </top>
      <bottom/>
      <diagonal/>
    </border>
    <border>
      <left style="medium">
        <color indexed="9"/>
      </left>
      <right style="medium">
        <color indexed="9"/>
      </right>
      <top style="medium">
        <color indexed="9"/>
      </top>
      <bottom style="medium">
        <color indexed="9"/>
      </bottom>
      <diagonal/>
    </border>
    <border>
      <left style="medium">
        <color indexed="9"/>
      </left>
      <right style="medium">
        <color indexed="9"/>
      </right>
      <top/>
      <bottom/>
      <diagonal/>
    </border>
    <border>
      <left/>
      <right style="thin">
        <color auto="1"/>
      </right>
      <top/>
      <bottom/>
      <diagonal/>
    </border>
    <border>
      <left/>
      <right/>
      <top/>
      <bottom style="thin">
        <color indexed="44"/>
      </bottom>
      <diagonal/>
    </border>
    <border>
      <left/>
      <right/>
      <top style="thin">
        <color indexed="8"/>
      </top>
      <bottom/>
      <diagonal/>
    </border>
    <border>
      <left style="thin">
        <color auto="1"/>
      </left>
      <right style="thin">
        <color auto="1"/>
      </right>
      <top style="thin">
        <color auto="1"/>
      </top>
      <bottom/>
      <diagonal/>
    </border>
    <border>
      <left/>
      <right style="thin">
        <color indexed="8"/>
      </right>
      <top style="thin">
        <color indexed="8"/>
      </top>
      <bottom/>
      <diagonal/>
    </border>
    <border>
      <left style="thin">
        <color auto="1"/>
      </left>
      <right style="thin">
        <color auto="1"/>
      </right>
      <top/>
      <bottom/>
      <diagonal/>
    </border>
    <border>
      <left/>
      <right style="thin">
        <color auto="1"/>
      </right>
      <top/>
      <bottom style="thin">
        <color auto="1"/>
      </bottom>
      <diagonal/>
    </border>
    <border>
      <left style="dashed">
        <color auto="1"/>
      </left>
      <right style="dashed">
        <color auto="1"/>
      </right>
      <top style="dashed">
        <color auto="1"/>
      </top>
      <bottom style="dashed">
        <color auto="1"/>
      </bottom>
      <diagonal/>
    </border>
    <border>
      <left style="thin">
        <color indexed="9"/>
      </left>
      <right style="thin">
        <color indexed="9"/>
      </right>
      <top/>
      <bottom/>
      <diagonal/>
    </border>
    <border>
      <left/>
      <right/>
      <top style="double">
        <color auto="1"/>
      </top>
      <bottom style="double">
        <color auto="1"/>
      </bottom>
      <diagonal/>
    </border>
    <border>
      <left/>
      <right/>
      <top style="thin">
        <color auto="1"/>
      </top>
      <bottom style="double">
        <color auto="1"/>
      </bottom>
      <diagonal/>
    </border>
    <border>
      <left/>
      <right/>
      <top style="medium">
        <color auto="1"/>
      </top>
      <bottom style="medium">
        <color auto="1"/>
      </bottom>
      <diagonal/>
    </border>
    <border>
      <left/>
      <right/>
      <top/>
      <bottom style="thick">
        <color auto="1"/>
      </bottom>
      <diagonal/>
    </border>
    <border>
      <left/>
      <right/>
      <top style="thick">
        <color auto="1"/>
      </top>
      <bottom style="thin">
        <color auto="1"/>
      </bottom>
      <diagonal/>
    </border>
    <border>
      <left style="thin">
        <color indexed="8"/>
      </left>
      <right/>
      <top style="thin">
        <color indexed="8"/>
      </top>
      <bottom/>
      <diagonal/>
    </border>
    <border>
      <left/>
      <right style="hair">
        <color auto="1"/>
      </right>
      <top/>
      <bottom style="thin">
        <color auto="1"/>
      </bottom>
      <diagonal/>
    </border>
    <border>
      <left style="hair">
        <color auto="1"/>
      </left>
      <right/>
      <top style="thin">
        <color auto="1"/>
      </top>
      <bottom/>
      <diagonal/>
    </border>
    <border>
      <left style="hair">
        <color auto="1"/>
      </left>
      <right/>
      <top/>
      <bottom style="thin">
        <color auto="1"/>
      </bottom>
      <diagonal/>
    </border>
    <border>
      <left/>
      <right/>
      <top/>
      <bottom style="thick">
        <color theme="4"/>
      </bottom>
      <diagonal/>
    </border>
    <border>
      <left/>
      <right/>
      <top style="hair">
        <color auto="1"/>
      </top>
      <bottom style="thin">
        <color auto="1"/>
      </bottom>
      <diagonal/>
    </border>
    <border>
      <left/>
      <right style="hair">
        <color auto="1"/>
      </right>
      <top style="hair">
        <color auto="1"/>
      </top>
      <bottom style="thin">
        <color auto="1"/>
      </bottom>
      <diagonal/>
    </border>
    <border>
      <left/>
      <right/>
      <top style="thin">
        <color auto="1"/>
      </top>
      <bottom style="hair">
        <color auto="1"/>
      </bottom>
      <diagonal/>
    </border>
    <border>
      <left/>
      <right style="hair">
        <color auto="1"/>
      </right>
      <top style="thin">
        <color auto="1"/>
      </top>
      <bottom style="hair">
        <color auto="1"/>
      </bottom>
      <diagonal/>
    </border>
  </borders>
  <cellStyleXfs count="7571">
    <xf numFmtId="0" fontId="0" fillId="0" borderId="0"/>
    <xf numFmtId="9" fontId="1" fillId="0" borderId="0" applyFont="0" applyFill="0" applyBorder="0" applyAlignment="0" applyProtection="0"/>
    <xf numFmtId="0" fontId="17" fillId="0" borderId="0"/>
    <xf numFmtId="43" fontId="1" fillId="0" borderId="0" applyFon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2" fillId="0" borderId="0"/>
    <xf numFmtId="43" fontId="2" fillId="0" borderId="0" applyFont="0" applyFill="0" applyBorder="0" applyAlignment="0" applyProtection="0"/>
    <xf numFmtId="0" fontId="2" fillId="0" borderId="0" applyFill="0" applyBorder="0" applyProtection="0">
      <protection locked="0"/>
    </xf>
    <xf numFmtId="0" fontId="2" fillId="0" borderId="0" applyFill="0" applyBorder="0" applyProtection="0">
      <protection locked="0"/>
    </xf>
    <xf numFmtId="0" fontId="23" fillId="0" borderId="0" applyNumberFormat="0" applyFill="0" applyBorder="0" applyAlignment="0" applyProtection="0"/>
    <xf numFmtId="172" fontId="24" fillId="0" borderId="0" applyFont="0" applyFill="0" applyBorder="0" applyAlignment="0" applyProtection="0">
      <alignment horizontal="right"/>
    </xf>
    <xf numFmtId="9" fontId="2" fillId="0" borderId="0" applyFont="0" applyFill="0" applyBorder="0" applyAlignment="0" applyProtection="0"/>
    <xf numFmtId="9" fontId="27" fillId="0" borderId="0">
      <alignment horizontal="right"/>
    </xf>
    <xf numFmtId="0" fontId="28" fillId="0" borderId="0"/>
    <xf numFmtId="173" fontId="29" fillId="0" borderId="0" applyFont="0" applyFill="0" applyBorder="0" applyAlignment="0" applyProtection="0"/>
    <xf numFmtId="174" fontId="29" fillId="0" borderId="0" applyFont="0" applyFill="0" applyBorder="0" applyAlignment="0" applyProtection="0"/>
    <xf numFmtId="175" fontId="29" fillId="0" borderId="0" applyFont="0" applyFill="0" applyBorder="0" applyAlignment="0" applyProtection="0"/>
    <xf numFmtId="176" fontId="29" fillId="0" borderId="0" applyFont="0" applyFill="0" applyBorder="0" applyAlignment="0" applyProtection="0"/>
    <xf numFmtId="8" fontId="28" fillId="0" borderId="0" applyFont="0" applyFill="0" applyBorder="0" applyAlignment="0" applyProtection="0"/>
    <xf numFmtId="0" fontId="30" fillId="0" borderId="0"/>
    <xf numFmtId="5" fontId="28" fillId="0" borderId="0" applyFont="0" applyFill="0" applyBorder="0" applyAlignment="0" applyProtection="0"/>
    <xf numFmtId="0" fontId="31" fillId="0" borderId="0"/>
    <xf numFmtId="0" fontId="31" fillId="0" borderId="0"/>
    <xf numFmtId="0" fontId="26" fillId="0" borderId="0"/>
    <xf numFmtId="0" fontId="31" fillId="0" borderId="0"/>
    <xf numFmtId="0" fontId="11" fillId="0" borderId="0">
      <alignment horizontal="right"/>
    </xf>
    <xf numFmtId="15" fontId="2" fillId="0" borderId="19" applyBorder="0"/>
    <xf numFmtId="0" fontId="2" fillId="0" borderId="0"/>
    <xf numFmtId="177" fontId="29" fillId="0" borderId="0" applyFont="0" applyFill="0" applyBorder="0" applyAlignment="0" applyProtection="0"/>
    <xf numFmtId="0" fontId="11" fillId="0" borderId="0"/>
    <xf numFmtId="9" fontId="32" fillId="7" borderId="20">
      <alignment horizontal="right" vertical="center"/>
    </xf>
    <xf numFmtId="0" fontId="11" fillId="0" borderId="0"/>
    <xf numFmtId="178" fontId="11" fillId="0" borderId="0"/>
    <xf numFmtId="0" fontId="33" fillId="0" borderId="0"/>
    <xf numFmtId="10" fontId="28" fillId="0" borderId="0" applyFont="0" applyFill="0" applyBorder="0" applyAlignment="0" applyProtection="0"/>
    <xf numFmtId="0" fontId="33" fillId="0" borderId="0"/>
    <xf numFmtId="0" fontId="33" fillId="0" borderId="0"/>
    <xf numFmtId="0" fontId="33" fillId="0" borderId="0"/>
    <xf numFmtId="9" fontId="28" fillId="0" borderId="0" applyFont="0" applyFill="0" applyBorder="0" applyAlignment="0" applyProtection="0"/>
    <xf numFmtId="0" fontId="34" fillId="0" borderId="0" applyFont="0" applyFill="0" applyBorder="0" applyAlignment="0" applyProtection="0"/>
    <xf numFmtId="0" fontId="35" fillId="0" borderId="0" applyNumberFormat="0" applyFont="0" applyFill="0" applyBorder="0" applyAlignment="0" applyProtection="0"/>
    <xf numFmtId="0" fontId="2" fillId="0" borderId="9" applyBorder="0"/>
    <xf numFmtId="0" fontId="36" fillId="0" borderId="0" applyFont="0" applyFill="0" applyBorder="0" applyAlignment="0"/>
    <xf numFmtId="0" fontId="2" fillId="0" borderId="0" applyFont="0" applyFill="0" applyBorder="0" applyAlignment="0" applyProtection="0"/>
    <xf numFmtId="0" fontId="11" fillId="0" borderId="0" applyFont="0" applyFill="0" applyBorder="0" applyAlignment="0" applyProtection="0"/>
    <xf numFmtId="179" fontId="11" fillId="0" borderId="0" applyFont="0" applyFill="0" applyBorder="0" applyAlignment="0" applyProtection="0"/>
    <xf numFmtId="0" fontId="37" fillId="0" borderId="0" applyNumberFormat="0" applyFill="0" applyBorder="0" applyAlignment="0" applyProtection="0">
      <alignment vertical="top"/>
      <protection locked="0"/>
    </xf>
    <xf numFmtId="0" fontId="11" fillId="0" borderId="0" applyFont="0" applyFill="0" applyBorder="0" applyAlignment="0" applyProtection="0"/>
    <xf numFmtId="180" fontId="11" fillId="0" borderId="0" applyFont="0" applyFill="0" applyBorder="0" applyAlignment="0" applyProtection="0"/>
    <xf numFmtId="0" fontId="38" fillId="0" borderId="0"/>
    <xf numFmtId="0" fontId="39" fillId="0" borderId="0" applyFont="0" applyAlignment="0">
      <alignment horizontal="center" vertical="center"/>
    </xf>
    <xf numFmtId="0" fontId="21" fillId="0" borderId="0" applyNumberFormat="0" applyFont="0" applyBorder="0" applyAlignment="0">
      <alignment horizontal="left"/>
    </xf>
    <xf numFmtId="0" fontId="40" fillId="0" borderId="0"/>
    <xf numFmtId="0" fontId="36" fillId="0" borderId="0"/>
    <xf numFmtId="0" fontId="39" fillId="0" borderId="0" applyFont="0" applyAlignment="0">
      <alignment horizontal="center" vertical="center"/>
    </xf>
    <xf numFmtId="0" fontId="39" fillId="0" borderId="0" applyFont="0" applyAlignment="0">
      <alignment horizontal="center" vertical="center"/>
    </xf>
    <xf numFmtId="0" fontId="39" fillId="0" borderId="0" applyFont="0" applyAlignment="0">
      <alignment horizontal="center" vertical="center"/>
    </xf>
    <xf numFmtId="0" fontId="39" fillId="0" borderId="0" applyFont="0" applyAlignment="0">
      <alignment horizontal="center" vertical="center"/>
    </xf>
    <xf numFmtId="0" fontId="39" fillId="0" borderId="0" applyFont="0" applyAlignment="0">
      <alignment horizontal="center" vertical="center"/>
    </xf>
    <xf numFmtId="0" fontId="39" fillId="0" borderId="0" applyFont="0" applyAlignment="0">
      <alignment horizontal="center" vertical="center"/>
    </xf>
    <xf numFmtId="0" fontId="36" fillId="0" borderId="0"/>
    <xf numFmtId="0" fontId="36" fillId="0" borderId="0"/>
    <xf numFmtId="38" fontId="41" fillId="0" borderId="0" applyFont="0" applyFill="0" applyBorder="0" applyAlignment="0" applyProtection="0"/>
    <xf numFmtId="41" fontId="2" fillId="0" borderId="0" applyFont="0" applyFill="0" applyBorder="0" applyAlignment="0" applyProtection="0"/>
    <xf numFmtId="0" fontId="11" fillId="0" borderId="0" applyFont="0" applyFill="0" applyBorder="0" applyProtection="0">
      <alignment horizontal="right"/>
    </xf>
    <xf numFmtId="0" fontId="11" fillId="0" borderId="0" applyFont="0" applyFill="0" applyBorder="0" applyProtection="0">
      <alignment horizontal="right"/>
    </xf>
    <xf numFmtId="0" fontId="11" fillId="0" borderId="0" applyFont="0" applyFill="0" applyBorder="0" applyProtection="0">
      <alignment horizontal="right"/>
    </xf>
    <xf numFmtId="180" fontId="11" fillId="0" borderId="0" applyFont="0" applyFill="0" applyBorder="0" applyProtection="0">
      <alignment horizontal="right"/>
    </xf>
    <xf numFmtId="0" fontId="2" fillId="0" borderId="0" applyFont="0" applyFill="0" applyBorder="0" applyAlignment="0" applyProtection="0"/>
    <xf numFmtId="0" fontId="2" fillId="0" borderId="0" applyFont="0" applyFill="0" applyBorder="0" applyAlignment="0" applyProtection="0"/>
    <xf numFmtId="0" fontId="42" fillId="0" borderId="0" applyFont="0" applyFill="0" applyBorder="0" applyAlignment="0" applyProtection="0"/>
    <xf numFmtId="0" fontId="2" fillId="0" borderId="0" applyFont="0" applyFill="0" applyBorder="0" applyAlignment="0" applyProtection="0"/>
    <xf numFmtId="0" fontId="11" fillId="0" borderId="0" applyFont="0" applyFill="0" applyBorder="0" applyProtection="0">
      <alignment horizontal="right"/>
    </xf>
    <xf numFmtId="0" fontId="11" fillId="0" borderId="0" applyFont="0" applyFill="0" applyBorder="0" applyProtection="0">
      <alignment horizontal="right"/>
    </xf>
    <xf numFmtId="0" fontId="11" fillId="0" borderId="0" applyFont="0" applyFill="0" applyBorder="0" applyProtection="0">
      <alignment horizontal="right"/>
    </xf>
    <xf numFmtId="0" fontId="11" fillId="0" borderId="0" applyFont="0" applyFill="0" applyBorder="0" applyProtection="0">
      <alignment horizontal="right"/>
    </xf>
    <xf numFmtId="0" fontId="2" fillId="0" borderId="0" applyFont="0" applyFill="0" applyBorder="0" applyAlignment="0" applyProtection="0"/>
    <xf numFmtId="0" fontId="11" fillId="0" borderId="0" applyFont="0" applyFill="0" applyBorder="0" applyProtection="0">
      <alignment horizontal="right"/>
    </xf>
    <xf numFmtId="0" fontId="11" fillId="0" borderId="0" applyFont="0" applyFill="0" applyBorder="0" applyProtection="0">
      <alignment horizontal="right"/>
    </xf>
    <xf numFmtId="0" fontId="26"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179" fontId="2" fillId="0" borderId="0" applyFont="0" applyFill="0" applyBorder="0" applyAlignment="0" applyProtection="0"/>
    <xf numFmtId="179" fontId="2" fillId="0" borderId="0" applyFont="0" applyFill="0" applyBorder="0" applyAlignment="0" applyProtection="0"/>
    <xf numFmtId="179" fontId="42" fillId="0" borderId="0" applyFont="0" applyFill="0" applyBorder="0" applyAlignment="0" applyProtection="0"/>
    <xf numFmtId="179" fontId="2" fillId="0" borderId="0" applyFont="0" applyFill="0" applyBorder="0" applyAlignment="0" applyProtection="0"/>
    <xf numFmtId="0" fontId="11" fillId="0" borderId="0" applyFont="0" applyFill="0" applyBorder="0" applyProtection="0">
      <alignment horizontal="right"/>
    </xf>
    <xf numFmtId="0" fontId="11" fillId="0" borderId="0" applyFont="0" applyFill="0" applyBorder="0" applyProtection="0">
      <alignment horizontal="right"/>
    </xf>
    <xf numFmtId="0" fontId="11" fillId="0" borderId="0" applyFont="0" applyFill="0" applyBorder="0" applyProtection="0">
      <alignment horizontal="right"/>
    </xf>
    <xf numFmtId="0" fontId="11" fillId="0" borderId="0" applyFont="0" applyFill="0" applyBorder="0" applyProtection="0">
      <alignment horizontal="right"/>
    </xf>
    <xf numFmtId="179" fontId="2" fillId="0" borderId="0" applyFont="0" applyFill="0" applyBorder="0" applyAlignment="0" applyProtection="0"/>
    <xf numFmtId="0" fontId="11" fillId="0" borderId="0" applyFont="0" applyFill="0" applyBorder="0" applyProtection="0">
      <alignment horizontal="right"/>
    </xf>
    <xf numFmtId="0" fontId="11" fillId="0" borderId="0" applyFont="0" applyFill="0" applyBorder="0" applyProtection="0">
      <alignment horizontal="right"/>
    </xf>
    <xf numFmtId="179" fontId="26" fillId="0" borderId="0" applyFont="0" applyFill="0" applyBorder="0" applyAlignment="0" applyProtection="0"/>
    <xf numFmtId="179" fontId="2" fillId="0" borderId="0" applyFont="0" applyFill="0" applyBorder="0" applyAlignment="0" applyProtection="0"/>
    <xf numFmtId="179" fontId="2" fillId="0" borderId="0" applyFont="0" applyFill="0" applyBorder="0" applyAlignment="0" applyProtection="0"/>
    <xf numFmtId="0" fontId="2" fillId="0" borderId="0"/>
    <xf numFmtId="0" fontId="2" fillId="0" borderId="0" applyFont="0" applyFill="0" applyBorder="0" applyAlignment="0" applyProtection="0"/>
    <xf numFmtId="0" fontId="11" fillId="0" borderId="0" applyFont="0" applyFill="0" applyBorder="0" applyProtection="0">
      <alignment horizontal="right"/>
    </xf>
    <xf numFmtId="0" fontId="11" fillId="0" borderId="0" applyFont="0" applyFill="0" applyBorder="0" applyProtection="0">
      <alignment horizontal="right"/>
    </xf>
    <xf numFmtId="0" fontId="11" fillId="0" borderId="0" applyFont="0" applyFill="0" applyBorder="0" applyProtection="0">
      <alignment horizontal="right"/>
    </xf>
    <xf numFmtId="0" fontId="11" fillId="0" borderId="0" applyFont="0" applyFill="0" applyBorder="0" applyProtection="0">
      <alignment horizontal="right"/>
    </xf>
    <xf numFmtId="0" fontId="43" fillId="0" borderId="0"/>
    <xf numFmtId="0" fontId="11" fillId="0" borderId="0">
      <alignment horizontal="left" wrapText="1"/>
    </xf>
    <xf numFmtId="0" fontId="11" fillId="0" borderId="0">
      <alignment horizontal="left" wrapText="1"/>
    </xf>
    <xf numFmtId="0" fontId="11" fillId="0" borderId="0">
      <alignment horizontal="left" wrapText="1"/>
    </xf>
    <xf numFmtId="0" fontId="2" fillId="0" borderId="0"/>
    <xf numFmtId="0" fontId="43" fillId="0" borderId="0"/>
    <xf numFmtId="0" fontId="2" fillId="0" borderId="0" applyFont="0" applyFill="0" applyBorder="0" applyAlignment="0" applyProtection="0"/>
    <xf numFmtId="0" fontId="44" fillId="8" borderId="0"/>
    <xf numFmtId="0" fontId="35" fillId="0" borderId="0" applyNumberFormat="0" applyFill="0" applyBorder="0" applyAlignment="0" applyProtection="0"/>
    <xf numFmtId="0" fontId="2" fillId="0" borderId="0" applyFont="0" applyFill="0" applyBorder="0" applyAlignment="0" applyProtection="0"/>
    <xf numFmtId="0" fontId="11" fillId="0" borderId="0"/>
    <xf numFmtId="0" fontId="11" fillId="0" borderId="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4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41"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11" fillId="0" borderId="0"/>
    <xf numFmtId="0" fontId="11" fillId="0" borderId="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11" fillId="0" borderId="0" applyFont="0" applyFill="0" applyBorder="0" applyAlignment="0" applyProtection="0"/>
    <xf numFmtId="0" fontId="11" fillId="0" borderId="0" applyFont="0" applyFill="0" applyBorder="0" applyAlignment="0" applyProtection="0"/>
    <xf numFmtId="0" fontId="42" fillId="0" borderId="0" applyFont="0" applyFill="0" applyBorder="0" applyAlignment="0" applyProtection="0"/>
    <xf numFmtId="0" fontId="2" fillId="0" borderId="0" applyFont="0" applyFill="0" applyBorder="0" applyAlignment="0" applyProtection="0"/>
    <xf numFmtId="0" fontId="11" fillId="0" borderId="0" applyFont="0" applyFill="0" applyBorder="0" applyAlignment="0" applyProtection="0"/>
    <xf numFmtId="0" fontId="11" fillId="0" borderId="0" applyFont="0" applyFill="0" applyBorder="0" applyAlignment="0" applyProtection="0"/>
    <xf numFmtId="0" fontId="45" fillId="0" borderId="0" applyFont="0" applyFill="0" applyBorder="0" applyAlignment="0" applyProtection="0"/>
    <xf numFmtId="0" fontId="45" fillId="0" borderId="0" applyFont="0" applyFill="0" applyBorder="0" applyAlignment="0" applyProtection="0"/>
    <xf numFmtId="0" fontId="11" fillId="0" borderId="0" applyFont="0" applyFill="0" applyBorder="0" applyAlignment="0" applyProtection="0"/>
    <xf numFmtId="0" fontId="11" fillId="0" borderId="0" applyFont="0" applyFill="0" applyBorder="0" applyAlignment="0" applyProtection="0"/>
    <xf numFmtId="0" fontId="11"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45" fillId="0" borderId="0" applyFont="0" applyFill="0" applyBorder="0" applyAlignment="0" applyProtection="0"/>
    <xf numFmtId="0" fontId="45" fillId="0" borderId="0" applyFont="0" applyFill="0" applyBorder="0" applyAlignment="0" applyProtection="0"/>
    <xf numFmtId="0" fontId="45" fillId="0" borderId="0" applyFont="0" applyFill="0" applyBorder="0" applyAlignment="0" applyProtection="0"/>
    <xf numFmtId="0" fontId="2" fillId="0" borderId="0" applyFont="0" applyFill="0" applyBorder="0" applyAlignment="0" applyProtection="0"/>
    <xf numFmtId="0" fontId="11" fillId="0" borderId="0" applyFont="0" applyFill="0" applyBorder="0" applyAlignment="0" applyProtection="0"/>
    <xf numFmtId="181" fontId="11"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11" fillId="0" borderId="0">
      <alignment horizontal="right" vertical="center"/>
      <protection locked="0"/>
    </xf>
    <xf numFmtId="0" fontId="11" fillId="0" borderId="0">
      <alignment horizontal="right" vertical="center"/>
      <protection locked="0"/>
    </xf>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45"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11" fillId="0" borderId="0">
      <alignment horizontal="right" vertical="center"/>
      <protection locked="0"/>
    </xf>
    <xf numFmtId="0" fontId="11" fillId="0" borderId="0">
      <alignment horizontal="right" vertical="center"/>
      <protection locked="0"/>
    </xf>
    <xf numFmtId="0" fontId="11" fillId="0" borderId="0">
      <alignment horizontal="right" vertical="center"/>
      <protection locked="0"/>
    </xf>
    <xf numFmtId="0" fontId="11" fillId="0" borderId="0">
      <alignment horizontal="right" vertical="center"/>
      <protection locked="0"/>
    </xf>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6" fillId="0" borderId="0" applyFont="0" applyFill="0" applyBorder="0" applyAlignment="0" applyProtection="0"/>
    <xf numFmtId="0" fontId="26"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6"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41" fillId="0" borderId="0" applyFont="0" applyFill="0" applyBorder="0" applyAlignment="0" applyProtection="0"/>
    <xf numFmtId="0" fontId="45" fillId="0" borderId="0" applyFont="0" applyFill="0" applyBorder="0" applyAlignment="0" applyProtection="0"/>
    <xf numFmtId="0" fontId="45" fillId="0" borderId="0" applyFont="0" applyFill="0" applyBorder="0" applyAlignment="0" applyProtection="0"/>
    <xf numFmtId="0" fontId="45" fillId="0" borderId="0" applyFont="0" applyFill="0" applyBorder="0" applyAlignment="0" applyProtection="0"/>
    <xf numFmtId="0" fontId="2" fillId="0" borderId="0" applyFont="0" applyFill="0" applyBorder="0" applyAlignment="0" applyProtection="0"/>
    <xf numFmtId="0" fontId="11" fillId="0" borderId="0" applyFont="0" applyFill="0" applyBorder="0" applyAlignment="0" applyProtection="0"/>
    <xf numFmtId="0" fontId="11" fillId="0" borderId="0" applyFont="0" applyFill="0" applyBorder="0" applyAlignment="0" applyProtection="0"/>
    <xf numFmtId="0" fontId="11" fillId="0" borderId="0" applyFont="0" applyFill="0" applyBorder="0" applyAlignment="0" applyProtection="0"/>
    <xf numFmtId="0" fontId="45"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45" fillId="0" borderId="0" applyFont="0" applyFill="0" applyBorder="0" applyAlignment="0" applyProtection="0"/>
    <xf numFmtId="0" fontId="45"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39"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11" fillId="0" borderId="0" applyFont="0" applyFill="0" applyBorder="0" applyAlignment="0" applyProtection="0"/>
    <xf numFmtId="0" fontId="11" fillId="0" borderId="0" applyFont="0" applyFill="0" applyBorder="0" applyAlignment="0" applyProtection="0"/>
    <xf numFmtId="0" fontId="42" fillId="0" borderId="0" applyFont="0" applyFill="0" applyBorder="0" applyAlignment="0" applyProtection="0"/>
    <xf numFmtId="39" fontId="2" fillId="0" borderId="0" applyFont="0" applyFill="0" applyBorder="0" applyAlignment="0" applyProtection="0"/>
    <xf numFmtId="0" fontId="11" fillId="0" borderId="0" applyFont="0" applyFill="0" applyBorder="0" applyAlignment="0" applyProtection="0"/>
    <xf numFmtId="0" fontId="11" fillId="0" borderId="0" applyFont="0" applyFill="0" applyBorder="0" applyAlignment="0" applyProtection="0"/>
    <xf numFmtId="39" fontId="2" fillId="0" borderId="0" applyFont="0" applyFill="0" applyBorder="0" applyAlignment="0" applyProtection="0"/>
    <xf numFmtId="0" fontId="2" fillId="0" borderId="0" applyFont="0" applyFill="0" applyBorder="0" applyAlignment="0" applyProtection="0"/>
    <xf numFmtId="39" fontId="2" fillId="0" borderId="0" applyFont="0" applyFill="0" applyBorder="0" applyAlignment="0" applyProtection="0"/>
    <xf numFmtId="39" fontId="2" fillId="0" borderId="0" applyFont="0" applyFill="0" applyBorder="0" applyAlignment="0" applyProtection="0"/>
    <xf numFmtId="39" fontId="2" fillId="0" borderId="0" applyFont="0" applyFill="0" applyBorder="0" applyAlignment="0" applyProtection="0"/>
    <xf numFmtId="39" fontId="2" fillId="0" borderId="0" applyFont="0" applyFill="0" applyBorder="0" applyAlignment="0" applyProtection="0"/>
    <xf numFmtId="0" fontId="2" fillId="0" borderId="0" applyFont="0" applyFill="0" applyBorder="0" applyAlignment="0" applyProtection="0"/>
    <xf numFmtId="39"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39" fontId="2" fillId="0" borderId="0" applyFont="0" applyFill="0" applyBorder="0" applyAlignment="0" applyProtection="0"/>
    <xf numFmtId="39" fontId="2" fillId="0" borderId="0" applyFont="0" applyFill="0" applyBorder="0" applyAlignment="0" applyProtection="0"/>
    <xf numFmtId="0" fontId="2" fillId="0" borderId="0" applyFont="0" applyFill="0" applyBorder="0" applyAlignment="0" applyProtection="0"/>
    <xf numFmtId="39" fontId="2" fillId="0" borderId="0" applyFont="0" applyFill="0" applyBorder="0" applyAlignment="0" applyProtection="0"/>
    <xf numFmtId="39" fontId="2" fillId="0" borderId="0" applyFont="0" applyFill="0" applyBorder="0" applyAlignment="0" applyProtection="0"/>
    <xf numFmtId="39"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39" fontId="2" fillId="0" borderId="0" applyFont="0" applyFill="0" applyBorder="0" applyAlignment="0" applyProtection="0"/>
    <xf numFmtId="0" fontId="2" fillId="0" borderId="0" applyFont="0" applyFill="0" applyBorder="0" applyAlignment="0" applyProtection="0"/>
    <xf numFmtId="39" fontId="2" fillId="0" borderId="0" applyFont="0" applyFill="0" applyBorder="0" applyAlignment="0" applyProtection="0"/>
    <xf numFmtId="0" fontId="2" fillId="0" borderId="0" applyFont="0" applyFill="0" applyBorder="0" applyAlignment="0" applyProtection="0"/>
    <xf numFmtId="39" fontId="2" fillId="0" borderId="0" applyFont="0" applyFill="0" applyBorder="0" applyAlignment="0" applyProtection="0"/>
    <xf numFmtId="39" fontId="2" fillId="0" borderId="0" applyFont="0" applyFill="0" applyBorder="0" applyAlignment="0" applyProtection="0"/>
    <xf numFmtId="0" fontId="46" fillId="0" borderId="0">
      <alignment horizontal="right" vertical="center"/>
      <protection locked="0"/>
    </xf>
    <xf numFmtId="0" fontId="46" fillId="0" borderId="0">
      <alignment horizontal="right" vertical="center"/>
      <protection locked="0"/>
    </xf>
    <xf numFmtId="0" fontId="2" fillId="0" borderId="0" applyFont="0" applyFill="0" applyBorder="0" applyAlignment="0" applyProtection="0"/>
    <xf numFmtId="0" fontId="2" fillId="0" borderId="0" applyFont="0" applyFill="0" applyBorder="0" applyAlignment="0" applyProtection="0"/>
    <xf numFmtId="39" fontId="2" fillId="0" borderId="0" applyFont="0" applyFill="0" applyBorder="0" applyAlignment="0" applyProtection="0"/>
    <xf numFmtId="0" fontId="2" fillId="0" borderId="0" applyFont="0" applyFill="0" applyBorder="0" applyAlignment="0" applyProtection="0"/>
    <xf numFmtId="39" fontId="2" fillId="0" borderId="0" applyFont="0" applyFill="0" applyBorder="0" applyAlignment="0" applyProtection="0"/>
    <xf numFmtId="0" fontId="2" fillId="0" borderId="0" applyFont="0" applyFill="0" applyBorder="0" applyAlignment="0" applyProtection="0"/>
    <xf numFmtId="39" fontId="2" fillId="0" borderId="0" applyFont="0" applyFill="0" applyBorder="0" applyAlignment="0" applyProtection="0"/>
    <xf numFmtId="0" fontId="2" fillId="0" borderId="0" applyFont="0" applyFill="0" applyBorder="0" applyAlignment="0" applyProtection="0"/>
    <xf numFmtId="39" fontId="2" fillId="0" borderId="0" applyFont="0" applyFill="0" applyBorder="0" applyAlignment="0" applyProtection="0"/>
    <xf numFmtId="39" fontId="2" fillId="0" borderId="0" applyFont="0" applyFill="0" applyBorder="0" applyAlignment="0" applyProtection="0"/>
    <xf numFmtId="39" fontId="2" fillId="0" borderId="0" applyFont="0" applyFill="0" applyBorder="0" applyAlignment="0" applyProtection="0"/>
    <xf numFmtId="0" fontId="26" fillId="0" borderId="0" applyFont="0" applyFill="0" applyBorder="0" applyAlignment="0" applyProtection="0"/>
    <xf numFmtId="0" fontId="26" fillId="0" borderId="0" applyFont="0" applyFill="0" applyBorder="0" applyAlignment="0" applyProtection="0"/>
    <xf numFmtId="0" fontId="26" fillId="0" borderId="0" applyFont="0" applyFill="0" applyBorder="0" applyAlignment="0" applyProtection="0"/>
    <xf numFmtId="39" fontId="2" fillId="0" borderId="0" applyFont="0" applyFill="0" applyBorder="0" applyAlignment="0" applyProtection="0"/>
    <xf numFmtId="39" fontId="2" fillId="0" borderId="0" applyFont="0" applyFill="0" applyBorder="0" applyAlignment="0" applyProtection="0"/>
    <xf numFmtId="39" fontId="2" fillId="0" borderId="0" applyFont="0" applyFill="0" applyBorder="0" applyAlignment="0" applyProtection="0"/>
    <xf numFmtId="39" fontId="2" fillId="0" borderId="0" applyFont="0" applyFill="0" applyBorder="0" applyAlignment="0" applyProtection="0"/>
    <xf numFmtId="39" fontId="26"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39" fontId="2" fillId="0" borderId="0" applyFont="0" applyFill="0" applyBorder="0" applyAlignment="0" applyProtection="0"/>
    <xf numFmtId="0" fontId="41"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39" fontId="2" fillId="0" borderId="0" applyFont="0" applyFill="0" applyBorder="0" applyAlignment="0" applyProtection="0"/>
    <xf numFmtId="14" fontId="26" fillId="0" borderId="0" applyFont="0" applyFill="0" applyBorder="0" applyProtection="0">
      <alignment horizontal="right"/>
    </xf>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6" fillId="0" borderId="0" applyFont="0" applyFill="0" applyBorder="0" applyAlignment="0" applyProtection="0"/>
    <xf numFmtId="0" fontId="26" fillId="0" borderId="0" applyFont="0" applyFill="0" applyBorder="0" applyAlignment="0" applyProtection="0"/>
    <xf numFmtId="0" fontId="2" fillId="0" borderId="0" applyFont="0" applyFill="0" applyBorder="0" applyAlignment="0" applyProtection="0"/>
    <xf numFmtId="0" fontId="2" fillId="0" borderId="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11" fillId="0" borderId="21" applyFont="0" applyFill="0" applyBorder="0" applyAlignment="0" applyProtection="0"/>
    <xf numFmtId="0" fontId="11" fillId="0" borderId="21" applyFont="0" applyFill="0" applyBorder="0" applyAlignment="0" applyProtection="0"/>
    <xf numFmtId="0" fontId="11" fillId="0" borderId="21" applyFont="0" applyFill="0" applyBorder="0" applyAlignment="0" applyProtection="0"/>
    <xf numFmtId="0" fontId="2" fillId="0" borderId="0" applyFont="0" applyFill="0" applyBorder="0" applyAlignment="0" applyProtection="0"/>
    <xf numFmtId="3" fontId="26" fillId="0" borderId="0"/>
    <xf numFmtId="0" fontId="2" fillId="0" borderId="0" applyFon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2" fillId="9" borderId="0" applyNumberFormat="0" applyFont="0" applyAlignment="0" applyProtection="0"/>
    <xf numFmtId="0" fontId="2" fillId="9" borderId="0" applyNumberFormat="0" applyFont="0" applyAlignment="0" applyProtection="0"/>
    <xf numFmtId="0" fontId="2" fillId="9" borderId="0" applyNumberFormat="0" applyFont="0" applyAlignment="0" applyProtection="0"/>
    <xf numFmtId="0" fontId="2" fillId="9" borderId="0" applyNumberFormat="0" applyFont="0" applyAlignment="0" applyProtection="0"/>
    <xf numFmtId="0" fontId="26" fillId="9" borderId="0" applyNumberFormat="0" applyFont="0" applyAlignment="0" applyProtection="0"/>
    <xf numFmtId="0" fontId="2" fillId="9" borderId="0" applyNumberFormat="0" applyFont="0" applyAlignment="0" applyProtection="0"/>
    <xf numFmtId="0" fontId="2" fillId="10" borderId="0" applyNumberFormat="0" applyFont="0" applyAlignment="0" applyProtection="0"/>
    <xf numFmtId="0" fontId="2" fillId="9" borderId="0" applyNumberFormat="0" applyFont="0" applyAlignment="0" applyProtection="0"/>
    <xf numFmtId="0" fontId="2" fillId="9" borderId="0" applyNumberFormat="0" applyFont="0" applyAlignment="0" applyProtection="0"/>
    <xf numFmtId="0" fontId="26" fillId="9" borderId="0" applyNumberFormat="0" applyFont="0" applyAlignment="0" applyProtection="0"/>
    <xf numFmtId="0" fontId="26" fillId="11" borderId="0" applyNumberFormat="0" applyFont="0" applyAlignment="0" applyProtection="0"/>
    <xf numFmtId="0" fontId="2" fillId="9" borderId="0" applyNumberFormat="0" applyFont="0" applyAlignment="0" applyProtection="0"/>
    <xf numFmtId="0" fontId="2" fillId="9" borderId="0" applyNumberFormat="0" applyFont="0" applyAlignment="0" applyProtection="0"/>
    <xf numFmtId="0" fontId="36" fillId="9" borderId="0" applyNumberFormat="0" applyFont="0" applyAlignment="0" applyProtection="0"/>
    <xf numFmtId="0" fontId="2" fillId="9" borderId="0" applyNumberFormat="0" applyFont="0" applyAlignment="0" applyProtection="0"/>
    <xf numFmtId="0" fontId="26" fillId="11" borderId="0" applyNumberFormat="0" applyFont="0" applyAlignment="0" applyProtection="0"/>
    <xf numFmtId="0" fontId="2" fillId="0" borderId="0"/>
    <xf numFmtId="0" fontId="2" fillId="9" borderId="0" applyNumberFormat="0" applyFont="0" applyAlignment="0" applyProtection="0"/>
    <xf numFmtId="0" fontId="2" fillId="9" borderId="0" applyNumberFormat="0" applyFont="0" applyAlignment="0" applyProtection="0"/>
    <xf numFmtId="0" fontId="2" fillId="9" borderId="0" applyNumberFormat="0" applyFont="0" applyAlignment="0" applyProtection="0"/>
    <xf numFmtId="0" fontId="2" fillId="9" borderId="0" applyNumberFormat="0" applyFont="0" applyAlignment="0" applyProtection="0"/>
    <xf numFmtId="0" fontId="2" fillId="9" borderId="0" applyNumberFormat="0" applyFont="0" applyAlignment="0" applyProtection="0"/>
    <xf numFmtId="0" fontId="2" fillId="9" borderId="0" applyNumberFormat="0" applyFont="0" applyAlignment="0" applyProtection="0"/>
    <xf numFmtId="0" fontId="2" fillId="9" borderId="0" applyNumberFormat="0" applyFont="0" applyAlignment="0" applyProtection="0"/>
    <xf numFmtId="0" fontId="35" fillId="0" borderId="0" applyNumberFormat="0" applyFill="0" applyBorder="0" applyAlignment="0" applyProtection="0"/>
    <xf numFmtId="0" fontId="2" fillId="0" borderId="0" applyFont="0" applyFill="0" applyBorder="0" applyAlignment="0" applyProtection="0"/>
    <xf numFmtId="0" fontId="11" fillId="0" borderId="0"/>
    <xf numFmtId="0" fontId="11" fillId="0" borderId="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4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45"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11" fillId="0" borderId="0" applyFont="0" applyFill="0" applyBorder="0" applyProtection="0">
      <alignment horizontal="right"/>
    </xf>
    <xf numFmtId="0" fontId="11" fillId="0" borderId="0" applyFont="0" applyFill="0" applyBorder="0" applyProtection="0">
      <alignment horizontal="right"/>
    </xf>
    <xf numFmtId="0" fontId="11" fillId="0" borderId="0" applyFont="0" applyFill="0" applyBorder="0" applyAlignment="0" applyProtection="0"/>
    <xf numFmtId="0" fontId="11" fillId="0" borderId="0" applyFont="0" applyFill="0" applyBorder="0" applyProtection="0">
      <alignment horizontal="right"/>
    </xf>
    <xf numFmtId="0" fontId="11" fillId="0" borderId="0" applyFont="0" applyFill="0" applyBorder="0" applyProtection="0">
      <alignment horizontal="right"/>
    </xf>
    <xf numFmtId="0" fontId="11"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11" fillId="0" borderId="0" applyFont="0" applyFill="0" applyBorder="0" applyProtection="0">
      <alignment horizontal="right"/>
    </xf>
    <xf numFmtId="0" fontId="11" fillId="0" borderId="0" applyFont="0" applyFill="0" applyBorder="0" applyProtection="0">
      <alignment horizontal="right"/>
    </xf>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11" fillId="0" borderId="0" applyFont="0" applyFill="0" applyBorder="0" applyAlignment="0" applyProtection="0"/>
    <xf numFmtId="0" fontId="11"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11" fillId="0" borderId="0" applyFont="0" applyFill="0" applyBorder="0" applyAlignment="0" applyProtection="0"/>
    <xf numFmtId="0" fontId="11" fillId="0" borderId="0" applyFont="0" applyFill="0" applyBorder="0" applyAlignment="0" applyProtection="0"/>
    <xf numFmtId="0" fontId="2" fillId="0" borderId="0" applyFont="0" applyFill="0" applyBorder="0" applyAlignment="0" applyProtection="0"/>
    <xf numFmtId="0" fontId="11" fillId="0" borderId="0" applyFont="0" applyFill="0" applyBorder="0" applyAlignment="0" applyProtection="0"/>
    <xf numFmtId="0" fontId="11" fillId="0" borderId="0" applyFont="0" applyFill="0" applyBorder="0" applyAlignment="0" applyProtection="0"/>
    <xf numFmtId="0" fontId="2" fillId="0" borderId="0" applyFont="0" applyFill="0" applyBorder="0" applyAlignment="0" applyProtection="0"/>
    <xf numFmtId="0" fontId="11"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11" fillId="0" borderId="0" applyFont="0" applyFill="0" applyBorder="0" applyAlignment="0" applyProtection="0"/>
    <xf numFmtId="0" fontId="46" fillId="0" borderId="0">
      <alignment horizontal="left" vertical="center" indent="4"/>
      <protection locked="0"/>
    </xf>
    <xf numFmtId="0" fontId="46" fillId="0" borderId="0">
      <alignment horizontal="left" vertical="center" indent="4"/>
      <protection locked="0"/>
    </xf>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40" fillId="0" borderId="0" applyFont="0" applyFill="0" applyBorder="0" applyAlignment="0" applyProtection="0"/>
    <xf numFmtId="0" fontId="2" fillId="0" borderId="0" applyFont="0" applyFill="0" applyBorder="0" applyAlignment="0" applyProtection="0"/>
    <xf numFmtId="0" fontId="43"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42" fillId="0" borderId="0" applyFill="0" applyProtection="0">
      <alignment horizontal="center"/>
    </xf>
    <xf numFmtId="0" fontId="42" fillId="0" borderId="0" applyFill="0" applyProtection="0">
      <alignment horizontal="center"/>
    </xf>
    <xf numFmtId="0" fontId="2" fillId="0" borderId="0" applyFont="0" applyFill="0" applyBorder="0" applyAlignment="0" applyProtection="0"/>
    <xf numFmtId="0" fontId="2" fillId="0" borderId="0" applyFont="0" applyFill="0" applyBorder="0" applyAlignment="0" applyProtection="0"/>
    <xf numFmtId="0" fontId="11" fillId="0" borderId="0" applyFont="0" applyFill="0" applyBorder="0" applyProtection="0">
      <alignment horizontal="right"/>
    </xf>
    <xf numFmtId="0" fontId="11" fillId="0" borderId="0" applyFont="0" applyFill="0" applyBorder="0" applyProtection="0">
      <alignment horizontal="right"/>
    </xf>
    <xf numFmtId="0" fontId="26" fillId="0" borderId="0" applyFont="0" applyFill="0" applyBorder="0" applyAlignment="0" applyProtection="0"/>
    <xf numFmtId="0" fontId="11" fillId="0" borderId="0" applyFont="0" applyFill="0" applyBorder="0" applyAlignment="0" applyProtection="0"/>
    <xf numFmtId="0" fontId="11" fillId="0" borderId="0" applyFont="0" applyFill="0" applyBorder="0" applyAlignment="0" applyProtection="0"/>
    <xf numFmtId="0" fontId="11" fillId="0" borderId="0" applyFont="0" applyFill="0" applyBorder="0" applyAlignment="0" applyProtection="0"/>
    <xf numFmtId="0" fontId="11" fillId="0" borderId="0" applyFont="0" applyFill="0" applyBorder="0" applyAlignment="0" applyProtection="0"/>
    <xf numFmtId="0" fontId="11" fillId="0" borderId="0" applyFont="0" applyFill="0" applyBorder="0" applyAlignment="0" applyProtection="0"/>
    <xf numFmtId="0" fontId="11"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6"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41"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11" fillId="0" borderId="0" applyFont="0" applyFill="0" applyBorder="0" applyAlignment="0" applyProtection="0"/>
    <xf numFmtId="0" fontId="11"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11" fillId="0" borderId="0" applyFont="0" applyFill="0" applyBorder="0" applyAlignment="0" applyProtection="0"/>
    <xf numFmtId="0" fontId="11" fillId="0" borderId="0" applyFont="0" applyFill="0" applyBorder="0" applyAlignment="0" applyProtection="0"/>
    <xf numFmtId="0" fontId="2" fillId="0" borderId="0" applyFont="0" applyFill="0" applyBorder="0" applyAlignment="0" applyProtection="0"/>
    <xf numFmtId="0" fontId="2" fillId="0" borderId="0" applyFont="0" applyFill="0" applyBorder="0" applyProtection="0">
      <alignment horizontal="right"/>
    </xf>
    <xf numFmtId="0" fontId="2" fillId="0" borderId="0" applyFont="0" applyFill="0" applyBorder="0" applyAlignment="0" applyProtection="0"/>
    <xf numFmtId="0" fontId="2" fillId="0" borderId="0" applyFont="0" applyFill="0" applyBorder="0" applyProtection="0">
      <alignment horizontal="right"/>
    </xf>
    <xf numFmtId="0" fontId="2" fillId="0" borderId="0" applyFont="0" applyFill="0" applyBorder="0" applyProtection="0">
      <alignment horizontal="right"/>
    </xf>
    <xf numFmtId="0" fontId="42" fillId="0" borderId="0" applyFont="0" applyFill="0" applyBorder="0" applyProtection="0">
      <alignment horizontal="right"/>
    </xf>
    <xf numFmtId="0" fontId="2" fillId="0" borderId="0" applyFont="0" applyFill="0" applyBorder="0" applyAlignment="0" applyProtection="0"/>
    <xf numFmtId="0" fontId="45" fillId="0" borderId="0" applyFont="0" applyFill="0" applyBorder="0" applyAlignment="0" applyProtection="0"/>
    <xf numFmtId="0" fontId="2" fillId="0" borderId="0" applyFont="0" applyFill="0" applyBorder="0" applyProtection="0">
      <alignment horizontal="right"/>
    </xf>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Protection="0">
      <alignment horizontal="right"/>
    </xf>
    <xf numFmtId="0" fontId="2" fillId="0" borderId="0" applyFont="0" applyFill="0" applyBorder="0" applyProtection="0">
      <alignment horizontal="right"/>
    </xf>
    <xf numFmtId="0" fontId="2" fillId="0" borderId="0" applyFont="0" applyFill="0" applyBorder="0" applyProtection="0">
      <alignment horizontal="right"/>
    </xf>
    <xf numFmtId="0" fontId="45" fillId="0" borderId="0" applyFont="0" applyFill="0" applyBorder="0" applyAlignment="0" applyProtection="0"/>
    <xf numFmtId="0" fontId="45" fillId="0" borderId="0" applyFont="0" applyFill="0" applyBorder="0" applyAlignment="0" applyProtection="0"/>
    <xf numFmtId="0" fontId="11" fillId="0" borderId="0" applyFont="0" applyFill="0" applyBorder="0" applyAlignment="0" applyProtection="0"/>
    <xf numFmtId="0" fontId="11" fillId="0" borderId="0" applyFont="0" applyFill="0" applyBorder="0" applyProtection="0">
      <alignment horizontal="right"/>
    </xf>
    <xf numFmtId="0" fontId="11" fillId="0" borderId="0" applyFont="0" applyFill="0" applyBorder="0" applyProtection="0">
      <alignment horizontal="right"/>
    </xf>
    <xf numFmtId="0" fontId="11" fillId="0" borderId="0" applyFont="0" applyFill="0" applyBorder="0" applyAlignment="0" applyProtection="0"/>
    <xf numFmtId="0" fontId="2" fillId="0" borderId="0" applyFont="0" applyFill="0" applyBorder="0" applyProtection="0">
      <alignment horizontal="right"/>
    </xf>
    <xf numFmtId="0" fontId="2" fillId="0" borderId="0" applyFont="0" applyFill="0" applyBorder="0" applyAlignment="0" applyProtection="0"/>
    <xf numFmtId="0" fontId="11" fillId="0" borderId="0" applyFont="0" applyFill="0" applyBorder="0" applyProtection="0">
      <alignment horizontal="right"/>
    </xf>
    <xf numFmtId="0" fontId="11" fillId="0" borderId="0" applyFont="0" applyFill="0" applyBorder="0" applyProtection="0">
      <alignment horizontal="right"/>
    </xf>
    <xf numFmtId="0" fontId="11" fillId="0" borderId="0" applyFont="0" applyFill="0" applyBorder="0" applyAlignment="0" applyProtection="0"/>
    <xf numFmtId="0" fontId="11"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11" fillId="0" borderId="0" applyFont="0" applyFill="0" applyBorder="0" applyAlignment="0" applyProtection="0"/>
    <xf numFmtId="0" fontId="11" fillId="0" borderId="0" applyFont="0" applyFill="0" applyBorder="0" applyAlignment="0" applyProtection="0"/>
    <xf numFmtId="0" fontId="2" fillId="0" borderId="0" applyFont="0" applyFill="0" applyBorder="0" applyProtection="0">
      <alignment horizontal="right"/>
    </xf>
    <xf numFmtId="0" fontId="2" fillId="0" borderId="0" applyFont="0" applyFill="0" applyBorder="0" applyProtection="0">
      <alignment horizontal="right"/>
    </xf>
    <xf numFmtId="0" fontId="2" fillId="0" borderId="0" applyFont="0" applyFill="0" applyBorder="0" applyAlignment="0" applyProtection="0"/>
    <xf numFmtId="0" fontId="2" fillId="0" borderId="0" applyFont="0" applyFill="0" applyBorder="0" applyProtection="0">
      <alignment horizontal="right"/>
    </xf>
    <xf numFmtId="0" fontId="2" fillId="0" borderId="0" applyFont="0" applyFill="0" applyBorder="0" applyAlignment="0" applyProtection="0"/>
    <xf numFmtId="0" fontId="45" fillId="0" borderId="0" applyFont="0" applyFill="0" applyBorder="0" applyAlignment="0" applyProtection="0"/>
    <xf numFmtId="0" fontId="11" fillId="0" borderId="0" applyFont="0" applyFill="0" applyBorder="0" applyAlignment="0" applyProtection="0"/>
    <xf numFmtId="0" fontId="11" fillId="0" borderId="0" applyFont="0" applyFill="0" applyBorder="0" applyAlignment="0" applyProtection="0"/>
    <xf numFmtId="0" fontId="11" fillId="0" borderId="0" applyFont="0" applyFill="0" applyBorder="0" applyProtection="0">
      <alignment horizontal="right"/>
    </xf>
    <xf numFmtId="0" fontId="2" fillId="0" borderId="0" applyFont="0" applyFill="0" applyBorder="0" applyAlignment="0" applyProtection="0"/>
    <xf numFmtId="0" fontId="2" fillId="0" borderId="0" applyFont="0" applyFill="0" applyBorder="0" applyAlignment="0" applyProtection="0"/>
    <xf numFmtId="0" fontId="11" fillId="0" borderId="0" applyFont="0" applyFill="0" applyBorder="0" applyProtection="0">
      <alignment horizontal="right"/>
    </xf>
    <xf numFmtId="0" fontId="2" fillId="0" borderId="0" applyFont="0" applyFill="0" applyBorder="0" applyProtection="0">
      <alignment horizontal="left" indent="4"/>
    </xf>
    <xf numFmtId="0" fontId="2" fillId="0" borderId="0" applyFont="0" applyFill="0" applyBorder="0" applyProtection="0">
      <alignment horizontal="left" indent="4"/>
    </xf>
    <xf numFmtId="0" fontId="2" fillId="0" borderId="0" applyFont="0" applyFill="0" applyBorder="0" applyProtection="0">
      <alignment horizontal="right"/>
    </xf>
    <xf numFmtId="0" fontId="2" fillId="0" borderId="0" applyFont="0" applyFill="0" applyBorder="0" applyProtection="0">
      <alignment horizontal="right"/>
    </xf>
    <xf numFmtId="0" fontId="2" fillId="0" borderId="0" applyFont="0" applyFill="0" applyBorder="0" applyAlignment="0" applyProtection="0"/>
    <xf numFmtId="0" fontId="2" fillId="0" borderId="0" applyFont="0" applyFill="0" applyBorder="0" applyProtection="0">
      <alignment horizontal="right"/>
    </xf>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Protection="0">
      <alignment horizontal="right"/>
    </xf>
    <xf numFmtId="0" fontId="2" fillId="0" borderId="0" applyFont="0" applyFill="0" applyBorder="0" applyAlignment="0" applyProtection="0"/>
    <xf numFmtId="0" fontId="2" fillId="0" borderId="0" applyFont="0" applyFill="0" applyBorder="0" applyProtection="0">
      <alignment horizontal="right"/>
    </xf>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11" fillId="0" borderId="0" applyFont="0" applyFill="0" applyBorder="0" applyProtection="0">
      <alignment horizontal="right"/>
    </xf>
    <xf numFmtId="0" fontId="11" fillId="0" borderId="0" applyFont="0" applyFill="0" applyBorder="0" applyProtection="0">
      <alignment horizontal="right"/>
    </xf>
    <xf numFmtId="0" fontId="26" fillId="0" borderId="0" applyFont="0" applyFill="0" applyBorder="0" applyAlignment="0" applyProtection="0"/>
    <xf numFmtId="0" fontId="11" fillId="0" borderId="0" applyFont="0" applyFill="0" applyBorder="0" applyAlignment="0" applyProtection="0"/>
    <xf numFmtId="0" fontId="11" fillId="0" borderId="0" applyFont="0" applyFill="0" applyBorder="0" applyAlignment="0" applyProtection="0"/>
    <xf numFmtId="0" fontId="11" fillId="0" borderId="0" applyFont="0" applyFill="0" applyBorder="0" applyAlignment="0" applyProtection="0"/>
    <xf numFmtId="0" fontId="11" fillId="0" borderId="0" applyFont="0" applyFill="0" applyBorder="0" applyAlignment="0" applyProtection="0"/>
    <xf numFmtId="0" fontId="11" fillId="0" borderId="0" applyFont="0" applyFill="0" applyBorder="0" applyAlignment="0" applyProtection="0"/>
    <xf numFmtId="0" fontId="11"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6" fillId="0" borderId="0" applyFont="0" applyFill="0" applyBorder="0" applyAlignment="0" applyProtection="0"/>
    <xf numFmtId="0" fontId="2" fillId="0" borderId="0" applyFont="0" applyFill="0" applyBorder="0" applyProtection="0">
      <alignment horizontal="right"/>
    </xf>
    <xf numFmtId="0" fontId="2" fillId="0" borderId="0" applyFont="0" applyFill="0" applyBorder="0" applyProtection="0">
      <alignment horizontal="right"/>
    </xf>
    <xf numFmtId="0" fontId="2" fillId="0" borderId="0" applyFont="0" applyFill="0" applyBorder="0" applyAlignment="0" applyProtection="0"/>
    <xf numFmtId="0" fontId="41" fillId="0" borderId="0" applyFont="0" applyFill="0" applyBorder="0" applyProtection="0">
      <alignment horizontal="right"/>
    </xf>
    <xf numFmtId="0" fontId="2" fillId="0" borderId="0" applyFont="0" applyFill="0" applyBorder="0" applyProtection="0">
      <alignment horizontal="right"/>
    </xf>
    <xf numFmtId="0" fontId="2" fillId="0" borderId="0" applyFont="0" applyFill="0" applyBorder="0" applyProtection="0">
      <alignment horizontal="right"/>
    </xf>
    <xf numFmtId="0" fontId="11" fillId="0" borderId="0" applyFont="0" applyFill="0" applyBorder="0" applyAlignment="0" applyProtection="0"/>
    <xf numFmtId="0" fontId="11" fillId="0" borderId="0" applyFont="0" applyFill="0" applyBorder="0" applyAlignment="0" applyProtection="0"/>
    <xf numFmtId="0" fontId="2" fillId="0" borderId="0" applyFont="0" applyFill="0" applyBorder="0" applyProtection="0">
      <alignment horizontal="right"/>
    </xf>
    <xf numFmtId="0" fontId="2" fillId="0" borderId="0" applyFont="0" applyFill="0" applyBorder="0" applyProtection="0">
      <alignment horizontal="right"/>
    </xf>
    <xf numFmtId="0" fontId="2" fillId="0" borderId="0" applyFont="0" applyFill="0" applyBorder="0" applyProtection="0">
      <alignment horizontal="right"/>
    </xf>
    <xf numFmtId="0" fontId="2" fillId="0" borderId="0" applyFont="0" applyFill="0" applyBorder="0" applyProtection="0">
      <alignment horizontal="right"/>
    </xf>
    <xf numFmtId="0" fontId="2" fillId="0" borderId="0" applyFont="0" applyFill="0" applyBorder="0" applyProtection="0">
      <alignment horizontal="right"/>
    </xf>
    <xf numFmtId="0" fontId="11" fillId="0" borderId="0" applyFont="0" applyFill="0" applyBorder="0" applyAlignment="0" applyProtection="0"/>
    <xf numFmtId="0" fontId="11" fillId="0" borderId="0" applyFont="0" applyFill="0" applyBorder="0" applyAlignment="0" applyProtection="0"/>
    <xf numFmtId="0" fontId="2" fillId="0" borderId="0" applyFont="0" applyFill="0" applyBorder="0" applyAlignment="0" applyProtection="0"/>
    <xf numFmtId="0" fontId="35" fillId="0" borderId="0" applyNumberFormat="0" applyFill="0" applyBorder="0" applyAlignment="0" applyProtection="0"/>
    <xf numFmtId="0" fontId="2" fillId="0" borderId="0" applyFont="0" applyFill="0" applyBorder="0" applyAlignment="0" applyProtection="0"/>
    <xf numFmtId="0" fontId="45" fillId="0" borderId="0" applyFont="0" applyFill="0" applyBorder="0" applyAlignment="0" applyProtection="0"/>
    <xf numFmtId="0" fontId="2" fillId="0" borderId="0" applyFont="0" applyFill="0" applyBorder="0" applyProtection="0">
      <alignment horizontal="right"/>
    </xf>
    <xf numFmtId="0" fontId="45" fillId="0" borderId="0" applyFont="0" applyFill="0" applyBorder="0" applyAlignment="0" applyProtection="0"/>
    <xf numFmtId="0" fontId="45"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45"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6" fillId="0" borderId="0" applyFont="0" applyFill="0" applyBorder="0" applyAlignment="0" applyProtection="0"/>
    <xf numFmtId="0" fontId="26" fillId="0" borderId="0" applyFont="0" applyFill="0" applyBorder="0" applyAlignment="0" applyProtection="0"/>
    <xf numFmtId="0" fontId="26"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6"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11" fillId="0" borderId="22" applyFont="0" applyFill="0" applyBorder="0" applyProtection="0">
      <alignment horizontal="right"/>
    </xf>
    <xf numFmtId="0" fontId="11" fillId="0" borderId="22" applyFont="0" applyFill="0" applyBorder="0" applyProtection="0">
      <alignment horizontal="right"/>
    </xf>
    <xf numFmtId="0" fontId="11" fillId="0" borderId="0" applyFont="0" applyFill="0" applyBorder="0" applyAlignment="0" applyProtection="0"/>
    <xf numFmtId="0" fontId="11" fillId="0" borderId="0" applyFont="0" applyFill="0" applyBorder="0" applyAlignment="0" applyProtection="0"/>
    <xf numFmtId="0" fontId="11" fillId="0" borderId="0" applyFont="0" applyFill="0" applyBorder="0" applyProtection="0">
      <alignment horizontal="right"/>
    </xf>
    <xf numFmtId="0" fontId="11" fillId="0" borderId="0" applyFont="0" applyFill="0" applyBorder="0" applyProtection="0">
      <alignment horizontal="right"/>
    </xf>
    <xf numFmtId="0" fontId="2" fillId="0" borderId="0" applyFont="0" applyFill="0" applyBorder="0" applyAlignment="0" applyProtection="0"/>
    <xf numFmtId="0" fontId="45" fillId="0" borderId="0" applyFont="0" applyFill="0" applyBorder="0" applyAlignment="0" applyProtection="0"/>
    <xf numFmtId="0" fontId="45" fillId="0" borderId="0" applyFont="0" applyFill="0" applyBorder="0" applyAlignment="0" applyProtection="0"/>
    <xf numFmtId="179" fontId="2" fillId="0" borderId="0" applyFont="0" applyFill="0" applyBorder="0" applyProtection="0">
      <alignment horizontal="right"/>
    </xf>
    <xf numFmtId="0" fontId="45" fillId="0" borderId="0" applyFont="0" applyFill="0" applyBorder="0" applyAlignment="0" applyProtection="0"/>
    <xf numFmtId="0" fontId="45" fillId="0" borderId="0" applyFont="0" applyFill="0" applyBorder="0" applyAlignment="0" applyProtection="0"/>
    <xf numFmtId="0" fontId="45" fillId="0" borderId="0" applyFont="0" applyFill="0" applyBorder="0" applyAlignment="0" applyProtection="0"/>
    <xf numFmtId="0" fontId="45" fillId="0" borderId="0" applyFont="0" applyFill="0" applyBorder="0" applyAlignment="0" applyProtection="0"/>
    <xf numFmtId="179" fontId="2" fillId="0" borderId="0" applyFont="0" applyFill="0" applyBorder="0" applyAlignment="0" applyProtection="0"/>
    <xf numFmtId="0" fontId="2" fillId="0" borderId="0" applyFont="0" applyFill="0" applyBorder="0" applyAlignment="0" applyProtection="0"/>
    <xf numFmtId="179" fontId="2" fillId="0" borderId="0" applyFont="0" applyFill="0" applyBorder="0" applyAlignment="0" applyProtection="0"/>
    <xf numFmtId="0" fontId="45" fillId="0" borderId="0" applyFont="0" applyFill="0" applyBorder="0" applyAlignment="0" applyProtection="0"/>
    <xf numFmtId="179"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179" fontId="26" fillId="0" borderId="0" applyFont="0" applyFill="0" applyBorder="0" applyAlignment="0" applyProtection="0"/>
    <xf numFmtId="179" fontId="26" fillId="0" borderId="0" applyFont="0" applyFill="0" applyBorder="0" applyAlignment="0" applyProtection="0"/>
    <xf numFmtId="179" fontId="26"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6" fillId="0" borderId="0" applyFont="0" applyFill="0" applyBorder="0" applyAlignment="0" applyProtection="0"/>
    <xf numFmtId="179" fontId="2" fillId="0" borderId="0" applyFont="0" applyFill="0" applyBorder="0" applyProtection="0">
      <alignment horizontal="right"/>
    </xf>
    <xf numFmtId="179" fontId="41" fillId="0" borderId="0" applyFont="0" applyFill="0" applyBorder="0" applyProtection="0">
      <alignment horizontal="right"/>
    </xf>
    <xf numFmtId="179" fontId="2" fillId="0" borderId="0" applyFont="0" applyFill="0" applyBorder="0" applyAlignment="0" applyProtection="0"/>
    <xf numFmtId="179"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48" fillId="0" borderId="0" applyNumberFormat="0" applyFill="0" applyBorder="0" applyProtection="0">
      <alignment vertical="top"/>
    </xf>
    <xf numFmtId="0" fontId="48" fillId="0" borderId="0" applyNumberFormat="0" applyFill="0" applyBorder="0" applyProtection="0">
      <alignment vertical="top"/>
    </xf>
    <xf numFmtId="0" fontId="48" fillId="0" borderId="0" applyNumberFormat="0" applyFill="0" applyBorder="0" applyProtection="0">
      <alignment vertical="top"/>
    </xf>
    <xf numFmtId="0" fontId="48" fillId="0" borderId="0" applyNumberFormat="0" applyFill="0" applyBorder="0" applyProtection="0">
      <alignment vertical="top"/>
    </xf>
    <xf numFmtId="0" fontId="48" fillId="0" borderId="0" applyNumberFormat="0" applyFill="0" applyBorder="0" applyProtection="0">
      <alignment vertical="top"/>
    </xf>
    <xf numFmtId="0" fontId="48" fillId="0" borderId="0" applyNumberFormat="0" applyFill="0" applyBorder="0" applyProtection="0">
      <alignment vertical="top"/>
    </xf>
    <xf numFmtId="0" fontId="48" fillId="0" borderId="0" applyNumberFormat="0" applyFill="0" applyBorder="0" applyProtection="0">
      <alignment vertical="top"/>
    </xf>
    <xf numFmtId="0" fontId="48" fillId="0" borderId="0" applyNumberFormat="0" applyFill="0" applyBorder="0" applyProtection="0">
      <alignment vertical="top"/>
    </xf>
    <xf numFmtId="0" fontId="48" fillId="0" borderId="0" applyNumberFormat="0" applyFill="0" applyBorder="0" applyAlignment="0" applyProtection="0">
      <alignment vertical="top"/>
    </xf>
    <xf numFmtId="0" fontId="48" fillId="0" borderId="0" applyNumberFormat="0" applyFill="0" applyBorder="0" applyProtection="0">
      <alignment vertical="top"/>
    </xf>
    <xf numFmtId="0" fontId="48" fillId="0" borderId="0" applyNumberFormat="0" applyFill="0" applyBorder="0" applyAlignment="0" applyProtection="0">
      <alignment vertical="top"/>
    </xf>
    <xf numFmtId="0" fontId="48" fillId="0" borderId="0" applyNumberFormat="0" applyFill="0" applyBorder="0" applyAlignment="0" applyProtection="0">
      <alignment vertical="top"/>
    </xf>
    <xf numFmtId="0" fontId="48" fillId="0" borderId="0" applyNumberFormat="0" applyFill="0" applyBorder="0" applyProtection="0">
      <alignment vertical="top"/>
    </xf>
    <xf numFmtId="0" fontId="48" fillId="0" borderId="0" applyNumberFormat="0" applyFill="0" applyBorder="0" applyProtection="0">
      <alignment vertical="top"/>
    </xf>
    <xf numFmtId="0" fontId="48" fillId="0" borderId="0" applyNumberFormat="0" applyFill="0" applyBorder="0" applyProtection="0">
      <alignment vertical="top"/>
    </xf>
    <xf numFmtId="0" fontId="48" fillId="0" borderId="0" applyNumberFormat="0" applyFill="0" applyBorder="0" applyProtection="0">
      <alignment vertical="top"/>
    </xf>
    <xf numFmtId="0" fontId="48" fillId="0" borderId="0" applyNumberFormat="0" applyFill="0" applyBorder="0" applyProtection="0">
      <alignment vertical="top"/>
    </xf>
    <xf numFmtId="0" fontId="48" fillId="0" borderId="0" applyNumberFormat="0" applyFill="0" applyBorder="0" applyProtection="0">
      <alignment vertical="top"/>
    </xf>
    <xf numFmtId="0" fontId="48" fillId="0" borderId="0" applyNumberFormat="0" applyFill="0" applyBorder="0" applyProtection="0">
      <alignment vertical="top"/>
    </xf>
    <xf numFmtId="0" fontId="48" fillId="0" borderId="0" applyNumberFormat="0" applyFill="0" applyBorder="0" applyProtection="0">
      <alignment vertical="top"/>
    </xf>
    <xf numFmtId="0" fontId="48" fillId="0" borderId="0" applyNumberFormat="0" applyFill="0" applyBorder="0" applyAlignment="0" applyProtection="0">
      <alignment vertical="top"/>
    </xf>
    <xf numFmtId="0" fontId="48" fillId="0" borderId="0" applyNumberFormat="0" applyFill="0" applyBorder="0" applyProtection="0">
      <alignment vertical="top"/>
    </xf>
    <xf numFmtId="0" fontId="48" fillId="0" borderId="0" applyNumberFormat="0" applyFill="0" applyBorder="0" applyProtection="0">
      <alignment vertical="top"/>
    </xf>
    <xf numFmtId="0" fontId="48" fillId="0" borderId="0" applyNumberFormat="0" applyFill="0" applyBorder="0" applyAlignment="0" applyProtection="0">
      <alignment vertical="top"/>
    </xf>
    <xf numFmtId="0" fontId="48" fillId="0" borderId="0" applyNumberFormat="0" applyFill="0" applyBorder="0" applyProtection="0">
      <alignment vertical="top"/>
    </xf>
    <xf numFmtId="0" fontId="48" fillId="0" borderId="0" applyNumberFormat="0" applyFill="0" applyBorder="0" applyProtection="0">
      <alignment vertical="top"/>
    </xf>
    <xf numFmtId="0" fontId="48" fillId="0" borderId="0" applyNumberFormat="0" applyFill="0" applyBorder="0" applyProtection="0">
      <alignment vertical="top"/>
    </xf>
    <xf numFmtId="0" fontId="48" fillId="0" borderId="0" applyNumberFormat="0" applyFill="0" applyBorder="0" applyAlignment="0" applyProtection="0">
      <alignment vertical="top"/>
    </xf>
    <xf numFmtId="0" fontId="48" fillId="0" borderId="0" applyNumberFormat="0" applyFill="0" applyBorder="0" applyAlignment="0" applyProtection="0">
      <alignment vertical="top"/>
    </xf>
    <xf numFmtId="0" fontId="48" fillId="0" borderId="0" applyNumberFormat="0" applyFill="0" applyBorder="0" applyProtection="0">
      <alignment vertical="top"/>
    </xf>
    <xf numFmtId="0" fontId="48" fillId="0" borderId="0" applyNumberFormat="0" applyFill="0" applyBorder="0" applyProtection="0">
      <alignment vertical="top"/>
    </xf>
    <xf numFmtId="0" fontId="48" fillId="0" borderId="0" applyNumberFormat="0" applyFill="0" applyBorder="0" applyProtection="0">
      <alignment vertical="top"/>
    </xf>
    <xf numFmtId="0" fontId="48" fillId="0" borderId="0" applyNumberFormat="0" applyFill="0" applyBorder="0" applyProtection="0">
      <alignment vertical="top"/>
    </xf>
    <xf numFmtId="0" fontId="48" fillId="0" borderId="0" applyNumberFormat="0" applyFill="0" applyBorder="0" applyProtection="0">
      <alignment vertical="top"/>
    </xf>
    <xf numFmtId="0" fontId="48" fillId="0" borderId="0" applyNumberFormat="0" applyFill="0" applyBorder="0" applyProtection="0">
      <alignment vertical="top"/>
    </xf>
    <xf numFmtId="0" fontId="48" fillId="0" borderId="0" applyNumberFormat="0" applyFill="0" applyBorder="0" applyProtection="0">
      <alignment vertical="top"/>
    </xf>
    <xf numFmtId="0" fontId="48" fillId="0" borderId="0" applyNumberFormat="0" applyFill="0" applyBorder="0" applyProtection="0">
      <alignment vertical="top"/>
    </xf>
    <xf numFmtId="0" fontId="48" fillId="0" borderId="0" applyNumberFormat="0" applyFill="0" applyBorder="0" applyAlignment="0" applyProtection="0">
      <alignment vertical="top"/>
    </xf>
    <xf numFmtId="0" fontId="48" fillId="0" borderId="0" applyNumberFormat="0" applyFill="0" applyBorder="0" applyProtection="0">
      <alignment vertical="top"/>
    </xf>
    <xf numFmtId="0" fontId="48" fillId="0" borderId="0" applyNumberFormat="0" applyFill="0" applyBorder="0" applyProtection="0">
      <alignment vertical="top"/>
    </xf>
    <xf numFmtId="0" fontId="48" fillId="0" borderId="0" applyNumberFormat="0" applyFill="0" applyBorder="0" applyProtection="0">
      <alignment vertical="top"/>
    </xf>
    <xf numFmtId="0" fontId="48" fillId="0" borderId="0" applyNumberFormat="0" applyFill="0" applyBorder="0" applyAlignment="0" applyProtection="0">
      <alignment vertical="top"/>
    </xf>
    <xf numFmtId="0" fontId="48" fillId="0" borderId="0" applyNumberFormat="0" applyFill="0" applyBorder="0" applyAlignment="0" applyProtection="0">
      <alignment vertical="top"/>
    </xf>
    <xf numFmtId="0" fontId="48" fillId="0" borderId="0" applyNumberFormat="0" applyFill="0" applyBorder="0" applyProtection="0">
      <alignment vertical="top"/>
    </xf>
    <xf numFmtId="0" fontId="48" fillId="0" borderId="0" applyNumberFormat="0" applyFill="0" applyBorder="0" applyProtection="0">
      <alignment vertical="top"/>
    </xf>
    <xf numFmtId="0" fontId="48" fillId="0" borderId="0" applyNumberFormat="0" applyFill="0" applyBorder="0" applyAlignment="0" applyProtection="0"/>
    <xf numFmtId="0" fontId="48" fillId="0" borderId="0" applyNumberFormat="0" applyFill="0" applyBorder="0" applyProtection="0">
      <alignment vertical="top"/>
    </xf>
    <xf numFmtId="0" fontId="48" fillId="0" borderId="0" applyNumberFormat="0" applyFill="0" applyBorder="0" applyProtection="0">
      <alignment vertical="top"/>
    </xf>
    <xf numFmtId="0" fontId="48" fillId="0" borderId="0" applyNumberFormat="0" applyFill="0" applyBorder="0" applyProtection="0">
      <alignment vertical="top"/>
    </xf>
    <xf numFmtId="0" fontId="48" fillId="0" borderId="0" applyNumberFormat="0" applyFill="0" applyBorder="0" applyProtection="0">
      <alignment vertical="top"/>
    </xf>
    <xf numFmtId="0" fontId="48" fillId="0" borderId="0" applyNumberFormat="0" applyFill="0" applyBorder="0" applyAlignment="0" applyProtection="0">
      <alignment vertical="top"/>
    </xf>
    <xf numFmtId="0" fontId="48" fillId="0" borderId="0" applyNumberFormat="0" applyFill="0" applyBorder="0" applyProtection="0">
      <alignment vertical="top"/>
    </xf>
    <xf numFmtId="0" fontId="48" fillId="0" borderId="0" applyNumberFormat="0" applyFill="0" applyBorder="0" applyProtection="0">
      <alignment vertical="top"/>
    </xf>
    <xf numFmtId="0" fontId="48" fillId="0" borderId="0" applyNumberFormat="0" applyFill="0" applyBorder="0" applyProtection="0">
      <alignment vertical="top"/>
    </xf>
    <xf numFmtId="0" fontId="48" fillId="0" borderId="0" applyNumberFormat="0" applyFill="0" applyBorder="0" applyProtection="0">
      <alignment vertical="top"/>
    </xf>
    <xf numFmtId="0" fontId="46" fillId="0" borderId="22" applyNumberFormat="0" applyFill="0" applyAlignment="0" applyProtection="0"/>
    <xf numFmtId="0" fontId="46" fillId="0" borderId="22" applyNumberFormat="0" applyFill="0" applyAlignment="0" applyProtection="0"/>
    <xf numFmtId="0" fontId="46" fillId="0" borderId="22" applyNumberFormat="0" applyFill="0" applyAlignment="0" applyProtection="0"/>
    <xf numFmtId="0" fontId="46" fillId="0" borderId="22" applyNumberFormat="0" applyFill="0" applyAlignment="0" applyProtection="0"/>
    <xf numFmtId="0" fontId="46" fillId="0" borderId="22" applyNumberFormat="0" applyFill="0" applyAlignment="0" applyProtection="0"/>
    <xf numFmtId="0" fontId="46" fillId="0" borderId="22" applyNumberFormat="0" applyFill="0" applyAlignment="0" applyProtection="0"/>
    <xf numFmtId="0" fontId="46" fillId="0" borderId="22" applyNumberFormat="0" applyFill="0" applyAlignment="0" applyProtection="0"/>
    <xf numFmtId="0" fontId="46" fillId="0" borderId="22" applyNumberFormat="0" applyFill="0" applyAlignment="0" applyProtection="0"/>
    <xf numFmtId="0" fontId="46" fillId="0" borderId="23" applyNumberFormat="0" applyFill="0" applyAlignment="0" applyProtection="0"/>
    <xf numFmtId="0" fontId="46" fillId="0" borderId="22" applyNumberFormat="0" applyFill="0" applyAlignment="0" applyProtection="0"/>
    <xf numFmtId="0" fontId="46" fillId="0" borderId="23" applyNumberFormat="0" applyFill="0" applyAlignment="0" applyProtection="0"/>
    <xf numFmtId="0" fontId="46" fillId="0" borderId="23" applyNumberFormat="0" applyFill="0" applyAlignment="0" applyProtection="0"/>
    <xf numFmtId="0" fontId="46" fillId="0" borderId="22" applyNumberFormat="0" applyFill="0" applyAlignment="0" applyProtection="0"/>
    <xf numFmtId="0" fontId="46" fillId="0" borderId="22" applyNumberFormat="0" applyFill="0" applyAlignment="0" applyProtection="0"/>
    <xf numFmtId="0" fontId="46" fillId="0" borderId="22" applyNumberFormat="0" applyFill="0" applyAlignment="0" applyProtection="0"/>
    <xf numFmtId="0" fontId="46" fillId="0" borderId="22" applyNumberFormat="0" applyFill="0" applyAlignment="0" applyProtection="0"/>
    <xf numFmtId="0" fontId="46" fillId="0" borderId="23" applyNumberFormat="0" applyFill="0" applyAlignment="0" applyProtection="0"/>
    <xf numFmtId="0" fontId="46" fillId="0" borderId="22" applyNumberFormat="0" applyFill="0" applyAlignment="0" applyProtection="0"/>
    <xf numFmtId="0" fontId="46" fillId="0" borderId="22" applyNumberFormat="0" applyFill="0" applyAlignment="0" applyProtection="0"/>
    <xf numFmtId="0" fontId="46" fillId="0" borderId="22" applyNumberFormat="0" applyFill="0" applyAlignment="0" applyProtection="0"/>
    <xf numFmtId="0" fontId="46" fillId="0" borderId="23" applyNumberFormat="0" applyFill="0" applyAlignment="0" applyProtection="0"/>
    <xf numFmtId="0" fontId="2" fillId="0" borderId="0"/>
    <xf numFmtId="0" fontId="46" fillId="0" borderId="22" applyNumberFormat="0" applyFill="0" applyAlignment="0" applyProtection="0"/>
    <xf numFmtId="0" fontId="46" fillId="0" borderId="22" applyNumberFormat="0" applyFill="0" applyAlignment="0" applyProtection="0"/>
    <xf numFmtId="0" fontId="46" fillId="0" borderId="23" applyNumberFormat="0" applyFill="0" applyAlignment="0" applyProtection="0"/>
    <xf numFmtId="0" fontId="46" fillId="0" borderId="0" applyNumberFormat="0" applyFill="0" applyBorder="0" applyAlignment="0" applyProtection="0"/>
    <xf numFmtId="0" fontId="46" fillId="0" borderId="22" applyNumberFormat="0" applyFill="0" applyAlignment="0" applyProtection="0"/>
    <xf numFmtId="0" fontId="46" fillId="0" borderId="22" applyNumberFormat="0" applyFill="0" applyAlignment="0" applyProtection="0"/>
    <xf numFmtId="0" fontId="46" fillId="0" borderId="22" applyNumberFormat="0" applyFill="0" applyAlignment="0" applyProtection="0"/>
    <xf numFmtId="0" fontId="46" fillId="0" borderId="23" applyNumberFormat="0" applyFill="0" applyAlignment="0" applyProtection="0"/>
    <xf numFmtId="0" fontId="46" fillId="0" borderId="22" applyNumberFormat="0" applyFill="0" applyAlignment="0" applyProtection="0"/>
    <xf numFmtId="0" fontId="46" fillId="0" borderId="22" applyNumberFormat="0" applyFill="0" applyAlignment="0" applyProtection="0"/>
    <xf numFmtId="0" fontId="46" fillId="0" borderId="22" applyNumberFormat="0" applyFill="0" applyAlignment="0" applyProtection="0"/>
    <xf numFmtId="0" fontId="46" fillId="0" borderId="22" applyNumberFormat="0" applyFill="0" applyAlignment="0" applyProtection="0"/>
    <xf numFmtId="0" fontId="49" fillId="0" borderId="24" applyNumberFormat="0" applyFill="0" applyProtection="0">
      <alignment horizontal="center"/>
    </xf>
    <xf numFmtId="0" fontId="49" fillId="0" borderId="24" applyNumberFormat="0" applyFill="0" applyProtection="0">
      <alignment horizontal="center"/>
    </xf>
    <xf numFmtId="0" fontId="49" fillId="0" borderId="24" applyNumberFormat="0" applyFill="0" applyProtection="0">
      <alignment horizontal="center"/>
    </xf>
    <xf numFmtId="0" fontId="49" fillId="0" borderId="24" applyNumberFormat="0" applyFill="0" applyProtection="0">
      <alignment horizontal="center"/>
    </xf>
    <xf numFmtId="0" fontId="49" fillId="0" borderId="24" applyNumberFormat="0" applyFill="0" applyProtection="0">
      <alignment horizontal="center"/>
    </xf>
    <xf numFmtId="0" fontId="50" fillId="0" borderId="24" applyNumberFormat="0" applyFill="0" applyProtection="0">
      <alignment horizontal="center"/>
    </xf>
    <xf numFmtId="0" fontId="50" fillId="0" borderId="24" applyNumberFormat="0" applyFill="0" applyProtection="0">
      <alignment horizontal="center"/>
    </xf>
    <xf numFmtId="0" fontId="49" fillId="0" borderId="24" applyNumberFormat="0" applyFill="0" applyProtection="0">
      <alignment horizontal="center"/>
    </xf>
    <xf numFmtId="0" fontId="49" fillId="0" borderId="24" applyNumberFormat="0" applyFill="0" applyProtection="0">
      <alignment horizontal="center"/>
    </xf>
    <xf numFmtId="0" fontId="49" fillId="0" borderId="24" applyNumberFormat="0" applyFill="0" applyProtection="0">
      <alignment horizontal="center"/>
    </xf>
    <xf numFmtId="0" fontId="49" fillId="0" borderId="24" applyNumberFormat="0" applyFill="0" applyProtection="0">
      <alignment horizontal="center"/>
    </xf>
    <xf numFmtId="0" fontId="49" fillId="0" borderId="24" applyNumberFormat="0" applyFill="0" applyProtection="0">
      <alignment horizontal="center"/>
    </xf>
    <xf numFmtId="0" fontId="50" fillId="0" borderId="24" applyNumberFormat="0" applyFill="0" applyProtection="0">
      <alignment horizontal="center"/>
    </xf>
    <xf numFmtId="0" fontId="49" fillId="0" borderId="24" applyNumberFormat="0" applyFill="0" applyProtection="0">
      <alignment horizontal="center"/>
    </xf>
    <xf numFmtId="0" fontId="2" fillId="0" borderId="0"/>
    <xf numFmtId="0" fontId="49" fillId="0" borderId="24" applyNumberFormat="0" applyFill="0" applyProtection="0">
      <alignment horizontal="center"/>
    </xf>
    <xf numFmtId="0" fontId="49" fillId="0" borderId="24" applyNumberFormat="0" applyFill="0" applyProtection="0">
      <alignment horizontal="center"/>
    </xf>
    <xf numFmtId="0" fontId="2" fillId="0" borderId="25" applyNumberFormat="0" applyFont="0" applyFill="0" applyAlignment="0" applyProtection="0"/>
    <xf numFmtId="0" fontId="49" fillId="0" borderId="0" applyNumberFormat="0" applyFill="0" applyBorder="0" applyProtection="0">
      <alignment horizontal="left"/>
    </xf>
    <xf numFmtId="0" fontId="49" fillId="0" borderId="0" applyNumberFormat="0" applyFill="0" applyBorder="0" applyProtection="0">
      <alignment horizontal="left"/>
    </xf>
    <xf numFmtId="0" fontId="49" fillId="0" borderId="0" applyNumberFormat="0" applyFill="0" applyBorder="0" applyProtection="0">
      <alignment horizontal="left"/>
    </xf>
    <xf numFmtId="0" fontId="49" fillId="0" borderId="0" applyNumberFormat="0" applyFill="0" applyBorder="0" applyProtection="0">
      <alignment horizontal="left"/>
    </xf>
    <xf numFmtId="0" fontId="49" fillId="0" borderId="0" applyNumberFormat="0" applyFill="0" applyBorder="0" applyProtection="0">
      <alignment horizontal="left"/>
    </xf>
    <xf numFmtId="0" fontId="49" fillId="0" borderId="0" applyNumberFormat="0" applyFill="0" applyBorder="0" applyProtection="0">
      <alignment horizontal="left"/>
    </xf>
    <xf numFmtId="0" fontId="49" fillId="0" borderId="0" applyNumberFormat="0" applyFill="0" applyBorder="0" applyProtection="0">
      <alignment horizontal="left"/>
    </xf>
    <xf numFmtId="0" fontId="49" fillId="0" borderId="0" applyNumberFormat="0" applyFill="0" applyBorder="0" applyProtection="0">
      <alignment horizontal="left"/>
    </xf>
    <xf numFmtId="0" fontId="49" fillId="0" borderId="0" applyNumberFormat="0" applyFill="0" applyBorder="0" applyProtection="0">
      <alignment horizontal="left"/>
    </xf>
    <xf numFmtId="0" fontId="2" fillId="0" borderId="0"/>
    <xf numFmtId="0" fontId="49" fillId="0" borderId="0" applyNumberFormat="0" applyFill="0" applyBorder="0" applyProtection="0">
      <alignment horizontal="left"/>
    </xf>
    <xf numFmtId="0" fontId="49" fillId="0" borderId="0" applyNumberFormat="0" applyFill="0" applyBorder="0" applyProtection="0">
      <alignment horizontal="left"/>
    </xf>
    <xf numFmtId="0" fontId="51" fillId="0" borderId="0" applyNumberFormat="0" applyFill="0" applyBorder="0" applyProtection="0">
      <alignment horizontal="centerContinuous"/>
    </xf>
    <xf numFmtId="0" fontId="51" fillId="0" borderId="0" applyNumberFormat="0" applyFill="0" applyBorder="0" applyProtection="0">
      <alignment horizontal="centerContinuous"/>
    </xf>
    <xf numFmtId="0" fontId="51" fillId="0" borderId="0" applyNumberFormat="0" applyFill="0" applyBorder="0" applyProtection="0">
      <alignment horizontal="centerContinuous"/>
    </xf>
    <xf numFmtId="0" fontId="51" fillId="0" borderId="0" applyNumberFormat="0" applyFill="0" applyBorder="0" applyProtection="0">
      <alignment horizontal="centerContinuous"/>
    </xf>
    <xf numFmtId="0" fontId="51" fillId="0" borderId="0" applyNumberFormat="0" applyFill="0" applyBorder="0" applyProtection="0">
      <alignment horizontal="centerContinuous"/>
    </xf>
    <xf numFmtId="0" fontId="51" fillId="0" borderId="0" applyNumberFormat="0" applyFill="0" applyBorder="0" applyProtection="0">
      <alignment horizontal="centerContinuous"/>
    </xf>
    <xf numFmtId="0" fontId="51" fillId="0" borderId="0" applyNumberFormat="0" applyFill="0" applyBorder="0" applyProtection="0">
      <alignment horizontal="centerContinuous"/>
    </xf>
    <xf numFmtId="0" fontId="51" fillId="0" borderId="0" applyNumberFormat="0" applyFill="0" applyBorder="0" applyProtection="0">
      <alignment horizontal="centerContinuous"/>
    </xf>
    <xf numFmtId="0" fontId="52" fillId="0" borderId="0" applyNumberFormat="0" applyFill="0" applyBorder="0" applyProtection="0">
      <alignment horizontal="centerContinuous"/>
    </xf>
    <xf numFmtId="0" fontId="51" fillId="0" borderId="0" applyNumberFormat="0" applyFill="0" applyProtection="0">
      <alignment horizontal="centerContinuous"/>
    </xf>
    <xf numFmtId="0" fontId="52" fillId="0" borderId="0" applyNumberFormat="0" applyFill="0" applyBorder="0" applyProtection="0">
      <alignment horizontal="centerContinuous"/>
    </xf>
    <xf numFmtId="0" fontId="51" fillId="0" borderId="0" applyNumberFormat="0" applyFill="0" applyProtection="0">
      <alignment horizontal="centerContinuous"/>
    </xf>
    <xf numFmtId="0" fontId="51" fillId="0" borderId="0" applyNumberFormat="0" applyFill="0" applyProtection="0">
      <alignment horizontal="centerContinuous"/>
    </xf>
    <xf numFmtId="0" fontId="51" fillId="0" borderId="0" applyNumberFormat="0" applyFill="0" applyBorder="0" applyProtection="0">
      <alignment horizontal="centerContinuous"/>
    </xf>
    <xf numFmtId="0" fontId="51" fillId="0" borderId="0" applyNumberFormat="0" applyFill="0" applyBorder="0" applyProtection="0">
      <alignment horizontal="centerContinuous"/>
    </xf>
    <xf numFmtId="0" fontId="51" fillId="0" borderId="0" applyNumberFormat="0" applyFill="0" applyBorder="0" applyProtection="0">
      <alignment horizontal="centerContinuous"/>
    </xf>
    <xf numFmtId="0" fontId="51" fillId="0" borderId="0" applyNumberFormat="0" applyFill="0" applyBorder="0" applyProtection="0">
      <alignment horizontal="centerContinuous"/>
    </xf>
    <xf numFmtId="0" fontId="51" fillId="0" borderId="0" applyNumberFormat="0" applyFill="0" applyProtection="0">
      <alignment horizontal="centerContinuous"/>
    </xf>
    <xf numFmtId="0" fontId="51" fillId="0" borderId="0" applyNumberFormat="0" applyFont="0" applyFill="0" applyBorder="0" applyAlignment="0" applyProtection="0">
      <alignment horizontal="centerContinuous"/>
    </xf>
    <xf numFmtId="0" fontId="51" fillId="0" borderId="0" applyNumberFormat="0" applyFill="0" applyBorder="0" applyProtection="0">
      <alignment horizontal="centerContinuous"/>
    </xf>
    <xf numFmtId="0" fontId="52" fillId="0" borderId="0" applyNumberFormat="0" applyFill="0" applyBorder="0" applyProtection="0">
      <alignment horizontal="centerContinuous"/>
    </xf>
    <xf numFmtId="0" fontId="51" fillId="0" borderId="0" applyNumberFormat="0" applyFill="0" applyProtection="0">
      <alignment horizontal="centerContinuous"/>
    </xf>
    <xf numFmtId="0" fontId="2" fillId="0" borderId="0"/>
    <xf numFmtId="0" fontId="51" fillId="0" borderId="0" applyNumberFormat="0" applyFill="0" applyBorder="0" applyProtection="0">
      <alignment horizontal="centerContinuous"/>
    </xf>
    <xf numFmtId="0" fontId="51" fillId="0" borderId="0" applyNumberFormat="0" applyFill="0" applyBorder="0" applyProtection="0">
      <alignment horizontal="centerContinuous"/>
    </xf>
    <xf numFmtId="0" fontId="51" fillId="0" borderId="0" applyNumberFormat="0" applyFill="0" applyProtection="0">
      <alignment horizontal="centerContinuous"/>
    </xf>
    <xf numFmtId="0" fontId="51" fillId="0" borderId="0" applyNumberFormat="0" applyFill="0" applyBorder="0" applyProtection="0">
      <alignment horizontal="centerContinuous"/>
    </xf>
    <xf numFmtId="0" fontId="51" fillId="0" borderId="0" applyNumberFormat="0" applyFill="0" applyBorder="0" applyProtection="0">
      <alignment horizontal="centerContinuous"/>
    </xf>
    <xf numFmtId="0" fontId="51" fillId="0" borderId="0" applyNumberFormat="0" applyFill="0" applyBorder="0" applyProtection="0">
      <alignment horizontal="centerContinuous"/>
    </xf>
    <xf numFmtId="0" fontId="51" fillId="0" borderId="0" applyNumberFormat="0" applyFill="0" applyBorder="0" applyProtection="0">
      <alignment horizontal="centerContinuous"/>
    </xf>
    <xf numFmtId="0" fontId="51" fillId="0" borderId="0" applyNumberFormat="0" applyFill="0" applyProtection="0">
      <alignment horizontal="centerContinuous"/>
    </xf>
    <xf numFmtId="0" fontId="51" fillId="0" borderId="0" applyNumberFormat="0" applyFill="0" applyBorder="0" applyProtection="0">
      <alignment horizontal="centerContinuous"/>
    </xf>
    <xf numFmtId="0" fontId="51" fillId="0" borderId="0" applyNumberFormat="0" applyFill="0" applyBorder="0" applyProtection="0">
      <alignment horizontal="centerContinuous"/>
    </xf>
    <xf numFmtId="0" fontId="51" fillId="0" borderId="0" applyNumberFormat="0" applyFill="0" applyBorder="0" applyProtection="0">
      <alignment horizontal="centerContinuous"/>
    </xf>
    <xf numFmtId="0" fontId="51" fillId="0" borderId="0" applyNumberFormat="0" applyFill="0" applyBorder="0" applyProtection="0">
      <alignment horizontal="centerContinuous"/>
    </xf>
    <xf numFmtId="3" fontId="26" fillId="0" borderId="0"/>
    <xf numFmtId="0" fontId="2" fillId="0" borderId="0" applyFont="0" applyFill="0" applyBorder="0" applyAlignment="0" applyProtection="0"/>
    <xf numFmtId="0" fontId="11" fillId="0" borderId="0"/>
    <xf numFmtId="0" fontId="11" fillId="0" borderId="0"/>
    <xf numFmtId="8" fontId="41" fillId="0" borderId="0" applyFont="0" applyFill="0" applyBorder="0" applyAlignment="0" applyProtection="0"/>
    <xf numFmtId="6" fontId="41" fillId="0" borderId="0" applyFont="0" applyFill="0" applyBorder="0" applyAlignment="0" applyProtection="0"/>
    <xf numFmtId="0" fontId="11" fillId="0" borderId="0" applyFont="0" applyFill="0" applyBorder="0" applyAlignment="0" applyProtection="0"/>
    <xf numFmtId="0" fontId="11" fillId="0" borderId="0" applyFont="0" applyFill="0" applyBorder="0" applyAlignment="0" applyProtection="0"/>
    <xf numFmtId="0" fontId="11" fillId="0" borderId="0" applyFont="0" applyFill="0" applyBorder="0" applyAlignment="0" applyProtection="0"/>
    <xf numFmtId="0" fontId="53" fillId="0" borderId="0" applyFont="0" applyFill="0" applyBorder="0" applyAlignment="0" applyProtection="0"/>
    <xf numFmtId="0" fontId="11" fillId="0" borderId="0" applyFont="0" applyFill="0" applyBorder="0" applyAlignment="0" applyProtection="0"/>
    <xf numFmtId="0" fontId="11" fillId="0" borderId="0" applyFont="0" applyFill="0" applyBorder="0" applyAlignment="0" applyProtection="0"/>
    <xf numFmtId="0" fontId="11" fillId="0" borderId="0" applyFont="0" applyFill="0" applyBorder="0" applyAlignment="0" applyProtection="0"/>
    <xf numFmtId="0" fontId="54" fillId="0" borderId="0"/>
    <xf numFmtId="0" fontId="53" fillId="0" borderId="0" applyFont="0" applyFill="0" applyBorder="0" applyAlignment="0" applyProtection="0"/>
    <xf numFmtId="9" fontId="2" fillId="12" borderId="0"/>
    <xf numFmtId="0" fontId="2" fillId="0" borderId="0"/>
    <xf numFmtId="0" fontId="2" fillId="0" borderId="0"/>
    <xf numFmtId="0" fontId="55" fillId="0" borderId="0"/>
    <xf numFmtId="0" fontId="41" fillId="0" borderId="0"/>
    <xf numFmtId="0" fontId="41" fillId="0" borderId="0"/>
    <xf numFmtId="9" fontId="2" fillId="0" borderId="0"/>
    <xf numFmtId="0" fontId="41" fillId="0" borderId="0"/>
    <xf numFmtId="0" fontId="55" fillId="0" borderId="0">
      <alignment horizontal="right"/>
    </xf>
    <xf numFmtId="0" fontId="55" fillId="0" borderId="0"/>
    <xf numFmtId="0" fontId="41" fillId="0" borderId="0"/>
    <xf numFmtId="2" fontId="41" fillId="0" borderId="0"/>
    <xf numFmtId="10" fontId="41" fillId="0" borderId="0"/>
    <xf numFmtId="0" fontId="11" fillId="0" borderId="0" applyFont="0" applyFill="0" applyBorder="0" applyAlignment="0" applyProtection="0">
      <alignment horizontal="right"/>
    </xf>
    <xf numFmtId="0" fontId="11" fillId="0" borderId="0" applyFont="0" applyFill="0" applyBorder="0" applyAlignment="0" applyProtection="0">
      <alignment horizontal="right"/>
    </xf>
    <xf numFmtId="38" fontId="36" fillId="0" borderId="1"/>
    <xf numFmtId="0" fontId="11" fillId="0" borderId="0">
      <alignment horizontal="left"/>
    </xf>
    <xf numFmtId="0" fontId="11" fillId="0" borderId="0">
      <alignment horizontal="left"/>
    </xf>
    <xf numFmtId="0" fontId="11" fillId="0" borderId="0"/>
    <xf numFmtId="0" fontId="54" fillId="0" borderId="0" applyFont="0" applyFill="0" applyBorder="0" applyAlignment="0" applyProtection="0"/>
    <xf numFmtId="0" fontId="54" fillId="0" borderId="0" applyFont="0" applyFill="0" applyBorder="0" applyAlignment="0" applyProtection="0"/>
    <xf numFmtId="37" fontId="56" fillId="0" borderId="0">
      <alignment horizontal="center"/>
    </xf>
    <xf numFmtId="0" fontId="57" fillId="0" borderId="0">
      <alignment horizontal="center"/>
    </xf>
    <xf numFmtId="0" fontId="45" fillId="0" borderId="0" applyFont="0" applyFill="0" applyBorder="0" applyAlignment="0" applyProtection="0"/>
    <xf numFmtId="182" fontId="42" fillId="13" borderId="0" applyFont="0" applyBorder="0"/>
    <xf numFmtId="0" fontId="24" fillId="14" borderId="0"/>
    <xf numFmtId="182" fontId="42" fillId="15" borderId="0" applyNumberFormat="0" applyFont="0" applyBorder="0" applyAlignment="0" applyProtection="0"/>
    <xf numFmtId="182" fontId="58" fillId="12" borderId="0" applyNumberFormat="0" applyFont="0" applyBorder="0" applyAlignment="0" applyProtection="0"/>
    <xf numFmtId="182" fontId="11" fillId="16" borderId="0" applyBorder="0"/>
    <xf numFmtId="182" fontId="2" fillId="0" borderId="26" applyNumberFormat="0" applyBorder="0" applyAlignment="0" applyProtection="0"/>
    <xf numFmtId="183" fontId="27" fillId="0" borderId="0" applyBorder="0">
      <alignment horizontal="right"/>
    </xf>
    <xf numFmtId="183" fontId="11" fillId="0" borderId="26" applyBorder="0">
      <alignment horizontal="right"/>
    </xf>
    <xf numFmtId="169" fontId="59" fillId="0" borderId="0" applyBorder="0">
      <alignment horizontal="right"/>
    </xf>
    <xf numFmtId="169" fontId="60" fillId="0" borderId="26" applyBorder="0">
      <alignment horizontal="right"/>
    </xf>
    <xf numFmtId="182" fontId="61" fillId="0" borderId="0">
      <alignment horizontal="left" indent="1"/>
    </xf>
    <xf numFmtId="182" fontId="62" fillId="0" borderId="7" applyBorder="0"/>
    <xf numFmtId="182" fontId="42" fillId="17" borderId="26" applyNumberFormat="0" applyFont="0" applyBorder="0" applyAlignment="0" applyProtection="0"/>
    <xf numFmtId="183" fontId="39" fillId="18" borderId="7" applyBorder="0">
      <alignment horizontal="right"/>
    </xf>
    <xf numFmtId="183" fontId="39" fillId="0" borderId="7" applyBorder="0">
      <alignment horizontal="right"/>
    </xf>
    <xf numFmtId="182" fontId="26" fillId="0" borderId="26" applyNumberFormat="0" applyBorder="0" applyAlignment="0" applyProtection="0"/>
    <xf numFmtId="0" fontId="39" fillId="13" borderId="27" applyBorder="0">
      <alignment horizontal="center"/>
    </xf>
    <xf numFmtId="0" fontId="11" fillId="0" borderId="0" applyFont="0" applyFill="0" applyBorder="0" applyAlignment="0" applyProtection="0"/>
    <xf numFmtId="184" fontId="63" fillId="0" borderId="0" applyFont="0" applyFill="0" applyBorder="0" applyAlignment="0" applyProtection="0"/>
    <xf numFmtId="185" fontId="24" fillId="0" borderId="0" applyFont="0" applyFill="0" applyBorder="0" applyAlignment="0" applyProtection="0"/>
    <xf numFmtId="0" fontId="11" fillId="19" borderId="0" applyNumberFormat="0" applyFont="0" applyBorder="0" applyAlignment="0">
      <alignment horizontal="right"/>
    </xf>
    <xf numFmtId="0" fontId="11" fillId="20" borderId="28">
      <alignment horizontal="center" vertical="center"/>
    </xf>
    <xf numFmtId="0" fontId="11" fillId="19" borderId="15" applyFont="0">
      <alignment horizontal="right"/>
    </xf>
    <xf numFmtId="0" fontId="11" fillId="0" borderId="0" applyNumberFormat="0" applyFill="0" applyBorder="0" applyAlignment="0" applyProtection="0"/>
    <xf numFmtId="0" fontId="23" fillId="0" borderId="0" applyNumberFormat="0" applyFill="0" applyBorder="0" applyAlignment="0" applyProtection="0"/>
    <xf numFmtId="0" fontId="40" fillId="0" borderId="0">
      <alignment horizontal="center" wrapText="1"/>
      <protection locked="0"/>
    </xf>
    <xf numFmtId="0" fontId="2" fillId="0" borderId="0" applyNumberFormat="0" applyFill="0" applyBorder="0" applyAlignment="0" applyProtection="0"/>
    <xf numFmtId="0" fontId="43" fillId="0" borderId="0" applyNumberFormat="0" applyFill="0" applyBorder="0" applyAlignment="0" applyProtection="0"/>
    <xf numFmtId="0" fontId="2" fillId="0" borderId="29" applyNumberFormat="0" applyFill="0" applyBorder="0" applyAlignment="0" applyProtection="0"/>
    <xf numFmtId="0" fontId="14" fillId="0" borderId="29" applyNumberFormat="0" applyFill="0" applyBorder="0" applyAlignment="0" applyProtection="0"/>
    <xf numFmtId="0" fontId="15" fillId="0" borderId="29" applyNumberFormat="0" applyFill="0" applyBorder="0" applyAlignment="0" applyProtection="0"/>
    <xf numFmtId="0" fontId="11" fillId="0" borderId="29" applyNumberFormat="0" applyFill="0" applyAlignment="0" applyProtection="0"/>
    <xf numFmtId="0" fontId="64" fillId="0" borderId="0" applyNumberFormat="0" applyProtection="0"/>
    <xf numFmtId="0" fontId="65" fillId="0" borderId="30" applyNumberFormat="0" applyFill="0" applyAlignment="0" applyProtection="0"/>
    <xf numFmtId="0" fontId="45" fillId="0" borderId="9" applyNumberFormat="0" applyFont="0" applyFill="0" applyAlignment="0" applyProtection="0"/>
    <xf numFmtId="0" fontId="45" fillId="0" borderId="31" applyNumberFormat="0" applyFont="0" applyFill="0" applyAlignment="0" applyProtection="0"/>
    <xf numFmtId="0" fontId="45" fillId="0" borderId="0" applyFont="0" applyFill="0" applyBorder="0" applyAlignment="0" applyProtection="0"/>
    <xf numFmtId="0" fontId="11" fillId="0" borderId="0"/>
    <xf numFmtId="0" fontId="40" fillId="0" borderId="0" applyFont="0" applyFill="0" applyBorder="0" applyAlignment="0" applyProtection="0"/>
    <xf numFmtId="1" fontId="66" fillId="21" borderId="32" applyNumberFormat="0" applyBorder="0" applyAlignment="0">
      <alignment horizontal="center" vertical="top" wrapText="1"/>
      <protection hidden="1"/>
    </xf>
    <xf numFmtId="3" fontId="43" fillId="0" borderId="0" applyFont="0" applyBorder="0" applyAlignment="0" applyProtection="0"/>
    <xf numFmtId="186" fontId="11" fillId="0" borderId="0" applyFont="0" applyFill="0" applyBorder="0" applyAlignment="0" applyProtection="0"/>
    <xf numFmtId="0" fontId="11" fillId="0" borderId="0" applyFont="0" applyFill="0" applyBorder="0" applyAlignment="0" applyProtection="0"/>
    <xf numFmtId="0" fontId="11" fillId="0" borderId="0" applyFont="0" applyFill="0" applyBorder="0" applyAlignment="0" applyProtection="0"/>
    <xf numFmtId="0" fontId="11" fillId="0" borderId="0" applyFont="0" applyFill="0" applyBorder="0" applyAlignment="0" applyProtection="0"/>
    <xf numFmtId="0" fontId="11" fillId="0" borderId="0" applyFont="0" applyFill="0" applyBorder="0" applyAlignment="0" applyProtection="0"/>
    <xf numFmtId="0" fontId="11" fillId="0" borderId="0" applyFont="0" applyFill="0" applyBorder="0" applyAlignment="0" applyProtection="0"/>
    <xf numFmtId="0" fontId="11" fillId="0" borderId="0" applyFont="0" applyFill="0" applyBorder="0" applyAlignment="0" applyProtection="0">
      <alignment horizontal="right"/>
    </xf>
    <xf numFmtId="0" fontId="26" fillId="0" borderId="0"/>
    <xf numFmtId="0" fontId="11" fillId="22" borderId="33" applyFont="0" applyFill="0" applyBorder="0" applyAlignment="0" applyProtection="0">
      <alignment horizontal="center"/>
    </xf>
    <xf numFmtId="0" fontId="67" fillId="0" borderId="0" applyNumberFormat="0" applyFill="0" applyBorder="0" applyAlignment="0" applyProtection="0"/>
    <xf numFmtId="0" fontId="2" fillId="0" borderId="0" applyNumberFormat="0" applyFill="0" applyBorder="0" applyAlignment="0" applyProtection="0"/>
    <xf numFmtId="0" fontId="12" fillId="23" borderId="0" applyNumberFormat="0" applyFill="0" applyBorder="0" applyAlignment="0" applyProtection="0">
      <protection locked="0"/>
    </xf>
    <xf numFmtId="0" fontId="11" fillId="0" borderId="0" applyNumberFormat="0" applyFont="0" applyAlignment="0"/>
    <xf numFmtId="0" fontId="36" fillId="0" borderId="0" applyFont="0" applyFill="0" applyBorder="0" applyAlignment="0" applyProtection="0"/>
    <xf numFmtId="0" fontId="11" fillId="0" borderId="0" applyFont="0" applyFill="0" applyBorder="0" applyAlignment="0" applyProtection="0"/>
    <xf numFmtId="0" fontId="68" fillId="0" borderId="0" applyFont="0" applyFill="0" applyBorder="0" applyAlignment="0" applyProtection="0"/>
    <xf numFmtId="0" fontId="11" fillId="0" borderId="0" applyFont="0" applyFill="0" applyBorder="0" applyAlignment="0" applyProtection="0"/>
    <xf numFmtId="0" fontId="11" fillId="0" borderId="0" applyFont="0" applyFill="0" applyBorder="0" applyAlignment="0" applyProtection="0"/>
    <xf numFmtId="0" fontId="11" fillId="0" borderId="0" applyFont="0" applyFill="0" applyBorder="0" applyAlignment="0" applyProtection="0"/>
    <xf numFmtId="0" fontId="36" fillId="0" borderId="0" applyFont="0" applyFill="0" applyBorder="0" applyAlignment="0" applyProtection="0"/>
    <xf numFmtId="0" fontId="11" fillId="0" borderId="0" applyFont="0" applyFill="0" applyBorder="0" applyAlignment="0" applyProtection="0"/>
    <xf numFmtId="0" fontId="36" fillId="0" borderId="0" applyFont="0" applyFill="0" applyBorder="0" applyAlignment="0" applyProtection="0"/>
    <xf numFmtId="0" fontId="11" fillId="0" borderId="0" applyFont="0" applyFill="0" applyBorder="0" applyAlignment="0" applyProtection="0"/>
    <xf numFmtId="0" fontId="11" fillId="0" borderId="0" applyFont="0" applyFill="0" applyBorder="0" applyAlignment="0" applyProtection="0"/>
    <xf numFmtId="187" fontId="11" fillId="0" borderId="0" applyFont="0" applyFill="0" applyBorder="0" applyAlignment="0" applyProtection="0"/>
    <xf numFmtId="188" fontId="36" fillId="0" borderId="0" applyFont="0" applyFill="0" applyBorder="0" applyAlignment="0" applyProtection="0"/>
    <xf numFmtId="0" fontId="69" fillId="0" borderId="0" applyNumberFormat="0" applyFill="0" applyBorder="0" applyAlignment="0"/>
    <xf numFmtId="0" fontId="70" fillId="24" borderId="34" applyFill="0" applyBorder="0" applyProtection="0">
      <alignment horizontal="left"/>
    </xf>
    <xf numFmtId="0" fontId="71" fillId="0" borderId="0" applyNumberFormat="0" applyFill="0" applyBorder="0" applyAlignment="0" applyProtection="0"/>
    <xf numFmtId="1" fontId="22" fillId="14" borderId="35">
      <alignment horizontal="center"/>
    </xf>
    <xf numFmtId="0" fontId="72" fillId="0" borderId="0"/>
    <xf numFmtId="0" fontId="22" fillId="14" borderId="36">
      <alignment horizontal="center"/>
    </xf>
    <xf numFmtId="7" fontId="73" fillId="0" borderId="0">
      <alignment horizontal="right"/>
      <protection locked="0"/>
    </xf>
    <xf numFmtId="0" fontId="74" fillId="0" borderId="0" applyNumberFormat="0" applyFill="0" applyBorder="0" applyAlignment="0" applyProtection="0"/>
    <xf numFmtId="0" fontId="45" fillId="0" borderId="0" applyBorder="0" applyProtection="0"/>
    <xf numFmtId="0" fontId="2" fillId="0" borderId="0"/>
    <xf numFmtId="0" fontId="33" fillId="0" borderId="0" applyNumberFormat="0" applyFill="0" applyBorder="0" applyAlignment="0" applyProtection="0"/>
    <xf numFmtId="37" fontId="75" fillId="0" borderId="0"/>
    <xf numFmtId="0" fontId="76" fillId="0" borderId="9" applyNumberFormat="0" applyFill="0" applyAlignment="0" applyProtection="0"/>
    <xf numFmtId="0" fontId="2" fillId="23" borderId="37" applyNumberFormat="0" applyFill="0" applyBorder="0" applyAlignment="0" applyProtection="0">
      <protection locked="0"/>
    </xf>
    <xf numFmtId="5" fontId="23" fillId="0" borderId="7" applyAlignment="0" applyProtection="0"/>
    <xf numFmtId="0" fontId="40" fillId="0" borderId="21" applyNumberFormat="0" applyFont="0" applyFill="0" applyAlignment="0" applyProtection="0"/>
    <xf numFmtId="0" fontId="40" fillId="0" borderId="38" applyNumberFormat="0" applyFont="0" applyFill="0" applyAlignment="0" applyProtection="0"/>
    <xf numFmtId="0" fontId="28" fillId="0" borderId="9" applyNumberFormat="0" applyFont="0" applyFill="0" applyAlignment="0" applyProtection="0"/>
    <xf numFmtId="0" fontId="28" fillId="0" borderId="32" applyNumberFormat="0" applyFont="0" applyFill="0" applyAlignment="0" applyProtection="0"/>
    <xf numFmtId="0" fontId="28" fillId="0" borderId="37" applyNumberFormat="0" applyFont="0" applyFill="0" applyAlignment="0" applyProtection="0"/>
    <xf numFmtId="0" fontId="28" fillId="0" borderId="7" applyNumberFormat="0" applyFont="0" applyFill="0" applyAlignment="0" applyProtection="0"/>
    <xf numFmtId="37" fontId="77" fillId="0" borderId="15">
      <alignment horizontal="right" vertical="center"/>
    </xf>
    <xf numFmtId="37" fontId="75" fillId="0" borderId="15">
      <alignment horizontal="right" vertical="center"/>
    </xf>
    <xf numFmtId="189" fontId="45" fillId="0" borderId="21" applyNumberFormat="0" applyFont="0" applyFill="0" applyAlignment="0" applyProtection="0">
      <alignment horizontal="center"/>
    </xf>
    <xf numFmtId="0" fontId="2" fillId="0" borderId="39" applyFill="0" applyProtection="0">
      <alignment horizontal="right"/>
    </xf>
    <xf numFmtId="179" fontId="11" fillId="0" borderId="9" applyFill="0" applyAlignment="0" applyProtection="0">
      <alignment horizontal="center"/>
    </xf>
    <xf numFmtId="190" fontId="2" fillId="0" borderId="0" applyFont="0" applyFill="0" applyBorder="0" applyAlignment="0" applyProtection="0"/>
    <xf numFmtId="191" fontId="78" fillId="0" borderId="0" applyFill="0" applyBorder="0" applyAlignment="0" applyProtection="0"/>
    <xf numFmtId="0" fontId="11" fillId="0" borderId="0" applyFont="0" applyFill="0" applyBorder="0" applyProtection="0">
      <alignment horizontal="left"/>
    </xf>
    <xf numFmtId="0" fontId="11" fillId="0" borderId="0" applyFont="0" applyFill="0" applyBorder="0" applyProtection="0">
      <alignment horizontal="left"/>
    </xf>
    <xf numFmtId="0" fontId="11" fillId="0" borderId="0" applyFont="0" applyFill="0" applyBorder="0" applyProtection="0">
      <alignment horizontal="left"/>
    </xf>
    <xf numFmtId="0" fontId="53" fillId="0" borderId="0" applyFont="0" applyFill="0" applyBorder="0" applyAlignment="0" applyProtection="0"/>
    <xf numFmtId="0" fontId="79" fillId="0" borderId="0" applyNumberFormat="0" applyFill="0" applyBorder="0" applyAlignment="0" applyProtection="0"/>
    <xf numFmtId="0" fontId="2" fillId="0" borderId="0"/>
    <xf numFmtId="0" fontId="80" fillId="0" borderId="0"/>
    <xf numFmtId="0" fontId="33" fillId="0" borderId="21">
      <alignment horizontal="center"/>
    </xf>
    <xf numFmtId="0" fontId="2" fillId="0" borderId="0"/>
    <xf numFmtId="0" fontId="11" fillId="0" borderId="0"/>
    <xf numFmtId="0" fontId="36" fillId="0" borderId="0" applyFont="0" applyFill="0" applyBorder="0" applyAlignment="0" applyProtection="0"/>
    <xf numFmtId="0" fontId="11" fillId="0" borderId="0"/>
    <xf numFmtId="2" fontId="11" fillId="25" borderId="0" applyNumberFormat="0" applyFont="0" applyBorder="0" applyAlignment="0" applyProtection="0"/>
    <xf numFmtId="0" fontId="28" fillId="0" borderId="0" applyFill="0" applyBorder="0" applyAlignment="0"/>
    <xf numFmtId="0" fontId="2" fillId="0" borderId="0" applyFill="0" applyBorder="0" applyAlignment="0"/>
    <xf numFmtId="0" fontId="2" fillId="0" borderId="0" applyFill="0" applyBorder="0" applyAlignment="0"/>
    <xf numFmtId="0" fontId="2" fillId="0" borderId="0" applyFill="0" applyBorder="0" applyAlignment="0"/>
    <xf numFmtId="0" fontId="2" fillId="0" borderId="0" applyFill="0" applyBorder="0" applyAlignment="0"/>
    <xf numFmtId="0" fontId="81" fillId="0" borderId="0" applyFill="0" applyBorder="0" applyAlignment="0"/>
    <xf numFmtId="0" fontId="81" fillId="0" borderId="0" applyFill="0" applyBorder="0" applyAlignment="0"/>
    <xf numFmtId="0" fontId="2" fillId="0" borderId="0" applyFill="0" applyBorder="0" applyAlignment="0"/>
    <xf numFmtId="0" fontId="82" fillId="0" borderId="0"/>
    <xf numFmtId="0" fontId="11" fillId="0" borderId="0"/>
    <xf numFmtId="0" fontId="11" fillId="0" borderId="0">
      <alignment horizontal="left"/>
    </xf>
    <xf numFmtId="192" fontId="40" fillId="26" borderId="0" applyNumberFormat="0" applyFont="0" applyBorder="0" applyAlignment="0"/>
    <xf numFmtId="0" fontId="40" fillId="0" borderId="0" applyFill="0" applyBorder="0" applyProtection="0"/>
    <xf numFmtId="0" fontId="2" fillId="0" borderId="0" applyFont="0" applyFill="0" applyBorder="0" applyAlignment="0" applyProtection="0"/>
    <xf numFmtId="0" fontId="83" fillId="0" borderId="0"/>
    <xf numFmtId="0" fontId="84" fillId="24" borderId="2"/>
    <xf numFmtId="0" fontId="36" fillId="0" borderId="0"/>
    <xf numFmtId="0" fontId="76" fillId="0" borderId="9" applyNumberFormat="0" applyFont="0" applyFill="0" applyProtection="0">
      <alignment horizontal="centerContinuous" vertical="center"/>
    </xf>
    <xf numFmtId="0" fontId="62" fillId="0" borderId="0" applyFill="0" applyBorder="0" applyProtection="0">
      <alignment horizontal="center"/>
      <protection locked="0"/>
    </xf>
    <xf numFmtId="8" fontId="2" fillId="0" borderId="25" applyFont="0" applyFill="0" applyBorder="0" applyProtection="0">
      <alignment horizontal="right"/>
    </xf>
    <xf numFmtId="0" fontId="85" fillId="0" borderId="0">
      <alignment horizontal="center" wrapText="1"/>
    </xf>
    <xf numFmtId="1" fontId="86" fillId="0" borderId="0"/>
    <xf numFmtId="0" fontId="45" fillId="0" borderId="19" applyFont="0" applyFill="0" applyAlignment="0" applyProtection="0"/>
    <xf numFmtId="3" fontId="28" fillId="0" borderId="0"/>
    <xf numFmtId="0" fontId="87" fillId="0" borderId="0" applyProtection="0"/>
    <xf numFmtId="0" fontId="11" fillId="0" borderId="0" applyNumberFormat="0" applyFill="0" applyBorder="0" applyAlignment="0" applyProtection="0"/>
    <xf numFmtId="0" fontId="16" fillId="0" borderId="0" applyNumberFormat="0" applyFill="0" applyBorder="0" applyAlignment="0" applyProtection="0"/>
    <xf numFmtId="0" fontId="11" fillId="0" borderId="0" applyNumberFormat="0" applyFill="0" applyBorder="0" applyAlignment="0" applyProtection="0"/>
    <xf numFmtId="0" fontId="88" fillId="0" borderId="9" applyNumberFormat="0" applyFill="0" applyBorder="0" applyAlignment="0" applyProtection="0">
      <alignment horizontal="center"/>
    </xf>
    <xf numFmtId="0" fontId="89" fillId="0" borderId="9" applyNumberFormat="0" applyFill="0" applyProtection="0">
      <alignment horizontal="left" vertical="center"/>
    </xf>
    <xf numFmtId="0" fontId="2" fillId="0" borderId="0">
      <alignment horizontal="center" wrapText="1"/>
      <protection hidden="1"/>
    </xf>
    <xf numFmtId="0" fontId="31" fillId="0" borderId="9" applyNumberFormat="0" applyFill="0" applyBorder="0" applyProtection="0">
      <alignment horizontal="left" vertical="center"/>
    </xf>
    <xf numFmtId="0" fontId="31" fillId="0" borderId="9" applyNumberFormat="0" applyFill="0" applyBorder="0" applyProtection="0">
      <alignment horizontal="right" vertical="center"/>
    </xf>
    <xf numFmtId="0" fontId="90" fillId="0" borderId="0" applyNumberFormat="0" applyFill="0" applyBorder="0" applyAlignment="0" applyProtection="0">
      <alignment vertical="top"/>
      <protection locked="0"/>
    </xf>
    <xf numFmtId="0" fontId="70" fillId="27" borderId="2" applyNumberFormat="0" applyBorder="0" applyProtection="0">
      <alignment horizontal="center" vertical="center" wrapText="1"/>
    </xf>
    <xf numFmtId="0" fontId="11" fillId="0" borderId="0" applyFill="0" applyBorder="0" applyProtection="0">
      <alignment horizontal="center"/>
    </xf>
    <xf numFmtId="0" fontId="14" fillId="0" borderId="0" applyNumberFormat="0" applyFill="0" applyBorder="0" applyProtection="0">
      <alignment wrapText="1"/>
    </xf>
    <xf numFmtId="0" fontId="85" fillId="0" borderId="0" applyNumberFormat="0" applyFill="0" applyBorder="0" applyProtection="0">
      <alignment wrapText="1"/>
    </xf>
    <xf numFmtId="0" fontId="14" fillId="0" borderId="0" applyBorder="0">
      <alignment horizontal="right"/>
    </xf>
    <xf numFmtId="0" fontId="14" fillId="0" borderId="21" applyAlignment="0">
      <alignment horizontal="right"/>
    </xf>
    <xf numFmtId="0" fontId="24" fillId="0" borderId="0">
      <alignment horizontal="right"/>
    </xf>
    <xf numFmtId="0" fontId="36"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41" fontId="85" fillId="0" borderId="7"/>
    <xf numFmtId="0" fontId="81" fillId="0" borderId="0" applyFont="0" applyFill="0" applyBorder="0" applyAlignment="0" applyProtection="0"/>
    <xf numFmtId="193" fontId="33" fillId="0" borderId="0" applyFont="0" applyFill="0" applyBorder="0" applyAlignment="0" applyProtection="0"/>
    <xf numFmtId="194" fontId="85" fillId="0" borderId="7"/>
    <xf numFmtId="194" fontId="92" fillId="0" borderId="0" applyFont="0" applyFill="0" applyBorder="0" applyAlignment="0" applyProtection="0"/>
    <xf numFmtId="39" fontId="36" fillId="0" borderId="0" applyFont="0" applyFill="0" applyBorder="0" applyAlignment="0" applyProtection="0"/>
    <xf numFmtId="0" fontId="11" fillId="0" borderId="7"/>
    <xf numFmtId="38" fontId="24" fillId="0" borderId="0"/>
    <xf numFmtId="0" fontId="36" fillId="0" borderId="0" applyFont="0" applyFill="0" applyBorder="0" applyAlignment="0" applyProtection="0"/>
    <xf numFmtId="0" fontId="45" fillId="0" borderId="0" applyFont="0" applyFill="0" applyBorder="0" applyAlignment="0" applyProtection="0">
      <alignment horizontal="right"/>
    </xf>
    <xf numFmtId="0" fontId="45" fillId="0" borderId="0" applyFont="0" applyFill="0" applyBorder="0" applyAlignment="0" applyProtection="0"/>
    <xf numFmtId="195" fontId="45" fillId="0" borderId="0" applyFont="0" applyFill="0" applyBorder="0" applyAlignment="0" applyProtection="0"/>
    <xf numFmtId="196" fontId="93" fillId="0" borderId="0"/>
    <xf numFmtId="0" fontId="45" fillId="0" borderId="0" applyFont="0" applyFill="0" applyBorder="0" applyAlignment="0" applyProtection="0"/>
    <xf numFmtId="43" fontId="2" fillId="0" borderId="0" applyFont="0" applyFill="0" applyBorder="0" applyAlignment="0" applyProtection="0"/>
    <xf numFmtId="40" fontId="2" fillId="0" borderId="0" applyFont="0" applyFill="0" applyBorder="0" applyProtection="0">
      <alignment horizontal="right"/>
    </xf>
    <xf numFmtId="0" fontId="11" fillId="0" borderId="0"/>
    <xf numFmtId="197" fontId="45" fillId="0" borderId="0" applyFont="0" applyFill="0" applyBorder="0" applyAlignment="0" applyProtection="0"/>
    <xf numFmtId="0" fontId="11" fillId="0" borderId="0"/>
    <xf numFmtId="3" fontId="94" fillId="0" borderId="0" applyFont="0" applyFill="0" applyBorder="0" applyAlignment="0" applyProtection="0"/>
    <xf numFmtId="0" fontId="95" fillId="0" borderId="0"/>
    <xf numFmtId="0" fontId="91" fillId="0" borderId="0"/>
    <xf numFmtId="0" fontId="91" fillId="0" borderId="0" applyFill="0" applyBorder="0" applyAlignment="0" applyProtection="0"/>
    <xf numFmtId="0" fontId="28" fillId="0" borderId="0" applyFont="0" applyFill="0" applyBorder="0" applyAlignment="0" applyProtection="0"/>
    <xf numFmtId="0" fontId="95" fillId="0" borderId="0"/>
    <xf numFmtId="0" fontId="91" fillId="0" borderId="0"/>
    <xf numFmtId="4" fontId="96" fillId="0" borderId="2" applyFont="0" applyFill="0" applyBorder="0" applyAlignment="0" applyProtection="0"/>
    <xf numFmtId="0" fontId="11" fillId="0" borderId="0" applyFont="0" applyFill="0" applyBorder="0" applyAlignment="0" applyProtection="0"/>
    <xf numFmtId="0" fontId="2" fillId="0" borderId="0" applyFont="0" applyFill="0" applyBorder="0" applyAlignment="0" applyProtection="0"/>
    <xf numFmtId="0" fontId="40" fillId="0" borderId="0" applyFont="0" applyFill="0" applyBorder="0" applyAlignment="0" applyProtection="0"/>
    <xf numFmtId="0" fontId="36" fillId="0" borderId="0">
      <alignment horizontal="right"/>
    </xf>
    <xf numFmtId="0" fontId="97" fillId="0" borderId="0"/>
    <xf numFmtId="0" fontId="98" fillId="28" borderId="0">
      <alignment horizontal="center" vertical="center" wrapText="1"/>
    </xf>
    <xf numFmtId="0" fontId="99" fillId="0" borderId="0" applyFill="0" applyBorder="0" applyAlignment="0" applyProtection="0">
      <protection locked="0"/>
    </xf>
    <xf numFmtId="0" fontId="87" fillId="0" borderId="0" applyFill="0" applyBorder="0">
      <alignment horizontal="left"/>
    </xf>
    <xf numFmtId="0" fontId="100" fillId="0" borderId="0" applyNumberFormat="0" applyAlignment="0">
      <alignment horizontal="left"/>
    </xf>
    <xf numFmtId="0" fontId="45" fillId="0" borderId="40" applyFont="0" applyFill="0" applyBorder="0" applyAlignment="0" applyProtection="0"/>
    <xf numFmtId="0" fontId="101" fillId="0" borderId="0">
      <alignment horizontal="left"/>
    </xf>
    <xf numFmtId="0" fontId="102" fillId="0" borderId="0"/>
    <xf numFmtId="0" fontId="103" fillId="0" borderId="0">
      <alignment horizontal="left"/>
    </xf>
    <xf numFmtId="0" fontId="11" fillId="1" borderId="0" applyFont="0" applyFill="0" applyBorder="0" applyAlignment="0" applyProtection="0">
      <alignment horizontal="right"/>
    </xf>
    <xf numFmtId="0" fontId="45" fillId="0" borderId="9"/>
    <xf numFmtId="6" fontId="41" fillId="0" borderId="0" applyFont="0" applyFill="0" applyBorder="0" applyAlignment="0" applyProtection="0"/>
    <xf numFmtId="0" fontId="36" fillId="0" borderId="0" applyFill="0" applyBorder="0">
      <alignment horizontal="right"/>
      <protection locked="0"/>
    </xf>
    <xf numFmtId="0" fontId="40" fillId="0" borderId="0" applyFont="0" applyFill="0" applyBorder="0" applyAlignment="0" applyProtection="0">
      <protection locked="0"/>
    </xf>
    <xf numFmtId="0" fontId="40" fillId="0" borderId="0" applyFont="0" applyFill="0" applyBorder="0" applyAlignment="0" applyProtection="0">
      <protection locked="0"/>
    </xf>
    <xf numFmtId="0" fontId="11" fillId="0" borderId="0" applyFont="0" applyFill="0" applyBorder="0" applyAlignment="0" applyProtection="0"/>
    <xf numFmtId="0" fontId="85" fillId="0" borderId="7"/>
    <xf numFmtId="0" fontId="2" fillId="0" borderId="0" applyFont="0" applyFill="0" applyBorder="0" applyAlignment="0" applyProtection="0"/>
    <xf numFmtId="0" fontId="104" fillId="0" borderId="0" applyFont="0" applyFill="0" applyBorder="0" applyAlignment="0" applyProtection="0"/>
    <xf numFmtId="0" fontId="85" fillId="0" borderId="7"/>
    <xf numFmtId="0" fontId="105" fillId="0" borderId="0" applyFont="0" applyFill="0" applyBorder="0" applyAlignment="0" applyProtection="0"/>
    <xf numFmtId="8" fontId="106" fillId="0" borderId="41">
      <protection locked="0"/>
    </xf>
    <xf numFmtId="44" fontId="85" fillId="0" borderId="7"/>
    <xf numFmtId="8" fontId="106" fillId="0" borderId="41">
      <protection locked="0"/>
    </xf>
    <xf numFmtId="0" fontId="36" fillId="0" borderId="0" applyFont="0" applyFill="0" applyBorder="0" applyAlignment="0" applyProtection="0"/>
    <xf numFmtId="7" fontId="2" fillId="0" borderId="0"/>
    <xf numFmtId="0" fontId="45" fillId="0" borderId="0" applyFont="0" applyFill="0" applyBorder="0" applyAlignment="0" applyProtection="0">
      <alignment horizontal="right"/>
    </xf>
    <xf numFmtId="0" fontId="55" fillId="0" borderId="42" applyBorder="0"/>
    <xf numFmtId="198" fontId="45" fillId="0" borderId="0"/>
    <xf numFmtId="0" fontId="45" fillId="0" borderId="0" applyFont="0" applyFill="0" applyBorder="0" applyAlignment="0" applyProtection="0">
      <alignment horizontal="right"/>
    </xf>
    <xf numFmtId="7" fontId="85" fillId="0" borderId="7"/>
    <xf numFmtId="199" fontId="107" fillId="0" borderId="0" applyFont="0" applyFill="0" applyBorder="0" applyAlignment="0" applyProtection="0"/>
    <xf numFmtId="200" fontId="45" fillId="0" borderId="0" applyFont="0" applyFill="0" applyBorder="0" applyAlignment="0" applyProtection="0">
      <alignment horizontal="right"/>
    </xf>
    <xf numFmtId="0" fontId="107" fillId="0" borderId="0" applyFont="0" applyFill="0" applyBorder="0" applyAlignment="0" applyProtection="0"/>
    <xf numFmtId="8" fontId="32" fillId="13" borderId="20">
      <alignment horizontal="right"/>
    </xf>
    <xf numFmtId="201" fontId="45" fillId="0" borderId="0" applyFont="0" applyFill="0" applyBorder="0" applyAlignment="0" applyProtection="0"/>
    <xf numFmtId="0" fontId="94" fillId="0" borderId="0" applyFont="0" applyFill="0" applyBorder="0" applyAlignment="0" applyProtection="0"/>
    <xf numFmtId="0" fontId="28" fillId="0" borderId="0" applyFont="0" applyFill="0" applyBorder="0" applyAlignment="0" applyProtection="0"/>
    <xf numFmtId="0" fontId="92" fillId="0" borderId="0"/>
    <xf numFmtId="0" fontId="45" fillId="0" borderId="0" applyFill="0" applyBorder="0" applyProtection="0">
      <alignment vertical="center"/>
    </xf>
    <xf numFmtId="0" fontId="28" fillId="0" borderId="0" applyFont="0" applyFill="0" applyBorder="0" applyAlignment="0" applyProtection="0"/>
    <xf numFmtId="0" fontId="40" fillId="0" borderId="0" applyFont="0" applyFill="0" applyBorder="0" applyAlignment="0" applyProtection="0"/>
    <xf numFmtId="0" fontId="45" fillId="0" borderId="0"/>
    <xf numFmtId="7" fontId="55" fillId="0" borderId="0" applyFill="0" applyBorder="0">
      <alignment horizontal="right"/>
    </xf>
    <xf numFmtId="0" fontId="45" fillId="23" borderId="0" applyFont="0" applyFill="0" applyBorder="0" applyAlignment="0" applyProtection="0">
      <alignment vertical="center"/>
      <protection locked="0"/>
    </xf>
    <xf numFmtId="0" fontId="45" fillId="23" borderId="0" applyFont="0" applyFill="0" applyBorder="0" applyAlignment="0" applyProtection="0">
      <alignment vertical="center"/>
      <protection locked="0"/>
    </xf>
    <xf numFmtId="0" fontId="108" fillId="23" borderId="0" applyFont="0" applyFill="0" applyBorder="0" applyAlignment="0" applyProtection="0">
      <alignment vertical="center"/>
      <protection locked="0"/>
    </xf>
    <xf numFmtId="0" fontId="45" fillId="23" borderId="0" applyFont="0" applyFill="0" applyBorder="0" applyAlignment="0" applyProtection="0">
      <alignment vertical="center"/>
      <protection locked="0"/>
    </xf>
    <xf numFmtId="0" fontId="45" fillId="23" borderId="0" applyFont="0" applyFill="0" applyBorder="0" applyAlignment="0" applyProtection="0">
      <alignment vertical="center"/>
      <protection locked="0"/>
    </xf>
    <xf numFmtId="0" fontId="11" fillId="13" borderId="37">
      <alignment horizontal="right"/>
    </xf>
    <xf numFmtId="0" fontId="11" fillId="13" borderId="37">
      <alignment horizontal="right"/>
    </xf>
    <xf numFmtId="0" fontId="11" fillId="13" borderId="37">
      <alignment horizontal="right"/>
    </xf>
    <xf numFmtId="0" fontId="11" fillId="13" borderId="37">
      <alignment horizontal="right"/>
    </xf>
    <xf numFmtId="0" fontId="53" fillId="0" borderId="0" applyFont="0" applyFill="0" applyBorder="0" applyAlignment="0" applyProtection="0"/>
    <xf numFmtId="0" fontId="45" fillId="0" borderId="0" applyNumberFormat="0">
      <alignment horizontal="right"/>
    </xf>
    <xf numFmtId="8" fontId="109" fillId="0" borderId="0" applyNumberFormat="0" applyFill="0" applyBorder="0" applyAlignment="0"/>
    <xf numFmtId="14" fontId="73" fillId="29" borderId="43"/>
    <xf numFmtId="192" fontId="40" fillId="0" borderId="0" applyFont="0" applyFill="0" applyBorder="0" applyProtection="0">
      <alignment horizontal="right"/>
    </xf>
    <xf numFmtId="0" fontId="11" fillId="0" borderId="0" applyFont="0" applyFill="0" applyBorder="0" applyAlignment="0" applyProtection="0"/>
    <xf numFmtId="15" fontId="2" fillId="0" borderId="0" applyFont="0" applyFill="0" applyBorder="0" applyAlignment="0" applyProtection="0"/>
    <xf numFmtId="0" fontId="11" fillId="0" borderId="0" applyFont="0" applyFill="0" applyBorder="0" applyAlignment="0" applyProtection="0"/>
    <xf numFmtId="0" fontId="11" fillId="0" borderId="0" applyFont="0" applyFill="0" applyBorder="0" applyProtection="0"/>
    <xf numFmtId="0" fontId="11" fillId="0" borderId="0" applyFont="0" applyFill="0" applyBorder="0" applyAlignment="0" applyProtection="0"/>
    <xf numFmtId="0" fontId="11" fillId="0" borderId="0" applyFont="0" applyFill="0" applyBorder="0" applyProtection="0"/>
    <xf numFmtId="0" fontId="11" fillId="0" borderId="0" applyFont="0" applyFill="0" applyBorder="0" applyAlignment="0" applyProtection="0"/>
    <xf numFmtId="0" fontId="36" fillId="0" borderId="0" applyFont="0" applyFill="0" applyBorder="0" applyAlignment="0" applyProtection="0"/>
    <xf numFmtId="0" fontId="36" fillId="0" borderId="0" applyFont="0" applyFill="0" applyBorder="0" applyAlignment="0" applyProtection="0"/>
    <xf numFmtId="17" fontId="2" fillId="0" borderId="0" applyFill="0" applyBorder="0">
      <alignment horizontal="right"/>
    </xf>
    <xf numFmtId="0" fontId="11" fillId="0" borderId="0" applyFont="0" applyFill="0" applyBorder="0" applyAlignment="0" applyProtection="0"/>
    <xf numFmtId="0" fontId="11" fillId="0" borderId="0" applyFont="0" applyFill="0" applyBorder="0" applyAlignment="0" applyProtection="0"/>
    <xf numFmtId="0" fontId="11" fillId="0" borderId="0" applyFont="0" applyFill="0" applyBorder="0" applyAlignment="0" applyProtection="0"/>
    <xf numFmtId="0" fontId="45" fillId="0" borderId="0" applyFont="0" applyFill="0" applyBorder="0" applyAlignment="0" applyProtection="0"/>
    <xf numFmtId="0" fontId="45" fillId="0" borderId="0" applyFont="0" applyFill="0" applyBorder="0" applyAlignment="0" applyProtection="0"/>
    <xf numFmtId="14" fontId="2" fillId="0" borderId="0" applyFill="0" applyBorder="0" applyProtection="0">
      <alignment horizontal="center"/>
    </xf>
    <xf numFmtId="14" fontId="25" fillId="0" borderId="0" applyFill="0" applyBorder="0" applyAlignment="0"/>
    <xf numFmtId="0" fontId="45" fillId="0" borderId="0" applyFill="0" applyBorder="0" applyProtection="0">
      <alignment horizontal="center"/>
    </xf>
    <xf numFmtId="15" fontId="55" fillId="0" borderId="0" applyFont="0" applyFill="0" applyBorder="0" applyAlignment="0" applyProtection="0">
      <protection locked="0"/>
    </xf>
    <xf numFmtId="14" fontId="90" fillId="0" borderId="0">
      <alignment horizontal="right"/>
      <protection locked="0"/>
    </xf>
    <xf numFmtId="0" fontId="11" fillId="0" borderId="2" applyFont="0" applyFill="0" applyBorder="0" applyAlignment="0" applyProtection="0">
      <alignment horizontal="right"/>
    </xf>
    <xf numFmtId="14" fontId="33" fillId="0" borderId="0" applyFont="0" applyFill="0" applyBorder="0" applyAlignment="0" applyProtection="0"/>
    <xf numFmtId="14" fontId="2" fillId="0" borderId="0" applyFont="0" applyFill="0" applyBorder="0" applyAlignment="0" applyProtection="0">
      <alignment horizontal="center"/>
    </xf>
    <xf numFmtId="0" fontId="45" fillId="0" borderId="0" applyFont="0" applyFill="0" applyBorder="0" applyAlignment="0" applyProtection="0">
      <alignment horizontal="center"/>
    </xf>
    <xf numFmtId="202" fontId="45" fillId="0" borderId="7" applyFont="0" applyFill="0" applyBorder="0" applyAlignment="0" applyProtection="0">
      <alignment horizontal="center"/>
    </xf>
    <xf numFmtId="0" fontId="45" fillId="0" borderId="7" applyFont="0" applyFill="0" applyBorder="0" applyAlignment="0" applyProtection="0">
      <alignment horizontal="center"/>
    </xf>
    <xf numFmtId="0" fontId="33" fillId="0" borderId="0"/>
    <xf numFmtId="0" fontId="33" fillId="0" borderId="0"/>
    <xf numFmtId="42" fontId="110" fillId="0" borderId="0"/>
    <xf numFmtId="0" fontId="110" fillId="0" borderId="0"/>
    <xf numFmtId="14" fontId="53" fillId="0" borderId="9" applyBorder="0" applyAlignment="0">
      <alignment horizontal="center"/>
    </xf>
    <xf numFmtId="0" fontId="40" fillId="0" borderId="0"/>
    <xf numFmtId="0" fontId="26" fillId="0" borderId="0"/>
    <xf numFmtId="37" fontId="77" fillId="0" borderId="0"/>
    <xf numFmtId="0" fontId="11" fillId="0" borderId="0" applyFont="0" applyFill="0" applyBorder="0" applyAlignment="0" applyProtection="0"/>
    <xf numFmtId="43" fontId="2" fillId="0" borderId="0" applyFont="0" applyFill="0" applyBorder="0" applyAlignment="0" applyProtection="0"/>
    <xf numFmtId="0" fontId="111" fillId="0" borderId="0">
      <protection locked="0"/>
    </xf>
    <xf numFmtId="41" fontId="42" fillId="0" borderId="0"/>
    <xf numFmtId="0" fontId="40" fillId="0" borderId="0" applyProtection="0"/>
    <xf numFmtId="38" fontId="40" fillId="0" borderId="0" applyNumberFormat="0"/>
    <xf numFmtId="0" fontId="40" fillId="0" borderId="0" applyProtection="0"/>
    <xf numFmtId="8" fontId="40" fillId="0" borderId="0" applyFont="0" applyFill="0" applyBorder="0" applyAlignment="0" applyProtection="0"/>
    <xf numFmtId="0" fontId="91" fillId="0" borderId="0"/>
    <xf numFmtId="0" fontId="112" fillId="0" borderId="0" applyFill="0" applyBorder="0" applyProtection="0"/>
    <xf numFmtId="0" fontId="11" fillId="0" borderId="0"/>
    <xf numFmtId="6" fontId="40" fillId="0" borderId="0" applyFill="0" applyBorder="0" applyProtection="0"/>
    <xf numFmtId="0" fontId="55" fillId="0" borderId="0" applyBorder="0" applyProtection="0"/>
    <xf numFmtId="203" fontId="40" fillId="0" borderId="0"/>
    <xf numFmtId="203" fontId="92" fillId="0" borderId="0">
      <protection locked="0"/>
    </xf>
    <xf numFmtId="7" fontId="40" fillId="0" borderId="0"/>
    <xf numFmtId="42" fontId="36" fillId="0" borderId="0"/>
    <xf numFmtId="170" fontId="33" fillId="0" borderId="0" applyFont="0" applyFill="0" applyBorder="0" applyAlignment="0" applyProtection="0"/>
    <xf numFmtId="6" fontId="40" fillId="0" borderId="0" applyFont="0" applyFill="0" applyBorder="0" applyAlignment="0" applyProtection="0"/>
    <xf numFmtId="0" fontId="2" fillId="0" borderId="0" applyFont="0" applyFill="0" applyBorder="0" applyAlignment="0" applyProtection="0"/>
    <xf numFmtId="0" fontId="45" fillId="0" borderId="31" applyNumberFormat="0" applyFont="0" applyFill="0" applyAlignment="0" applyProtection="0"/>
    <xf numFmtId="42" fontId="113" fillId="0" borderId="0" applyFill="0" applyBorder="0" applyAlignment="0" applyProtection="0"/>
    <xf numFmtId="0" fontId="11" fillId="0" borderId="19" applyNumberFormat="0" applyFill="0" applyAlignment="0" applyProtection="0"/>
    <xf numFmtId="0" fontId="63" fillId="0" borderId="7" applyNumberFormat="0" applyBorder="0"/>
    <xf numFmtId="0" fontId="46" fillId="23" borderId="0">
      <alignment horizontal="right" vertical="center"/>
    </xf>
    <xf numFmtId="0" fontId="114" fillId="0" borderId="44" applyNumberFormat="0" applyAlignment="0" applyProtection="0">
      <alignment vertical="top"/>
    </xf>
    <xf numFmtId="0" fontId="2" fillId="0" borderId="0">
      <protection locked="0"/>
    </xf>
    <xf numFmtId="0" fontId="2" fillId="0" borderId="0">
      <protection locked="0"/>
    </xf>
    <xf numFmtId="0" fontId="81" fillId="0" borderId="0" applyFill="0" applyBorder="0" applyAlignment="0"/>
    <xf numFmtId="0" fontId="2" fillId="0" borderId="0" applyFill="0" applyBorder="0" applyAlignment="0"/>
    <xf numFmtId="0" fontId="81" fillId="0" borderId="0" applyFill="0" applyBorder="0" applyAlignment="0"/>
    <xf numFmtId="0" fontId="81" fillId="0" borderId="0" applyFill="0" applyBorder="0" applyAlignment="0"/>
    <xf numFmtId="0" fontId="2" fillId="0" borderId="0" applyFill="0" applyBorder="0" applyAlignment="0"/>
    <xf numFmtId="0" fontId="115" fillId="0" borderId="0" applyNumberFormat="0" applyAlignment="0">
      <alignment horizontal="left"/>
    </xf>
    <xf numFmtId="9" fontId="116" fillId="0" borderId="2" applyNumberFormat="0" applyBorder="0" applyAlignment="0">
      <protection locked="0"/>
    </xf>
    <xf numFmtId="0" fontId="11" fillId="30" borderId="0"/>
    <xf numFmtId="0" fontId="11" fillId="30" borderId="0"/>
    <xf numFmtId="0" fontId="11" fillId="30" borderId="0"/>
    <xf numFmtId="0" fontId="11" fillId="0" borderId="0"/>
    <xf numFmtId="0" fontId="11" fillId="30" borderId="0"/>
    <xf numFmtId="0" fontId="11" fillId="0" borderId="0" applyFont="0" applyFill="0" applyBorder="0" applyProtection="0">
      <alignment horizontal="left"/>
      <protection locked="0"/>
    </xf>
    <xf numFmtId="0" fontId="11" fillId="0" borderId="0"/>
    <xf numFmtId="0" fontId="11" fillId="0" borderId="0" applyFont="0" applyFill="0" applyBorder="0" applyProtection="0">
      <alignment horizontal="left"/>
      <protection locked="0"/>
    </xf>
    <xf numFmtId="8" fontId="117" fillId="0" borderId="0"/>
    <xf numFmtId="0" fontId="117" fillId="0" borderId="0"/>
    <xf numFmtId="0" fontId="117" fillId="0" borderId="0"/>
    <xf numFmtId="2" fontId="118" fillId="0" borderId="0"/>
    <xf numFmtId="204" fontId="29" fillId="0" borderId="0" applyFont="0" applyFill="0" applyBorder="0" applyAlignment="0" applyProtection="0"/>
    <xf numFmtId="205" fontId="119" fillId="0" borderId="0" applyFont="0" applyFill="0" applyBorder="0" applyAlignment="0" applyProtection="0"/>
    <xf numFmtId="0" fontId="11" fillId="31" borderId="7" applyNumberFormat="0" applyFont="0" applyBorder="0" applyAlignment="0" applyProtection="0">
      <alignment horizontal="right"/>
    </xf>
    <xf numFmtId="0" fontId="24" fillId="0" borderId="0" applyFill="0" applyBorder="0">
      <alignment horizontal="right" vertical="top"/>
    </xf>
    <xf numFmtId="0" fontId="111" fillId="0" borderId="0">
      <protection locked="0"/>
    </xf>
    <xf numFmtId="0" fontId="111" fillId="0" borderId="0">
      <protection locked="0"/>
    </xf>
    <xf numFmtId="0" fontId="111" fillId="0" borderId="0">
      <protection locked="0"/>
    </xf>
    <xf numFmtId="0" fontId="111" fillId="0" borderId="0">
      <protection locked="0"/>
    </xf>
    <xf numFmtId="0" fontId="111" fillId="0" borderId="0">
      <protection locked="0"/>
    </xf>
    <xf numFmtId="0" fontId="111" fillId="0" borderId="0">
      <protection locked="0"/>
    </xf>
    <xf numFmtId="0" fontId="111" fillId="0" borderId="0">
      <protection locked="0"/>
    </xf>
    <xf numFmtId="3" fontId="120" fillId="0" borderId="0" applyNumberFormat="0" applyFont="0" applyFill="0" applyBorder="0" applyAlignment="0" applyProtection="0">
      <alignment horizontal="left"/>
    </xf>
    <xf numFmtId="1" fontId="121" fillId="32" borderId="34" applyNumberFormat="0" applyBorder="0" applyAlignment="0">
      <alignment horizontal="centerContinuous" vertical="center"/>
      <protection locked="0"/>
    </xf>
    <xf numFmtId="0" fontId="111" fillId="0" borderId="0">
      <protection locked="0"/>
    </xf>
    <xf numFmtId="3" fontId="2" fillId="0" borderId="0" applyFont="0" applyFill="0" applyBorder="0" applyAlignment="0" applyProtection="0"/>
    <xf numFmtId="0" fontId="111" fillId="0" borderId="0">
      <protection locked="0"/>
    </xf>
    <xf numFmtId="2" fontId="94" fillId="0" borderId="0" applyFont="0" applyFill="0" applyBorder="0" applyAlignment="0" applyProtection="0"/>
    <xf numFmtId="1" fontId="28" fillId="0" borderId="0" applyFont="0" applyFill="0" applyBorder="0" applyAlignment="0" applyProtection="0"/>
    <xf numFmtId="0" fontId="55" fillId="0" borderId="0" applyFill="0" applyBorder="0">
      <alignment horizontal="right"/>
    </xf>
    <xf numFmtId="0" fontId="122" fillId="0" borderId="0">
      <alignment horizontal="left"/>
    </xf>
    <xf numFmtId="0" fontId="123" fillId="0" borderId="0">
      <alignment horizontal="left"/>
    </xf>
    <xf numFmtId="0" fontId="124" fillId="0" borderId="0" applyFill="0" applyBorder="0" applyProtection="0">
      <alignment horizontal="left"/>
    </xf>
    <xf numFmtId="0" fontId="124" fillId="0" borderId="0" applyNumberFormat="0" applyFill="0" applyBorder="0" applyProtection="0">
      <alignment horizontal="left"/>
    </xf>
    <xf numFmtId="0" fontId="124" fillId="0" borderId="0">
      <alignment horizontal="left"/>
    </xf>
    <xf numFmtId="0" fontId="125" fillId="0" borderId="0" applyNumberFormat="0" applyFill="0" applyBorder="0" applyAlignment="0" applyProtection="0"/>
    <xf numFmtId="1" fontId="11" fillId="0" borderId="0" applyNumberFormat="0" applyBorder="0" applyAlignment="0" applyProtection="0"/>
    <xf numFmtId="0" fontId="26" fillId="0" borderId="0"/>
    <xf numFmtId="0" fontId="11" fillId="0" borderId="0"/>
    <xf numFmtId="0" fontId="126" fillId="0" borderId="0"/>
    <xf numFmtId="206" fontId="26" fillId="0" borderId="0"/>
    <xf numFmtId="41" fontId="127" fillId="0" borderId="0"/>
    <xf numFmtId="0" fontId="11" fillId="23" borderId="2" applyFont="0" applyBorder="0" applyAlignment="0" applyProtection="0">
      <alignment vertical="top"/>
    </xf>
    <xf numFmtId="0" fontId="2" fillId="0" borderId="0" applyBorder="0" applyProtection="0"/>
    <xf numFmtId="0" fontId="36" fillId="0" borderId="0" applyFont="0" applyFill="0" applyBorder="0" applyAlignment="0" applyProtection="0"/>
    <xf numFmtId="13" fontId="2" fillId="0" borderId="13" applyFont="0" applyFill="0" applyBorder="0">
      <alignment horizontal="left"/>
    </xf>
    <xf numFmtId="0" fontId="11" fillId="0" borderId="0" applyFont="0" applyFill="0" applyBorder="0" applyAlignment="0" applyProtection="0"/>
    <xf numFmtId="0" fontId="36" fillId="0" borderId="0" applyFont="0" applyFill="0" applyBorder="0" applyAlignment="0" applyProtection="0"/>
    <xf numFmtId="207" fontId="33" fillId="0" borderId="0" applyFont="0" applyBorder="0" applyProtection="0">
      <protection locked="0"/>
    </xf>
    <xf numFmtId="0" fontId="11" fillId="0" borderId="45"/>
    <xf numFmtId="0" fontId="11" fillId="13" borderId="37">
      <alignment horizontal="right"/>
    </xf>
    <xf numFmtId="0" fontId="11" fillId="13" borderId="37">
      <alignment horizontal="right"/>
    </xf>
    <xf numFmtId="0" fontId="11" fillId="13" borderId="37">
      <alignment horizontal="right"/>
    </xf>
    <xf numFmtId="49" fontId="11" fillId="0" borderId="0" applyFill="0" applyBorder="0"/>
    <xf numFmtId="49" fontId="2" fillId="0" borderId="0"/>
    <xf numFmtId="49" fontId="2" fillId="0" borderId="0" applyFill="0" applyBorder="0">
      <alignment horizontal="right" vertical="center"/>
    </xf>
    <xf numFmtId="49" fontId="2" fillId="0" borderId="0" applyFill="0" applyBorder="0">
      <alignment horizontal="right" vertical="center"/>
    </xf>
    <xf numFmtId="0" fontId="2" fillId="0" borderId="0">
      <alignment vertical="center"/>
    </xf>
    <xf numFmtId="0" fontId="40" fillId="0" borderId="0" applyFill="0" applyBorder="0" applyAlignment="0" applyProtection="0">
      <protection locked="0"/>
    </xf>
    <xf numFmtId="0" fontId="128" fillId="0" borderId="0" applyFont="0" applyFill="0" applyBorder="0" applyProtection="0">
      <alignment horizontal="center" wrapText="1"/>
    </xf>
    <xf numFmtId="0" fontId="11" fillId="0" borderId="0" applyFont="0" applyFill="0" applyBorder="0" applyProtection="0">
      <alignment horizontal="right"/>
    </xf>
    <xf numFmtId="0" fontId="129" fillId="0" borderId="0"/>
    <xf numFmtId="37" fontId="130" fillId="0" borderId="46">
      <alignment horizontal="right" vertical="center"/>
    </xf>
    <xf numFmtId="37" fontId="21" fillId="0" borderId="47"/>
    <xf numFmtId="0" fontId="131" fillId="0" borderId="0"/>
    <xf numFmtId="38" fontId="11" fillId="13" borderId="0" applyNumberFormat="0" applyBorder="0" applyAlignment="0" applyProtection="0"/>
    <xf numFmtId="0" fontId="11" fillId="1" borderId="0" applyFont="0" applyFill="0" applyBorder="0" applyAlignment="0" applyProtection="0">
      <alignment horizontal="right"/>
    </xf>
    <xf numFmtId="0" fontId="36" fillId="0" borderId="32" applyFill="0" applyBorder="0" applyProtection="0">
      <alignment horizontal="left"/>
    </xf>
    <xf numFmtId="0" fontId="45" fillId="0" borderId="0" applyNumberFormat="0" applyAlignment="0"/>
    <xf numFmtId="0" fontId="11" fillId="0" borderId="0"/>
    <xf numFmtId="10" fontId="40" fillId="23" borderId="0" applyFill="0" applyAlignment="0">
      <alignment horizontal="right"/>
    </xf>
    <xf numFmtId="0" fontId="45" fillId="0" borderId="0" applyFill="0" applyBorder="0" applyAlignment="0" applyProtection="0"/>
    <xf numFmtId="0" fontId="45" fillId="0" borderId="0" applyAlignment="0">
      <alignment horizontal="left"/>
      <protection locked="0"/>
    </xf>
    <xf numFmtId="0" fontId="132" fillId="23" borderId="0" applyAlignment="0">
      <alignment horizontal="right"/>
    </xf>
    <xf numFmtId="0" fontId="11" fillId="14" borderId="35" applyNumberFormat="0" applyAlignment="0" applyProtection="0"/>
    <xf numFmtId="0" fontId="21" fillId="0" borderId="0" applyBorder="0">
      <alignment horizontal="left"/>
    </xf>
    <xf numFmtId="49" fontId="125" fillId="0" borderId="0">
      <alignment horizontal="right"/>
    </xf>
    <xf numFmtId="49" fontId="133" fillId="0" borderId="0">
      <alignment horizontal="right"/>
    </xf>
    <xf numFmtId="0" fontId="2" fillId="0" borderId="0">
      <alignment vertical="center"/>
    </xf>
    <xf numFmtId="0" fontId="2" fillId="12" borderId="2" applyNumberFormat="0" applyFont="0" applyBorder="0" applyAlignment="0" applyProtection="0"/>
    <xf numFmtId="0" fontId="2" fillId="33" borderId="2" applyNumberFormat="0" applyFont="0" applyAlignment="0"/>
    <xf numFmtId="0" fontId="45" fillId="0" borderId="0" applyFont="0" applyFill="0" applyBorder="0" applyAlignment="0" applyProtection="0">
      <alignment horizontal="right"/>
    </xf>
    <xf numFmtId="0" fontId="134" fillId="12" borderId="0" applyNumberFormat="0" applyFont="0" applyAlignment="0"/>
    <xf numFmtId="0" fontId="135" fillId="34" borderId="0" applyNumberFormat="0" applyBorder="0" applyProtection="0">
      <alignment horizontal="left" vertical="center"/>
    </xf>
    <xf numFmtId="0" fontId="136" fillId="0" borderId="0">
      <alignment horizontal="right"/>
    </xf>
    <xf numFmtId="0" fontId="137" fillId="1" borderId="0" applyNumberFormat="0" applyBorder="0" applyProtection="0">
      <alignment horizontal="left" vertical="center"/>
    </xf>
    <xf numFmtId="0" fontId="2" fillId="0" borderId="0" applyProtection="0">
      <alignment horizontal="right"/>
    </xf>
    <xf numFmtId="0" fontId="138" fillId="0" borderId="0">
      <alignment horizontal="left"/>
    </xf>
    <xf numFmtId="0" fontId="138" fillId="0" borderId="0">
      <alignment horizontal="left"/>
    </xf>
    <xf numFmtId="0" fontId="85" fillId="0" borderId="48" applyNumberFormat="0" applyAlignment="0" applyProtection="0">
      <alignment horizontal="left" vertical="center"/>
    </xf>
    <xf numFmtId="0" fontId="85" fillId="0" borderId="15">
      <alignment horizontal="left" vertical="center"/>
    </xf>
    <xf numFmtId="0" fontId="139" fillId="0" borderId="0">
      <alignment horizontal="center"/>
    </xf>
    <xf numFmtId="0" fontId="140" fillId="0" borderId="0"/>
    <xf numFmtId="0" fontId="2" fillId="0" borderId="0">
      <alignment horizontal="center"/>
    </xf>
    <xf numFmtId="0" fontId="141" fillId="0" borderId="0">
      <alignment horizontal="left"/>
    </xf>
    <xf numFmtId="0" fontId="142" fillId="0" borderId="32">
      <alignment horizontal="left" vertical="top"/>
    </xf>
    <xf numFmtId="0" fontId="31" fillId="0" borderId="0">
      <alignment horizontal="left"/>
    </xf>
    <xf numFmtId="0" fontId="11" fillId="0" borderId="0" applyNumberFormat="0" applyFill="0" applyBorder="0" applyAlignment="0" applyProtection="0"/>
    <xf numFmtId="0" fontId="2" fillId="0" borderId="0" applyNumberFormat="0" applyFill="0" applyBorder="0" applyAlignment="0" applyProtection="0"/>
    <xf numFmtId="208" fontId="40" fillId="0" borderId="0">
      <alignment horizontal="left"/>
    </xf>
    <xf numFmtId="0" fontId="2" fillId="0" borderId="0"/>
    <xf numFmtId="209" fontId="29" fillId="0" borderId="0" applyFont="0" applyFill="0" applyBorder="0" applyAlignment="0" applyProtection="0"/>
    <xf numFmtId="210" fontId="45" fillId="0" borderId="0" applyFont="0" applyFill="0" applyBorder="0" applyProtection="0">
      <alignment horizontal="right"/>
    </xf>
    <xf numFmtId="171" fontId="104" fillId="0" borderId="0" applyFont="0" applyFill="0" applyBorder="0" applyAlignment="0" applyProtection="0"/>
    <xf numFmtId="211" fontId="104" fillId="0" borderId="0" applyFont="0" applyFill="0" applyBorder="0" applyAlignment="0" applyProtection="0"/>
    <xf numFmtId="0" fontId="45" fillId="0" borderId="0" applyFont="0" applyFill="0" applyBorder="0" applyAlignment="0" applyProtection="0">
      <alignment horizontal="right"/>
    </xf>
    <xf numFmtId="208" fontId="143" fillId="0" borderId="0"/>
    <xf numFmtId="0" fontId="1" fillId="0" borderId="0"/>
    <xf numFmtId="0" fontId="2" fillId="0" borderId="0"/>
    <xf numFmtId="182" fontId="11" fillId="0" borderId="0"/>
    <xf numFmtId="182" fontId="27" fillId="0" borderId="0">
      <protection locked="0"/>
    </xf>
    <xf numFmtId="212" fontId="11" fillId="0" borderId="0" applyFill="0" applyBorder="0" applyProtection="0">
      <alignment horizontal="right" wrapText="1"/>
    </xf>
    <xf numFmtId="208" fontId="40" fillId="0" borderId="0"/>
    <xf numFmtId="213" fontId="11" fillId="0" borderId="0" applyFill="0" applyBorder="0" applyProtection="0">
      <alignment horizontal="right" wrapText="1"/>
    </xf>
    <xf numFmtId="0" fontId="11" fillId="0" borderId="0" applyNumberFormat="0" applyFill="0" applyBorder="0" applyAlignment="0" applyProtection="0"/>
    <xf numFmtId="0" fontId="2" fillId="0" borderId="0" applyNumberFormat="0" applyFill="0" applyBorder="0" applyAlignment="0" applyProtection="0"/>
    <xf numFmtId="0" fontId="16" fillId="0" borderId="0" applyNumberFormat="0" applyFill="0" applyBorder="0" applyAlignment="0" applyProtection="0"/>
    <xf numFmtId="0" fontId="14" fillId="0" borderId="0" applyNumberFormat="0" applyFill="0" applyBorder="0" applyAlignment="0" applyProtection="0"/>
    <xf numFmtId="0" fontId="2" fillId="0" borderId="0" applyNumberFormat="0" applyFill="0" applyBorder="0" applyAlignment="0" applyProtection="0"/>
    <xf numFmtId="0" fontId="11" fillId="0" borderId="0" applyNumberFormat="0" applyFill="0" applyBorder="0" applyAlignment="0" applyProtection="0"/>
    <xf numFmtId="0" fontId="144" fillId="0" borderId="0" applyFill="0" applyBorder="0" applyProtection="0">
      <alignment horizontal="left"/>
    </xf>
    <xf numFmtId="0" fontId="145" fillId="0" borderId="0" applyFill="0" applyBorder="0" applyProtection="0">
      <alignment horizontal="left"/>
    </xf>
    <xf numFmtId="1" fontId="2" fillId="0" borderId="0" applyProtection="0">
      <alignment horizontal="right" vertical="center"/>
    </xf>
    <xf numFmtId="214" fontId="2" fillId="0" borderId="0" applyFont="0" applyFill="0" applyBorder="0" applyAlignment="0" applyProtection="0"/>
    <xf numFmtId="9" fontId="53" fillId="0" borderId="0" applyFont="0" applyFill="0" applyBorder="0" applyAlignment="0" applyProtection="0"/>
    <xf numFmtId="169" fontId="53" fillId="0" borderId="0" applyFont="0" applyFill="0" applyBorder="0" applyAlignment="0" applyProtection="0"/>
    <xf numFmtId="215" fontId="40" fillId="0" borderId="0" applyFont="0" applyFill="0" applyBorder="0" applyProtection="0">
      <alignment horizontal="right"/>
    </xf>
    <xf numFmtId="169" fontId="40" fillId="0" borderId="0"/>
    <xf numFmtId="169" fontId="92" fillId="0" borderId="0"/>
    <xf numFmtId="10" fontId="40" fillId="0" borderId="0"/>
    <xf numFmtId="10" fontId="92" fillId="0" borderId="0">
      <protection locked="0"/>
    </xf>
    <xf numFmtId="0" fontId="36" fillId="29" borderId="0" applyNumberFormat="0" applyFont="0" applyBorder="0" applyAlignment="0" applyProtection="0"/>
    <xf numFmtId="42" fontId="146" fillId="0" borderId="0" applyFill="0" applyBorder="0" applyAlignment="0" applyProtection="0"/>
    <xf numFmtId="0" fontId="35" fillId="0" borderId="0" applyNumberFormat="0" applyFill="0" applyBorder="0" applyAlignment="0" applyProtection="0"/>
    <xf numFmtId="0" fontId="2" fillId="0" borderId="0" applyNumberFormat="0" applyFill="0" applyBorder="0" applyAlignment="0" applyProtection="0"/>
    <xf numFmtId="0" fontId="2" fillId="0" borderId="0">
      <alignment vertical="top"/>
    </xf>
    <xf numFmtId="0" fontId="147" fillId="0" borderId="0" applyNumberFormat="0" applyFill="0" applyBorder="0" applyProtection="0"/>
    <xf numFmtId="0" fontId="148" fillId="35" borderId="0" applyNumberFormat="0" applyBorder="0" applyProtection="0"/>
    <xf numFmtId="0" fontId="149" fillId="29" borderId="0" applyNumberFormat="0" applyBorder="0" applyProtection="0"/>
    <xf numFmtId="0" fontId="12" fillId="0" borderId="0" applyNumberFormat="0" applyFill="0" applyBorder="0" applyProtection="0"/>
    <xf numFmtId="0" fontId="149" fillId="0" borderId="0" applyNumberFormat="0" applyFill="0" applyBorder="0" applyProtection="0"/>
    <xf numFmtId="0" fontId="150" fillId="0" borderId="0" applyNumberFormat="0" applyFill="0" applyBorder="0" applyProtection="0"/>
    <xf numFmtId="0" fontId="149" fillId="0" borderId="0" applyNumberFormat="0" applyFill="0" applyBorder="0" applyProtection="0">
      <alignment wrapText="1"/>
    </xf>
    <xf numFmtId="0" fontId="151" fillId="0" borderId="0" applyNumberFormat="0" applyFill="0" applyBorder="0" applyProtection="0"/>
    <xf numFmtId="216" fontId="11" fillId="0" borderId="0" applyFill="0" applyBorder="0" applyProtection="0">
      <alignment horizontal="right" wrapText="1"/>
    </xf>
    <xf numFmtId="0" fontId="2" fillId="0" borderId="0">
      <alignment vertical="top"/>
    </xf>
    <xf numFmtId="4" fontId="11" fillId="0" borderId="0" applyFill="0" applyBorder="0" applyProtection="0">
      <alignment wrapText="1"/>
    </xf>
    <xf numFmtId="0" fontId="11" fillId="0" borderId="0" applyNumberFormat="0" applyFill="0" applyBorder="0" applyProtection="0">
      <alignment horizontal="left" vertical="top" wrapText="1"/>
    </xf>
    <xf numFmtId="0" fontId="14" fillId="0" borderId="0" applyNumberFormat="0" applyFill="0" applyBorder="0" applyProtection="0">
      <alignment horizontal="left" vertical="top" wrapText="1"/>
    </xf>
    <xf numFmtId="217" fontId="152" fillId="0" borderId="0" applyFill="0" applyBorder="0" applyProtection="0">
      <alignment horizontal="center" wrapText="1"/>
    </xf>
    <xf numFmtId="218" fontId="152" fillId="0" borderId="0" applyFill="0" applyBorder="0" applyProtection="0">
      <alignment horizontal="right" wrapText="1"/>
    </xf>
    <xf numFmtId="219" fontId="152" fillId="0" borderId="0" applyFill="0" applyBorder="0" applyProtection="0">
      <alignment horizontal="right" wrapText="1"/>
    </xf>
    <xf numFmtId="220" fontId="152" fillId="0" borderId="0" applyFill="0" applyBorder="0" applyProtection="0">
      <alignment horizontal="right" wrapText="1"/>
    </xf>
    <xf numFmtId="37" fontId="152" fillId="0" borderId="0" applyFill="0" applyBorder="0" applyProtection="0">
      <alignment horizontal="center" wrapText="1"/>
    </xf>
    <xf numFmtId="221" fontId="152" fillId="0" borderId="0" applyFill="0" applyBorder="0" applyProtection="0">
      <alignment horizontal="right"/>
    </xf>
    <xf numFmtId="222" fontId="152" fillId="0" borderId="0" applyFill="0" applyBorder="0" applyProtection="0">
      <alignment horizontal="right"/>
    </xf>
    <xf numFmtId="0" fontId="2" fillId="0" borderId="0">
      <alignment vertical="top"/>
    </xf>
    <xf numFmtId="14" fontId="152" fillId="0" borderId="0" applyFill="0" applyBorder="0" applyProtection="0">
      <alignment horizontal="right"/>
    </xf>
    <xf numFmtId="4" fontId="152" fillId="0" borderId="0" applyFill="0" applyBorder="0" applyProtection="0">
      <alignment wrapText="1"/>
    </xf>
    <xf numFmtId="0" fontId="14" fillId="0" borderId="49" applyNumberFormat="0" applyFill="0" applyProtection="0">
      <alignment wrapText="1"/>
    </xf>
    <xf numFmtId="0" fontId="21" fillId="0" borderId="0" applyNumberFormat="0" applyFill="0" applyBorder="0" applyProtection="0">
      <alignment wrapText="1"/>
    </xf>
    <xf numFmtId="0" fontId="14" fillId="0" borderId="49" applyNumberFormat="0" applyFill="0" applyProtection="0">
      <alignment horizontal="center" wrapText="1"/>
    </xf>
    <xf numFmtId="223" fontId="14" fillId="0" borderId="0" applyFill="0" applyBorder="0" applyProtection="0">
      <alignment horizontal="center" wrapText="1"/>
    </xf>
    <xf numFmtId="0" fontId="85" fillId="0" borderId="0" applyNumberFormat="0" applyFill="0" applyBorder="0" applyProtection="0">
      <alignment horizontal="justify" wrapText="1"/>
    </xf>
    <xf numFmtId="0" fontId="14" fillId="0" borderId="0" applyNumberFormat="0" applyFill="0" applyBorder="0" applyProtection="0">
      <alignment horizontal="centerContinuous" wrapText="1"/>
    </xf>
    <xf numFmtId="0" fontId="2" fillId="0" borderId="0">
      <alignment vertical="top"/>
    </xf>
    <xf numFmtId="0" fontId="2" fillId="0" borderId="0">
      <alignment vertical="top"/>
    </xf>
    <xf numFmtId="0" fontId="2" fillId="0" borderId="0">
      <alignment vertical="top"/>
    </xf>
    <xf numFmtId="0" fontId="11" fillId="0" borderId="0" applyNumberFormat="0" applyFill="0" applyBorder="0" applyAlignment="0" applyProtection="0"/>
    <xf numFmtId="0" fontId="2" fillId="0" borderId="0">
      <alignment vertical="top"/>
    </xf>
    <xf numFmtId="0" fontId="11" fillId="0" borderId="0" applyNumberFormat="0" applyFill="0" applyBorder="0" applyAlignment="0" applyProtection="0"/>
    <xf numFmtId="0" fontId="11" fillId="0" borderId="0" applyNumberFormat="0" applyFill="0" applyBorder="0" applyAlignment="0" applyProtection="0"/>
    <xf numFmtId="0" fontId="2" fillId="0" borderId="0">
      <alignment vertical="top"/>
    </xf>
    <xf numFmtId="0" fontId="11" fillId="0" borderId="0" applyNumberFormat="0" applyFill="0" applyBorder="0" applyAlignment="0" applyProtection="0"/>
    <xf numFmtId="0" fontId="39" fillId="0" borderId="0" applyFill="0" applyBorder="0" applyProtection="0">
      <alignment horizontal="center" vertical="center"/>
    </xf>
    <xf numFmtId="0" fontId="2" fillId="0" borderId="0" applyBorder="0" applyProtection="0">
      <alignment vertical="center"/>
    </xf>
    <xf numFmtId="0" fontId="2" fillId="0" borderId="9" applyBorder="0" applyProtection="0">
      <alignment horizontal="right" vertical="center"/>
    </xf>
    <xf numFmtId="0" fontId="2" fillId="36" borderId="0" applyBorder="0" applyProtection="0">
      <alignment horizontal="centerContinuous" vertical="center"/>
    </xf>
    <xf numFmtId="0" fontId="2" fillId="6" borderId="9" applyBorder="0" applyProtection="0">
      <alignment horizontal="centerContinuous" vertical="center"/>
    </xf>
    <xf numFmtId="0" fontId="39" fillId="0" borderId="0" applyFill="0" applyBorder="0" applyProtection="0"/>
    <xf numFmtId="0" fontId="21" fillId="0" borderId="0" applyFill="0" applyBorder="0" applyProtection="0">
      <alignment horizontal="left"/>
    </xf>
    <xf numFmtId="0" fontId="132" fillId="0" borderId="0" applyFill="0" applyBorder="0" applyProtection="0">
      <alignment horizontal="left" vertical="top"/>
    </xf>
    <xf numFmtId="169" fontId="2" fillId="0" borderId="0" applyNumberFormat="0" applyFill="0" applyBorder="0">
      <alignment horizontal="left"/>
    </xf>
    <xf numFmtId="169" fontId="2" fillId="0" borderId="0" applyNumberFormat="0" applyFill="0" applyBorder="0">
      <alignment horizontal="right"/>
    </xf>
    <xf numFmtId="169" fontId="2" fillId="0" borderId="0" applyNumberFormat="0" applyFill="0" applyBorder="0">
      <alignment horizontal="right"/>
    </xf>
    <xf numFmtId="0" fontId="2" fillId="23" borderId="50" applyNumberFormat="0" applyFont="0" applyFill="0" applyAlignment="0" applyProtection="0">
      <protection locked="0"/>
    </xf>
    <xf numFmtId="0" fontId="2" fillId="0" borderId="0" applyNumberFormat="0" applyFill="0" applyBorder="0" applyAlignment="0" applyProtection="0"/>
    <xf numFmtId="0" fontId="53" fillId="0" borderId="0" applyNumberFormat="0" applyFill="0" applyBorder="0" applyAlignment="0" applyProtection="0"/>
    <xf numFmtId="0" fontId="85" fillId="0" borderId="0" applyNumberFormat="0" applyFill="0" applyBorder="0" applyAlignment="0" applyProtection="0"/>
    <xf numFmtId="0" fontId="2" fillId="0" borderId="0" applyNumberFormat="0" applyFill="0" applyBorder="0" applyAlignment="0" applyProtection="0"/>
    <xf numFmtId="0" fontId="2" fillId="0" borderId="0">
      <alignment horizontal="center"/>
    </xf>
    <xf numFmtId="208" fontId="2" fillId="0" borderId="0">
      <alignment horizontal="centerContinuous"/>
    </xf>
    <xf numFmtId="208" fontId="2" fillId="0" borderId="51">
      <alignment horizontal="centerContinuous"/>
    </xf>
    <xf numFmtId="208" fontId="2" fillId="0" borderId="0">
      <alignment horizontal="centerContinuous"/>
      <protection locked="0"/>
    </xf>
    <xf numFmtId="208" fontId="2" fillId="0" borderId="0">
      <alignment horizontal="left"/>
    </xf>
    <xf numFmtId="0" fontId="2" fillId="0" borderId="0" applyNumberFormat="0" applyFill="0" applyBorder="0" applyAlignment="0" applyProtection="0"/>
    <xf numFmtId="0" fontId="2" fillId="0" borderId="0" applyNumberFormat="0" applyFill="0" applyBorder="0" applyAlignment="0" applyProtection="0"/>
    <xf numFmtId="192" fontId="2" fillId="0" borderId="0">
      <alignment horizontal="left"/>
      <protection locked="0"/>
    </xf>
    <xf numFmtId="224" fontId="73" fillId="0" borderId="0" applyFont="0" applyFill="0" applyBorder="0" applyAlignment="0" applyProtection="0"/>
    <xf numFmtId="225" fontId="73" fillId="0" borderId="0" applyFont="0" applyFill="0" applyBorder="0" applyAlignment="0" applyProtection="0"/>
    <xf numFmtId="192" fontId="40" fillId="0" borderId="0" applyFont="0" applyFill="0" applyBorder="0" applyProtection="0">
      <alignment horizontal="right"/>
    </xf>
    <xf numFmtId="169" fontId="2" fillId="0" borderId="0" applyFon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55" fillId="0" borderId="55" applyNumberFormat="0" applyFill="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cellStyleXfs>
  <cellXfs count="344">
    <xf numFmtId="0" fontId="0" fillId="0" borderId="0" xfId="0"/>
    <xf numFmtId="0" fontId="3" fillId="0" borderId="0" xfId="0" applyFont="1" applyAlignment="1">
      <alignment vertical="center"/>
    </xf>
    <xf numFmtId="0" fontId="3" fillId="0" borderId="6" xfId="0" applyFont="1" applyBorder="1" applyAlignment="1">
      <alignment horizontal="center" vertical="center"/>
    </xf>
    <xf numFmtId="0" fontId="3" fillId="0" borderId="0" xfId="0" applyFont="1" applyAlignment="1">
      <alignment horizontal="center" vertical="center"/>
    </xf>
    <xf numFmtId="0" fontId="3" fillId="5" borderId="1" xfId="0" applyFont="1" applyFill="1" applyBorder="1" applyAlignment="1">
      <alignment horizontal="center" vertical="center"/>
    </xf>
    <xf numFmtId="0" fontId="3" fillId="0" borderId="1" xfId="0" applyFont="1" applyBorder="1" applyAlignment="1">
      <alignment horizontal="center" vertical="center"/>
    </xf>
    <xf numFmtId="0" fontId="3" fillId="0" borderId="0" xfId="0" applyFont="1" applyAlignment="1">
      <alignment horizontal="left" vertical="center"/>
    </xf>
    <xf numFmtId="164" fontId="4" fillId="3" borderId="0" xfId="0" applyNumberFormat="1" applyFont="1" applyFill="1" applyAlignment="1">
      <alignment horizontal="center" vertical="center"/>
    </xf>
    <xf numFmtId="164" fontId="4" fillId="3" borderId="6" xfId="0" applyNumberFormat="1" applyFont="1" applyFill="1" applyBorder="1" applyAlignment="1">
      <alignment horizontal="center" vertical="center"/>
    </xf>
    <xf numFmtId="0" fontId="6" fillId="0" borderId="1" xfId="0" applyFont="1" applyBorder="1" applyAlignment="1">
      <alignment horizontal="center" vertical="center"/>
    </xf>
    <xf numFmtId="0" fontId="3" fillId="0" borderId="6" xfId="0" applyFont="1" applyBorder="1" applyAlignment="1">
      <alignment vertical="center"/>
    </xf>
    <xf numFmtId="0" fontId="7" fillId="0" borderId="1" xfId="0" applyFont="1" applyBorder="1" applyAlignment="1">
      <alignment horizontal="center" vertical="center"/>
    </xf>
    <xf numFmtId="0" fontId="5" fillId="4" borderId="3" xfId="0" applyFont="1" applyFill="1" applyBorder="1" applyAlignment="1">
      <alignment horizontal="left" vertical="center"/>
    </xf>
    <xf numFmtId="0" fontId="4" fillId="0" borderId="0" xfId="0" applyFont="1" applyAlignment="1">
      <alignment horizontal="center" vertical="center"/>
    </xf>
    <xf numFmtId="164" fontId="6" fillId="0" borderId="1" xfId="0" applyNumberFormat="1" applyFont="1" applyBorder="1" applyAlignment="1">
      <alignment horizontal="center" vertical="center"/>
    </xf>
    <xf numFmtId="3" fontId="3" fillId="0" borderId="0" xfId="0" applyNumberFormat="1" applyFont="1" applyAlignment="1">
      <alignment horizontal="left" vertical="center"/>
    </xf>
    <xf numFmtId="0" fontId="3" fillId="0" borderId="11" xfId="0" applyFont="1" applyBorder="1" applyAlignment="1">
      <alignment horizontal="left" vertical="center"/>
    </xf>
    <xf numFmtId="0" fontId="9" fillId="0" borderId="0" xfId="0" applyFont="1" applyAlignment="1">
      <alignment horizontal="left" vertical="center"/>
    </xf>
    <xf numFmtId="2" fontId="3" fillId="0" borderId="6" xfId="0" applyNumberFormat="1" applyFont="1" applyBorder="1" applyAlignment="1">
      <alignment horizontal="right" vertical="center"/>
    </xf>
    <xf numFmtId="2" fontId="3" fillId="0" borderId="0" xfId="0" applyNumberFormat="1" applyFont="1" applyAlignment="1">
      <alignment horizontal="right" vertical="center"/>
    </xf>
    <xf numFmtId="10" fontId="3" fillId="0" borderId="0" xfId="0" applyNumberFormat="1" applyFont="1" applyAlignment="1">
      <alignment horizontal="right" vertical="center"/>
    </xf>
    <xf numFmtId="10" fontId="3" fillId="0" borderId="6" xfId="0" applyNumberFormat="1" applyFont="1" applyBorder="1" applyAlignment="1">
      <alignment horizontal="right" vertical="center"/>
    </xf>
    <xf numFmtId="0" fontId="3" fillId="0" borderId="13" xfId="0" applyFont="1" applyBorder="1" applyAlignment="1">
      <alignment horizontal="left" vertical="center"/>
    </xf>
    <xf numFmtId="165" fontId="3" fillId="0" borderId="0" xfId="0" applyNumberFormat="1" applyFont="1" applyAlignment="1">
      <alignment vertical="center"/>
    </xf>
    <xf numFmtId="0" fontId="10" fillId="0" borderId="0" xfId="0" applyFont="1" applyAlignment="1">
      <alignment vertical="center"/>
    </xf>
    <xf numFmtId="0" fontId="10" fillId="0" borderId="9" xfId="0" applyFont="1" applyBorder="1" applyAlignment="1">
      <alignment vertical="center"/>
    </xf>
    <xf numFmtId="0" fontId="3" fillId="0" borderId="9" xfId="0" applyFont="1" applyBorder="1" applyAlignment="1">
      <alignment horizontal="left" vertical="center"/>
    </xf>
    <xf numFmtId="166" fontId="5" fillId="0" borderId="0" xfId="0" applyNumberFormat="1" applyFont="1" applyAlignment="1">
      <alignment horizontal="center" vertical="center"/>
    </xf>
    <xf numFmtId="3" fontId="5" fillId="0" borderId="6" xfId="0" applyNumberFormat="1" applyFont="1" applyBorder="1" applyAlignment="1">
      <alignment horizontal="center" vertical="center"/>
    </xf>
    <xf numFmtId="3" fontId="5" fillId="0" borderId="0" xfId="0" quotePrefix="1" applyNumberFormat="1" applyFont="1" applyAlignment="1">
      <alignment horizontal="center" vertical="center"/>
    </xf>
    <xf numFmtId="3" fontId="5" fillId="0" borderId="0" xfId="0" applyNumberFormat="1" applyFont="1" applyAlignment="1">
      <alignment horizontal="center" vertical="center"/>
    </xf>
    <xf numFmtId="0" fontId="5" fillId="0" borderId="0" xfId="0" applyFont="1" applyAlignment="1">
      <alignment horizontal="left" vertical="center"/>
    </xf>
    <xf numFmtId="3" fontId="5" fillId="0" borderId="0" xfId="0" applyNumberFormat="1" applyFont="1" applyAlignment="1">
      <alignment horizontal="left" vertical="center"/>
    </xf>
    <xf numFmtId="0" fontId="10" fillId="0" borderId="0" xfId="0" applyFont="1" applyAlignment="1">
      <alignment horizontal="left" vertical="center"/>
    </xf>
    <xf numFmtId="164" fontId="6" fillId="4" borderId="1" xfId="0" applyNumberFormat="1" applyFont="1" applyFill="1" applyBorder="1" applyAlignment="1">
      <alignment horizontal="center" vertical="center"/>
    </xf>
    <xf numFmtId="10" fontId="3" fillId="0" borderId="1" xfId="0" applyNumberFormat="1" applyFont="1" applyBorder="1" applyAlignment="1">
      <alignment vertical="center"/>
    </xf>
    <xf numFmtId="10" fontId="3" fillId="0" borderId="3" xfId="0" applyNumberFormat="1" applyFont="1" applyBorder="1" applyAlignment="1">
      <alignment vertical="center"/>
    </xf>
    <xf numFmtId="164" fontId="6" fillId="4" borderId="4" xfId="0" applyNumberFormat="1" applyFont="1" applyFill="1" applyBorder="1" applyAlignment="1">
      <alignment horizontal="center" vertical="center"/>
    </xf>
    <xf numFmtId="3" fontId="3" fillId="0" borderId="9" xfId="0" applyNumberFormat="1" applyFont="1" applyBorder="1" applyAlignment="1">
      <alignment horizontal="center" vertical="center"/>
    </xf>
    <xf numFmtId="3" fontId="3" fillId="0" borderId="10" xfId="0" applyNumberFormat="1" applyFont="1" applyBorder="1" applyAlignment="1">
      <alignment horizontal="center" vertical="center"/>
    </xf>
    <xf numFmtId="0" fontId="11" fillId="0" borderId="0" xfId="0" applyFont="1" applyAlignment="1">
      <alignment vertical="center"/>
    </xf>
    <xf numFmtId="0" fontId="11" fillId="0" borderId="16" xfId="0" applyFont="1" applyBorder="1" applyAlignment="1">
      <alignment vertical="center"/>
    </xf>
    <xf numFmtId="0" fontId="4" fillId="3" borderId="0" xfId="0" applyFont="1" applyFill="1" applyAlignment="1">
      <alignment horizontal="left" vertical="center" indent="1"/>
    </xf>
    <xf numFmtId="0" fontId="4" fillId="3" borderId="0" xfId="0" applyFont="1" applyFill="1" applyAlignment="1">
      <alignment horizontal="center" vertical="center"/>
    </xf>
    <xf numFmtId="0" fontId="3" fillId="3" borderId="0" xfId="0" applyFont="1" applyFill="1" applyAlignment="1">
      <alignment horizontal="center" vertical="center"/>
    </xf>
    <xf numFmtId="0" fontId="3" fillId="3" borderId="16" xfId="0" applyFont="1" applyFill="1" applyBorder="1" applyAlignment="1">
      <alignment horizontal="center" vertical="center"/>
    </xf>
    <xf numFmtId="0" fontId="14" fillId="0" borderId="0" xfId="0" applyFont="1" applyAlignment="1">
      <alignment vertical="center"/>
    </xf>
    <xf numFmtId="0" fontId="11" fillId="0" borderId="0" xfId="0" applyFont="1" applyAlignment="1">
      <alignment horizontal="left" vertical="center" indent="1"/>
    </xf>
    <xf numFmtId="0" fontId="11" fillId="0" borderId="0" xfId="0" applyFont="1" applyAlignment="1">
      <alignment horizontal="left" vertical="center"/>
    </xf>
    <xf numFmtId="0" fontId="11" fillId="0" borderId="0" xfId="0" applyFont="1" applyAlignment="1">
      <alignment horizontal="center" vertical="center"/>
    </xf>
    <xf numFmtId="43" fontId="11" fillId="0" borderId="0" xfId="3" applyFont="1" applyBorder="1" applyAlignment="1">
      <alignment vertical="center"/>
    </xf>
    <xf numFmtId="169" fontId="7" fillId="0" borderId="1" xfId="1" applyNumberFormat="1" applyFont="1" applyFill="1" applyBorder="1" applyAlignment="1">
      <alignment horizontal="right" vertical="center"/>
    </xf>
    <xf numFmtId="0" fontId="7" fillId="0" borderId="1" xfId="0" applyFont="1" applyBorder="1" applyAlignment="1">
      <alignment horizontal="right" vertical="center"/>
    </xf>
    <xf numFmtId="0" fontId="14" fillId="2" borderId="5" xfId="0" applyFont="1" applyFill="1" applyBorder="1" applyAlignment="1">
      <alignment horizontal="center" vertical="center"/>
    </xf>
    <xf numFmtId="17" fontId="3" fillId="2" borderId="3" xfId="0" applyNumberFormat="1" applyFont="1" applyFill="1" applyBorder="1" applyAlignment="1">
      <alignment horizontal="center" vertical="center"/>
    </xf>
    <xf numFmtId="17" fontId="3" fillId="2" borderId="5" xfId="0" applyNumberFormat="1" applyFont="1" applyFill="1" applyBorder="1" applyAlignment="1">
      <alignment horizontal="center" vertical="center"/>
    </xf>
    <xf numFmtId="0" fontId="13" fillId="0" borderId="1" xfId="1" applyNumberFormat="1" applyFont="1" applyBorder="1" applyAlignment="1">
      <alignment horizontal="center" vertical="center"/>
    </xf>
    <xf numFmtId="168" fontId="3" fillId="0" borderId="0" xfId="2" applyNumberFormat="1" applyFont="1" applyAlignment="1">
      <alignment horizontal="right" vertical="center"/>
    </xf>
    <xf numFmtId="168" fontId="3" fillId="0" borderId="6" xfId="2" applyNumberFormat="1" applyFont="1" applyBorder="1" applyAlignment="1">
      <alignment horizontal="right" vertical="center"/>
    </xf>
    <xf numFmtId="0" fontId="3" fillId="0" borderId="9" xfId="0" applyFont="1" applyBorder="1" applyAlignment="1">
      <alignment vertical="center"/>
    </xf>
    <xf numFmtId="0" fontId="3" fillId="0" borderId="10" xfId="0" applyFont="1" applyBorder="1" applyAlignment="1">
      <alignment vertical="center"/>
    </xf>
    <xf numFmtId="165" fontId="3" fillId="0" borderId="9" xfId="0" applyNumberFormat="1" applyFont="1" applyBorder="1" applyAlignment="1">
      <alignment vertical="center"/>
    </xf>
    <xf numFmtId="0" fontId="3" fillId="0" borderId="0" xfId="0" quotePrefix="1" applyFont="1" applyAlignment="1">
      <alignment horizontal="right" vertical="center"/>
    </xf>
    <xf numFmtId="0" fontId="3" fillId="0" borderId="5" xfId="0" applyFont="1" applyBorder="1" applyAlignment="1">
      <alignment horizontal="left" vertical="center"/>
    </xf>
    <xf numFmtId="0" fontId="3" fillId="0" borderId="0" xfId="0" quotePrefix="1" applyFont="1" applyAlignment="1">
      <alignment horizontal="left" vertical="center"/>
    </xf>
    <xf numFmtId="165" fontId="3" fillId="0" borderId="0" xfId="0" applyNumberFormat="1" applyFont="1" applyAlignment="1">
      <alignment horizontal="left" vertical="center"/>
    </xf>
    <xf numFmtId="0" fontId="3" fillId="2" borderId="4" xfId="0" applyFont="1" applyFill="1" applyBorder="1" applyAlignment="1">
      <alignment horizontal="center" vertical="center"/>
    </xf>
    <xf numFmtId="0" fontId="3" fillId="5" borderId="4" xfId="0" applyFont="1" applyFill="1" applyBorder="1" applyAlignment="1">
      <alignment horizontal="center" vertical="center"/>
    </xf>
    <xf numFmtId="0" fontId="10" fillId="0" borderId="9" xfId="0" applyFont="1" applyBorder="1" applyAlignment="1">
      <alignment horizontal="left" vertical="center"/>
    </xf>
    <xf numFmtId="10" fontId="3" fillId="0" borderId="0" xfId="1" applyNumberFormat="1" applyFont="1" applyFill="1" applyBorder="1" applyAlignment="1">
      <alignment horizontal="right" vertical="center"/>
    </xf>
    <xf numFmtId="0" fontId="14" fillId="2" borderId="11" xfId="0" applyFont="1" applyFill="1" applyBorder="1" applyAlignment="1">
      <alignment horizontal="center" vertical="center"/>
    </xf>
    <xf numFmtId="17" fontId="7" fillId="2" borderId="17" xfId="0" applyNumberFormat="1" applyFont="1" applyFill="1" applyBorder="1" applyAlignment="1">
      <alignment horizontal="center" vertical="center"/>
    </xf>
    <xf numFmtId="17" fontId="7" fillId="2" borderId="11" xfId="0" applyNumberFormat="1" applyFont="1" applyFill="1" applyBorder="1" applyAlignment="1">
      <alignment horizontal="center" vertical="center"/>
    </xf>
    <xf numFmtId="0" fontId="14" fillId="2" borderId="13" xfId="0" applyFont="1" applyFill="1" applyBorder="1" applyAlignment="1">
      <alignment horizontal="center" vertical="center"/>
    </xf>
    <xf numFmtId="0" fontId="7" fillId="2" borderId="18" xfId="0" applyFont="1" applyFill="1" applyBorder="1" applyAlignment="1">
      <alignment horizontal="center" vertical="center"/>
    </xf>
    <xf numFmtId="0" fontId="7" fillId="2" borderId="13" xfId="0" applyFont="1" applyFill="1" applyBorder="1" applyAlignment="1">
      <alignment horizontal="center" vertical="center"/>
    </xf>
    <xf numFmtId="10" fontId="3" fillId="0" borderId="0" xfId="0" applyNumberFormat="1" applyFont="1" applyAlignment="1">
      <alignment horizontal="center" vertical="center"/>
    </xf>
    <xf numFmtId="167" fontId="3" fillId="0" borderId="0" xfId="0" applyNumberFormat="1" applyFont="1" applyAlignment="1">
      <alignment horizontal="center" vertical="center"/>
    </xf>
    <xf numFmtId="10" fontId="3" fillId="0" borderId="0" xfId="1" applyNumberFormat="1" applyFont="1" applyFill="1" applyAlignment="1">
      <alignment horizontal="center" vertical="center"/>
    </xf>
    <xf numFmtId="10" fontId="9" fillId="0" borderId="0" xfId="1" applyNumberFormat="1" applyFont="1" applyFill="1" applyBorder="1" applyAlignment="1">
      <alignment horizontal="left" vertical="center"/>
    </xf>
    <xf numFmtId="164" fontId="3" fillId="0" borderId="1" xfId="0" applyNumberFormat="1" applyFont="1" applyBorder="1" applyAlignment="1">
      <alignment horizontal="center" vertical="center"/>
    </xf>
    <xf numFmtId="2" fontId="7" fillId="0" borderId="1" xfId="1" applyNumberFormat="1" applyFont="1" applyFill="1" applyBorder="1" applyAlignment="1">
      <alignment horizontal="right" vertical="center"/>
    </xf>
    <xf numFmtId="2" fontId="8" fillId="0" borderId="0" xfId="0" applyNumberFormat="1" applyFont="1" applyAlignment="1">
      <alignment vertical="center"/>
    </xf>
    <xf numFmtId="0" fontId="5" fillId="4" borderId="4" xfId="0" applyFont="1" applyFill="1" applyBorder="1" applyAlignment="1">
      <alignment horizontal="left" vertical="center"/>
    </xf>
    <xf numFmtId="43" fontId="3" fillId="0" borderId="0" xfId="3" applyFont="1" applyAlignment="1">
      <alignment vertical="center"/>
    </xf>
    <xf numFmtId="170" fontId="3" fillId="0" borderId="0" xfId="3" applyNumberFormat="1" applyFont="1" applyAlignment="1">
      <alignment vertical="center"/>
    </xf>
    <xf numFmtId="0" fontId="3" fillId="0" borderId="52" xfId="0" applyFont="1" applyBorder="1" applyAlignment="1">
      <alignment vertical="center"/>
    </xf>
    <xf numFmtId="0" fontId="3" fillId="0" borderId="0" xfId="0" applyFont="1" applyAlignment="1">
      <alignment horizontal="left" vertical="center" indent="1"/>
    </xf>
    <xf numFmtId="43" fontId="11" fillId="0" borderId="0" xfId="3" applyFont="1" applyBorder="1" applyAlignment="1">
      <alignment horizontal="left" vertical="center"/>
    </xf>
    <xf numFmtId="175" fontId="11" fillId="0" borderId="0" xfId="0" applyNumberFormat="1" applyFont="1" applyAlignment="1">
      <alignment horizontal="left" vertical="center" indent="1"/>
    </xf>
    <xf numFmtId="0" fontId="8" fillId="0" borderId="0" xfId="0" applyFont="1" applyAlignment="1">
      <alignment horizontal="center" vertical="center"/>
    </xf>
    <xf numFmtId="5" fontId="7" fillId="0" borderId="16" xfId="2" applyNumberFormat="1" applyFont="1" applyBorder="1" applyAlignment="1">
      <alignment horizontal="right" vertical="center"/>
    </xf>
    <xf numFmtId="5" fontId="7" fillId="0" borderId="0" xfId="2" applyNumberFormat="1" applyFont="1" applyAlignment="1">
      <alignment horizontal="right" vertical="center"/>
    </xf>
    <xf numFmtId="0" fontId="5" fillId="0" borderId="11" xfId="0" applyFont="1" applyBorder="1" applyAlignment="1">
      <alignment horizontal="left" vertical="center"/>
    </xf>
    <xf numFmtId="0" fontId="5" fillId="0" borderId="7" xfId="0" applyFont="1" applyBorder="1" applyAlignment="1">
      <alignment horizontal="left" vertical="center"/>
    </xf>
    <xf numFmtId="0" fontId="20" fillId="0" borderId="0" xfId="0" applyFont="1" applyAlignment="1">
      <alignment horizontal="left" vertical="center"/>
    </xf>
    <xf numFmtId="216" fontId="7" fillId="0" borderId="1" xfId="1" applyNumberFormat="1" applyFont="1" applyFill="1" applyBorder="1" applyAlignment="1">
      <alignment horizontal="right" vertical="center"/>
    </xf>
    <xf numFmtId="216" fontId="3" fillId="0" borderId="6" xfId="0" applyNumberFormat="1" applyFont="1" applyBorder="1" applyAlignment="1">
      <alignment horizontal="right" vertical="center"/>
    </xf>
    <xf numFmtId="216" fontId="3" fillId="0" borderId="0" xfId="0" applyNumberFormat="1" applyFont="1" applyAlignment="1">
      <alignment horizontal="right" vertical="center"/>
    </xf>
    <xf numFmtId="216" fontId="3" fillId="0" borderId="0" xfId="1" applyNumberFormat="1" applyFont="1" applyFill="1" applyBorder="1" applyAlignment="1">
      <alignment horizontal="right" vertical="center"/>
    </xf>
    <xf numFmtId="0" fontId="3" fillId="0" borderId="13" xfId="0" applyFont="1" applyBorder="1" applyAlignment="1">
      <alignment vertical="center"/>
    </xf>
    <xf numFmtId="216" fontId="3" fillId="0" borderId="13" xfId="1" applyNumberFormat="1" applyFont="1" applyFill="1" applyBorder="1" applyAlignment="1">
      <alignment horizontal="right" vertical="center"/>
    </xf>
    <xf numFmtId="216" fontId="3" fillId="0" borderId="14" xfId="0" applyNumberFormat="1" applyFont="1" applyBorder="1" applyAlignment="1">
      <alignment horizontal="right" vertical="center"/>
    </xf>
    <xf numFmtId="216" fontId="3" fillId="0" borderId="13" xfId="0" applyNumberFormat="1" applyFont="1" applyBorder="1" applyAlignment="1">
      <alignment horizontal="right" vertical="center"/>
    </xf>
    <xf numFmtId="216" fontId="3" fillId="0" borderId="0" xfId="0" applyNumberFormat="1" applyFont="1" applyAlignment="1">
      <alignment vertical="center"/>
    </xf>
    <xf numFmtId="226" fontId="3" fillId="0" borderId="0" xfId="3" applyNumberFormat="1" applyFont="1" applyAlignment="1">
      <alignment vertical="center"/>
    </xf>
    <xf numFmtId="0" fontId="8" fillId="0" borderId="1" xfId="0" applyFont="1" applyBorder="1" applyAlignment="1">
      <alignment horizontal="center" vertical="center"/>
    </xf>
    <xf numFmtId="216" fontId="3" fillId="0" borderId="3" xfId="0" applyNumberFormat="1" applyFont="1" applyBorder="1" applyAlignment="1">
      <alignment vertical="center"/>
    </xf>
    <xf numFmtId="3" fontId="5" fillId="0" borderId="11" xfId="0" applyNumberFormat="1" applyFont="1" applyBorder="1" applyAlignment="1">
      <alignment horizontal="left" vertical="center"/>
    </xf>
    <xf numFmtId="43" fontId="3" fillId="0" borderId="0" xfId="3" applyFont="1" applyBorder="1" applyAlignment="1">
      <alignment vertical="center"/>
    </xf>
    <xf numFmtId="0" fontId="7" fillId="0" borderId="0" xfId="0" applyFont="1" applyAlignment="1">
      <alignment horizontal="center" vertical="center"/>
    </xf>
    <xf numFmtId="2" fontId="7" fillId="0" borderId="0" xfId="1" applyNumberFormat="1" applyFont="1" applyFill="1" applyBorder="1" applyAlignment="1">
      <alignment horizontal="right" vertical="center"/>
    </xf>
    <xf numFmtId="0" fontId="7" fillId="0" borderId="1" xfId="1" applyNumberFormat="1" applyFont="1" applyFill="1" applyBorder="1" applyAlignment="1">
      <alignment horizontal="center" vertical="center"/>
    </xf>
    <xf numFmtId="227" fontId="3" fillId="0" borderId="7" xfId="2" applyNumberFormat="1" applyFont="1" applyBorder="1" applyAlignment="1">
      <alignment horizontal="right" vertical="center"/>
    </xf>
    <xf numFmtId="227" fontId="3" fillId="0" borderId="0" xfId="0" applyNumberFormat="1" applyFont="1" applyAlignment="1">
      <alignment horizontal="left" vertical="center"/>
    </xf>
    <xf numFmtId="227" fontId="3" fillId="0" borderId="8" xfId="2" applyNumberFormat="1" applyFont="1" applyBorder="1" applyAlignment="1">
      <alignment horizontal="right" vertical="center"/>
    </xf>
    <xf numFmtId="227" fontId="3" fillId="0" borderId="0" xfId="2" applyNumberFormat="1" applyFont="1" applyAlignment="1">
      <alignment horizontal="right" vertical="center"/>
    </xf>
    <xf numFmtId="227" fontId="3" fillId="0" borderId="0" xfId="0" quotePrefix="1" applyNumberFormat="1" applyFont="1" applyAlignment="1">
      <alignment horizontal="left" vertical="center"/>
    </xf>
    <xf numFmtId="227" fontId="3" fillId="0" borderId="6" xfId="2" applyNumberFormat="1" applyFont="1" applyBorder="1" applyAlignment="1">
      <alignment horizontal="right" vertical="center"/>
    </xf>
    <xf numFmtId="227" fontId="3" fillId="0" borderId="11" xfId="2" applyNumberFormat="1" applyFont="1" applyBorder="1" applyAlignment="1">
      <alignment horizontal="right" vertical="center"/>
    </xf>
    <xf numFmtId="227" fontId="3" fillId="0" borderId="12" xfId="2" applyNumberFormat="1" applyFont="1" applyBorder="1" applyAlignment="1">
      <alignment horizontal="right" vertical="center"/>
    </xf>
    <xf numFmtId="227" fontId="3" fillId="0" borderId="13" xfId="2" applyNumberFormat="1" applyFont="1" applyBorder="1" applyAlignment="1">
      <alignment horizontal="right" vertical="center"/>
    </xf>
    <xf numFmtId="227" fontId="3" fillId="0" borderId="0" xfId="1" applyNumberFormat="1" applyFont="1" applyFill="1" applyBorder="1" applyAlignment="1">
      <alignment horizontal="right" vertical="center"/>
    </xf>
    <xf numFmtId="227" fontId="3" fillId="0" borderId="0" xfId="0" applyNumberFormat="1" applyFont="1" applyAlignment="1">
      <alignment vertical="center"/>
    </xf>
    <xf numFmtId="227" fontId="3" fillId="0" borderId="6" xfId="0" applyNumberFormat="1" applyFont="1" applyBorder="1" applyAlignment="1">
      <alignment horizontal="right" vertical="center"/>
    </xf>
    <xf numFmtId="227" fontId="3" fillId="0" borderId="0" xfId="0" applyNumberFormat="1" applyFont="1" applyAlignment="1">
      <alignment horizontal="right" vertical="center"/>
    </xf>
    <xf numFmtId="0" fontId="7" fillId="0" borderId="4" xfId="1" applyNumberFormat="1" applyFont="1" applyFill="1" applyBorder="1" applyAlignment="1">
      <alignment horizontal="center" vertical="center"/>
    </xf>
    <xf numFmtId="216" fontId="3" fillId="0" borderId="1" xfId="0" applyNumberFormat="1" applyFont="1" applyBorder="1" applyAlignment="1">
      <alignment vertical="center"/>
    </xf>
    <xf numFmtId="3" fontId="20" fillId="0" borderId="0" xfId="0" applyNumberFormat="1" applyFont="1" applyAlignment="1">
      <alignment horizontal="left" vertical="center"/>
    </xf>
    <xf numFmtId="227" fontId="3" fillId="0" borderId="9" xfId="2" applyNumberFormat="1" applyFont="1" applyBorder="1" applyAlignment="1">
      <alignment horizontal="right" vertical="center"/>
    </xf>
    <xf numFmtId="227" fontId="3" fillId="0" borderId="53" xfId="2" applyNumberFormat="1" applyFont="1" applyBorder="1" applyAlignment="1">
      <alignment horizontal="right" vertical="center"/>
    </xf>
    <xf numFmtId="168" fontId="3" fillId="0" borderId="16" xfId="2" applyNumberFormat="1" applyFont="1" applyBorder="1" applyAlignment="1">
      <alignment horizontal="right" vertical="center"/>
    </xf>
    <xf numFmtId="227" fontId="3" fillId="0" borderId="16" xfId="2" applyNumberFormat="1" applyFont="1" applyBorder="1" applyAlignment="1">
      <alignment horizontal="right" vertical="center"/>
    </xf>
    <xf numFmtId="227" fontId="3" fillId="0" borderId="9" xfId="0" applyNumberFormat="1" applyFont="1" applyBorder="1" applyAlignment="1">
      <alignment horizontal="right" vertical="center"/>
    </xf>
    <xf numFmtId="227" fontId="3" fillId="0" borderId="54" xfId="0" applyNumberFormat="1" applyFont="1" applyBorder="1" applyAlignment="1">
      <alignment horizontal="right" vertical="center"/>
    </xf>
    <xf numFmtId="216" fontId="3" fillId="0" borderId="0" xfId="2" applyNumberFormat="1" applyFont="1" applyAlignment="1">
      <alignment horizontal="right" vertical="center"/>
    </xf>
    <xf numFmtId="216" fontId="3" fillId="0" borderId="0" xfId="0" applyNumberFormat="1" applyFont="1" applyAlignment="1">
      <alignment horizontal="left" vertical="center"/>
    </xf>
    <xf numFmtId="228" fontId="3" fillId="0" borderId="0" xfId="3" applyNumberFormat="1" applyFont="1" applyAlignment="1">
      <alignment vertical="center"/>
    </xf>
    <xf numFmtId="10" fontId="3" fillId="0" borderId="16" xfId="0" applyNumberFormat="1" applyFont="1" applyBorder="1" applyAlignment="1">
      <alignment horizontal="right" vertical="center"/>
    </xf>
    <xf numFmtId="0" fontId="20" fillId="0" borderId="0" xfId="0" applyFont="1" applyAlignment="1">
      <alignment vertical="center"/>
    </xf>
    <xf numFmtId="229" fontId="3" fillId="0" borderId="0" xfId="3" applyNumberFormat="1" applyFont="1" applyAlignment="1">
      <alignment vertical="center"/>
    </xf>
    <xf numFmtId="230" fontId="3" fillId="0" borderId="0" xfId="3" applyNumberFormat="1" applyFont="1" applyAlignment="1">
      <alignment vertical="center"/>
    </xf>
    <xf numFmtId="0" fontId="5" fillId="0" borderId="0" xfId="0" applyFont="1" applyAlignment="1">
      <alignment vertical="center"/>
    </xf>
    <xf numFmtId="0" fontId="3" fillId="0" borderId="11" xfId="0" applyFont="1" applyBorder="1" applyAlignment="1">
      <alignment vertical="center"/>
    </xf>
    <xf numFmtId="216" fontId="3" fillId="0" borderId="11" xfId="1" applyNumberFormat="1" applyFont="1" applyFill="1" applyBorder="1" applyAlignment="1">
      <alignment horizontal="right" vertical="center"/>
    </xf>
    <xf numFmtId="216" fontId="3" fillId="0" borderId="12" xfId="0" applyNumberFormat="1" applyFont="1" applyBorder="1" applyAlignment="1">
      <alignment horizontal="right" vertical="center"/>
    </xf>
    <xf numFmtId="216" fontId="3" fillId="0" borderId="11" xfId="0" applyNumberFormat="1" applyFont="1" applyBorder="1" applyAlignment="1">
      <alignment horizontal="right" vertical="center"/>
    </xf>
    <xf numFmtId="3" fontId="3" fillId="0" borderId="0" xfId="0" applyNumberFormat="1" applyFont="1" applyAlignment="1">
      <alignment horizontal="center" vertical="center"/>
    </xf>
    <xf numFmtId="216" fontId="3" fillId="0" borderId="1" xfId="1" applyNumberFormat="1" applyFont="1" applyFill="1" applyBorder="1" applyAlignment="1">
      <alignment horizontal="right" vertical="center"/>
    </xf>
    <xf numFmtId="10" fontId="3" fillId="0" borderId="13" xfId="1" applyNumberFormat="1" applyFont="1" applyFill="1" applyBorder="1" applyAlignment="1">
      <alignment horizontal="right" vertical="center"/>
    </xf>
    <xf numFmtId="10" fontId="3" fillId="0" borderId="14" xfId="0" applyNumberFormat="1" applyFont="1" applyBorder="1" applyAlignment="1">
      <alignment horizontal="right" vertical="center"/>
    </xf>
    <xf numFmtId="10" fontId="3" fillId="0" borderId="13" xfId="0" applyNumberFormat="1" applyFont="1" applyBorder="1" applyAlignment="1">
      <alignment horizontal="right" vertical="center"/>
    </xf>
    <xf numFmtId="2" fontId="3" fillId="0" borderId="52" xfId="0" applyNumberFormat="1" applyFont="1" applyBorder="1" applyAlignment="1">
      <alignment horizontal="right" vertical="center"/>
    </xf>
    <xf numFmtId="2" fontId="3" fillId="0" borderId="9" xfId="0" applyNumberFormat="1" applyFont="1" applyBorder="1" applyAlignment="1">
      <alignment horizontal="right" vertical="center"/>
    </xf>
    <xf numFmtId="3" fontId="3" fillId="0" borderId="0" xfId="0" applyNumberFormat="1" applyFont="1" applyAlignment="1">
      <alignment horizontal="left" vertical="center" indent="1"/>
    </xf>
    <xf numFmtId="0" fontId="7" fillId="0" borderId="0" xfId="0" applyFont="1" applyAlignment="1">
      <alignment horizontal="left" vertical="center" indent="1"/>
    </xf>
    <xf numFmtId="0" fontId="7" fillId="0" borderId="0" xfId="0" applyFont="1" applyAlignment="1">
      <alignment horizontal="left" vertical="center"/>
    </xf>
    <xf numFmtId="227" fontId="3" fillId="0" borderId="52" xfId="2" applyNumberFormat="1" applyFont="1" applyBorder="1" applyAlignment="1">
      <alignment horizontal="right" vertical="center"/>
    </xf>
    <xf numFmtId="227" fontId="3" fillId="0" borderId="52" xfId="0" applyNumberFormat="1" applyFont="1" applyBorder="1" applyAlignment="1">
      <alignment vertical="center"/>
    </xf>
    <xf numFmtId="227" fontId="3" fillId="0" borderId="9" xfId="0" applyNumberFormat="1" applyFont="1" applyBorder="1" applyAlignment="1">
      <alignment vertical="center"/>
    </xf>
    <xf numFmtId="227" fontId="3" fillId="0" borderId="4" xfId="2" applyNumberFormat="1" applyFont="1" applyBorder="1" applyAlignment="1">
      <alignment horizontal="right" vertical="center"/>
    </xf>
    <xf numFmtId="227" fontId="3" fillId="0" borderId="5" xfId="2" applyNumberFormat="1" applyFont="1" applyBorder="1" applyAlignment="1">
      <alignment horizontal="right" vertical="center"/>
    </xf>
    <xf numFmtId="0" fontId="7" fillId="0" borderId="9" xfId="0" applyFont="1" applyBorder="1" applyAlignment="1">
      <alignment horizontal="left" vertical="center"/>
    </xf>
    <xf numFmtId="4" fontId="3" fillId="0" borderId="0" xfId="0" applyNumberFormat="1" applyFont="1" applyAlignment="1">
      <alignment horizontal="right" vertical="center"/>
    </xf>
    <xf numFmtId="4" fontId="3" fillId="0" borderId="16" xfId="0" applyNumberFormat="1" applyFont="1" applyBorder="1" applyAlignment="1">
      <alignment horizontal="right" vertical="center"/>
    </xf>
    <xf numFmtId="4" fontId="3" fillId="0" borderId="6" xfId="0" applyNumberFormat="1" applyFont="1" applyBorder="1" applyAlignment="1">
      <alignment horizontal="right" vertical="center"/>
    </xf>
    <xf numFmtId="231" fontId="3" fillId="0" borderId="0" xfId="0" applyNumberFormat="1" applyFont="1" applyAlignment="1">
      <alignment horizontal="right" vertical="center"/>
    </xf>
    <xf numFmtId="231" fontId="3" fillId="0" borderId="16" xfId="0" applyNumberFormat="1" applyFont="1" applyBorder="1" applyAlignment="1">
      <alignment horizontal="right" vertical="center"/>
    </xf>
    <xf numFmtId="216" fontId="3" fillId="0" borderId="16" xfId="0" applyNumberFormat="1" applyFont="1" applyBorder="1" applyAlignment="1">
      <alignment horizontal="right" vertical="center"/>
    </xf>
    <xf numFmtId="216" fontId="3" fillId="0" borderId="6" xfId="0" applyNumberFormat="1" applyFont="1" applyBorder="1" applyAlignment="1">
      <alignment vertical="center"/>
    </xf>
    <xf numFmtId="232" fontId="3" fillId="0" borderId="6" xfId="0" applyNumberFormat="1" applyFont="1" applyBorder="1" applyAlignment="1">
      <alignment horizontal="right" vertical="center"/>
    </xf>
    <xf numFmtId="232" fontId="3" fillId="0" borderId="0" xfId="0" applyNumberFormat="1" applyFont="1" applyAlignment="1">
      <alignment horizontal="right" vertical="center"/>
    </xf>
    <xf numFmtId="231" fontId="8" fillId="0" borderId="1" xfId="0" applyNumberFormat="1" applyFont="1" applyBorder="1" applyAlignment="1">
      <alignment horizontal="center" vertical="center"/>
    </xf>
    <xf numFmtId="4" fontId="3" fillId="0" borderId="14" xfId="0" applyNumberFormat="1" applyFont="1" applyBorder="1" applyAlignment="1">
      <alignment horizontal="right" vertical="center"/>
    </xf>
    <xf numFmtId="4" fontId="3" fillId="0" borderId="18" xfId="0" applyNumberFormat="1" applyFont="1" applyBorder="1" applyAlignment="1">
      <alignment horizontal="right" vertical="center"/>
    </xf>
    <xf numFmtId="4" fontId="3" fillId="0" borderId="13" xfId="0" applyNumberFormat="1" applyFont="1" applyBorder="1" applyAlignment="1">
      <alignment horizontal="right" vertical="center"/>
    </xf>
    <xf numFmtId="216" fontId="3" fillId="0" borderId="16" xfId="2" applyNumberFormat="1" applyFont="1" applyBorder="1" applyAlignment="1">
      <alignment horizontal="right" vertical="center"/>
    </xf>
    <xf numFmtId="0" fontId="7" fillId="0" borderId="13" xfId="0" applyFont="1" applyBorder="1" applyAlignment="1">
      <alignment horizontal="left" vertical="center" indent="1"/>
    </xf>
    <xf numFmtId="227" fontId="3" fillId="0" borderId="14" xfId="2" applyNumberFormat="1" applyFont="1" applyBorder="1" applyAlignment="1">
      <alignment horizontal="right" vertical="center"/>
    </xf>
    <xf numFmtId="5" fontId="3" fillId="0" borderId="6" xfId="2" applyNumberFormat="1" applyFont="1" applyBorder="1" applyAlignment="1">
      <alignment horizontal="right" vertical="center"/>
    </xf>
    <xf numFmtId="5" fontId="3" fillId="0" borderId="0" xfId="2" applyNumberFormat="1" applyFont="1" applyAlignment="1">
      <alignment horizontal="right" vertical="center"/>
    </xf>
    <xf numFmtId="5" fontId="3" fillId="0" borderId="12" xfId="2" applyNumberFormat="1" applyFont="1" applyBorder="1" applyAlignment="1">
      <alignment horizontal="right" vertical="center"/>
    </xf>
    <xf numFmtId="5" fontId="3" fillId="0" borderId="11" xfId="2" applyNumberFormat="1" applyFont="1" applyBorder="1" applyAlignment="1">
      <alignment horizontal="right" vertical="center"/>
    </xf>
    <xf numFmtId="5" fontId="3" fillId="0" borderId="10" xfId="2" applyNumberFormat="1" applyFont="1" applyBorder="1" applyAlignment="1">
      <alignment horizontal="right" vertical="center"/>
    </xf>
    <xf numFmtId="5" fontId="3" fillId="0" borderId="9" xfId="2" applyNumberFormat="1" applyFont="1" applyBorder="1" applyAlignment="1">
      <alignment horizontal="right" vertical="center"/>
    </xf>
    <xf numFmtId="227" fontId="3" fillId="0" borderId="6" xfId="0" applyNumberFormat="1" applyFont="1" applyBorder="1" applyAlignment="1">
      <alignment vertical="center"/>
    </xf>
    <xf numFmtId="4" fontId="3" fillId="0" borderId="0" xfId="0" applyNumberFormat="1" applyFont="1" applyAlignment="1">
      <alignment vertical="center"/>
    </xf>
    <xf numFmtId="0" fontId="3" fillId="0" borderId="6" xfId="0" applyFont="1" applyBorder="1" applyAlignment="1">
      <alignment horizontal="right" vertical="center"/>
    </xf>
    <xf numFmtId="0" fontId="3" fillId="0" borderId="0" xfId="0" applyFont="1" applyAlignment="1">
      <alignment horizontal="right" vertical="center"/>
    </xf>
    <xf numFmtId="0" fontId="3" fillId="0" borderId="52" xfId="0" applyFont="1" applyBorder="1" applyAlignment="1">
      <alignment horizontal="right" vertical="center"/>
    </xf>
    <xf numFmtId="0" fontId="3" fillId="0" borderId="9" xfId="0" applyFont="1" applyBorder="1" applyAlignment="1">
      <alignment horizontal="right" vertical="center"/>
    </xf>
    <xf numFmtId="0" fontId="10" fillId="0" borderId="9" xfId="0" applyFont="1" applyBorder="1" applyAlignment="1">
      <alignment horizontal="right" vertical="center"/>
    </xf>
    <xf numFmtId="9" fontId="7" fillId="0" borderId="1" xfId="1" applyFont="1" applyFill="1" applyBorder="1" applyAlignment="1">
      <alignment horizontal="right" vertical="center"/>
    </xf>
    <xf numFmtId="10" fontId="3" fillId="0" borderId="16" xfId="1" applyNumberFormat="1" applyFont="1" applyFill="1" applyBorder="1" applyAlignment="1">
      <alignment horizontal="right" vertical="center"/>
    </xf>
    <xf numFmtId="10" fontId="3" fillId="0" borderId="3" xfId="1" applyNumberFormat="1" applyFont="1" applyFill="1" applyBorder="1" applyAlignment="1">
      <alignment vertical="center"/>
    </xf>
    <xf numFmtId="10" fontId="7" fillId="0" borderId="1" xfId="1" applyNumberFormat="1" applyFont="1" applyFill="1" applyBorder="1" applyAlignment="1">
      <alignment horizontal="right" vertical="center"/>
    </xf>
    <xf numFmtId="10" fontId="3" fillId="0" borderId="1" xfId="1" applyNumberFormat="1" applyFont="1" applyFill="1" applyBorder="1" applyAlignment="1">
      <alignment vertical="center"/>
    </xf>
    <xf numFmtId="0" fontId="14" fillId="0" borderId="0" xfId="0" applyFont="1" applyAlignment="1">
      <alignment horizontal="center" vertical="center"/>
    </xf>
    <xf numFmtId="0" fontId="7" fillId="0" borderId="16" xfId="0" applyFont="1" applyBorder="1" applyAlignment="1">
      <alignment horizontal="center" vertical="center"/>
    </xf>
    <xf numFmtId="43" fontId="11" fillId="0" borderId="0" xfId="3" applyFont="1" applyFill="1" applyBorder="1" applyAlignment="1">
      <alignment vertical="center"/>
    </xf>
    <xf numFmtId="227" fontId="3" fillId="0" borderId="18" xfId="2" applyNumberFormat="1" applyFont="1" applyBorder="1" applyAlignment="1">
      <alignment horizontal="right" vertical="center"/>
    </xf>
    <xf numFmtId="216" fontId="3" fillId="0" borderId="3" xfId="1" applyNumberFormat="1" applyFont="1" applyFill="1" applyBorder="1" applyAlignment="1">
      <alignment vertical="center"/>
    </xf>
    <xf numFmtId="216" fontId="3" fillId="0" borderId="1" xfId="1" applyNumberFormat="1" applyFont="1" applyFill="1" applyBorder="1" applyAlignment="1">
      <alignment vertical="center"/>
    </xf>
    <xf numFmtId="10" fontId="3" fillId="0" borderId="0" xfId="1" applyNumberFormat="1" applyFont="1" applyFill="1" applyAlignment="1">
      <alignment horizontal="right" vertical="center"/>
    </xf>
    <xf numFmtId="0" fontId="8" fillId="0" borderId="1" xfId="0" applyFont="1" applyBorder="1" applyAlignment="1">
      <alignment vertical="center"/>
    </xf>
    <xf numFmtId="0" fontId="3" fillId="0" borderId="16" xfId="0" applyFont="1" applyBorder="1" applyAlignment="1">
      <alignment vertical="center"/>
    </xf>
    <xf numFmtId="4" fontId="3" fillId="0" borderId="3" xfId="0" applyNumberFormat="1" applyFont="1" applyBorder="1" applyAlignment="1">
      <alignment vertical="center"/>
    </xf>
    <xf numFmtId="4" fontId="7" fillId="0" borderId="1" xfId="1" applyNumberFormat="1" applyFont="1" applyFill="1" applyBorder="1" applyAlignment="1">
      <alignment horizontal="right" vertical="center"/>
    </xf>
    <xf numFmtId="4" fontId="3" fillId="0" borderId="1" xfId="0" applyNumberFormat="1" applyFont="1" applyBorder="1" applyAlignment="1">
      <alignment vertical="center"/>
    </xf>
    <xf numFmtId="227" fontId="3" fillId="0" borderId="13" xfId="0" applyNumberFormat="1" applyFont="1" applyBorder="1" applyAlignment="1">
      <alignment horizontal="right" vertical="center"/>
    </xf>
    <xf numFmtId="0" fontId="3" fillId="0" borderId="13" xfId="0" applyFont="1" applyBorder="1" applyAlignment="1">
      <alignment horizontal="left" vertical="center" indent="1"/>
    </xf>
    <xf numFmtId="0" fontId="3" fillId="0" borderId="56" xfId="0" applyFont="1" applyBorder="1" applyAlignment="1">
      <alignment vertical="center"/>
    </xf>
    <xf numFmtId="5" fontId="3" fillId="0" borderId="14" xfId="2" applyNumberFormat="1" applyFont="1" applyBorder="1" applyAlignment="1">
      <alignment horizontal="right" vertical="center"/>
    </xf>
    <xf numFmtId="5" fontId="3" fillId="0" borderId="13" xfId="2" applyNumberFormat="1" applyFont="1" applyBorder="1" applyAlignment="1">
      <alignment horizontal="right" vertical="center"/>
    </xf>
    <xf numFmtId="227" fontId="3" fillId="0" borderId="14" xfId="0" applyNumberFormat="1" applyFont="1" applyBorder="1" applyAlignment="1">
      <alignment vertical="center"/>
    </xf>
    <xf numFmtId="227" fontId="3" fillId="0" borderId="13" xfId="0" applyNumberFormat="1" applyFont="1" applyBorder="1" applyAlignment="1">
      <alignment vertical="center"/>
    </xf>
    <xf numFmtId="227" fontId="3" fillId="0" borderId="57" xfId="0" applyNumberFormat="1" applyFont="1" applyBorder="1" applyAlignment="1">
      <alignment vertical="center"/>
    </xf>
    <xf numFmtId="227" fontId="3" fillId="0" borderId="56" xfId="0" applyNumberFormat="1" applyFont="1" applyBorder="1" applyAlignment="1">
      <alignment vertical="center"/>
    </xf>
    <xf numFmtId="0" fontId="5" fillId="5" borderId="1" xfId="0" applyFont="1" applyFill="1" applyBorder="1" applyAlignment="1">
      <alignment horizontal="center" vertical="center"/>
    </xf>
    <xf numFmtId="216" fontId="3" fillId="0" borderId="13" xfId="2" applyNumberFormat="1" applyFont="1" applyBorder="1" applyAlignment="1">
      <alignment horizontal="right" vertical="center"/>
    </xf>
    <xf numFmtId="0" fontId="7" fillId="0" borderId="0" xfId="1" applyNumberFormat="1" applyFont="1" applyFill="1" applyBorder="1" applyAlignment="1">
      <alignment horizontal="center" vertical="center"/>
    </xf>
    <xf numFmtId="227" fontId="3" fillId="0" borderId="14" xfId="0" applyNumberFormat="1" applyFont="1" applyBorder="1" applyAlignment="1">
      <alignment horizontal="right" vertical="center"/>
    </xf>
    <xf numFmtId="0" fontId="5" fillId="0" borderId="0" xfId="0" applyFont="1" applyAlignment="1">
      <alignment horizontal="center" vertical="center"/>
    </xf>
    <xf numFmtId="233" fontId="9" fillId="0" borderId="0" xfId="2" applyNumberFormat="1" applyFont="1" applyAlignment="1">
      <alignment horizontal="right" vertical="center"/>
    </xf>
    <xf numFmtId="233" fontId="9" fillId="0" borderId="6" xfId="2" applyNumberFormat="1" applyFont="1" applyBorder="1" applyAlignment="1">
      <alignment horizontal="right" vertical="center"/>
    </xf>
    <xf numFmtId="227" fontId="3" fillId="0" borderId="7" xfId="0" applyNumberFormat="1" applyFont="1" applyBorder="1" applyAlignment="1">
      <alignment vertical="center"/>
    </xf>
    <xf numFmtId="4" fontId="3" fillId="0" borderId="6" xfId="0" applyNumberFormat="1" applyFont="1" applyBorder="1" applyAlignment="1">
      <alignment vertical="center"/>
    </xf>
    <xf numFmtId="227" fontId="3" fillId="0" borderId="11" xfId="0" applyNumberFormat="1" applyFont="1" applyBorder="1" applyAlignment="1">
      <alignment horizontal="right" vertical="center"/>
    </xf>
    <xf numFmtId="0" fontId="9" fillId="0" borderId="0" xfId="0" applyFont="1" applyAlignment="1">
      <alignment vertical="center"/>
    </xf>
    <xf numFmtId="0" fontId="5" fillId="0" borderId="58" xfId="0" applyFont="1" applyBorder="1" applyAlignment="1">
      <alignment vertical="center"/>
    </xf>
    <xf numFmtId="227" fontId="3" fillId="0" borderId="58" xfId="0" applyNumberFormat="1" applyFont="1" applyBorder="1" applyAlignment="1">
      <alignment horizontal="right" vertical="center"/>
    </xf>
    <xf numFmtId="216" fontId="5" fillId="0" borderId="0" xfId="0" applyNumberFormat="1" applyFont="1" applyAlignment="1">
      <alignment horizontal="left" vertical="center"/>
    </xf>
    <xf numFmtId="216" fontId="10" fillId="0" borderId="0" xfId="0" applyNumberFormat="1" applyFont="1" applyAlignment="1">
      <alignment horizontal="left" vertical="center"/>
    </xf>
    <xf numFmtId="216" fontId="3" fillId="0" borderId="11" xfId="2" applyNumberFormat="1" applyFont="1" applyBorder="1" applyAlignment="1">
      <alignment horizontal="right" vertical="center"/>
    </xf>
    <xf numFmtId="216" fontId="3" fillId="0" borderId="9" xfId="2" applyNumberFormat="1" applyFont="1" applyBorder="1" applyAlignment="1">
      <alignment horizontal="right" vertical="center"/>
    </xf>
    <xf numFmtId="216" fontId="3" fillId="0" borderId="9" xfId="0" applyNumberFormat="1" applyFont="1" applyBorder="1" applyAlignment="1">
      <alignment horizontal="right" vertical="center"/>
    </xf>
    <xf numFmtId="216" fontId="3" fillId="0" borderId="58" xfId="0" applyNumberFormat="1" applyFont="1" applyBorder="1" applyAlignment="1">
      <alignment horizontal="right" vertical="center"/>
    </xf>
    <xf numFmtId="216" fontId="10" fillId="0" borderId="9" xfId="0" applyNumberFormat="1" applyFont="1" applyBorder="1" applyAlignment="1">
      <alignment horizontal="right" vertical="center"/>
    </xf>
    <xf numFmtId="4" fontId="3" fillId="0" borderId="0" xfId="2" applyNumberFormat="1" applyFont="1" applyAlignment="1">
      <alignment horizontal="right" vertical="center"/>
    </xf>
    <xf numFmtId="226" fontId="3" fillId="0" borderId="0" xfId="3" applyNumberFormat="1" applyFont="1" applyFill="1" applyAlignment="1">
      <alignment vertical="center"/>
    </xf>
    <xf numFmtId="9" fontId="3" fillId="0" borderId="0" xfId="1" applyFont="1" applyAlignment="1">
      <alignment vertical="center"/>
    </xf>
    <xf numFmtId="9" fontId="3" fillId="0" borderId="6" xfId="1" applyFont="1" applyBorder="1" applyAlignment="1">
      <alignment vertical="center"/>
    </xf>
    <xf numFmtId="0" fontId="3" fillId="0" borderId="58" xfId="0" applyFont="1" applyBorder="1" applyAlignment="1">
      <alignment horizontal="left" vertical="center"/>
    </xf>
    <xf numFmtId="227" fontId="3" fillId="0" borderId="58" xfId="2" applyNumberFormat="1" applyFont="1" applyBorder="1" applyAlignment="1">
      <alignment horizontal="right" vertical="center"/>
    </xf>
    <xf numFmtId="3" fontId="3" fillId="0" borderId="0" xfId="0" applyNumberFormat="1" applyFont="1" applyAlignment="1">
      <alignment vertical="center"/>
    </xf>
    <xf numFmtId="216" fontId="10" fillId="0" borderId="0" xfId="0" applyNumberFormat="1" applyFont="1" applyAlignment="1">
      <alignment horizontal="right" vertical="center"/>
    </xf>
    <xf numFmtId="216" fontId="7" fillId="0" borderId="0" xfId="1" applyNumberFormat="1" applyFont="1" applyFill="1" applyBorder="1" applyAlignment="1">
      <alignment horizontal="right" vertical="center"/>
    </xf>
    <xf numFmtId="234" fontId="3" fillId="0" borderId="0" xfId="0" applyNumberFormat="1" applyFont="1" applyAlignment="1">
      <alignment vertical="center"/>
    </xf>
    <xf numFmtId="43" fontId="3" fillId="0" borderId="9" xfId="3" applyFont="1" applyFill="1" applyBorder="1" applyAlignment="1">
      <alignment horizontal="right" vertical="center"/>
    </xf>
    <xf numFmtId="216" fontId="3" fillId="5" borderId="6" xfId="0" applyNumberFormat="1" applyFont="1" applyFill="1" applyBorder="1" applyAlignment="1">
      <alignment horizontal="right" vertical="center"/>
    </xf>
    <xf numFmtId="216" fontId="3" fillId="5" borderId="0" xfId="0" applyNumberFormat="1" applyFont="1" applyFill="1" applyAlignment="1">
      <alignment horizontal="right" vertical="center"/>
    </xf>
    <xf numFmtId="227" fontId="3" fillId="5" borderId="6" xfId="0" applyNumberFormat="1" applyFont="1" applyFill="1" applyBorder="1" applyAlignment="1">
      <alignment horizontal="right" vertical="center"/>
    </xf>
    <xf numFmtId="227" fontId="3" fillId="5" borderId="0" xfId="0" applyNumberFormat="1" applyFont="1" applyFill="1" applyAlignment="1">
      <alignment horizontal="right" vertical="center"/>
    </xf>
    <xf numFmtId="10" fontId="3" fillId="5" borderId="0" xfId="1" applyNumberFormat="1" applyFont="1" applyFill="1" applyBorder="1" applyAlignment="1">
      <alignment horizontal="right" vertical="center"/>
    </xf>
    <xf numFmtId="10" fontId="3" fillId="5" borderId="13" xfId="1" applyNumberFormat="1" applyFont="1" applyFill="1" applyBorder="1" applyAlignment="1">
      <alignment horizontal="right" vertical="center"/>
    </xf>
    <xf numFmtId="10" fontId="3" fillId="5" borderId="16" xfId="1" applyNumberFormat="1" applyFont="1" applyFill="1" applyBorder="1" applyAlignment="1">
      <alignment horizontal="right" vertical="center"/>
    </xf>
    <xf numFmtId="10" fontId="3" fillId="5" borderId="18" xfId="1" applyNumberFormat="1" applyFont="1" applyFill="1" applyBorder="1" applyAlignment="1">
      <alignment horizontal="right" vertical="center"/>
    </xf>
    <xf numFmtId="227" fontId="3" fillId="0" borderId="0" xfId="0" applyNumberFormat="1" applyFont="1" applyAlignment="1">
      <alignment horizontal="center" vertical="center"/>
    </xf>
    <xf numFmtId="216" fontId="3" fillId="0" borderId="0" xfId="0" applyNumberFormat="1" applyFont="1" applyAlignment="1">
      <alignment horizontal="center" vertical="center"/>
    </xf>
    <xf numFmtId="10" fontId="3" fillId="0" borderId="1" xfId="0" applyNumberFormat="1" applyFont="1" applyBorder="1" applyAlignment="1">
      <alignment horizontal="right" vertical="center"/>
    </xf>
    <xf numFmtId="10" fontId="3" fillId="0" borderId="0" xfId="1" applyNumberFormat="1" applyFont="1" applyFill="1" applyBorder="1" applyAlignment="1">
      <alignment horizontal="center" vertical="center"/>
    </xf>
    <xf numFmtId="4" fontId="3" fillId="0" borderId="0" xfId="0" applyNumberFormat="1" applyFont="1" applyAlignment="1">
      <alignment horizontal="center" vertical="center"/>
    </xf>
    <xf numFmtId="4" fontId="3" fillId="5" borderId="6" xfId="0" applyNumberFormat="1" applyFont="1" applyFill="1" applyBorder="1" applyAlignment="1">
      <alignment horizontal="center" vertical="center"/>
    </xf>
    <xf numFmtId="4" fontId="3" fillId="5" borderId="0" xfId="0" applyNumberFormat="1" applyFont="1" applyFill="1" applyAlignment="1">
      <alignment horizontal="center" vertical="center"/>
    </xf>
    <xf numFmtId="227" fontId="3" fillId="0" borderId="52" xfId="0" applyNumberFormat="1" applyFont="1" applyBorder="1" applyAlignment="1">
      <alignment horizontal="right" vertical="center"/>
    </xf>
    <xf numFmtId="227" fontId="3" fillId="0" borderId="12" xfId="0" applyNumberFormat="1" applyFont="1" applyBorder="1" applyAlignment="1">
      <alignment horizontal="right" vertical="center"/>
    </xf>
    <xf numFmtId="227" fontId="3" fillId="0" borderId="59" xfId="0" applyNumberFormat="1" applyFont="1" applyBorder="1" applyAlignment="1">
      <alignment horizontal="right" vertical="center"/>
    </xf>
    <xf numFmtId="0" fontId="10" fillId="0" borderId="52" xfId="0" applyFont="1" applyBorder="1" applyAlignment="1">
      <alignment horizontal="right" vertical="center"/>
    </xf>
    <xf numFmtId="227" fontId="3" fillId="0" borderId="7" xfId="0" applyNumberFormat="1" applyFont="1" applyBorder="1" applyAlignment="1">
      <alignment horizontal="right" vertical="center"/>
    </xf>
    <xf numFmtId="227" fontId="3" fillId="0" borderId="56" xfId="0" applyNumberFormat="1" applyFont="1" applyBorder="1" applyAlignment="1">
      <alignment horizontal="right" vertical="center"/>
    </xf>
    <xf numFmtId="216" fontId="3" fillId="0" borderId="1" xfId="0" applyNumberFormat="1" applyFont="1" applyBorder="1" applyAlignment="1">
      <alignment horizontal="right" vertical="center"/>
    </xf>
    <xf numFmtId="216" fontId="7" fillId="0" borderId="1" xfId="0" applyNumberFormat="1" applyFont="1" applyBorder="1" applyAlignment="1">
      <alignment horizontal="right" vertical="center"/>
    </xf>
    <xf numFmtId="0" fontId="3" fillId="5" borderId="0" xfId="0" applyFont="1" applyFill="1" applyAlignment="1">
      <alignment horizontal="left" vertical="center"/>
    </xf>
    <xf numFmtId="10" fontId="3" fillId="5" borderId="11" xfId="0" applyNumberFormat="1" applyFont="1" applyFill="1" applyBorder="1" applyAlignment="1">
      <alignment horizontal="right" vertical="center"/>
    </xf>
    <xf numFmtId="216" fontId="3" fillId="5" borderId="0" xfId="1" applyNumberFormat="1" applyFont="1" applyFill="1" applyBorder="1" applyAlignment="1">
      <alignment horizontal="right" vertical="center"/>
    </xf>
    <xf numFmtId="10" fontId="3" fillId="5" borderId="0" xfId="0" applyNumberFormat="1" applyFont="1" applyFill="1" applyAlignment="1">
      <alignment horizontal="right" vertical="center"/>
    </xf>
    <xf numFmtId="216" fontId="3" fillId="5" borderId="14" xfId="0" applyNumberFormat="1" applyFont="1" applyFill="1" applyBorder="1" applyAlignment="1">
      <alignment horizontal="right" vertical="center"/>
    </xf>
    <xf numFmtId="216" fontId="3" fillId="5" borderId="13" xfId="0" applyNumberFormat="1" applyFont="1" applyFill="1" applyBorder="1" applyAlignment="1">
      <alignment horizontal="right" vertical="center"/>
    </xf>
    <xf numFmtId="10" fontId="3" fillId="5" borderId="6" xfId="0" applyNumberFormat="1" applyFont="1" applyFill="1" applyBorder="1" applyAlignment="1">
      <alignment horizontal="right" vertical="center"/>
    </xf>
    <xf numFmtId="10" fontId="3" fillId="5" borderId="14" xfId="0" applyNumberFormat="1" applyFont="1" applyFill="1" applyBorder="1" applyAlignment="1">
      <alignment horizontal="right" vertical="center"/>
    </xf>
    <xf numFmtId="10" fontId="3" fillId="5" borderId="13" xfId="0" applyNumberFormat="1" applyFont="1" applyFill="1" applyBorder="1" applyAlignment="1">
      <alignment horizontal="right" vertical="center"/>
    </xf>
    <xf numFmtId="216" fontId="3" fillId="37" borderId="6" xfId="0" applyNumberFormat="1" applyFont="1" applyFill="1" applyBorder="1" applyAlignment="1">
      <alignment horizontal="right" vertical="center"/>
    </xf>
    <xf numFmtId="216" fontId="3" fillId="37" borderId="0" xfId="0" applyNumberFormat="1" applyFont="1" applyFill="1" applyAlignment="1">
      <alignment horizontal="right" vertical="center"/>
    </xf>
    <xf numFmtId="227" fontId="3" fillId="37" borderId="14" xfId="2" applyNumberFormat="1" applyFont="1" applyFill="1" applyBorder="1" applyAlignment="1">
      <alignment horizontal="right" vertical="center"/>
    </xf>
    <xf numFmtId="227" fontId="3" fillId="37" borderId="13" xfId="2" applyNumberFormat="1" applyFont="1" applyFill="1" applyBorder="1" applyAlignment="1">
      <alignment horizontal="right" vertical="center"/>
    </xf>
    <xf numFmtId="10" fontId="3" fillId="37" borderId="6" xfId="0" applyNumberFormat="1" applyFont="1" applyFill="1" applyBorder="1" applyAlignment="1">
      <alignment horizontal="right" vertical="center"/>
    </xf>
    <xf numFmtId="10" fontId="3" fillId="37" borderId="0" xfId="0" applyNumberFormat="1" applyFont="1" applyFill="1" applyAlignment="1">
      <alignment horizontal="right" vertical="center"/>
    </xf>
    <xf numFmtId="216" fontId="3" fillId="37" borderId="14" xfId="0" applyNumberFormat="1" applyFont="1" applyFill="1" applyBorder="1" applyAlignment="1">
      <alignment horizontal="right" vertical="center"/>
    </xf>
    <xf numFmtId="216" fontId="3" fillId="37" borderId="13" xfId="0" applyNumberFormat="1" applyFont="1" applyFill="1" applyBorder="1" applyAlignment="1">
      <alignment horizontal="right" vertical="center"/>
    </xf>
    <xf numFmtId="227" fontId="3" fillId="37" borderId="6" xfId="2" applyNumberFormat="1" applyFont="1" applyFill="1" applyBorder="1" applyAlignment="1">
      <alignment horizontal="right" vertical="center"/>
    </xf>
    <xf numFmtId="227" fontId="3" fillId="37" borderId="0" xfId="2" applyNumberFormat="1" applyFont="1" applyFill="1" applyAlignment="1">
      <alignment horizontal="right" vertical="center"/>
    </xf>
    <xf numFmtId="227" fontId="3" fillId="5" borderId="13" xfId="0" applyNumberFormat="1" applyFont="1" applyFill="1" applyBorder="1" applyAlignment="1">
      <alignment horizontal="right" vertical="center"/>
    </xf>
    <xf numFmtId="227" fontId="3" fillId="5" borderId="18" xfId="0" applyNumberFormat="1" applyFont="1" applyFill="1" applyBorder="1" applyAlignment="1">
      <alignment horizontal="right" vertical="center"/>
    </xf>
    <xf numFmtId="227" fontId="3" fillId="5" borderId="14" xfId="0" applyNumberFormat="1" applyFont="1" applyFill="1" applyBorder="1" applyAlignment="1">
      <alignment horizontal="right" vertical="center"/>
    </xf>
    <xf numFmtId="10" fontId="3" fillId="0" borderId="11" xfId="0" applyNumberFormat="1" applyFont="1" applyBorder="1" applyAlignment="1">
      <alignment horizontal="right" vertical="center"/>
    </xf>
    <xf numFmtId="0" fontId="6" fillId="0" borderId="0" xfId="0" applyFont="1" applyAlignment="1">
      <alignment horizontal="center" vertical="center"/>
    </xf>
    <xf numFmtId="0" fontId="3" fillId="0" borderId="0" xfId="0" quotePrefix="1" applyFont="1" applyAlignment="1">
      <alignment vertical="center"/>
    </xf>
    <xf numFmtId="227" fontId="3" fillId="4" borderId="6" xfId="2" applyNumberFormat="1" applyFont="1" applyFill="1" applyBorder="1" applyAlignment="1">
      <alignment horizontal="right" vertical="center"/>
    </xf>
    <xf numFmtId="227" fontId="3" fillId="4" borderId="0" xfId="2" applyNumberFormat="1" applyFont="1" applyFill="1" applyAlignment="1">
      <alignment horizontal="right" vertical="center"/>
    </xf>
    <xf numFmtId="227" fontId="3" fillId="5" borderId="16" xfId="0" applyNumberFormat="1" applyFont="1" applyFill="1" applyBorder="1" applyAlignment="1">
      <alignment horizontal="right" vertical="center"/>
    </xf>
    <xf numFmtId="227" fontId="3" fillId="37" borderId="52" xfId="2" applyNumberFormat="1" applyFont="1" applyFill="1" applyBorder="1" applyAlignment="1">
      <alignment horizontal="right" vertical="center"/>
    </xf>
    <xf numFmtId="227" fontId="3" fillId="37" borderId="9" xfId="2" applyNumberFormat="1" applyFont="1" applyFill="1" applyBorder="1" applyAlignment="1">
      <alignment horizontal="right" vertical="center"/>
    </xf>
    <xf numFmtId="227" fontId="3" fillId="37" borderId="0" xfId="0" applyNumberFormat="1" applyFont="1" applyFill="1" applyAlignment="1">
      <alignment vertical="center"/>
    </xf>
    <xf numFmtId="5" fontId="3" fillId="37" borderId="6" xfId="2" applyNumberFormat="1" applyFont="1" applyFill="1" applyBorder="1" applyAlignment="1">
      <alignment horizontal="right" vertical="center"/>
    </xf>
    <xf numFmtId="5" fontId="3" fillId="37" borderId="0" xfId="2" applyNumberFormat="1" applyFont="1" applyFill="1" applyAlignment="1">
      <alignment horizontal="right" vertical="center"/>
    </xf>
    <xf numFmtId="5" fontId="3" fillId="4" borderId="6" xfId="2" applyNumberFormat="1" applyFont="1" applyFill="1" applyBorder="1" applyAlignment="1">
      <alignment horizontal="right" vertical="center"/>
    </xf>
    <xf numFmtId="5" fontId="3" fillId="4" borderId="0" xfId="2" applyNumberFormat="1" applyFont="1" applyFill="1" applyAlignment="1">
      <alignment horizontal="right" vertical="center"/>
    </xf>
    <xf numFmtId="5" fontId="3" fillId="37" borderId="59" xfId="2" applyNumberFormat="1" applyFont="1" applyFill="1" applyBorder="1" applyAlignment="1">
      <alignment horizontal="right" vertical="center"/>
    </xf>
    <xf numFmtId="5" fontId="3" fillId="37" borderId="58" xfId="2" applyNumberFormat="1" applyFont="1" applyFill="1" applyBorder="1" applyAlignment="1">
      <alignment horizontal="right" vertical="center"/>
    </xf>
    <xf numFmtId="227" fontId="3" fillId="37" borderId="6" xfId="0" applyNumberFormat="1" applyFont="1" applyFill="1" applyBorder="1" applyAlignment="1">
      <alignment horizontal="right" vertical="center"/>
    </xf>
    <xf numFmtId="227" fontId="3" fillId="4" borderId="6" xfId="0" applyNumberFormat="1" applyFont="1" applyFill="1" applyBorder="1" applyAlignment="1">
      <alignment horizontal="right" vertical="center"/>
    </xf>
    <xf numFmtId="227" fontId="3" fillId="4" borderId="0" xfId="0" applyNumberFormat="1" applyFont="1" applyFill="1" applyAlignment="1">
      <alignment horizontal="right" vertical="center"/>
    </xf>
    <xf numFmtId="227" fontId="3" fillId="5" borderId="13" xfId="1" applyNumberFormat="1" applyFont="1" applyFill="1" applyBorder="1" applyAlignment="1">
      <alignment horizontal="right" vertical="center"/>
    </xf>
    <xf numFmtId="227" fontId="3" fillId="5" borderId="18" xfId="1" applyNumberFormat="1" applyFont="1" applyFill="1" applyBorder="1" applyAlignment="1">
      <alignment horizontal="right" vertical="center"/>
    </xf>
    <xf numFmtId="227" fontId="3" fillId="5" borderId="14" xfId="1" applyNumberFormat="1" applyFont="1" applyFill="1" applyBorder="1" applyAlignment="1">
      <alignment horizontal="right" vertical="center"/>
    </xf>
    <xf numFmtId="216" fontId="3" fillId="5" borderId="16" xfId="0" applyNumberFormat="1" applyFont="1" applyFill="1" applyBorder="1" applyAlignment="1">
      <alignment horizontal="right" vertical="center"/>
    </xf>
    <xf numFmtId="216" fontId="3" fillId="37" borderId="16" xfId="0" applyNumberFormat="1" applyFont="1" applyFill="1" applyBorder="1" applyAlignment="1">
      <alignment horizontal="right" vertical="center"/>
    </xf>
    <xf numFmtId="227" fontId="3" fillId="37" borderId="0" xfId="0" applyNumberFormat="1" applyFont="1" applyFill="1" applyAlignment="1">
      <alignment horizontal="right" vertical="center"/>
    </xf>
    <xf numFmtId="4" fontId="3" fillId="5" borderId="0" xfId="0" applyNumberFormat="1" applyFont="1" applyFill="1" applyAlignment="1">
      <alignment horizontal="right" vertical="center"/>
    </xf>
    <xf numFmtId="4" fontId="3" fillId="5" borderId="16" xfId="0" applyNumberFormat="1" applyFont="1" applyFill="1" applyBorder="1" applyAlignment="1">
      <alignment horizontal="right" vertical="center"/>
    </xf>
    <xf numFmtId="235" fontId="3" fillId="0" borderId="0" xfId="0" applyNumberFormat="1" applyFont="1" applyAlignment="1">
      <alignment horizontal="right" vertical="center"/>
    </xf>
    <xf numFmtId="235" fontId="3" fillId="0" borderId="0" xfId="0" applyNumberFormat="1" applyFont="1" applyAlignment="1">
      <alignment horizontal="center" vertical="center"/>
    </xf>
    <xf numFmtId="235" fontId="9" fillId="0" borderId="0" xfId="0" applyNumberFormat="1" applyFont="1" applyAlignment="1">
      <alignment horizontal="left" vertical="center"/>
    </xf>
    <xf numFmtId="235" fontId="3" fillId="0" borderId="6" xfId="0" applyNumberFormat="1" applyFont="1" applyBorder="1" applyAlignment="1">
      <alignment horizontal="right" vertical="center"/>
    </xf>
    <xf numFmtId="216" fontId="3" fillId="0" borderId="6" xfId="2" applyNumberFormat="1" applyFont="1" applyBorder="1" applyAlignment="1">
      <alignment horizontal="right" vertical="center"/>
    </xf>
    <xf numFmtId="236" fontId="3" fillId="0" borderId="0" xfId="3" applyNumberFormat="1" applyFont="1" applyAlignment="1">
      <alignment vertical="center"/>
    </xf>
    <xf numFmtId="10" fontId="3" fillId="0" borderId="6" xfId="1" applyNumberFormat="1" applyFont="1" applyFill="1" applyBorder="1" applyAlignment="1">
      <alignment horizontal="right" vertical="center"/>
    </xf>
    <xf numFmtId="0" fontId="156" fillId="0" borderId="0" xfId="0" applyFont="1" applyAlignment="1">
      <alignment vertical="center"/>
    </xf>
    <xf numFmtId="10" fontId="7" fillId="5" borderId="6" xfId="0" applyNumberFormat="1" applyFont="1" applyFill="1" applyBorder="1" applyAlignment="1">
      <alignment horizontal="right" vertical="center"/>
    </xf>
    <xf numFmtId="227" fontId="3" fillId="5" borderId="0" xfId="0" applyNumberFormat="1" applyFont="1" applyFill="1" applyAlignment="1">
      <alignment vertical="center"/>
    </xf>
    <xf numFmtId="164" fontId="7" fillId="0" borderId="1" xfId="0" applyNumberFormat="1" applyFont="1" applyBorder="1" applyAlignment="1">
      <alignment horizontal="center" vertical="center"/>
    </xf>
    <xf numFmtId="4" fontId="3" fillId="0" borderId="1" xfId="0" applyNumberFormat="1" applyFont="1" applyBorder="1" applyAlignment="1">
      <alignment horizontal="center" vertical="center"/>
    </xf>
    <xf numFmtId="43" fontId="3" fillId="0" borderId="0" xfId="3" applyFont="1" applyFill="1" applyAlignment="1">
      <alignment vertical="center"/>
    </xf>
    <xf numFmtId="4" fontId="8" fillId="0" borderId="1" xfId="1" applyNumberFormat="1" applyFont="1" applyFill="1" applyBorder="1" applyAlignment="1">
      <alignment horizontal="right" vertical="center"/>
    </xf>
    <xf numFmtId="237" fontId="7" fillId="0" borderId="1" xfId="0" applyNumberFormat="1" applyFont="1" applyBorder="1" applyAlignment="1">
      <alignment vertical="center"/>
    </xf>
    <xf numFmtId="216" fontId="7" fillId="0" borderId="1" xfId="0" applyNumberFormat="1" applyFont="1" applyBorder="1" applyAlignment="1">
      <alignment vertical="center"/>
    </xf>
    <xf numFmtId="0" fontId="5" fillId="38" borderId="1" xfId="2664" applyNumberFormat="1" applyFont="1" applyFill="1" applyBorder="1" applyAlignment="1">
      <alignment horizontal="center" vertical="center"/>
    </xf>
    <xf numFmtId="237" fontId="7" fillId="5" borderId="1" xfId="0" applyNumberFormat="1" applyFont="1" applyFill="1" applyBorder="1" applyAlignment="1">
      <alignment vertical="center"/>
    </xf>
    <xf numFmtId="216" fontId="7" fillId="5" borderId="1" xfId="0" applyNumberFormat="1" applyFont="1" applyFill="1" applyBorder="1" applyAlignment="1">
      <alignment vertical="center"/>
    </xf>
    <xf numFmtId="43" fontId="3" fillId="5" borderId="1" xfId="3" applyFont="1" applyFill="1" applyBorder="1" applyAlignment="1">
      <alignment vertical="center"/>
    </xf>
    <xf numFmtId="0" fontId="4" fillId="3" borderId="0" xfId="0" applyFont="1" applyFill="1" applyAlignment="1">
      <alignment horizontal="left" vertical="center"/>
    </xf>
    <xf numFmtId="0" fontId="0" fillId="0" borderId="0" xfId="0" quotePrefix="1"/>
    <xf numFmtId="0" fontId="0" fillId="0" borderId="0" xfId="0" quotePrefix="1" applyAlignment="1">
      <alignment horizontal="right"/>
    </xf>
    <xf numFmtId="4" fontId="0" fillId="0" borderId="0" xfId="0" quotePrefix="1" applyNumberFormat="1"/>
  </cellXfs>
  <cellStyles count="7571">
    <cellStyle name="_x000a__x000a_JournalTemplate=C:\COMFO\CTALK\JOURSTD.TPL_x000a__x000a_LbStateAddress=3 3 0 251 1 89 2 311_x000a__x000a_LbStateJou" xfId="288" xr:uid="{00000000-0005-0000-0000-000000000000}"/>
    <cellStyle name="_x000a_386grabber=M" xfId="284" xr:uid="{00000000-0005-0000-0000-000001000000}"/>
    <cellStyle name="_%(SignOnly)" xfId="343" xr:uid="{00000000-0005-0000-0000-000002000000}"/>
    <cellStyle name="_%(SignOnly)_01 model" xfId="344" xr:uid="{00000000-0005-0000-0000-000003000000}"/>
    <cellStyle name="_%(SignOnly)_02 Potential Partner Ability to Pay Analysis2" xfId="345" xr:uid="{00000000-0005-0000-0000-000004000000}"/>
    <cellStyle name="_%(SignOnly)_12 Merger Plans" xfId="346" xr:uid="{00000000-0005-0000-0000-000005000000}"/>
    <cellStyle name="_%(SignOnly)_AVP - prev. 06 financials" xfId="347" xr:uid="{00000000-0005-0000-0000-000006000000}"/>
    <cellStyle name="_%(SignOnly)_AVP - prev. 06 financials_BCE Model 1-8-07" xfId="348" xr:uid="{00000000-0005-0000-0000-000007000000}"/>
    <cellStyle name="_%(SignOnly)_bank_csc_Q2_2001_c1" xfId="349" xr:uid="{00000000-0005-0000-0000-000008000000}"/>
    <cellStyle name="_%(SignOnly)_bank_csc_Q2_2001_c1_BCE Model 1-8-07" xfId="350" xr:uid="{00000000-0005-0000-0000-000009000000}"/>
    <cellStyle name="_%(SignOnly)_FigTech Merger Model_02" xfId="351" xr:uid="{00000000-0005-0000-0000-00000A000000}"/>
    <cellStyle name="_%(SignOnly)_Football Field" xfId="352" xr:uid="{00000000-0005-0000-0000-00000B000000}"/>
    <cellStyle name="_%(SignOnly)_Football Field_BCE Model 1-8-07" xfId="353" xr:uid="{00000000-0005-0000-0000-00000C000000}"/>
    <cellStyle name="_%(SignOnly)_PNC_merger_plan_divestitures_05" xfId="354" xr:uid="{00000000-0005-0000-0000-00000D000000}"/>
    <cellStyle name="_%(SignOnly)_Summary Valuation Analysis" xfId="355" xr:uid="{00000000-0005-0000-0000-00000E000000}"/>
    <cellStyle name="_%(SignOnly)_Synergies" xfId="356" xr:uid="{00000000-0005-0000-0000-00000F000000}"/>
    <cellStyle name="_%(SignSpaceOnly)" xfId="357" xr:uid="{00000000-0005-0000-0000-000010000000}"/>
    <cellStyle name="_%(SignSpaceOnly)_01 model" xfId="358" xr:uid="{00000000-0005-0000-0000-000011000000}"/>
    <cellStyle name="_%(SignSpaceOnly)_02 Potential Partner Ability to Pay Analysis2" xfId="359" xr:uid="{00000000-0005-0000-0000-000012000000}"/>
    <cellStyle name="_%(SignSpaceOnly)_12 Merger Plans" xfId="360" xr:uid="{00000000-0005-0000-0000-000013000000}"/>
    <cellStyle name="_%(SignSpaceOnly)_AVP - prev. 06 financials" xfId="361" xr:uid="{00000000-0005-0000-0000-000014000000}"/>
    <cellStyle name="_%(SignSpaceOnly)_AVP - prev. 06 financials_BCE Model 1-8-07" xfId="362" xr:uid="{00000000-0005-0000-0000-000015000000}"/>
    <cellStyle name="_%(SignSpaceOnly)_bank_csc_Q2_2001_c1" xfId="363" xr:uid="{00000000-0005-0000-0000-000016000000}"/>
    <cellStyle name="_%(SignSpaceOnly)_bank_csc_Q2_2001_c1_BCE Model 1-8-07" xfId="364" xr:uid="{00000000-0005-0000-0000-000017000000}"/>
    <cellStyle name="_%(SignSpaceOnly)_FigTech Merger Model_02" xfId="365" xr:uid="{00000000-0005-0000-0000-000018000000}"/>
    <cellStyle name="_%(SignSpaceOnly)_Football Field" xfId="366" xr:uid="{00000000-0005-0000-0000-000019000000}"/>
    <cellStyle name="_%(SignSpaceOnly)_Football Field_BCE Model 1-8-07" xfId="367" xr:uid="{00000000-0005-0000-0000-00001A000000}"/>
    <cellStyle name="_%(SignSpaceOnly)_PNC_merger_plan_divestitures_05" xfId="368" xr:uid="{00000000-0005-0000-0000-00001B000000}"/>
    <cellStyle name="_%(SignSpaceOnly)_Summary Valuation Analysis" xfId="369" xr:uid="{00000000-0005-0000-0000-00001C000000}"/>
    <cellStyle name="_%(SignSpaceOnly)_Synergies" xfId="370" xr:uid="{00000000-0005-0000-0000-00001D000000}"/>
    <cellStyle name="_$accounting" xfId="339" xr:uid="{00000000-0005-0000-0000-00001E000000}"/>
    <cellStyle name="_$accounting_BCE Model 1-8-07" xfId="340" xr:uid="{00000000-0005-0000-0000-00001F000000}"/>
    <cellStyle name="_$accounting_PNC_merger_plan_divestitures_05" xfId="341" xr:uid="{00000000-0005-0000-0000-000020000000}"/>
    <cellStyle name="_$accounting_PNC_merger_plan_divestitures_05_BCE Model 1-8-07" xfId="342" xr:uid="{00000000-0005-0000-0000-000021000000}"/>
    <cellStyle name="_051129 DCF Summary" xfId="371" xr:uid="{00000000-0005-0000-0000-000022000000}"/>
    <cellStyle name="_101306 CanWest Excel BAck up v14" xfId="372" xr:uid="{00000000-0005-0000-0000-000023000000}"/>
    <cellStyle name="_accounting" xfId="373" xr:uid="{00000000-0005-0000-0000-000024000000}"/>
    <cellStyle name="_accounting_BCE Model 1-8-07" xfId="374" xr:uid="{00000000-0005-0000-0000-000025000000}"/>
    <cellStyle name="_accounting_monet_final_w_output" xfId="375" xr:uid="{00000000-0005-0000-0000-000026000000}"/>
    <cellStyle name="_accounting_monet_final_w_output_BCE Model 1-8-07" xfId="376" xr:uid="{00000000-0005-0000-0000-000027000000}"/>
    <cellStyle name="_Altman Model_6.18.07_DRIVERS" xfId="377" xr:uid="{00000000-0005-0000-0000-000028000000}"/>
    <cellStyle name="_Barnet_LBO_05.18.05" xfId="378" xr:uid="{00000000-0005-0000-0000-000029000000}"/>
    <cellStyle name="_Barnet_LBO_05.18.05_Bison LBO Analysis_Sponsor_02.07.07" xfId="379" xr:uid="{00000000-0005-0000-0000-00002A000000}"/>
    <cellStyle name="_Barnet_LBO_05.18.05_Bison LBO Analysis_Sponsor_02.07.07_1" xfId="380" xr:uid="{00000000-0005-0000-0000-00002B000000}"/>
    <cellStyle name="_BCE Model 1-8-07" xfId="381" xr:uid="{00000000-0005-0000-0000-00002C000000}"/>
    <cellStyle name="_BU Rollup" xfId="382" xr:uid="{00000000-0005-0000-0000-00002D000000}"/>
    <cellStyle name="_Check of Synergy DCFs 11-01-04_v5" xfId="383" xr:uid="{00000000-0005-0000-0000-00002E000000}"/>
    <cellStyle name="_CKFR Model 11-30-06" xfId="384" xr:uid="{00000000-0005-0000-0000-00002F000000}"/>
    <cellStyle name="_COMBO PAGESv.5" xfId="385" xr:uid="{00000000-0005-0000-0000-000030000000}"/>
    <cellStyle name="_Comma" xfId="386" xr:uid="{00000000-0005-0000-0000-000031000000}"/>
    <cellStyle name="_Comma_01 Fig Tech CSC 1Q03" xfId="389" xr:uid="{00000000-0005-0000-0000-000032000000}"/>
    <cellStyle name="_Comma_01 Financial Model" xfId="390" xr:uid="{00000000-0005-0000-0000-000033000000}"/>
    <cellStyle name="_Comma_01 Template without numbers sent out" xfId="391" xr:uid="{00000000-0005-0000-0000-000034000000}"/>
    <cellStyle name="_Comma_02 Potential Partner Ability to Pay Analysis2" xfId="392" xr:uid="{00000000-0005-0000-0000-000035000000}"/>
    <cellStyle name="_Comma_02 Quick Model_PQ Corporation" xfId="393" xr:uid="{00000000-0005-0000-0000-000036000000}"/>
    <cellStyle name="_Comma_101306 CanWest Excel BAck up v14" xfId="394" xr:uid="{00000000-0005-0000-0000-000037000000}"/>
    <cellStyle name="_Comma_12 Merger Plans" xfId="395" xr:uid="{00000000-0005-0000-0000-000038000000}"/>
    <cellStyle name="_Comma_20020403 Regional Data 04" xfId="396" xr:uid="{00000000-0005-0000-0000-000039000000}"/>
    <cellStyle name="_Comma_20020403 Regional Data 04 Final" xfId="397" xr:uid="{00000000-0005-0000-0000-00003A000000}"/>
    <cellStyle name="_Comma_20020403 Template for Exchange - Regional Data 01" xfId="398" xr:uid="{00000000-0005-0000-0000-00003B000000}"/>
    <cellStyle name="_Comma_20020404 Capex 02 All" xfId="399" xr:uid="{00000000-0005-0000-0000-00003C000000}"/>
    <cellStyle name="_Comma_accretion dilution analysis" xfId="400" xr:uid="{00000000-0005-0000-0000-00003D000000}"/>
    <cellStyle name="_Comma_Acquisition Ops 3" xfId="401" xr:uid="{00000000-0005-0000-0000-00003E000000}"/>
    <cellStyle name="_Comma_AVP" xfId="402" xr:uid="{00000000-0005-0000-0000-00003F000000}"/>
    <cellStyle name="_Comma_BCE Model 1-8-07" xfId="403" xr:uid="{00000000-0005-0000-0000-000040000000}"/>
    <cellStyle name="_Comma_Book1" xfId="404" xr:uid="{00000000-0005-0000-0000-000041000000}"/>
    <cellStyle name="_Comma_Book2" xfId="405" xr:uid="{00000000-0005-0000-0000-000042000000}"/>
    <cellStyle name="_Comma_buyer_analysis" xfId="406" xr:uid="{00000000-0005-0000-0000-000043000000}"/>
    <cellStyle name="_Comma_Check of Synergy DCFs 11-01-04_v5" xfId="407" xr:uid="{00000000-0005-0000-0000-000044000000}"/>
    <cellStyle name="_Comma_CKFR Model 11-30-06" xfId="408" xr:uid="{00000000-0005-0000-0000-000045000000}"/>
    <cellStyle name="_Comma_Comparative Balance Sheets" xfId="409" xr:uid="{00000000-0005-0000-0000-000046000000}"/>
    <cellStyle name="_Comma_CSC with WACC" xfId="410" xr:uid="{00000000-0005-0000-0000-000047000000}"/>
    <cellStyle name="_Comma_Dave Model Final v 1" xfId="411" xr:uid="{00000000-0005-0000-0000-000048000000}"/>
    <cellStyle name="_Comma_DCF Analysis" xfId="412" xr:uid="{00000000-0005-0000-0000-000049000000}"/>
    <cellStyle name="_Comma_DIS Go Private Analysis v23" xfId="413" xr:uid="{00000000-0005-0000-0000-00004A000000}"/>
    <cellStyle name="_Comma_Eagle Ridge Cash Flow 01-10-02_GS" xfId="414" xr:uid="{00000000-0005-0000-0000-00004B000000}"/>
    <cellStyle name="_Comma_Excel Inserts_v4" xfId="415" xr:uid="{00000000-0005-0000-0000-00004C000000}"/>
    <cellStyle name="_Comma_Final Canadian Bank Comp (sent to IBD)FORM" xfId="416" xr:uid="{00000000-0005-0000-0000-00004D000000}"/>
    <cellStyle name="_Comma_Football Field" xfId="417" xr:uid="{00000000-0005-0000-0000-00004E000000}"/>
    <cellStyle name="_Comma_IBES_EPS_Estimates" xfId="418" xr:uid="{00000000-0005-0000-0000-00004F000000}"/>
    <cellStyle name="_Comma_Master_Telecom_Equipment_CSCb" xfId="419" xr:uid="{00000000-0005-0000-0000-000050000000}"/>
    <cellStyle name="_Comma_Merger Model - Exec" xfId="420" xr:uid="{00000000-0005-0000-0000-000051000000}"/>
    <cellStyle name="_Comma_merger plans" xfId="421" xr:uid="{00000000-0005-0000-0000-000052000000}"/>
    <cellStyle name="_Comma_MotLion Projections may" xfId="422" xr:uid="{00000000-0005-0000-0000-000053000000}"/>
    <cellStyle name="_Comma_Old Life CSC" xfId="423" xr:uid="{00000000-0005-0000-0000-000054000000}"/>
    <cellStyle name="_Comma_pace_merger plans" xfId="424" xr:uid="{00000000-0005-0000-0000-000055000000}"/>
    <cellStyle name="_Comma_Palm Model 10_05" xfId="425" xr:uid="{00000000-0005-0000-0000-000056000000}"/>
    <cellStyle name="_Comma_PNC_PF_2Q_update" xfId="426" xr:uid="{00000000-0005-0000-0000-000057000000}"/>
    <cellStyle name="_Comma_Potential Strategic Partners" xfId="427" xr:uid="{00000000-0005-0000-0000-000058000000}"/>
    <cellStyle name="_Comma_QVC LBO Model 2-12-03 v3" xfId="428" xr:uid="{00000000-0005-0000-0000-000059000000}"/>
    <cellStyle name="_Comma_RJB Long LBO LTM" xfId="429" xr:uid="{00000000-0005-0000-0000-00005A000000}"/>
    <cellStyle name="_Comma_Summary Valuation Analysis" xfId="430" xr:uid="{00000000-0005-0000-0000-00005B000000}"/>
    <cellStyle name="_Comma_Synergies" xfId="431" xr:uid="{00000000-0005-0000-0000-00005C000000}"/>
    <cellStyle name="_Comma_Troon Financials 8-1-02" xfId="432" xr:uid="{00000000-0005-0000-0000-00005D000000}"/>
    <cellStyle name="_Comma_Troon_EBITDA" xfId="433" xr:uid="{00000000-0005-0000-0000-00005E000000}"/>
    <cellStyle name="_Comma_Valuation Overview - June 2001" xfId="434" xr:uid="{00000000-0005-0000-0000-00005F000000}"/>
    <cellStyle name="_Comma_Valuation_Troon dpak 8-5-02 v3" xfId="435" xr:uid="{00000000-0005-0000-0000-000060000000}"/>
    <cellStyle name="_Comma[0]" xfId="387" xr:uid="{00000000-0005-0000-0000-000061000000}"/>
    <cellStyle name="_Comma[0]_BCE Model 1-8-07" xfId="388" xr:uid="{00000000-0005-0000-0000-000062000000}"/>
    <cellStyle name="_Currency" xfId="436" xr:uid="{00000000-0005-0000-0000-000063000000}"/>
    <cellStyle name="_Currency_01 Fig Tech CSC 1Q03" xfId="439" xr:uid="{00000000-0005-0000-0000-000064000000}"/>
    <cellStyle name="_Currency_01 Financial Model" xfId="440" xr:uid="{00000000-0005-0000-0000-000065000000}"/>
    <cellStyle name="_Currency_01 Template without numbers sent out" xfId="441" xr:uid="{00000000-0005-0000-0000-000066000000}"/>
    <cellStyle name="_Currency_02 Financials" xfId="442" xr:uid="{00000000-0005-0000-0000-000067000000}"/>
    <cellStyle name="_Currency_02 Financials_BCE Model 1-8-07" xfId="443" xr:uid="{00000000-0005-0000-0000-000068000000}"/>
    <cellStyle name="_Currency_02 Potential Partner Ability to Pay Analysis2" xfId="444" xr:uid="{00000000-0005-0000-0000-000069000000}"/>
    <cellStyle name="_Currency_02 Quick Model_PQ Corporation" xfId="445" xr:uid="{00000000-0005-0000-0000-00006A000000}"/>
    <cellStyle name="_Currency_04 Financials" xfId="446" xr:uid="{00000000-0005-0000-0000-00006B000000}"/>
    <cellStyle name="_Currency_04 Financials_BCE Model 1-8-07" xfId="447" xr:uid="{00000000-0005-0000-0000-00006C000000}"/>
    <cellStyle name="_Currency_101306 CanWest Excel BAck up v14" xfId="448" xr:uid="{00000000-0005-0000-0000-00006D000000}"/>
    <cellStyle name="_Currency_101306 CanWest Excel BAck up v14_BCE LBO Analysis (02_4_07) MASTER V6" xfId="449" xr:uid="{00000000-0005-0000-0000-00006E000000}"/>
    <cellStyle name="_Currency_101306 CanWest Excel BAck up v14_Bison LBO Analysis_Sponsors_03.06.07_to Citi" xfId="450" xr:uid="{00000000-0005-0000-0000-00006F000000}"/>
    <cellStyle name="_Currency_101306 CanWest Excel BAck up v14_Bison LBO Analysis_Sponsors_TO CITI FOR FORMAT (2)" xfId="451" xr:uid="{00000000-0005-0000-0000-000070000000}"/>
    <cellStyle name="_Currency_101306 CanWest Excel BAck up v14_Bison LBO Analysis_Sponsors_TO CITI FOR FORMAT (2)_1" xfId="452" xr:uid="{00000000-0005-0000-0000-000071000000}"/>
    <cellStyle name="_Currency_12 Merger Plans" xfId="453" xr:uid="{00000000-0005-0000-0000-000072000000}"/>
    <cellStyle name="_Currency_20020403 Regional Data 04" xfId="454" xr:uid="{00000000-0005-0000-0000-000073000000}"/>
    <cellStyle name="_Currency_20020403 Regional Data 04 Final" xfId="455" xr:uid="{00000000-0005-0000-0000-000074000000}"/>
    <cellStyle name="_Currency_20020403 Template for Exchange - Regional Data 01" xfId="456" xr:uid="{00000000-0005-0000-0000-000075000000}"/>
    <cellStyle name="_Currency_20020404 Capex 02 All" xfId="457" xr:uid="{00000000-0005-0000-0000-000076000000}"/>
    <cellStyle name="_Currency_accretion dilution analysis" xfId="458" xr:uid="{00000000-0005-0000-0000-000077000000}"/>
    <cellStyle name="_Currency_Acquisition Ops 3" xfId="459" xr:uid="{00000000-0005-0000-0000-000078000000}"/>
    <cellStyle name="_Currency_Alamosa Merger" xfId="460" xr:uid="{00000000-0005-0000-0000-000079000000}"/>
    <cellStyle name="_Currency_Alamosa Standalone6" xfId="461" xr:uid="{00000000-0005-0000-0000-00007A000000}"/>
    <cellStyle name="_Currency_Alamosa Standalone8b" xfId="462" xr:uid="{00000000-0005-0000-0000-00007B000000}"/>
    <cellStyle name="_Currency_AVP" xfId="463" xr:uid="{00000000-0005-0000-0000-00007C000000}"/>
    <cellStyle name="_Currency_AVP - prev. 06 financials" xfId="464" xr:uid="{00000000-0005-0000-0000-00007D000000}"/>
    <cellStyle name="_Currency_AVP - prev. 06 financials_BCE Model 1-8-07" xfId="465" xr:uid="{00000000-0005-0000-0000-00007E000000}"/>
    <cellStyle name="_Currency_avp_Palm Model 10_05" xfId="466" xr:uid="{00000000-0005-0000-0000-00007F000000}"/>
    <cellStyle name="_Currency_bank_csc_Q2_2001_c1" xfId="467" xr:uid="{00000000-0005-0000-0000-000080000000}"/>
    <cellStyle name="_Currency_BCE Model 1-8-07" xfId="468" xr:uid="{00000000-0005-0000-0000-000081000000}"/>
    <cellStyle name="_Currency_Book1" xfId="469" xr:uid="{00000000-0005-0000-0000-000082000000}"/>
    <cellStyle name="_Currency_Book2" xfId="470" xr:uid="{00000000-0005-0000-0000-000083000000}"/>
    <cellStyle name="_Currency_Buyer List" xfId="471" xr:uid="{00000000-0005-0000-0000-000084000000}"/>
    <cellStyle name="_Currency_Buyer List_BCE Model 1-8-07" xfId="472" xr:uid="{00000000-0005-0000-0000-000085000000}"/>
    <cellStyle name="_Currency_buyer_analysis" xfId="473" xr:uid="{00000000-0005-0000-0000-000086000000}"/>
    <cellStyle name="_Currency_Check of Synergy DCFs 11-01-04_v5" xfId="474" xr:uid="{00000000-0005-0000-0000-000087000000}"/>
    <cellStyle name="_Currency_CKFR Model 11-30-06" xfId="475" xr:uid="{00000000-0005-0000-0000-000088000000}"/>
    <cellStyle name="_Currency_com_ic_universe_6" xfId="476" xr:uid="{00000000-0005-0000-0000-000089000000}"/>
    <cellStyle name="_Currency_Combo RW 125" xfId="477" xr:uid="{00000000-0005-0000-0000-00008A000000}"/>
    <cellStyle name="_Currency_Comparative Balance Sheets" xfId="478" xr:uid="{00000000-0005-0000-0000-00008B000000}"/>
    <cellStyle name="_Currency_CSC Update_Status of Companies_11_19" xfId="479" xr:uid="{00000000-0005-0000-0000-00008C000000}"/>
    <cellStyle name="_Currency_CSC with WACC" xfId="480" xr:uid="{00000000-0005-0000-0000-00008D000000}"/>
    <cellStyle name="_Currency_CSC_Palm_Sum_of_Parts_4_20_01" xfId="481" xr:uid="{00000000-0005-0000-0000-00008E000000}"/>
    <cellStyle name="_Currency_CSC_Palm_Sum_of_Parts_4_20_01_BCE Model 1-8-07" xfId="482" xr:uid="{00000000-0005-0000-0000-00008F000000}"/>
    <cellStyle name="_Currency_CSC_Palm_Sum_of_Parts_5_23_01a" xfId="483" xr:uid="{00000000-0005-0000-0000-000090000000}"/>
    <cellStyle name="_Currency_CSC_Palm_Sum_of_Parts_5_23_01a_BCE Model 1-8-07" xfId="484" xr:uid="{00000000-0005-0000-0000-000091000000}"/>
    <cellStyle name="_Currency_Dave Model Final v 1" xfId="485" xr:uid="{00000000-0005-0000-0000-000092000000}"/>
    <cellStyle name="_Currency_DCF Analysis" xfId="486" xr:uid="{00000000-0005-0000-0000-000093000000}"/>
    <cellStyle name="_Currency_DIS Go Private Analysis v23" xfId="487" xr:uid="{00000000-0005-0000-0000-000094000000}"/>
    <cellStyle name="_Currency_Eagle Ridge Cash Flow 01-10-02_GS" xfId="488" xr:uid="{00000000-0005-0000-0000-000095000000}"/>
    <cellStyle name="_Currency_Eutelsat and Capex Analysis" xfId="489" xr:uid="{00000000-0005-0000-0000-000096000000}"/>
    <cellStyle name="_Currency_Excel Inserts_v4" xfId="490" xr:uid="{00000000-0005-0000-0000-000097000000}"/>
    <cellStyle name="_Currency_Final Canadian Bank Comp (sent to IBD)FORM" xfId="491" xr:uid="{00000000-0005-0000-0000-000098000000}"/>
    <cellStyle name="_Currency_Football Field" xfId="492" xr:uid="{00000000-0005-0000-0000-000099000000}"/>
    <cellStyle name="_Currency_GQ" xfId="493" xr:uid="{00000000-0005-0000-0000-00009A000000}"/>
    <cellStyle name="_Currency_GS Model" xfId="494" xr:uid="{00000000-0005-0000-0000-00009B000000}"/>
    <cellStyle name="_Currency_IBES_EPS_Estimates" xfId="495" xr:uid="{00000000-0005-0000-0000-00009C000000}"/>
    <cellStyle name="_Currency_Master_Telecom_Equipment_CSCb" xfId="496" xr:uid="{00000000-0005-0000-0000-00009D000000}"/>
    <cellStyle name="_Currency_Merger Model - Exec" xfId="497" xr:uid="{00000000-0005-0000-0000-00009E000000}"/>
    <cellStyle name="_Currency_merger plans" xfId="498" xr:uid="{00000000-0005-0000-0000-00009F000000}"/>
    <cellStyle name="_Currency_monet2.4_temp" xfId="499" xr:uid="{00000000-0005-0000-0000-0000A0000000}"/>
    <cellStyle name="_Currency_monet2.8" xfId="500" xr:uid="{00000000-0005-0000-0000-0000A1000000}"/>
    <cellStyle name="_Currency_MotLion Projections may" xfId="501" xr:uid="{00000000-0005-0000-0000-0000A2000000}"/>
    <cellStyle name="_Currency_Old Life CSC" xfId="502" xr:uid="{00000000-0005-0000-0000-0000A3000000}"/>
    <cellStyle name="_Currency_pace_merger plans" xfId="503" xr:uid="{00000000-0005-0000-0000-0000A4000000}"/>
    <cellStyle name="_Currency_Palm Model 10_05" xfId="504" xr:uid="{00000000-0005-0000-0000-0000A5000000}"/>
    <cellStyle name="_Currency_pdf file" xfId="505" xr:uid="{00000000-0005-0000-0000-0000A6000000}"/>
    <cellStyle name="_Currency_PNC_PF_2Q_update" xfId="506" xr:uid="{00000000-0005-0000-0000-0000A7000000}"/>
    <cellStyle name="_Currency_Potential Strategic Partners" xfId="507" xr:uid="{00000000-0005-0000-0000-0000A8000000}"/>
    <cellStyle name="_Currency_QVC LBO Model 2-12-03 v3" xfId="508" xr:uid="{00000000-0005-0000-0000-0000A9000000}"/>
    <cellStyle name="_Currency_RJB Long LBO LTM" xfId="509" xr:uid="{00000000-0005-0000-0000-0000AA000000}"/>
    <cellStyle name="_Currency_Roberts Standalone14 Quarterly 2" xfId="510" xr:uid="{00000000-0005-0000-0000-0000AB000000}"/>
    <cellStyle name="_Currency_Sheet1" xfId="511" xr:uid="{00000000-0005-0000-0000-0000AC000000}"/>
    <cellStyle name="_Currency_Sheet1_BCE LBO Analysis (02_4_07) MASTER V6" xfId="512" xr:uid="{00000000-0005-0000-0000-0000AD000000}"/>
    <cellStyle name="_Currency_Sheet1_BCE Model 1-8-07" xfId="513" xr:uid="{00000000-0005-0000-0000-0000AE000000}"/>
    <cellStyle name="_Currency_Sheet1_Bison LBO Analysis_Sponsors_03.06.07_to Citi" xfId="514" xr:uid="{00000000-0005-0000-0000-0000AF000000}"/>
    <cellStyle name="_Currency_Sheet1_Bison LBO Analysis_Sponsors_TO CITI FOR FORMAT (2)" xfId="515" xr:uid="{00000000-0005-0000-0000-0000B0000000}"/>
    <cellStyle name="_Currency_Sheet1_Bison LBO Analysis_Sponsors_TO CITI FOR FORMAT (2)_1" xfId="516" xr:uid="{00000000-0005-0000-0000-0000B1000000}"/>
    <cellStyle name="_Currency_Summary Sheets2" xfId="517" xr:uid="{00000000-0005-0000-0000-0000B2000000}"/>
    <cellStyle name="_Currency_Summary Valuation Analysis" xfId="518" xr:uid="{00000000-0005-0000-0000-0000B3000000}"/>
    <cellStyle name="_Currency_Synergies" xfId="519" xr:uid="{00000000-0005-0000-0000-0000B4000000}"/>
    <cellStyle name="_Currency_Troon Financials 8-1-02" xfId="520" xr:uid="{00000000-0005-0000-0000-0000B5000000}"/>
    <cellStyle name="_Currency_Troon_EBITDA" xfId="521" xr:uid="{00000000-0005-0000-0000-0000B6000000}"/>
    <cellStyle name="_Currency_Valuation Overview - June 2001" xfId="522" xr:uid="{00000000-0005-0000-0000-0000B7000000}"/>
    <cellStyle name="_Currency_Valuation_Troon dpak 8-5-02 v3" xfId="523" xr:uid="{00000000-0005-0000-0000-0000B8000000}"/>
    <cellStyle name="_Currency_VIA_Evans NOL Analysis" xfId="524" xr:uid="{00000000-0005-0000-0000-0000B9000000}"/>
    <cellStyle name="_Currency_WOW Standalone Quarterly 2" xfId="525" xr:uid="{00000000-0005-0000-0000-0000BA000000}"/>
    <cellStyle name="_Currency_xratio - historical mkt val" xfId="526" xr:uid="{00000000-0005-0000-0000-0000BB000000}"/>
    <cellStyle name="_Currency(GBP)" xfId="437" xr:uid="{00000000-0005-0000-0000-0000BC000000}"/>
    <cellStyle name="_Currency(GBP)_BCE Model 1-8-07" xfId="438" xr:uid="{00000000-0005-0000-0000-0000BD000000}"/>
    <cellStyle name="_CurrencySpace" xfId="527" xr:uid="{00000000-0005-0000-0000-0000BE000000}"/>
    <cellStyle name="_CurrencySpace_01 Fig Tech CSC 1Q03" xfId="528" xr:uid="{00000000-0005-0000-0000-0000BF000000}"/>
    <cellStyle name="_CurrencySpace_01 Financial Model" xfId="529" xr:uid="{00000000-0005-0000-0000-0000C0000000}"/>
    <cellStyle name="_CurrencySpace_01 Template without numbers sent out" xfId="530" xr:uid="{00000000-0005-0000-0000-0000C1000000}"/>
    <cellStyle name="_CurrencySpace_02 Financials" xfId="531" xr:uid="{00000000-0005-0000-0000-0000C2000000}"/>
    <cellStyle name="_CurrencySpace_02 Financials_BCE Model 1-8-07" xfId="532" xr:uid="{00000000-0005-0000-0000-0000C3000000}"/>
    <cellStyle name="_CurrencySpace_02 Potential Partner Ability to Pay Analysis2" xfId="533" xr:uid="{00000000-0005-0000-0000-0000C4000000}"/>
    <cellStyle name="_CurrencySpace_02 Quick Model_PQ Corporation" xfId="534" xr:uid="{00000000-0005-0000-0000-0000C5000000}"/>
    <cellStyle name="_CurrencySpace_04 Financials" xfId="535" xr:uid="{00000000-0005-0000-0000-0000C6000000}"/>
    <cellStyle name="_CurrencySpace_04 Financials_BCE Model 1-8-07" xfId="536" xr:uid="{00000000-0005-0000-0000-0000C7000000}"/>
    <cellStyle name="_CurrencySpace_101306 CanWest Excel BAck up v14" xfId="537" xr:uid="{00000000-0005-0000-0000-0000C8000000}"/>
    <cellStyle name="_CurrencySpace_12 Merger Plans" xfId="538" xr:uid="{00000000-0005-0000-0000-0000C9000000}"/>
    <cellStyle name="_CurrencySpace_20020326Viper Numbers sent out" xfId="539" xr:uid="{00000000-0005-0000-0000-0000CA000000}"/>
    <cellStyle name="_CurrencySpace_20020403 Regional Data 04" xfId="540" xr:uid="{00000000-0005-0000-0000-0000CB000000}"/>
    <cellStyle name="_CurrencySpace_20020403 Regional Data 04 Final" xfId="541" xr:uid="{00000000-0005-0000-0000-0000CC000000}"/>
    <cellStyle name="_CurrencySpace_20020403 Template for Exchange - Regional Data 01" xfId="542" xr:uid="{00000000-0005-0000-0000-0000CD000000}"/>
    <cellStyle name="_CurrencySpace_20020404 Capex 02 All" xfId="543" xr:uid="{00000000-0005-0000-0000-0000CE000000}"/>
    <cellStyle name="_CurrencySpace_20020405 Final Company Model" xfId="544" xr:uid="{00000000-0005-0000-0000-0000CF000000}"/>
    <cellStyle name="_CurrencySpace_accretion dilution analysis" xfId="545" xr:uid="{00000000-0005-0000-0000-0000D0000000}"/>
    <cellStyle name="_CurrencySpace_Acquisition Ops 3" xfId="546" xr:uid="{00000000-0005-0000-0000-0000D1000000}"/>
    <cellStyle name="_CurrencySpace_April 2002 combined model - key factors only" xfId="547" xr:uid="{00000000-0005-0000-0000-0000D2000000}"/>
    <cellStyle name="_CurrencySpace_April 2002 combined model - key factors only (rec 5 apr)" xfId="548" xr:uid="{00000000-0005-0000-0000-0000D3000000}"/>
    <cellStyle name="_CurrencySpace_AVP" xfId="549" xr:uid="{00000000-0005-0000-0000-0000D4000000}"/>
    <cellStyle name="_CurrencySpace_avp_Palm Model 10_05" xfId="550" xr:uid="{00000000-0005-0000-0000-0000D5000000}"/>
    <cellStyle name="_CurrencySpace_BCE Model 1-8-07" xfId="551" xr:uid="{00000000-0005-0000-0000-0000D6000000}"/>
    <cellStyle name="_CurrencySpace_Book1" xfId="552" xr:uid="{00000000-0005-0000-0000-0000D7000000}"/>
    <cellStyle name="_CurrencySpace_Book1_Merger Plan 2-10-04 GSIBDv3" xfId="553" xr:uid="{00000000-0005-0000-0000-0000D8000000}"/>
    <cellStyle name="_CurrencySpace_Book2" xfId="554" xr:uid="{00000000-0005-0000-0000-0000D9000000}"/>
    <cellStyle name="_CurrencySpace_buyer_analysis" xfId="555" xr:uid="{00000000-0005-0000-0000-0000DA000000}"/>
    <cellStyle name="_CurrencySpace_Check of Synergy DCFs 11-01-04_v5" xfId="556" xr:uid="{00000000-0005-0000-0000-0000DB000000}"/>
    <cellStyle name="_CurrencySpace_CKFR Model 11-30-06" xfId="557" xr:uid="{00000000-0005-0000-0000-0000DC000000}"/>
    <cellStyle name="_CurrencySpace_com_ic_universe_6" xfId="558" xr:uid="{00000000-0005-0000-0000-0000DD000000}"/>
    <cellStyle name="_CurrencySpace_Comparative Balance Sheets" xfId="559" xr:uid="{00000000-0005-0000-0000-0000DE000000}"/>
    <cellStyle name="_CurrencySpace_CSC Update_Status of Companies_11_19" xfId="560" xr:uid="{00000000-0005-0000-0000-0000DF000000}"/>
    <cellStyle name="_CurrencySpace_CSC with WACC" xfId="561" xr:uid="{00000000-0005-0000-0000-0000E0000000}"/>
    <cellStyle name="_CurrencySpace_CSC_Palm_Sum_of_Parts_4_20_01" xfId="562" xr:uid="{00000000-0005-0000-0000-0000E1000000}"/>
    <cellStyle name="_CurrencySpace_CSC_Palm_Sum_of_Parts_5_23_01a" xfId="563" xr:uid="{00000000-0005-0000-0000-0000E2000000}"/>
    <cellStyle name="_CurrencySpace_Dave Model Final v 1" xfId="564" xr:uid="{00000000-0005-0000-0000-0000E3000000}"/>
    <cellStyle name="_CurrencySpace_DCF Analysis" xfId="565" xr:uid="{00000000-0005-0000-0000-0000E4000000}"/>
    <cellStyle name="_CurrencySpace_DIS Go Private Analysis v23" xfId="566" xr:uid="{00000000-0005-0000-0000-0000E5000000}"/>
    <cellStyle name="_CurrencySpace_Eagle Ridge Cash Flow 01-10-02_GS" xfId="567" xr:uid="{00000000-0005-0000-0000-0000E6000000}"/>
    <cellStyle name="_CurrencySpace_Excel Inserts_v4" xfId="568" xr:uid="{00000000-0005-0000-0000-0000E7000000}"/>
    <cellStyle name="_CurrencySpace_Final Canadian Bank Comp (sent to IBD)FORM" xfId="569" xr:uid="{00000000-0005-0000-0000-0000E8000000}"/>
    <cellStyle name="_CurrencySpace_Football Field" xfId="570" xr:uid="{00000000-0005-0000-0000-0000E9000000}"/>
    <cellStyle name="_CurrencySpace_IBES_EPS_Estimates" xfId="571" xr:uid="{00000000-0005-0000-0000-0000EA000000}"/>
    <cellStyle name="_CurrencySpace_Master_Telecom_Equipment_CSCb" xfId="572" xr:uid="{00000000-0005-0000-0000-0000EB000000}"/>
    <cellStyle name="_CurrencySpace_Merger Model - Exec" xfId="573" xr:uid="{00000000-0005-0000-0000-0000EC000000}"/>
    <cellStyle name="_CurrencySpace_merger plans" xfId="574" xr:uid="{00000000-0005-0000-0000-0000ED000000}"/>
    <cellStyle name="_CurrencySpace_monet2.4" xfId="575" xr:uid="{00000000-0005-0000-0000-0000EE000000}"/>
    <cellStyle name="_CurrencySpace_monet2.4_temp" xfId="576" xr:uid="{00000000-0005-0000-0000-0000EF000000}"/>
    <cellStyle name="_CurrencySpace_monet2.8" xfId="577" xr:uid="{00000000-0005-0000-0000-0000F0000000}"/>
    <cellStyle name="_CurrencySpace_MotLion Projections may" xfId="578" xr:uid="{00000000-0005-0000-0000-0000F1000000}"/>
    <cellStyle name="_CurrencySpace_Old Life CSC" xfId="579" xr:uid="{00000000-0005-0000-0000-0000F2000000}"/>
    <cellStyle name="_CurrencySpace_pace_merger plans" xfId="580" xr:uid="{00000000-0005-0000-0000-0000F3000000}"/>
    <cellStyle name="_CurrencySpace_Palm Model 10_05" xfId="581" xr:uid="{00000000-0005-0000-0000-0000F4000000}"/>
    <cellStyle name="_CurrencySpace_pdf file" xfId="582" xr:uid="{00000000-0005-0000-0000-0000F5000000}"/>
    <cellStyle name="_CurrencySpace_PNC_PF_2Q_update" xfId="583" xr:uid="{00000000-0005-0000-0000-0000F6000000}"/>
    <cellStyle name="_CurrencySpace_Potential Strategic Partners" xfId="584" xr:uid="{00000000-0005-0000-0000-0000F7000000}"/>
    <cellStyle name="_CurrencySpace_QVC LBO Model 2-12-03 v3" xfId="585" xr:uid="{00000000-0005-0000-0000-0000F8000000}"/>
    <cellStyle name="_CurrencySpace_RJB Long LBO LTM" xfId="586" xr:uid="{00000000-0005-0000-0000-0000F9000000}"/>
    <cellStyle name="_CurrencySpace_Stallion Analysis_a" xfId="587" xr:uid="{00000000-0005-0000-0000-0000FA000000}"/>
    <cellStyle name="_CurrencySpace_Summary Valuation Analysis" xfId="588" xr:uid="{00000000-0005-0000-0000-0000FB000000}"/>
    <cellStyle name="_CurrencySpace_Synergies" xfId="589" xr:uid="{00000000-0005-0000-0000-0000FC000000}"/>
    <cellStyle name="_CurrencySpace_Troon Financials 8-1-02" xfId="590" xr:uid="{00000000-0005-0000-0000-0000FD000000}"/>
    <cellStyle name="_CurrencySpace_Troon_EBITDA" xfId="591" xr:uid="{00000000-0005-0000-0000-0000FE000000}"/>
    <cellStyle name="_CurrencySpace_Valuation Overview - June 2001" xfId="592" xr:uid="{00000000-0005-0000-0000-0000FF000000}"/>
    <cellStyle name="_CurrencySpace_Valuation_Troon dpak 8-5-02 v3" xfId="593" xr:uid="{00000000-0005-0000-0000-000000010000}"/>
    <cellStyle name="_date" xfId="594" xr:uid="{00000000-0005-0000-0000-000001010000}"/>
    <cellStyle name="_Dave Model Final v 1" xfId="595" xr:uid="{00000000-0005-0000-0000-000002010000}"/>
    <cellStyle name="_DIS Go Private Analysis v23" xfId="596" xr:uid="{00000000-0005-0000-0000-000003010000}"/>
    <cellStyle name="_Dollar" xfId="597" xr:uid="{00000000-0005-0000-0000-000004010000}"/>
    <cellStyle name="_Euro" xfId="598" xr:uid="{00000000-0005-0000-0000-000005010000}"/>
    <cellStyle name="_Euro_accretion dilution analysis" xfId="599" xr:uid="{00000000-0005-0000-0000-000006010000}"/>
    <cellStyle name="_Euro_CSC_Palm_Sum_of_Parts_5_23_01a" xfId="600" xr:uid="{00000000-0005-0000-0000-000007010000}"/>
    <cellStyle name="_Euro_Financials Layout dpak 9-26-01 v1" xfId="601" xr:uid="{00000000-0005-0000-0000-000008010000}"/>
    <cellStyle name="_Euro_IBES_EPS_Estimates" xfId="602" xr:uid="{00000000-0005-0000-0000-000009010000}"/>
    <cellStyle name="_Euro_Palm Model 10_05" xfId="603" xr:uid="{00000000-0005-0000-0000-00000A010000}"/>
    <cellStyle name="_Euro_Potential Strategic Partners" xfId="604" xr:uid="{00000000-0005-0000-0000-00000B010000}"/>
    <cellStyle name="_Euro_Simple Merger Plans" xfId="605" xr:uid="{00000000-0005-0000-0000-00000C010000}"/>
    <cellStyle name="_Excel Inserts_v4" xfId="606" xr:uid="{00000000-0005-0000-0000-00000D010000}"/>
    <cellStyle name="_GBP" xfId="607" xr:uid="{00000000-0005-0000-0000-00000E010000}"/>
    <cellStyle name="_GBP_BCE Model 1-8-07" xfId="608" xr:uid="{00000000-0005-0000-0000-00000F010000}"/>
    <cellStyle name="_GBP_BCE Model 1-8-07_Bison LBO Analysis_Sponsor_02.07.07" xfId="609" xr:uid="{00000000-0005-0000-0000-000010010000}"/>
    <cellStyle name="_GS Equity Research Driver Comparison" xfId="610" xr:uid="{00000000-0005-0000-0000-000011010000}"/>
    <cellStyle name="_GS Model" xfId="611" xr:uid="{00000000-0005-0000-0000-000012010000}"/>
    <cellStyle name="_GS Model of VSTR" xfId="612" xr:uid="{00000000-0005-0000-0000-000013010000}"/>
    <cellStyle name="_Heading" xfId="613" xr:uid="{00000000-0005-0000-0000-000014010000}"/>
    <cellStyle name="_Heading_01 Selected Financials_Salt Business" xfId="614" xr:uid="{00000000-0005-0000-0000-000015010000}"/>
    <cellStyle name="_Heading_02 Quick Model_PQ Corporation" xfId="615" xr:uid="{00000000-0005-0000-0000-000016010000}"/>
    <cellStyle name="_Heading_06 Analysis at Various Prices" xfId="616" xr:uid="{00000000-0005-0000-0000-000017010000}"/>
    <cellStyle name="_Heading_Dave Model Final v 1" xfId="617" xr:uid="{00000000-0005-0000-0000-000018010000}"/>
    <cellStyle name="_Heading_Final Canadian Bank Comp (sent to IBD)FORM" xfId="618" xr:uid="{00000000-0005-0000-0000-000019010000}"/>
    <cellStyle name="_Heading_lbo_long_model" xfId="619" xr:uid="{00000000-0005-0000-0000-00001A010000}"/>
    <cellStyle name="_Heading_MAXF historical financials" xfId="620" xr:uid="{00000000-0005-0000-0000-00001B010000}"/>
    <cellStyle name="_Heading_PL Consolidated (2003)" xfId="621" xr:uid="{00000000-0005-0000-0000-00001C010000}"/>
    <cellStyle name="_Heading_prestemp" xfId="622" xr:uid="{00000000-0005-0000-0000-00001D010000}"/>
    <cellStyle name="_Heading_Summary Financials 04" xfId="623" xr:uid="{00000000-0005-0000-0000-00001E010000}"/>
    <cellStyle name="_Highlight" xfId="624" xr:uid="{00000000-0005-0000-0000-00001F010000}"/>
    <cellStyle name="_Highlight_accretion dilution analysis" xfId="625" xr:uid="{00000000-0005-0000-0000-000020010000}"/>
    <cellStyle name="_Highlight_Advance Summary 04" xfId="626" xr:uid="{00000000-0005-0000-0000-000021010000}"/>
    <cellStyle name="_Highlight_Assumptions" xfId="627" xr:uid="{00000000-0005-0000-0000-000022010000}"/>
    <cellStyle name="_Highlight_CSC_Palm_Sum_of_Parts_5_23_01a" xfId="628" xr:uid="{00000000-0005-0000-0000-000023010000}"/>
    <cellStyle name="_Highlight_Data Dailies Strategic Plan-CT" xfId="629" xr:uid="{00000000-0005-0000-0000-000024010000}"/>
    <cellStyle name="_Highlight_Dave Model Final v 1" xfId="630" xr:uid="{00000000-0005-0000-0000-000025010000}"/>
    <cellStyle name="_Highlight_Expenses_V6" xfId="631" xr:uid="{00000000-0005-0000-0000-000026010000}"/>
    <cellStyle name="_Highlight_Final-Consolidated-Dave-10" xfId="632" xr:uid="{00000000-0005-0000-0000-000027010000}"/>
    <cellStyle name="_Highlight_Financials Layout dpak 9-26-01 v1" xfId="633" xr:uid="{00000000-0005-0000-0000-000028010000}"/>
    <cellStyle name="_Highlight_GS Long Form Model3 7-23-02 TROON v34" xfId="634" xr:uid="{00000000-0005-0000-0000-000029010000}"/>
    <cellStyle name="_Highlight_Historical Financials" xfId="635" xr:uid="{00000000-0005-0000-0000-00002A010000}"/>
    <cellStyle name="_Highlight_IBES_EPS_Estimates" xfId="636" xr:uid="{00000000-0005-0000-0000-00002B010000}"/>
    <cellStyle name="_Highlight_Lease Expiration Model" xfId="637" xr:uid="{00000000-0005-0000-0000-00002C010000}"/>
    <cellStyle name="_Highlight_ModelDrivers1" xfId="638" xr:uid="{00000000-0005-0000-0000-00002D010000}"/>
    <cellStyle name="_Highlight_Original Masters2002 Base Case Model 2-12-03 v1" xfId="639" xr:uid="{00000000-0005-0000-0000-00002E010000}"/>
    <cellStyle name="_Highlight_Palm Model 10_05" xfId="640" xr:uid="{00000000-0005-0000-0000-00002F010000}"/>
    <cellStyle name="_Highlight_PFOwnership" xfId="641" xr:uid="{00000000-0005-0000-0000-000030010000}"/>
    <cellStyle name="_Highlight_Potential Strategic Partners" xfId="642" xr:uid="{00000000-0005-0000-0000-000031010000}"/>
    <cellStyle name="_Highlight_Prospective Asset Sales v42" xfId="643" xr:uid="{00000000-0005-0000-0000-000032010000}"/>
    <cellStyle name="_Highlight_Simple Merger Plans" xfId="644" xr:uid="{00000000-0005-0000-0000-000033010000}"/>
    <cellStyle name="_Highlight_Sony TR" xfId="645" xr:uid="{00000000-0005-0000-0000-000034010000}"/>
    <cellStyle name="_Highlight_Troon DCF Model 8-13-02 v1" xfId="646" xr:uid="{00000000-0005-0000-0000-000035010000}"/>
    <cellStyle name="_Highlight_Updated LIBOR Curve from Marius Jungerhans 8-16-02" xfId="647" xr:uid="{00000000-0005-0000-0000-000036010000}"/>
    <cellStyle name="_Inputs" xfId="648" xr:uid="{00000000-0005-0000-0000-000037010000}"/>
    <cellStyle name="_Merger Plan 2-10-04 GSIBDv3" xfId="649" xr:uid="{00000000-0005-0000-0000-000038010000}"/>
    <cellStyle name="_Month" xfId="650" xr:uid="{00000000-0005-0000-0000-000039010000}"/>
    <cellStyle name="_Month_BCE Model 1-8-07" xfId="651" xr:uid="{00000000-0005-0000-0000-00003A010000}"/>
    <cellStyle name="_MS BCE Model" xfId="652" xr:uid="{00000000-0005-0000-0000-00003B010000}"/>
    <cellStyle name="_Multiple" xfId="653" xr:uid="{00000000-0005-0000-0000-00003C010000}"/>
    <cellStyle name="_Multiple_01 Fig Tech CSC 1Q03" xfId="654" xr:uid="{00000000-0005-0000-0000-00003D010000}"/>
    <cellStyle name="_Multiple_01 Financial Model" xfId="655" xr:uid="{00000000-0005-0000-0000-00003E010000}"/>
    <cellStyle name="_Multiple_01 Selected Financials_Salt Business" xfId="656" xr:uid="{00000000-0005-0000-0000-00003F010000}"/>
    <cellStyle name="_Multiple_01 Template without numbers sent out" xfId="657" xr:uid="{00000000-0005-0000-0000-000040010000}"/>
    <cellStyle name="_Multiple_02 Potential Partner Ability to Pay Analysis2" xfId="658" xr:uid="{00000000-0005-0000-0000-000041010000}"/>
    <cellStyle name="_Multiple_02 Quick Model_PQ Corporation" xfId="659" xr:uid="{00000000-0005-0000-0000-000042010000}"/>
    <cellStyle name="_Multiple_06 Analysis at Various Prices" xfId="660" xr:uid="{00000000-0005-0000-0000-000043010000}"/>
    <cellStyle name="_Multiple_101306 CanWest Excel BAck up v14" xfId="661" xr:uid="{00000000-0005-0000-0000-000044010000}"/>
    <cellStyle name="_Multiple_12 Merger Plans" xfId="662" xr:uid="{00000000-0005-0000-0000-000045010000}"/>
    <cellStyle name="_Multiple_20020403 Regional Data 04" xfId="663" xr:uid="{00000000-0005-0000-0000-000046010000}"/>
    <cellStyle name="_Multiple_20020403 Regional Data 04 Final" xfId="664" xr:uid="{00000000-0005-0000-0000-000047010000}"/>
    <cellStyle name="_Multiple_20020403 Template for Exchange - Regional Data 01" xfId="665" xr:uid="{00000000-0005-0000-0000-000048010000}"/>
    <cellStyle name="_Multiple_20020404 Capex 02 All" xfId="666" xr:uid="{00000000-0005-0000-0000-000049010000}"/>
    <cellStyle name="_Multiple_accretion dilution analysis" xfId="667" xr:uid="{00000000-0005-0000-0000-00004A010000}"/>
    <cellStyle name="_Multiple_Acquisition Ops 3" xfId="668" xr:uid="{00000000-0005-0000-0000-00004B010000}"/>
    <cellStyle name="_Multiple_Appliances Metrics for Leverage Finance" xfId="669" xr:uid="{00000000-0005-0000-0000-00004C010000}"/>
    <cellStyle name="_Multiple_Asset_Management_CSC_Updated_06_26_2002" xfId="670" xr:uid="{00000000-0005-0000-0000-00004D010000}"/>
    <cellStyle name="_Multiple_Asset_Management_CSC_Updated_06_26_2002_BCE Model 1-8-07" xfId="671" xr:uid="{00000000-0005-0000-0000-00004E010000}"/>
    <cellStyle name="_Multiple_AVP" xfId="672" xr:uid="{00000000-0005-0000-0000-00004F010000}"/>
    <cellStyle name="_Multiple_AVP - prev. 06 financials" xfId="673" xr:uid="{00000000-0005-0000-0000-000050010000}"/>
    <cellStyle name="_Multiple_AVP - prev. 06 financials_BCE Model 1-8-07" xfId="674" xr:uid="{00000000-0005-0000-0000-000051010000}"/>
    <cellStyle name="_Multiple_AVP_BCE Model 1-8-07" xfId="675" xr:uid="{00000000-0005-0000-0000-000052010000}"/>
    <cellStyle name="_Multiple_avp_Merger Plan 2-10-04 GSIBDv3" xfId="676" xr:uid="{00000000-0005-0000-0000-000053010000}"/>
    <cellStyle name="_Multiple_avp_Palm Model 10_05" xfId="677" xr:uid="{00000000-0005-0000-0000-000054010000}"/>
    <cellStyle name="_Multiple_Bank &amp; Thrift Buyer Merger Plan(AutoPrice2000)" xfId="678" xr:uid="{00000000-0005-0000-0000-000055010000}"/>
    <cellStyle name="_Multiple_bank_csc_Q1_2001" xfId="679" xr:uid="{00000000-0005-0000-0000-000056010000}"/>
    <cellStyle name="_Multiple_bank_csc_Q1_2001_BCE Model 1-8-07" xfId="680" xr:uid="{00000000-0005-0000-0000-000057010000}"/>
    <cellStyle name="_Multiple_bank_csc_Q2_2001" xfId="681" xr:uid="{00000000-0005-0000-0000-000058010000}"/>
    <cellStyle name="_Multiple_bank_csc_Q2_2001_c1" xfId="682" xr:uid="{00000000-0005-0000-0000-000059010000}"/>
    <cellStyle name="_Multiple_BCE Model 1-8-07" xfId="683" xr:uid="{00000000-0005-0000-0000-00005A010000}"/>
    <cellStyle name="_Multiple_Book1" xfId="684" xr:uid="{00000000-0005-0000-0000-00005B010000}"/>
    <cellStyle name="_Multiple_Book1_1" xfId="685" xr:uid="{00000000-0005-0000-0000-00005C010000}"/>
    <cellStyle name="_Multiple_Book1_Merger Plan 2-10-04 GSIBDv3" xfId="686" xr:uid="{00000000-0005-0000-0000-00005D010000}"/>
    <cellStyle name="_Multiple_Book1_Merger Plan 2-10-04 GSIBDv3_BCE Model 1-8-07" xfId="687" xr:uid="{00000000-0005-0000-0000-00005E010000}"/>
    <cellStyle name="_Multiple_Book2" xfId="688" xr:uid="{00000000-0005-0000-0000-00005F010000}"/>
    <cellStyle name="_Multiple_Borders Model 11-11-03 mezz v6" xfId="689" xr:uid="{00000000-0005-0000-0000-000060010000}"/>
    <cellStyle name="_Multiple_buyer_analysis" xfId="690" xr:uid="{00000000-0005-0000-0000-000061010000}"/>
    <cellStyle name="_Multiple_Check of Synergy DCFs 11-01-04_v5" xfId="691" xr:uid="{00000000-0005-0000-0000-000062010000}"/>
    <cellStyle name="_Multiple_CKFR Model 11-30-06" xfId="692" xr:uid="{00000000-0005-0000-0000-000063010000}"/>
    <cellStyle name="_Multiple_CKFR Model 11-30-06_BCE Model 1-8-07" xfId="693" xr:uid="{00000000-0005-0000-0000-000064010000}"/>
    <cellStyle name="_Multiple_com_ic_universe_6" xfId="694" xr:uid="{00000000-0005-0000-0000-000065010000}"/>
    <cellStyle name="_Multiple_Comparative Balance Sheets" xfId="695" xr:uid="{00000000-0005-0000-0000-000066010000}"/>
    <cellStyle name="_Multiple_Comparative Balance Sheets_BCE Model 1-8-07" xfId="696" xr:uid="{00000000-0005-0000-0000-000067010000}"/>
    <cellStyle name="_Multiple_Cross Dock Projections v3" xfId="697" xr:uid="{00000000-0005-0000-0000-000068010000}"/>
    <cellStyle name="_Multiple_csc" xfId="698" xr:uid="{00000000-0005-0000-0000-000069010000}"/>
    <cellStyle name="_Multiple_CSC Update_Status of Companies_11_19" xfId="699" xr:uid="{00000000-0005-0000-0000-00006A010000}"/>
    <cellStyle name="_Multiple_CSC with WACC" xfId="700" xr:uid="{00000000-0005-0000-0000-00006B010000}"/>
    <cellStyle name="_Multiple_csc_BCE Model 1-8-07" xfId="701" xr:uid="{00000000-0005-0000-0000-00006C010000}"/>
    <cellStyle name="_Multiple_CSC_Palm_Sum_of_Parts_4_20_01" xfId="702" xr:uid="{00000000-0005-0000-0000-00006D010000}"/>
    <cellStyle name="_Multiple_CSC_Palm_Sum_of_Parts_5_23_01a" xfId="703" xr:uid="{00000000-0005-0000-0000-00006E010000}"/>
    <cellStyle name="_Multiple_Dave Model Final v 1" xfId="704" xr:uid="{00000000-0005-0000-0000-00006F010000}"/>
    <cellStyle name="_Multiple_DCF Analysis" xfId="705" xr:uid="{00000000-0005-0000-0000-000070010000}"/>
    <cellStyle name="_Multiple_DIS Go Private Analysis v23" xfId="706" xr:uid="{00000000-0005-0000-0000-000071010000}"/>
    <cellStyle name="_Multiple_discussion" xfId="707" xr:uid="{00000000-0005-0000-0000-000072010000}"/>
    <cellStyle name="_Multiple_Eagle Ridge Cash Flow 01-10-02_GS" xfId="708" xr:uid="{00000000-0005-0000-0000-000073010000}"/>
    <cellStyle name="_Multiple_Eutelsat and Capex Analysis" xfId="709" xr:uid="{00000000-0005-0000-0000-000074010000}"/>
    <cellStyle name="_Multiple_Excel Inserts_v4" xfId="710" xr:uid="{00000000-0005-0000-0000-000075010000}"/>
    <cellStyle name="_Multiple_Final Canadian Bank Comp (sent to IBD)FORM" xfId="711" xr:uid="{00000000-0005-0000-0000-000076010000}"/>
    <cellStyle name="_Multiple_Financial Buildup 6-18-03 v7" xfId="712" xr:uid="{00000000-0005-0000-0000-000077010000}"/>
    <cellStyle name="_Multiple_Financials" xfId="713" xr:uid="{00000000-0005-0000-0000-000078010000}"/>
    <cellStyle name="_Multiple_Financials_3" xfId="714" xr:uid="{00000000-0005-0000-0000-000079010000}"/>
    <cellStyle name="_Multiple_Football Field" xfId="715" xr:uid="{00000000-0005-0000-0000-00007A010000}"/>
    <cellStyle name="_Multiple_GS Model" xfId="716" xr:uid="{00000000-0005-0000-0000-00007B010000}"/>
    <cellStyle name="_Multiple_IBES_EPS_Estimates" xfId="717" xr:uid="{00000000-0005-0000-0000-00007C010000}"/>
    <cellStyle name="_Multiple_march_21_meeting" xfId="718" xr:uid="{00000000-0005-0000-0000-00007D010000}"/>
    <cellStyle name="_Multiple_Master_Telecom_Equipment_CSCb" xfId="719" xr:uid="{00000000-0005-0000-0000-00007E010000}"/>
    <cellStyle name="_Multiple_Merger Model - Exec" xfId="720" xr:uid="{00000000-0005-0000-0000-00007F010000}"/>
    <cellStyle name="_Multiple_Merger model_new" xfId="721" xr:uid="{00000000-0005-0000-0000-000080010000}"/>
    <cellStyle name="_Multiple_Merger model_new_ability to pay" xfId="722" xr:uid="{00000000-0005-0000-0000-000081010000}"/>
    <cellStyle name="_Multiple_Merger Plan 2-10-04 GSIBDv3" xfId="723" xr:uid="{00000000-0005-0000-0000-000082010000}"/>
    <cellStyle name="_Multiple_merger plans" xfId="724" xr:uid="{00000000-0005-0000-0000-000083010000}"/>
    <cellStyle name="_Multiple_model_bk" xfId="725" xr:uid="{00000000-0005-0000-0000-000084010000}"/>
    <cellStyle name="_Multiple_model_bk_BCE Model 1-8-07" xfId="726" xr:uid="{00000000-0005-0000-0000-000085010000}"/>
    <cellStyle name="_Multiple_monet_final_w_output" xfId="727" xr:uid="{00000000-0005-0000-0000-000086010000}"/>
    <cellStyle name="_Multiple_monet2.4" xfId="728" xr:uid="{00000000-0005-0000-0000-000087010000}"/>
    <cellStyle name="_Multiple_monet2.4_BCE Model 1-8-07" xfId="729" xr:uid="{00000000-0005-0000-0000-000088010000}"/>
    <cellStyle name="_Multiple_monet2.4_temp" xfId="730" xr:uid="{00000000-0005-0000-0000-000089010000}"/>
    <cellStyle name="_Multiple_monet2.4_temp_BCE Model 1-8-07" xfId="731" xr:uid="{00000000-0005-0000-0000-00008A010000}"/>
    <cellStyle name="_Multiple_monet2.8" xfId="732" xr:uid="{00000000-0005-0000-0000-00008B010000}"/>
    <cellStyle name="_Multiple_monet2.8_BCE Model 1-8-07" xfId="733" xr:uid="{00000000-0005-0000-0000-00008C010000}"/>
    <cellStyle name="_Multiple_MotLion Projections may" xfId="734" xr:uid="{00000000-0005-0000-0000-00008D010000}"/>
    <cellStyle name="_Multiple_Neptune Ammortization Analysis 8-6-03" xfId="735" xr:uid="{00000000-0005-0000-0000-00008E010000}"/>
    <cellStyle name="_Multiple_Old Life CSC" xfId="736" xr:uid="{00000000-0005-0000-0000-00008F010000}"/>
    <cellStyle name="_Multiple_Other Category Breaidown 7-26-03 v1" xfId="737" xr:uid="{00000000-0005-0000-0000-000090010000}"/>
    <cellStyle name="_Multiple_pace_merger plans" xfId="738" xr:uid="{00000000-0005-0000-0000-000091010000}"/>
    <cellStyle name="_Multiple_Palm Model 10_05" xfId="739" xr:uid="{00000000-0005-0000-0000-000092010000}"/>
    <cellStyle name="_Multiple_pdf file" xfId="740" xr:uid="{00000000-0005-0000-0000-000093010000}"/>
    <cellStyle name="_Multiple_PNC_PF_2Q_update" xfId="741" xr:uid="{00000000-0005-0000-0000-000094010000}"/>
    <cellStyle name="_Multiple_Potential Strategic Partners" xfId="742" xr:uid="{00000000-0005-0000-0000-000095010000}"/>
    <cellStyle name="_Multiple_Projections--Management (Data Room)v6" xfId="743" xr:uid="{00000000-0005-0000-0000-000096010000}"/>
    <cellStyle name="_Multiple_QVC LBO Model 2-12-03 v3" xfId="744" xr:uid="{00000000-0005-0000-0000-000097010000}"/>
    <cellStyle name="_Multiple_RJB Long LBO LTM" xfId="745" xr:uid="{00000000-0005-0000-0000-000098010000}"/>
    <cellStyle name="_Multiple_Sources and Uses FINAL dpakedit v2" xfId="746" xr:uid="{00000000-0005-0000-0000-000099010000}"/>
    <cellStyle name="_Multiple_Summary Valuation Analysis" xfId="747" xr:uid="{00000000-0005-0000-0000-00009A010000}"/>
    <cellStyle name="_Multiple_Synergies" xfId="748" xr:uid="{00000000-0005-0000-0000-00009B010000}"/>
    <cellStyle name="_Multiple_Troon DCF Model 8-13-02 v1" xfId="749" xr:uid="{00000000-0005-0000-0000-00009C010000}"/>
    <cellStyle name="_Multiple_Troon DCF Model 8-13-02 v1_BCE Model 1-8-07" xfId="750" xr:uid="{00000000-0005-0000-0000-00009D010000}"/>
    <cellStyle name="_Multiple_Troon Financials 8-1-02" xfId="751" xr:uid="{00000000-0005-0000-0000-00009E010000}"/>
    <cellStyle name="_Multiple_Troon LLC FS dpakedit 8-7-02" xfId="752" xr:uid="{00000000-0005-0000-0000-00009F010000}"/>
    <cellStyle name="_Multiple_Troon LLC FS dpakedit 8-7-02 v3" xfId="753" xr:uid="{00000000-0005-0000-0000-0000A0010000}"/>
    <cellStyle name="_Multiple_Troon LLC FS dpakedit 8-7-02 v4" xfId="754" xr:uid="{00000000-0005-0000-0000-0000A1010000}"/>
    <cellStyle name="_Multiple_Troon_EBITDA" xfId="755" xr:uid="{00000000-0005-0000-0000-0000A2010000}"/>
    <cellStyle name="_Multiple_Valuation Overview - June 2001" xfId="756" xr:uid="{00000000-0005-0000-0000-0000A3010000}"/>
    <cellStyle name="_Multiple_Valuation Overview - June 2001_BCE Model 1-8-07" xfId="757" xr:uid="{00000000-0005-0000-0000-0000A4010000}"/>
    <cellStyle name="_Multiple_Valuation_Troon dpak 8-5-02 v3" xfId="758" xr:uid="{00000000-0005-0000-0000-0000A5010000}"/>
    <cellStyle name="_MultipleSpace" xfId="759" xr:uid="{00000000-0005-0000-0000-0000A6010000}"/>
    <cellStyle name="_MultipleSpace_01 Fig Tech CSC 1Q03" xfId="760" xr:uid="{00000000-0005-0000-0000-0000A7010000}"/>
    <cellStyle name="_MultipleSpace_01 Financial Model" xfId="761" xr:uid="{00000000-0005-0000-0000-0000A8010000}"/>
    <cellStyle name="_MultipleSpace_01 Template without numbers sent out" xfId="762" xr:uid="{00000000-0005-0000-0000-0000A9010000}"/>
    <cellStyle name="_MultipleSpace_02 Potential Partner Ability to Pay Analysis2" xfId="763" xr:uid="{00000000-0005-0000-0000-0000AA010000}"/>
    <cellStyle name="_MultipleSpace_02 Quick Model_PQ Corporation" xfId="764" xr:uid="{00000000-0005-0000-0000-0000AB010000}"/>
    <cellStyle name="_MultipleSpace_101306 CanWest Excel BAck up v14" xfId="765" xr:uid="{00000000-0005-0000-0000-0000AC010000}"/>
    <cellStyle name="_MultipleSpace_12 Merger Plans" xfId="766" xr:uid="{00000000-0005-0000-0000-0000AD010000}"/>
    <cellStyle name="_MultipleSpace_20020403 Regional Data 04" xfId="767" xr:uid="{00000000-0005-0000-0000-0000AE010000}"/>
    <cellStyle name="_MultipleSpace_20020403 Regional Data 04 Final" xfId="768" xr:uid="{00000000-0005-0000-0000-0000AF010000}"/>
    <cellStyle name="_MultipleSpace_20020403 Template for Exchange - Regional Data 01" xfId="769" xr:uid="{00000000-0005-0000-0000-0000B0010000}"/>
    <cellStyle name="_MultipleSpace_20020404 Capex 02 All" xfId="770" xr:uid="{00000000-0005-0000-0000-0000B1010000}"/>
    <cellStyle name="_MultipleSpace_accretion dilution analysis" xfId="771" xr:uid="{00000000-0005-0000-0000-0000B2010000}"/>
    <cellStyle name="_MultipleSpace_Acquisition Ops 3" xfId="772" xr:uid="{00000000-0005-0000-0000-0000B3010000}"/>
    <cellStyle name="_MultipleSpace_Alamosa Merger" xfId="773" xr:uid="{00000000-0005-0000-0000-0000B4010000}"/>
    <cellStyle name="_MultipleSpace_Alamosa Standalone8b" xfId="774" xr:uid="{00000000-0005-0000-0000-0000B5010000}"/>
    <cellStyle name="_MultipleSpace_AVP" xfId="775" xr:uid="{00000000-0005-0000-0000-0000B6010000}"/>
    <cellStyle name="_MultipleSpace_AVP - prev. 06 financials" xfId="776" xr:uid="{00000000-0005-0000-0000-0000B7010000}"/>
    <cellStyle name="_MultipleSpace_AVP - prev. 06 financials_BCE Model 1-8-07" xfId="777" xr:uid="{00000000-0005-0000-0000-0000B8010000}"/>
    <cellStyle name="_MultipleSpace_AVP_BCE Model 1-8-07" xfId="778" xr:uid="{00000000-0005-0000-0000-0000B9010000}"/>
    <cellStyle name="_MultipleSpace_avp_Merger Plan 2-10-04 GSIBDv3" xfId="779" xr:uid="{00000000-0005-0000-0000-0000BA010000}"/>
    <cellStyle name="_MultipleSpace_avp_Palm Model 10_05" xfId="780" xr:uid="{00000000-0005-0000-0000-0000BB010000}"/>
    <cellStyle name="_MultipleSpace_bank_csc_Q1_2001" xfId="781" xr:uid="{00000000-0005-0000-0000-0000BC010000}"/>
    <cellStyle name="_MultipleSpace_bank_csc_Q1_2001_BCE Model 1-8-07" xfId="782" xr:uid="{00000000-0005-0000-0000-0000BD010000}"/>
    <cellStyle name="_MultipleSpace_bank_csc_Q2_2001_c1" xfId="783" xr:uid="{00000000-0005-0000-0000-0000BE010000}"/>
    <cellStyle name="_MultipleSpace_bank_csc_Q2_2001_c1_BCE Model 1-8-07" xfId="784" xr:uid="{00000000-0005-0000-0000-0000BF010000}"/>
    <cellStyle name="_MultipleSpace_BCE Model 1-8-07" xfId="785" xr:uid="{00000000-0005-0000-0000-0000C0010000}"/>
    <cellStyle name="_MultipleSpace_Book1" xfId="786" xr:uid="{00000000-0005-0000-0000-0000C1010000}"/>
    <cellStyle name="_MultipleSpace_Book1_Merger Plan 2-10-04 GSIBDv3" xfId="787" xr:uid="{00000000-0005-0000-0000-0000C2010000}"/>
    <cellStyle name="_MultipleSpace_Book1_Merger Plan 2-10-04 GSIBDv3_BCE Model 1-8-07" xfId="788" xr:uid="{00000000-0005-0000-0000-0000C3010000}"/>
    <cellStyle name="_MultipleSpace_Book2" xfId="789" xr:uid="{00000000-0005-0000-0000-0000C4010000}"/>
    <cellStyle name="_MultipleSpace_buyer_analysis" xfId="790" xr:uid="{00000000-0005-0000-0000-0000C5010000}"/>
    <cellStyle name="_MultipleSpace_Check of Synergy DCFs 11-01-04_v5" xfId="791" xr:uid="{00000000-0005-0000-0000-0000C6010000}"/>
    <cellStyle name="_MultipleSpace_CKFR Model 11-30-06" xfId="792" xr:uid="{00000000-0005-0000-0000-0000C7010000}"/>
    <cellStyle name="_MultipleSpace_com_ic_universe_6" xfId="793" xr:uid="{00000000-0005-0000-0000-0000C8010000}"/>
    <cellStyle name="_MultipleSpace_COMBO Final DCF_2" xfId="794" xr:uid="{00000000-0005-0000-0000-0000C9010000}"/>
    <cellStyle name="_MultipleSpace_Comparative Balance Sheets" xfId="795" xr:uid="{00000000-0005-0000-0000-0000CA010000}"/>
    <cellStyle name="_MultipleSpace_Comparative Balance Sheets_BCE Model 1-8-07" xfId="796" xr:uid="{00000000-0005-0000-0000-0000CB010000}"/>
    <cellStyle name="_MultipleSpace_csc" xfId="797" xr:uid="{00000000-0005-0000-0000-0000CC010000}"/>
    <cellStyle name="_MultipleSpace_CSC Update_Status of Companies_11_19" xfId="798" xr:uid="{00000000-0005-0000-0000-0000CD010000}"/>
    <cellStyle name="_MultipleSpace_CSC with WACC" xfId="799" xr:uid="{00000000-0005-0000-0000-0000CE010000}"/>
    <cellStyle name="_MultipleSpace_csc_BCE Model 1-8-07" xfId="800" xr:uid="{00000000-0005-0000-0000-0000CF010000}"/>
    <cellStyle name="_MultipleSpace_CSC_Palm_Sum_of_Parts_4_20_01" xfId="801" xr:uid="{00000000-0005-0000-0000-0000D0010000}"/>
    <cellStyle name="_MultipleSpace_CSC_Palm_Sum_of_Parts_5_23_01a" xfId="802" xr:uid="{00000000-0005-0000-0000-0000D1010000}"/>
    <cellStyle name="_MultipleSpace_Dave Model Final v 1" xfId="803" xr:uid="{00000000-0005-0000-0000-0000D2010000}"/>
    <cellStyle name="_MultipleSpace_DCF Analysis" xfId="804" xr:uid="{00000000-0005-0000-0000-0000D3010000}"/>
    <cellStyle name="_MultipleSpace_DIS Go Private Analysis v23" xfId="805" xr:uid="{00000000-0005-0000-0000-0000D4010000}"/>
    <cellStyle name="_MultipleSpace_Eagle Ridge Cash Flow 01-10-02_GS" xfId="806" xr:uid="{00000000-0005-0000-0000-0000D5010000}"/>
    <cellStyle name="_MultipleSpace_Eutelsat and Capex Analysis" xfId="807" xr:uid="{00000000-0005-0000-0000-0000D6010000}"/>
    <cellStyle name="_MultipleSpace_Excel Inserts_v4" xfId="808" xr:uid="{00000000-0005-0000-0000-0000D7010000}"/>
    <cellStyle name="_MultipleSpace_Final Canadian Bank Comp (sent to IBD)FORM" xfId="809" xr:uid="{00000000-0005-0000-0000-0000D8010000}"/>
    <cellStyle name="_MultipleSpace_Football Field" xfId="810" xr:uid="{00000000-0005-0000-0000-0000D9010000}"/>
    <cellStyle name="_MultipleSpace_IBES_EPS_Estimates" xfId="811" xr:uid="{00000000-0005-0000-0000-0000DA010000}"/>
    <cellStyle name="_MultipleSpace_Master_Telecom_Equipment_CSCb" xfId="812" xr:uid="{00000000-0005-0000-0000-0000DB010000}"/>
    <cellStyle name="_MultipleSpace_Merger Model - Exec" xfId="813" xr:uid="{00000000-0005-0000-0000-0000DC010000}"/>
    <cellStyle name="_MultipleSpace_merger plans" xfId="814" xr:uid="{00000000-0005-0000-0000-0000DD010000}"/>
    <cellStyle name="_MultipleSpace_model_bk" xfId="815" xr:uid="{00000000-0005-0000-0000-0000DE010000}"/>
    <cellStyle name="_MultipleSpace_model_bk_BCE Model 1-8-07" xfId="816" xr:uid="{00000000-0005-0000-0000-0000DF010000}"/>
    <cellStyle name="_MultipleSpace_monet_final_w_output" xfId="817" xr:uid="{00000000-0005-0000-0000-0000E0010000}"/>
    <cellStyle name="_MultipleSpace_monet2.4" xfId="818" xr:uid="{00000000-0005-0000-0000-0000E1010000}"/>
    <cellStyle name="_MultipleSpace_monet2.4_BCE Model 1-8-07" xfId="819" xr:uid="{00000000-0005-0000-0000-0000E2010000}"/>
    <cellStyle name="_MultipleSpace_monet2.4_temp" xfId="820" xr:uid="{00000000-0005-0000-0000-0000E3010000}"/>
    <cellStyle name="_MultipleSpace_monet2.4_temp_BCE Model 1-8-07" xfId="821" xr:uid="{00000000-0005-0000-0000-0000E4010000}"/>
    <cellStyle name="_MultipleSpace_monet2.8" xfId="822" xr:uid="{00000000-0005-0000-0000-0000E5010000}"/>
    <cellStyle name="_MultipleSpace_monet2.8_BCE Model 1-8-07" xfId="823" xr:uid="{00000000-0005-0000-0000-0000E6010000}"/>
    <cellStyle name="_MultipleSpace_MotLion Projections may" xfId="824" xr:uid="{00000000-0005-0000-0000-0000E7010000}"/>
    <cellStyle name="_MultipleSpace_Old Life CSC" xfId="825" xr:uid="{00000000-0005-0000-0000-0000E8010000}"/>
    <cellStyle name="_MultipleSpace_pace_merger plans" xfId="826" xr:uid="{00000000-0005-0000-0000-0000E9010000}"/>
    <cellStyle name="_MultipleSpace_Palm Model 10_05" xfId="827" xr:uid="{00000000-0005-0000-0000-0000EA010000}"/>
    <cellStyle name="_MultipleSpace_pdf file" xfId="828" xr:uid="{00000000-0005-0000-0000-0000EB010000}"/>
    <cellStyle name="_MultipleSpace_PNC_PF_2Q_update" xfId="829" xr:uid="{00000000-0005-0000-0000-0000EC010000}"/>
    <cellStyle name="_MultipleSpace_Potential Strategic Partners" xfId="830" xr:uid="{00000000-0005-0000-0000-0000ED010000}"/>
    <cellStyle name="_MultipleSpace_QVC LBO Model 2-12-03 v3" xfId="831" xr:uid="{00000000-0005-0000-0000-0000EE010000}"/>
    <cellStyle name="_MultipleSpace_RJB Long LBO LTM" xfId="832" xr:uid="{00000000-0005-0000-0000-0000EF010000}"/>
    <cellStyle name="_MultipleSpace_Summary Valuation Analysis" xfId="833" xr:uid="{00000000-0005-0000-0000-0000F0010000}"/>
    <cellStyle name="_MultipleSpace_Synergies" xfId="834" xr:uid="{00000000-0005-0000-0000-0000F1010000}"/>
    <cellStyle name="_MultipleSpace_Troon DCF Model 8-13-02 v1" xfId="835" xr:uid="{00000000-0005-0000-0000-0000F2010000}"/>
    <cellStyle name="_MultipleSpace_Troon DCF Model 8-13-02 v1_BCE Model 1-8-07" xfId="836" xr:uid="{00000000-0005-0000-0000-0000F3010000}"/>
    <cellStyle name="_MultipleSpace_Troon Financials 8-1-02" xfId="837" xr:uid="{00000000-0005-0000-0000-0000F4010000}"/>
    <cellStyle name="_MultipleSpace_Troon LLC FS dpakedit 8-7-02" xfId="838" xr:uid="{00000000-0005-0000-0000-0000F5010000}"/>
    <cellStyle name="_MultipleSpace_Troon LLC FS dpakedit 8-7-02 v3" xfId="839" xr:uid="{00000000-0005-0000-0000-0000F6010000}"/>
    <cellStyle name="_MultipleSpace_Troon LLC FS dpakedit 8-7-02 v4" xfId="840" xr:uid="{00000000-0005-0000-0000-0000F7010000}"/>
    <cellStyle name="_MultipleSpace_Troon_EBITDA" xfId="841" xr:uid="{00000000-0005-0000-0000-0000F8010000}"/>
    <cellStyle name="_MultipleSpace_Valuation Overview - June 2001" xfId="842" xr:uid="{00000000-0005-0000-0000-0000F9010000}"/>
    <cellStyle name="_MultipleSpace_Valuation Overview - June 2001_BCE Model 1-8-07" xfId="843" xr:uid="{00000000-0005-0000-0000-0000FA010000}"/>
    <cellStyle name="_MultipleSpace_Valuation_Troon dpak 8-5-02 v3" xfId="844" xr:uid="{00000000-0005-0000-0000-0000FB010000}"/>
    <cellStyle name="_Output" xfId="845" xr:uid="{00000000-0005-0000-0000-0000FC010000}"/>
    <cellStyle name="_Percent" xfId="846" xr:uid="{00000000-0005-0000-0000-0000FD010000}"/>
    <cellStyle name="_Percent_101306 CanWest Excel BAck up v14" xfId="847" xr:uid="{00000000-0005-0000-0000-0000FE010000}"/>
    <cellStyle name="_Percent_Acquisition Ops 3" xfId="848" xr:uid="{00000000-0005-0000-0000-0000FF010000}"/>
    <cellStyle name="_Percent_Alamosa Merger" xfId="849" xr:uid="{00000000-0005-0000-0000-000000020000}"/>
    <cellStyle name="_Percent_Alamosa Standalone8b" xfId="850" xr:uid="{00000000-0005-0000-0000-000001020000}"/>
    <cellStyle name="_Percent_AVP" xfId="851" xr:uid="{00000000-0005-0000-0000-000002020000}"/>
    <cellStyle name="_Percent_Book1" xfId="852" xr:uid="{00000000-0005-0000-0000-000003020000}"/>
    <cellStyle name="_Percent_COMBO Final DCF_2" xfId="853" xr:uid="{00000000-0005-0000-0000-000004020000}"/>
    <cellStyle name="_Percent_Comparative Balance Sheets" xfId="854" xr:uid="{00000000-0005-0000-0000-000005020000}"/>
    <cellStyle name="_Percent_CSC with WACC" xfId="855" xr:uid="{00000000-0005-0000-0000-000006020000}"/>
    <cellStyle name="_Percent_Eutelsat and Capex Analysis" xfId="856" xr:uid="{00000000-0005-0000-0000-000007020000}"/>
    <cellStyle name="_Percent_Master_Telecom_Equipment_CSCb" xfId="857" xr:uid="{00000000-0005-0000-0000-000008020000}"/>
    <cellStyle name="_Percent_Merger Model - Exec" xfId="858" xr:uid="{00000000-0005-0000-0000-000009020000}"/>
    <cellStyle name="_Percent_merger plans" xfId="859" xr:uid="{00000000-0005-0000-0000-00000A020000}"/>
    <cellStyle name="_Percent_monet2.4" xfId="860" xr:uid="{00000000-0005-0000-0000-00000B020000}"/>
    <cellStyle name="_Percent_monet2.4_temp" xfId="861" xr:uid="{00000000-0005-0000-0000-00000C020000}"/>
    <cellStyle name="_Percent_monet2.8" xfId="862" xr:uid="{00000000-0005-0000-0000-00000D020000}"/>
    <cellStyle name="_Percent_MotLion Projections may" xfId="863" xr:uid="{00000000-0005-0000-0000-00000E020000}"/>
    <cellStyle name="_Percent_pace_merger plans" xfId="864" xr:uid="{00000000-0005-0000-0000-00000F020000}"/>
    <cellStyle name="_Percent_Palm Model 10_05" xfId="865" xr:uid="{00000000-0005-0000-0000-000010020000}"/>
    <cellStyle name="_Percent_pdf file" xfId="866" xr:uid="{00000000-0005-0000-0000-000011020000}"/>
    <cellStyle name="_Percent_Sources and Uses FINAL dpakedit v2" xfId="867" xr:uid="{00000000-0005-0000-0000-000012020000}"/>
    <cellStyle name="_Percent_Valuation Overview - June 2001" xfId="868" xr:uid="{00000000-0005-0000-0000-000013020000}"/>
    <cellStyle name="_Percent_Valuation_Troon dpak 8-5-02 v3" xfId="869" xr:uid="{00000000-0005-0000-0000-000014020000}"/>
    <cellStyle name="_PercentReal" xfId="870" xr:uid="{00000000-0005-0000-0000-000015020000}"/>
    <cellStyle name="_PercentReal_BCE Model 1-8-07" xfId="871" xr:uid="{00000000-0005-0000-0000-000016020000}"/>
    <cellStyle name="_PercentReal_bs_avp" xfId="872" xr:uid="{00000000-0005-0000-0000-000017020000}"/>
    <cellStyle name="_PercentReal_bs_avp_BCE Model 1-8-07" xfId="873" xr:uid="{00000000-0005-0000-0000-000018020000}"/>
    <cellStyle name="_percentReal_monet_final_w_output" xfId="874" xr:uid="{00000000-0005-0000-0000-000019020000}"/>
    <cellStyle name="_percentReal_monet_final_w_output_BCE Model 1-8-07" xfId="875" xr:uid="{00000000-0005-0000-0000-00001A020000}"/>
    <cellStyle name="_PercentSpace" xfId="876" xr:uid="{00000000-0005-0000-0000-00001B020000}"/>
    <cellStyle name="_PercentSpace_101306 CanWest Excel BAck up v14" xfId="877" xr:uid="{00000000-0005-0000-0000-00001C020000}"/>
    <cellStyle name="_PercentSpace_101306 CanWest Excel BAck up v14_BCE LBO Analysis (02_4_07) MASTER V6" xfId="878" xr:uid="{00000000-0005-0000-0000-00001D020000}"/>
    <cellStyle name="_PercentSpace_Acquisition Ops 3" xfId="879" xr:uid="{00000000-0005-0000-0000-00001E020000}"/>
    <cellStyle name="_PercentSpace_Alamosa Merger" xfId="880" xr:uid="{00000000-0005-0000-0000-00001F020000}"/>
    <cellStyle name="_PercentSpace_Alamosa Merger_BCE LBO Analysis (02_4_07) MASTER V6" xfId="881" xr:uid="{00000000-0005-0000-0000-000020020000}"/>
    <cellStyle name="_PercentSpace_Alamosa Standalone8b" xfId="882" xr:uid="{00000000-0005-0000-0000-000021020000}"/>
    <cellStyle name="_PercentSpace_Alamosa Standalone8b_BCE LBO Analysis (02_4_07) MASTER V6" xfId="883" xr:uid="{00000000-0005-0000-0000-000022020000}"/>
    <cellStyle name="_PercentSpace_AVP" xfId="884" xr:uid="{00000000-0005-0000-0000-000023020000}"/>
    <cellStyle name="_PercentSpace_Book1" xfId="885" xr:uid="{00000000-0005-0000-0000-000024020000}"/>
    <cellStyle name="_PercentSpace_Book1_Merger Plan 2-10-04 GSIBDv3" xfId="886" xr:uid="{00000000-0005-0000-0000-000025020000}"/>
    <cellStyle name="_PercentSpace_COMBO Final DCF_2" xfId="887" xr:uid="{00000000-0005-0000-0000-000026020000}"/>
    <cellStyle name="_PercentSpace_Comparative Balance Sheets" xfId="888" xr:uid="{00000000-0005-0000-0000-000027020000}"/>
    <cellStyle name="_PercentSpace_CSC with WACC" xfId="889" xr:uid="{00000000-0005-0000-0000-000028020000}"/>
    <cellStyle name="_PercentSpace_Eutelsat and Capex Analysis" xfId="890" xr:uid="{00000000-0005-0000-0000-000029020000}"/>
    <cellStyle name="_PercentSpace_Master_Telecom_Equipment_CSCb" xfId="891" xr:uid="{00000000-0005-0000-0000-00002A020000}"/>
    <cellStyle name="_PercentSpace_Merger Model - Exec" xfId="892" xr:uid="{00000000-0005-0000-0000-00002B020000}"/>
    <cellStyle name="_PercentSpace_merger plans" xfId="893" xr:uid="{00000000-0005-0000-0000-00002C020000}"/>
    <cellStyle name="_PercentSpace_monet2.4" xfId="894" xr:uid="{00000000-0005-0000-0000-00002D020000}"/>
    <cellStyle name="_PercentSpace_monet2.4_temp" xfId="895" xr:uid="{00000000-0005-0000-0000-00002E020000}"/>
    <cellStyle name="_PercentSpace_monet2.8" xfId="896" xr:uid="{00000000-0005-0000-0000-00002F020000}"/>
    <cellStyle name="_PercentSpace_MotLion Projections may" xfId="897" xr:uid="{00000000-0005-0000-0000-000030020000}"/>
    <cellStyle name="_PercentSpace_pace_merger plans" xfId="898" xr:uid="{00000000-0005-0000-0000-000031020000}"/>
    <cellStyle name="_PercentSpace_Palm Model 10_05" xfId="899" xr:uid="{00000000-0005-0000-0000-000032020000}"/>
    <cellStyle name="_PercentSpace_pdf file" xfId="900" xr:uid="{00000000-0005-0000-0000-000033020000}"/>
    <cellStyle name="_PercentSpace_Projections--Management (Data Room)v6" xfId="901" xr:uid="{00000000-0005-0000-0000-000034020000}"/>
    <cellStyle name="_PercentSpace_RJB Long LBO LTM" xfId="902" xr:uid="{00000000-0005-0000-0000-000035020000}"/>
    <cellStyle name="_PercentSpace_Sources and Uses FINAL dpakedit v2" xfId="903" xr:uid="{00000000-0005-0000-0000-000036020000}"/>
    <cellStyle name="_PercentSpace_Valuation Overview - June 2001" xfId="904" xr:uid="{00000000-0005-0000-0000-000037020000}"/>
    <cellStyle name="_PercentSpace_Valuation_Troon dpak 8-5-02 v3" xfId="905" xr:uid="{00000000-0005-0000-0000-000038020000}"/>
    <cellStyle name="_Preliminary LBO model 012305" xfId="906" xr:uid="{00000000-0005-0000-0000-000039020000}"/>
    <cellStyle name="_Sources and Uses FINAL dpakedit v2" xfId="907" xr:uid="{00000000-0005-0000-0000-00003A020000}"/>
    <cellStyle name="_SubHeading" xfId="908" xr:uid="{00000000-0005-0000-0000-00003B020000}"/>
    <cellStyle name="_SubHeading_01 model" xfId="909" xr:uid="{00000000-0005-0000-0000-00003C020000}"/>
    <cellStyle name="_SubHeading_01 Selected Financials_Salt Business" xfId="910" xr:uid="{00000000-0005-0000-0000-00003D020000}"/>
    <cellStyle name="_SubHeading_02 Potential Partner Ability to Pay Analysis2" xfId="911" xr:uid="{00000000-0005-0000-0000-00003E020000}"/>
    <cellStyle name="_SubHeading_02 Quick Model_PQ Corporation" xfId="912" xr:uid="{00000000-0005-0000-0000-00003F020000}"/>
    <cellStyle name="_SubHeading_06 Analysis at Various Prices" xfId="913" xr:uid="{00000000-0005-0000-0000-000040020000}"/>
    <cellStyle name="_SubHeading_12 Merger Plans" xfId="914" xr:uid="{00000000-0005-0000-0000-000041020000}"/>
    <cellStyle name="_SubHeading_accretion dilution analysis" xfId="915" xr:uid="{00000000-0005-0000-0000-000042020000}"/>
    <cellStyle name="_SubHeading_bank_csc_and merger plan4" xfId="916" xr:uid="{00000000-0005-0000-0000-000043020000}"/>
    <cellStyle name="_SubHeading_bank_csc_Q1_2001" xfId="917" xr:uid="{00000000-0005-0000-0000-000044020000}"/>
    <cellStyle name="_SubHeading_bank_csc_Q2_2001" xfId="918" xr:uid="{00000000-0005-0000-0000-000045020000}"/>
    <cellStyle name="_SubHeading_bank_csc_Q2_2001_c1" xfId="919" xr:uid="{00000000-0005-0000-0000-000046020000}"/>
    <cellStyle name="_SubHeading_Book1" xfId="920" xr:uid="{00000000-0005-0000-0000-000047020000}"/>
    <cellStyle name="_SubHeading_CSC with WACC" xfId="921" xr:uid="{00000000-0005-0000-0000-000048020000}"/>
    <cellStyle name="_SubHeading_CSC_Palm_Sum_of_Parts_5_23_01a" xfId="922" xr:uid="{00000000-0005-0000-0000-000049020000}"/>
    <cellStyle name="_SubHeading_Dave Model Final v 1" xfId="923" xr:uid="{00000000-0005-0000-0000-00004A020000}"/>
    <cellStyle name="_SubHeading_er" xfId="924" xr:uid="{00000000-0005-0000-0000-00004B020000}"/>
    <cellStyle name="_SubHeading_FigTech Merger Model_02" xfId="925" xr:uid="{00000000-0005-0000-0000-00004C020000}"/>
    <cellStyle name="_SubHeading_Final Canadian Bank Comp (sent to IBD)FORM" xfId="926" xr:uid="{00000000-0005-0000-0000-00004D020000}"/>
    <cellStyle name="_SubHeading_Financials Layout dpak 9-26-01 v1" xfId="927" xr:uid="{00000000-0005-0000-0000-00004E020000}"/>
    <cellStyle name="_SubHeading_Football Field" xfId="928" xr:uid="{00000000-0005-0000-0000-00004F020000}"/>
    <cellStyle name="_SubHeading_IBES_EPS_Estimates" xfId="929" xr:uid="{00000000-0005-0000-0000-000050020000}"/>
    <cellStyle name="_SubHeading_lbo_long_model" xfId="930" xr:uid="{00000000-0005-0000-0000-000051020000}"/>
    <cellStyle name="_SubHeading_Master_Telecom_Equipment_CSC_5_9_01_v02" xfId="931" xr:uid="{00000000-0005-0000-0000-000052020000}"/>
    <cellStyle name="_SubHeading_Master_Telecom_Equipment_CSCb" xfId="932" xr:uid="{00000000-0005-0000-0000-000053020000}"/>
    <cellStyle name="_SubHeading_MAXF historical financials" xfId="933" xr:uid="{00000000-0005-0000-0000-000054020000}"/>
    <cellStyle name="_SubHeading_Merger model_new_ability to pay" xfId="934" xr:uid="{00000000-0005-0000-0000-000055020000}"/>
    <cellStyle name="_SubHeading_Merger Plan 31-Scenario 12" xfId="935" xr:uid="{00000000-0005-0000-0000-000056020000}"/>
    <cellStyle name="_SubHeading_merger plans_June 1" xfId="936" xr:uid="{00000000-0005-0000-0000-000057020000}"/>
    <cellStyle name="_SubHeading_model_bk" xfId="937" xr:uid="{00000000-0005-0000-0000-000058020000}"/>
    <cellStyle name="_SubHeading_monet2.4" xfId="938" xr:uid="{00000000-0005-0000-0000-000059020000}"/>
    <cellStyle name="_SubHeading_MotLion Projections may" xfId="939" xr:uid="{00000000-0005-0000-0000-00005A020000}"/>
    <cellStyle name="_SubHeading_PL Consolidated (2003)" xfId="940" xr:uid="{00000000-0005-0000-0000-00005B020000}"/>
    <cellStyle name="_SubHeading_PNC_merger_plan_divestitures_05" xfId="941" xr:uid="{00000000-0005-0000-0000-00005C020000}"/>
    <cellStyle name="_SubHeading_Potential Strategic Partners" xfId="942" xr:uid="{00000000-0005-0000-0000-00005D020000}"/>
    <cellStyle name="_SubHeading_prestemp" xfId="943" xr:uid="{00000000-0005-0000-0000-00005E020000}"/>
    <cellStyle name="_SubHeading_prestemp_1" xfId="944" xr:uid="{00000000-0005-0000-0000-00005F020000}"/>
    <cellStyle name="_SubHeading_prestemp_AVP - prev. 06 financials" xfId="945" xr:uid="{00000000-0005-0000-0000-000060020000}"/>
    <cellStyle name="_SubHeading_prestemp_Palm Model 10_05" xfId="946" xr:uid="{00000000-0005-0000-0000-000061020000}"/>
    <cellStyle name="_SubHeading_prestemp_PNC_merger_plan_divestitures_05" xfId="947" xr:uid="{00000000-0005-0000-0000-000062020000}"/>
    <cellStyle name="_SubHeading_prestemp_PNC_PF_2Q_update" xfId="948" xr:uid="{00000000-0005-0000-0000-000063020000}"/>
    <cellStyle name="_SubHeading_prestemp_Simple Merger Plans" xfId="949" xr:uid="{00000000-0005-0000-0000-000064020000}"/>
    <cellStyle name="_SubHeading_prestemp_Troon DCF Model 8-13-02 v1" xfId="950" xr:uid="{00000000-0005-0000-0000-000065020000}"/>
    <cellStyle name="_SubHeading_prestemp_Valuation_Troon dpak 8-5-02 v3" xfId="951" xr:uid="{00000000-0005-0000-0000-000066020000}"/>
    <cellStyle name="_SubHeading_Simple Merger Plans" xfId="952" xr:uid="{00000000-0005-0000-0000-000067020000}"/>
    <cellStyle name="_SubHeading_Stallion Analysis_a" xfId="953" xr:uid="{00000000-0005-0000-0000-000068020000}"/>
    <cellStyle name="_SubHeading_stand_alone_dcf" xfId="954" xr:uid="{00000000-0005-0000-0000-000069020000}"/>
    <cellStyle name="_SubHeading_Summary Financials 04" xfId="955" xr:uid="{00000000-0005-0000-0000-00006A020000}"/>
    <cellStyle name="_SubHeading_Summary Valuation Analysis" xfId="956" xr:uid="{00000000-0005-0000-0000-00006B020000}"/>
    <cellStyle name="_SubHeading_Synergies" xfId="957" xr:uid="{00000000-0005-0000-0000-00006C020000}"/>
    <cellStyle name="_SubHeading_Troon DCF Model 8-13-02 v1" xfId="958" xr:uid="{00000000-0005-0000-0000-00006D020000}"/>
    <cellStyle name="_SubHeading_Troon LLC FS dpakedit 8-7-02" xfId="959" xr:uid="{00000000-0005-0000-0000-00006E020000}"/>
    <cellStyle name="_SubHeading_Troon LLC FS dpakedit 8-7-02 v3" xfId="960" xr:uid="{00000000-0005-0000-0000-00006F020000}"/>
    <cellStyle name="_SubHeading_Troon LLC FS dpakedit 8-7-02 v4" xfId="961" xr:uid="{00000000-0005-0000-0000-000070020000}"/>
    <cellStyle name="_SubHeading_Valuation_Troon dpak 8-5-02 v3" xfId="962" xr:uid="{00000000-0005-0000-0000-000071020000}"/>
    <cellStyle name="_Table" xfId="963" xr:uid="{00000000-0005-0000-0000-000072020000}"/>
    <cellStyle name="_Table_01 model" xfId="964" xr:uid="{00000000-0005-0000-0000-000073020000}"/>
    <cellStyle name="_Table_01 Selected Financials_Salt Business" xfId="965" xr:uid="{00000000-0005-0000-0000-000074020000}"/>
    <cellStyle name="_Table_02 Potential Partner Ability to Pay Analysis2" xfId="966" xr:uid="{00000000-0005-0000-0000-000075020000}"/>
    <cellStyle name="_Table_02 Quick Model_PQ Corporation" xfId="967" xr:uid="{00000000-0005-0000-0000-000076020000}"/>
    <cellStyle name="_Table_06 Analysis at Various Prices" xfId="968" xr:uid="{00000000-0005-0000-0000-000077020000}"/>
    <cellStyle name="_Table_12 Merger Plans" xfId="969" xr:uid="{00000000-0005-0000-0000-000078020000}"/>
    <cellStyle name="_Table_accretion dilution analysis" xfId="970" xr:uid="{00000000-0005-0000-0000-000079020000}"/>
    <cellStyle name="_Table_bank_csc_and merger plan4" xfId="971" xr:uid="{00000000-0005-0000-0000-00007A020000}"/>
    <cellStyle name="_Table_bank_csc_Q1_2001" xfId="972" xr:uid="{00000000-0005-0000-0000-00007B020000}"/>
    <cellStyle name="_Table_bank_csc_Q2_2001" xfId="973" xr:uid="{00000000-0005-0000-0000-00007C020000}"/>
    <cellStyle name="_Table_bank_csc_Q2_2001_c1" xfId="974" xr:uid="{00000000-0005-0000-0000-00007D020000}"/>
    <cellStyle name="_Table_CSC_Palm_Sum_of_Parts_5_23_01a" xfId="975" xr:uid="{00000000-0005-0000-0000-00007E020000}"/>
    <cellStyle name="_Table_Dave Model Final v 1" xfId="976" xr:uid="{00000000-0005-0000-0000-00007F020000}"/>
    <cellStyle name="_Table_FigTech Merger Model_02" xfId="977" xr:uid="{00000000-0005-0000-0000-000080020000}"/>
    <cellStyle name="_Table_Financials Layout dpak 9-26-01 v1" xfId="978" xr:uid="{00000000-0005-0000-0000-000081020000}"/>
    <cellStyle name="_Table_Football Field" xfId="979" xr:uid="{00000000-0005-0000-0000-000082020000}"/>
    <cellStyle name="_Table_IBES_EPS_Estimates" xfId="980" xr:uid="{00000000-0005-0000-0000-000083020000}"/>
    <cellStyle name="_Table_Merger model_new_ability to pay" xfId="981" xr:uid="{00000000-0005-0000-0000-000084020000}"/>
    <cellStyle name="_Table_model_bk" xfId="982" xr:uid="{00000000-0005-0000-0000-000085020000}"/>
    <cellStyle name="_Table_monet_final_w_output" xfId="983" xr:uid="{00000000-0005-0000-0000-000086020000}"/>
    <cellStyle name="_Table_Palm Model 10_05" xfId="984" xr:uid="{00000000-0005-0000-0000-000087020000}"/>
    <cellStyle name="_Table_PNC_merger_plan_divestitures_05" xfId="985" xr:uid="{00000000-0005-0000-0000-000088020000}"/>
    <cellStyle name="_Table_Potential Strategic Partners" xfId="986" xr:uid="{00000000-0005-0000-0000-000089020000}"/>
    <cellStyle name="_Table_Simple Merger Plans" xfId="987" xr:uid="{00000000-0005-0000-0000-00008A020000}"/>
    <cellStyle name="_Table_Stallion Analysis_a" xfId="988" xr:uid="{00000000-0005-0000-0000-00008B020000}"/>
    <cellStyle name="_Table_stand_alone_dcf" xfId="989" xr:uid="{00000000-0005-0000-0000-00008C020000}"/>
    <cellStyle name="_Table_Summary Valuation Analysis" xfId="990" xr:uid="{00000000-0005-0000-0000-00008D020000}"/>
    <cellStyle name="_Table_Synergies" xfId="991" xr:uid="{00000000-0005-0000-0000-00008E020000}"/>
    <cellStyle name="_Table_Troon DCF Model 8-13-02 v1" xfId="992" xr:uid="{00000000-0005-0000-0000-00008F020000}"/>
    <cellStyle name="_Table_Troon LLC FS dpakedit 8-7-02" xfId="993" xr:uid="{00000000-0005-0000-0000-000090020000}"/>
    <cellStyle name="_Table_Troon LLC FS dpakedit 8-7-02 v3" xfId="994" xr:uid="{00000000-0005-0000-0000-000091020000}"/>
    <cellStyle name="_Table_Troon LLC FS dpakedit 8-7-02 v4" xfId="995" xr:uid="{00000000-0005-0000-0000-000092020000}"/>
    <cellStyle name="_Table_Valuation_Troon dpak 8-5-02 v3" xfId="996" xr:uid="{00000000-0005-0000-0000-000093020000}"/>
    <cellStyle name="_TableHead" xfId="997" xr:uid="{00000000-0005-0000-0000-000094020000}"/>
    <cellStyle name="_TableHead_01 Selected Financials_Salt Business" xfId="998" xr:uid="{00000000-0005-0000-0000-000095020000}"/>
    <cellStyle name="_TableHead_02 Quick Model_PQ Corporation" xfId="999" xr:uid="{00000000-0005-0000-0000-000096020000}"/>
    <cellStyle name="_TableHead_06 Analysis at Various Prices" xfId="1000" xr:uid="{00000000-0005-0000-0000-000097020000}"/>
    <cellStyle name="_TableHead_accretion dilution analysis" xfId="1001" xr:uid="{00000000-0005-0000-0000-000098020000}"/>
    <cellStyle name="_TableHead_AVP - prev. 06 financials" xfId="1002" xr:uid="{00000000-0005-0000-0000-000099020000}"/>
    <cellStyle name="_TableHead_bank_csc_Q1_2001" xfId="1003" xr:uid="{00000000-0005-0000-0000-00009A020000}"/>
    <cellStyle name="_TableHead_bank_csc_Q2_2001_c1" xfId="1004" xr:uid="{00000000-0005-0000-0000-00009B020000}"/>
    <cellStyle name="_TableHead_CSC_Palm_Sum_of_Parts_5_23_01a" xfId="1005" xr:uid="{00000000-0005-0000-0000-00009C020000}"/>
    <cellStyle name="_TableHead_Dave Model Final v 1" xfId="1006" xr:uid="{00000000-0005-0000-0000-00009D020000}"/>
    <cellStyle name="_TableHead_Financials Layout dpak 9-26-01 v1" xfId="1007" xr:uid="{00000000-0005-0000-0000-00009E020000}"/>
    <cellStyle name="_TableHead_IBES_EPS_Estimates" xfId="1008" xr:uid="{00000000-0005-0000-0000-00009F020000}"/>
    <cellStyle name="_TableHead_model_bk" xfId="1009" xr:uid="{00000000-0005-0000-0000-0000A0020000}"/>
    <cellStyle name="_TableHead_monet_final_w_output" xfId="1010" xr:uid="{00000000-0005-0000-0000-0000A1020000}"/>
    <cellStyle name="_TableHead_Palm Model 10_05" xfId="1011" xr:uid="{00000000-0005-0000-0000-0000A2020000}"/>
    <cellStyle name="_TableHead_Potential Strategic Partners" xfId="1012" xr:uid="{00000000-0005-0000-0000-0000A3020000}"/>
    <cellStyle name="_TableHead_Simple Merger Plans" xfId="1013" xr:uid="{00000000-0005-0000-0000-0000A4020000}"/>
    <cellStyle name="_TableRowBorder" xfId="1014" xr:uid="{00000000-0005-0000-0000-0000A5020000}"/>
    <cellStyle name="_TableRowHead" xfId="1015" xr:uid="{00000000-0005-0000-0000-0000A6020000}"/>
    <cellStyle name="_TableRowHead_01 Selected Financials_Salt Business" xfId="1016" xr:uid="{00000000-0005-0000-0000-0000A7020000}"/>
    <cellStyle name="_TableRowHead_02 Quick Model_PQ Corporation" xfId="1017" xr:uid="{00000000-0005-0000-0000-0000A8020000}"/>
    <cellStyle name="_TableRowHead_06 Analysis at Various Prices" xfId="1018" xr:uid="{00000000-0005-0000-0000-0000A9020000}"/>
    <cellStyle name="_TableRowHead_accretion dilution analysis" xfId="1019" xr:uid="{00000000-0005-0000-0000-0000AA020000}"/>
    <cellStyle name="_TableRowHead_CSC_Palm_Sum_of_Parts_5_23_01a" xfId="1020" xr:uid="{00000000-0005-0000-0000-0000AB020000}"/>
    <cellStyle name="_TableRowHead_Dave Model Final v 1" xfId="1021" xr:uid="{00000000-0005-0000-0000-0000AC020000}"/>
    <cellStyle name="_TableRowHead_Financials Layout dpak 9-26-01 v1" xfId="1022" xr:uid="{00000000-0005-0000-0000-0000AD020000}"/>
    <cellStyle name="_TableRowHead_IBES_EPS_Estimates" xfId="1023" xr:uid="{00000000-0005-0000-0000-0000AE020000}"/>
    <cellStyle name="_TableRowHead_Palm Model 10_05" xfId="1024" xr:uid="{00000000-0005-0000-0000-0000AF020000}"/>
    <cellStyle name="_TableRowHead_Potential Strategic Partners" xfId="1025" xr:uid="{00000000-0005-0000-0000-0000B0020000}"/>
    <cellStyle name="_TableRowHead_Simple Merger Plans" xfId="1026" xr:uid="{00000000-0005-0000-0000-0000B1020000}"/>
    <cellStyle name="_TableSuperHead" xfId="1027" xr:uid="{00000000-0005-0000-0000-0000B2020000}"/>
    <cellStyle name="_TableSuperHead_01 model" xfId="1028" xr:uid="{00000000-0005-0000-0000-0000B3020000}"/>
    <cellStyle name="_TableSuperHead_01 Selected Financials_Salt Business" xfId="1029" xr:uid="{00000000-0005-0000-0000-0000B4020000}"/>
    <cellStyle name="_TableSuperHead_02 Potential Partner Ability to Pay Analysis2" xfId="1030" xr:uid="{00000000-0005-0000-0000-0000B5020000}"/>
    <cellStyle name="_TableSuperHead_02 Quick Model_PQ Corporation" xfId="1031" xr:uid="{00000000-0005-0000-0000-0000B6020000}"/>
    <cellStyle name="_TableSuperHead_06 Analysis at Various Prices" xfId="1032" xr:uid="{00000000-0005-0000-0000-0000B7020000}"/>
    <cellStyle name="_TableSuperHead_12 Merger Plans" xfId="1033" xr:uid="{00000000-0005-0000-0000-0000B8020000}"/>
    <cellStyle name="_TableSuperHead_accretion dilution analysis" xfId="1034" xr:uid="{00000000-0005-0000-0000-0000B9020000}"/>
    <cellStyle name="_TableSuperHead_AVP - prev. 06 financials" xfId="1035" xr:uid="{00000000-0005-0000-0000-0000BA020000}"/>
    <cellStyle name="_TableSuperHead_bank_csc_and merger plan4" xfId="1036" xr:uid="{00000000-0005-0000-0000-0000BB020000}"/>
    <cellStyle name="_TableSuperHead_bank_csc_Q1_2001" xfId="1037" xr:uid="{00000000-0005-0000-0000-0000BC020000}"/>
    <cellStyle name="_TableSuperHead_bank_csc_Q2_2001" xfId="1038" xr:uid="{00000000-0005-0000-0000-0000BD020000}"/>
    <cellStyle name="_TableSuperHead_bank_csc_Q2_2001_c1" xfId="1039" xr:uid="{00000000-0005-0000-0000-0000BE020000}"/>
    <cellStyle name="_TableSuperHead_CSC_Palm_Sum_of_Parts_5_23_01a" xfId="1040" xr:uid="{00000000-0005-0000-0000-0000BF020000}"/>
    <cellStyle name="_TableSuperHead_Dave Model Final v 1" xfId="1041" xr:uid="{00000000-0005-0000-0000-0000C0020000}"/>
    <cellStyle name="_TableSuperHead_FigTech Merger Model_02" xfId="1042" xr:uid="{00000000-0005-0000-0000-0000C1020000}"/>
    <cellStyle name="_TableSuperHead_Financials Layout dpak 9-26-01 v1" xfId="1043" xr:uid="{00000000-0005-0000-0000-0000C2020000}"/>
    <cellStyle name="_TableSuperHead_Football Field" xfId="1044" xr:uid="{00000000-0005-0000-0000-0000C3020000}"/>
    <cellStyle name="_TableSuperHead_IBES_EPS_Estimates" xfId="1045" xr:uid="{00000000-0005-0000-0000-0000C4020000}"/>
    <cellStyle name="_TableSuperHead_Merger model_new_ability to pay" xfId="1046" xr:uid="{00000000-0005-0000-0000-0000C5020000}"/>
    <cellStyle name="_TableSuperHead_model_bk" xfId="1047" xr:uid="{00000000-0005-0000-0000-0000C6020000}"/>
    <cellStyle name="_TableSuperHead_monet_final_w_output" xfId="1048" xr:uid="{00000000-0005-0000-0000-0000C7020000}"/>
    <cellStyle name="_TableSuperHead_Palm Model 10_05" xfId="1049" xr:uid="{00000000-0005-0000-0000-0000C8020000}"/>
    <cellStyle name="_TableSuperHead_PNC_merger_plan_divestitures_05" xfId="1050" xr:uid="{00000000-0005-0000-0000-0000C9020000}"/>
    <cellStyle name="_TableSuperHead_Potential Strategic Partners" xfId="1051" xr:uid="{00000000-0005-0000-0000-0000CA020000}"/>
    <cellStyle name="_TableSuperHead_Simple Merger Plans" xfId="1052" xr:uid="{00000000-0005-0000-0000-0000CB020000}"/>
    <cellStyle name="_TableSuperHead_Stallion Analysis_a" xfId="1053" xr:uid="{00000000-0005-0000-0000-0000CC020000}"/>
    <cellStyle name="_TableSuperHead_stand_alone_dcf" xfId="1054" xr:uid="{00000000-0005-0000-0000-0000CD020000}"/>
    <cellStyle name="_TableSuperHead_Summary Valuation Analysis" xfId="1055" xr:uid="{00000000-0005-0000-0000-0000CE020000}"/>
    <cellStyle name="_TableSuperHead_Synergies" xfId="1056" xr:uid="{00000000-0005-0000-0000-0000CF020000}"/>
    <cellStyle name="_TableSuperHead_Troon DCF Model 8-13-02 v1" xfId="1057" xr:uid="{00000000-0005-0000-0000-0000D0020000}"/>
    <cellStyle name="_TableSuperHead_Troon LLC FS dpakedit 8-7-02" xfId="1058" xr:uid="{00000000-0005-0000-0000-0000D1020000}"/>
    <cellStyle name="_TableSuperHead_Troon LLC FS dpakedit 8-7-02 v3" xfId="1059" xr:uid="{00000000-0005-0000-0000-0000D2020000}"/>
    <cellStyle name="_TableSuperHead_Troon LLC FS dpakedit 8-7-02 v4" xfId="1060" xr:uid="{00000000-0005-0000-0000-0000D3020000}"/>
    <cellStyle name="_TableSuperHead_Valuation_Troon dpak 8-5-02 v3" xfId="1061" xr:uid="{00000000-0005-0000-0000-0000D4020000}"/>
    <cellStyle name="_Titan Standalone" xfId="1062" xr:uid="{00000000-0005-0000-0000-0000D5020000}"/>
    <cellStyle name="_WACC Analysis" xfId="1063" xr:uid="{00000000-0005-0000-0000-0000D6020000}"/>
    <cellStyle name="_Year" xfId="1064" xr:uid="{00000000-0005-0000-0000-0000D7020000}"/>
    <cellStyle name="_Year_BCE Model 1-8-07" xfId="1065" xr:uid="{00000000-0005-0000-0000-0000D8020000}"/>
    <cellStyle name="-" xfId="287" xr:uid="{00000000-0005-0000-0000-0000D9020000}"/>
    <cellStyle name=";;;" xfId="317" xr:uid="{00000000-0005-0000-0000-0000DA020000}"/>
    <cellStyle name="??" xfId="318" xr:uid="{00000000-0005-0000-0000-0000DB020000}"/>
    <cellStyle name="?? [0.00]_??????cula" xfId="319" xr:uid="{00000000-0005-0000-0000-0000DC020000}"/>
    <cellStyle name="?? [0]_??" xfId="320" xr:uid="{00000000-0005-0000-0000-0000DD020000}"/>
    <cellStyle name="??_?.????" xfId="324" xr:uid="{00000000-0005-0000-0000-0000DE020000}"/>
    <cellStyle name="???_~ME0858" xfId="323" xr:uid="{00000000-0005-0000-0000-0000DF020000}"/>
    <cellStyle name="?????_VERA" xfId="321" xr:uid="{00000000-0005-0000-0000-0000E0020000}"/>
    <cellStyle name="???[0]_~ME0858" xfId="322" xr:uid="{00000000-0005-0000-0000-0000E1020000}"/>
    <cellStyle name="’Ê‰Ý [0.00]_Cover" xfId="1066" xr:uid="{00000000-0005-0000-0000-0000E2020000}"/>
    <cellStyle name="’Ê‰Ý_Cover" xfId="1067" xr:uid="{00000000-0005-0000-0000-0000E3020000}"/>
    <cellStyle name="]_EUARNEW5_EMF Reports - Shipments" xfId="337" xr:uid="{00000000-0005-0000-0000-0000E4020000}"/>
    <cellStyle name="]_Labour Efficiency" xfId="338" xr:uid="{00000000-0005-0000-0000-0000E5020000}"/>
    <cellStyle name="******************************************" xfId="315" xr:uid="{00000000-0005-0000-0000-0000E6020000}"/>
    <cellStyle name="*MILLS" xfId="316" xr:uid="{00000000-0005-0000-0000-0000E7020000}"/>
    <cellStyle name="\" xfId="325" xr:uid="{00000000-0005-0000-0000-0000E8020000}"/>
    <cellStyle name="\_BLS_Directories_v6" xfId="326" xr:uid="{00000000-0005-0000-0000-0000E9020000}"/>
    <cellStyle name="\_bluebirdacdil13" xfId="327" xr:uid="{00000000-0005-0000-0000-0000EA020000}"/>
    <cellStyle name="\_ecomps7w" xfId="328" xr:uid="{00000000-0005-0000-0000-0000EB020000}"/>
    <cellStyle name="\_equitycomps8" xfId="329" xr:uid="{00000000-0005-0000-0000-0000EC020000}"/>
    <cellStyle name="\_equitycomps9" xfId="330" xr:uid="{00000000-0005-0000-0000-0000ED020000}"/>
    <cellStyle name="\_houston Isabel" xfId="331" xr:uid="{00000000-0005-0000-0000-0000EE020000}"/>
    <cellStyle name="\_hybrid2" xfId="332" xr:uid="{00000000-0005-0000-0000-0000EF020000}"/>
    <cellStyle name="\_ITXCcomps" xfId="333" xr:uid="{00000000-0005-0000-0000-0000F0020000}"/>
    <cellStyle name="\_newcomps16" xfId="334" xr:uid="{00000000-0005-0000-0000-0000F1020000}"/>
    <cellStyle name="\_ravenpitch3" xfId="335" xr:uid="{00000000-0005-0000-0000-0000F2020000}"/>
    <cellStyle name="\_ravenpitch32" xfId="336" xr:uid="{00000000-0005-0000-0000-0000F3020000}"/>
    <cellStyle name="#" xfId="289" xr:uid="{00000000-0005-0000-0000-0000F4020000}"/>
    <cellStyle name="#-" xfId="290" xr:uid="{00000000-0005-0000-0000-0000F5020000}"/>
    <cellStyle name="%" xfId="302" xr:uid="{00000000-0005-0000-0000-0000F6020000}"/>
    <cellStyle name="% Growth" xfId="304" xr:uid="{00000000-0005-0000-0000-0000F7020000}"/>
    <cellStyle name="% Input" xfId="305" xr:uid="{00000000-0005-0000-0000-0000F8020000}"/>
    <cellStyle name="% of Revenues" xfId="306" xr:uid="{00000000-0005-0000-0000-0000F9020000}"/>
    <cellStyle name="% Presentation" xfId="307" xr:uid="{00000000-0005-0000-0000-0000FA020000}"/>
    <cellStyle name="%_FS" xfId="313" xr:uid="{00000000-0005-0000-0000-0000FB020000}"/>
    <cellStyle name="%_GS Model" xfId="314" xr:uid="{00000000-0005-0000-0000-0000FC020000}"/>
    <cellStyle name="%-" xfId="303" xr:uid="{00000000-0005-0000-0000-0000FD020000}"/>
    <cellStyle name="%.0" xfId="308" xr:uid="{00000000-0005-0000-0000-0000FE020000}"/>
    <cellStyle name="%.00" xfId="309" xr:uid="{00000000-0005-0000-0000-0000FF020000}"/>
    <cellStyle name="%.1" xfId="310" xr:uid="{00000000-0005-0000-0000-000000030000}"/>
    <cellStyle name="%.2" xfId="311" xr:uid="{00000000-0005-0000-0000-000001030000}"/>
    <cellStyle name="%.3" xfId="312" xr:uid="{00000000-0005-0000-0000-000002030000}"/>
    <cellStyle name="•W_Cover" xfId="1081" xr:uid="{00000000-0005-0000-0000-000003030000}"/>
    <cellStyle name="•W€_Capital Structure" xfId="1080" xr:uid="{00000000-0005-0000-0000-000004030000}"/>
    <cellStyle name="=C:\WINDOWS\SYSTEM32\COMMAND.COM" xfId="1077" xr:uid="{00000000-0005-0000-0000-000005030000}"/>
    <cellStyle name="=C:\WINNT\SYSTEM32\COMMAND.COM" xfId="1078" xr:uid="{00000000-0005-0000-0000-000006030000}"/>
    <cellStyle name="=C:\WINNT35\SYSTEM32\COMMAND.COM" xfId="1079" xr:uid="{00000000-0005-0000-0000-000007030000}"/>
    <cellStyle name="¤@¯ë_pldt" xfId="1075" xr:uid="{00000000-0005-0000-0000-000008030000}"/>
    <cellStyle name="¢ Currency [1]" xfId="1068" xr:uid="{00000000-0005-0000-0000-000009030000}"/>
    <cellStyle name="¢ Currency [2]" xfId="1069" xr:uid="{00000000-0005-0000-0000-00000A030000}"/>
    <cellStyle name="¢ Currency [3]" xfId="1070" xr:uid="{00000000-0005-0000-0000-00000B030000}"/>
    <cellStyle name="$" xfId="291" xr:uid="{00000000-0005-0000-0000-00000C030000}"/>
    <cellStyle name="$ &amp; ¢" xfId="293" xr:uid="{00000000-0005-0000-0000-00000D030000}"/>
    <cellStyle name="$_101306 CanWest Excel BAck up v14" xfId="294" xr:uid="{00000000-0005-0000-0000-00000E030000}"/>
    <cellStyle name="$_BCE Model 1-8-07" xfId="295" xr:uid="{00000000-0005-0000-0000-00000F030000}"/>
    <cellStyle name="$_FS" xfId="296" xr:uid="{00000000-0005-0000-0000-000010030000}"/>
    <cellStyle name="$_ILEC LBO" xfId="297" xr:uid="{00000000-0005-0000-0000-000011030000}"/>
    <cellStyle name="$_NeptunePIA LBO Model 9-2-03 Final Deepak Final" xfId="298" xr:uid="{00000000-0005-0000-0000-000012030000}"/>
    <cellStyle name="$_Pro forma ownership analysis_06.12.02_v9" xfId="299" xr:uid="{00000000-0005-0000-0000-000013030000}"/>
    <cellStyle name="$-" xfId="292" xr:uid="{00000000-0005-0000-0000-000014030000}"/>
    <cellStyle name="$m" xfId="300" xr:uid="{00000000-0005-0000-0000-000015030000}"/>
    <cellStyle name="$MILLS" xfId="301" xr:uid="{00000000-0005-0000-0000-000016030000}"/>
    <cellStyle name="£ BP" xfId="1071" xr:uid="{00000000-0005-0000-0000-000017030000}"/>
    <cellStyle name="£ Currency [0]" xfId="1072" xr:uid="{00000000-0005-0000-0000-000018030000}"/>
    <cellStyle name="£ Currency [1]" xfId="1073" xr:uid="{00000000-0005-0000-0000-000019030000}"/>
    <cellStyle name="£ Currency [2]" xfId="1074" xr:uid="{00000000-0005-0000-0000-00001A030000}"/>
    <cellStyle name="¥ JY" xfId="1076" xr:uid="{00000000-0005-0000-0000-00001B030000}"/>
    <cellStyle name="0" xfId="1082" xr:uid="{00000000-0005-0000-0000-00001C030000}"/>
    <cellStyle name="0_CKFR Model 11-30-06" xfId="1090" xr:uid="{00000000-0005-0000-0000-00001D030000}"/>
    <cellStyle name="0_CKFR Model 11-30-06_BCE Model 1-8-07" xfId="1091" xr:uid="{00000000-0005-0000-0000-00001E030000}"/>
    <cellStyle name="0.0" xfId="1084" xr:uid="{00000000-0005-0000-0000-00001F030000}"/>
    <cellStyle name="0.0 NORMAL" xfId="1085" xr:uid="{00000000-0005-0000-0000-000020030000}"/>
    <cellStyle name="0.0 PERCENT" xfId="1086" xr:uid="{00000000-0005-0000-0000-000021030000}"/>
    <cellStyle name="0.0%" xfId="1087" xr:uid="{00000000-0005-0000-0000-000022030000}"/>
    <cellStyle name="0.00" xfId="1088" xr:uid="{00000000-0005-0000-0000-000023030000}"/>
    <cellStyle name="0.00%" xfId="1089" xr:uid="{00000000-0005-0000-0000-000024030000}"/>
    <cellStyle name="0%" xfId="1083" xr:uid="{00000000-0005-0000-0000-000025030000}"/>
    <cellStyle name="000" xfId="1092" xr:uid="{00000000-0005-0000-0000-000026030000}"/>
    <cellStyle name="0000" xfId="1093" xr:uid="{00000000-0005-0000-0000-000027030000}"/>
    <cellStyle name="000000" xfId="1094" xr:uid="{00000000-0005-0000-0000-000028030000}"/>
    <cellStyle name="1,comma" xfId="1095" xr:uid="{00000000-0005-0000-0000-000029030000}"/>
    <cellStyle name="³f¹ô_pldt" xfId="1097" xr:uid="{00000000-0005-0000-0000-00002A030000}"/>
    <cellStyle name="³f¹ô[0]_pldt" xfId="1096" xr:uid="{00000000-0005-0000-0000-00002B030000}"/>
    <cellStyle name="752131" xfId="1098" xr:uid="{00000000-0005-0000-0000-00002C030000}"/>
    <cellStyle name="8" xfId="1099" xr:uid="{00000000-0005-0000-0000-00002D030000}"/>
    <cellStyle name="a - Comma" xfId="1100" xr:uid="{00000000-0005-0000-0000-00002E030000}"/>
    <cellStyle name="A_Block Space" xfId="1101" xr:uid="{00000000-0005-0000-0000-00002F030000}"/>
    <cellStyle name="A_BlueLine" xfId="1102" xr:uid="{00000000-0005-0000-0000-000030030000}"/>
    <cellStyle name="A_Do not Change" xfId="1103" xr:uid="{00000000-0005-0000-0000-000031030000}"/>
    <cellStyle name="A_Estimate" xfId="1104" xr:uid="{00000000-0005-0000-0000-000032030000}"/>
    <cellStyle name="A_Memo" xfId="1105" xr:uid="{00000000-0005-0000-0000-000033030000}"/>
    <cellStyle name="A_Normal" xfId="1106" xr:uid="{00000000-0005-0000-0000-000034030000}"/>
    <cellStyle name="A_Normal Forecast" xfId="1107" xr:uid="{00000000-0005-0000-0000-000035030000}"/>
    <cellStyle name="A_Normal Historical" xfId="1108" xr:uid="{00000000-0005-0000-0000-000036030000}"/>
    <cellStyle name="A_Rate_Data" xfId="1109" xr:uid="{00000000-0005-0000-0000-000037030000}"/>
    <cellStyle name="A_Rate_Data Historical" xfId="1110" xr:uid="{00000000-0005-0000-0000-000038030000}"/>
    <cellStyle name="A_Rate_Title" xfId="1111" xr:uid="{00000000-0005-0000-0000-000039030000}"/>
    <cellStyle name="A_Simple Title" xfId="1112" xr:uid="{00000000-0005-0000-0000-00003A030000}"/>
    <cellStyle name="A_Sum" xfId="1113" xr:uid="{00000000-0005-0000-0000-00003B030000}"/>
    <cellStyle name="A_SUM_Row Major" xfId="1114" xr:uid="{00000000-0005-0000-0000-00003C030000}"/>
    <cellStyle name="A_SUM_Row Minor" xfId="1115" xr:uid="{00000000-0005-0000-0000-00003D030000}"/>
    <cellStyle name="A_Title" xfId="1116" xr:uid="{00000000-0005-0000-0000-00003E030000}"/>
    <cellStyle name="A_YearHeadings" xfId="1117" xr:uid="{00000000-0005-0000-0000-00003F030000}"/>
    <cellStyle name="Absolute Change" xfId="1118" xr:uid="{00000000-0005-0000-0000-000040030000}"/>
    <cellStyle name="Acctg" xfId="1119" xr:uid="{00000000-0005-0000-0000-000041030000}"/>
    <cellStyle name="Acctg$" xfId="1120" xr:uid="{00000000-0005-0000-0000-000042030000}"/>
    <cellStyle name="Actual data" xfId="1121" xr:uid="{00000000-0005-0000-0000-000043030000}"/>
    <cellStyle name="Actual Date" xfId="1122" xr:uid="{00000000-0005-0000-0000-000044030000}"/>
    <cellStyle name="Actual year" xfId="1123" xr:uid="{00000000-0005-0000-0000-000045030000}"/>
    <cellStyle name="Actuals Cells" xfId="1124" xr:uid="{00000000-0005-0000-0000-000046030000}"/>
    <cellStyle name="AFE" xfId="1125" xr:uid="{00000000-0005-0000-0000-000047030000}"/>
    <cellStyle name="AFE 2" xfId="282" xr:uid="{00000000-0005-0000-0000-000048030000}"/>
    <cellStyle name="args.style" xfId="1126" xr:uid="{00000000-0005-0000-0000-000049030000}"/>
    <cellStyle name="Arial 10" xfId="1127" xr:uid="{00000000-0005-0000-0000-00004A030000}"/>
    <cellStyle name="Arial 12" xfId="1128" xr:uid="{00000000-0005-0000-0000-00004B030000}"/>
    <cellStyle name="Arial6Bold" xfId="1129" xr:uid="{00000000-0005-0000-0000-00004C030000}"/>
    <cellStyle name="Arial8Bold" xfId="1130" xr:uid="{00000000-0005-0000-0000-00004D030000}"/>
    <cellStyle name="Arial8Italic" xfId="1131" xr:uid="{00000000-0005-0000-0000-00004E030000}"/>
    <cellStyle name="ArialNormal" xfId="1132" xr:uid="{00000000-0005-0000-0000-00004F030000}"/>
    <cellStyle name="Ariel 7 pt. plain" xfId="1133" xr:uid="{00000000-0005-0000-0000-000050030000}"/>
    <cellStyle name="Assumption" xfId="1134" xr:uid="{00000000-0005-0000-0000-000051030000}"/>
    <cellStyle name="b - Line" xfId="1135" xr:uid="{00000000-0005-0000-0000-000052030000}"/>
    <cellStyle name="b - Line - Dotted" xfId="1136" xr:uid="{00000000-0005-0000-0000-000053030000}"/>
    <cellStyle name="Balance" xfId="1137" xr:uid="{00000000-0005-0000-0000-000054030000}"/>
    <cellStyle name="Balance Sheet" xfId="1138" xr:uid="{00000000-0005-0000-0000-000055030000}"/>
    <cellStyle name="BalanceSheet" xfId="1139" xr:uid="{00000000-0005-0000-0000-000056030000}"/>
    <cellStyle name="Band 2" xfId="1140" xr:uid="{00000000-0005-0000-0000-000057030000}"/>
    <cellStyle name="Bank1" xfId="1141" xr:uid="{00000000-0005-0000-0000-000058030000}"/>
    <cellStyle name="BAS Comma [0]" xfId="1142" xr:uid="{00000000-0005-0000-0000-000059030000}"/>
    <cellStyle name="BAS Comma [1]" xfId="1143" xr:uid="{00000000-0005-0000-0000-00005A030000}"/>
    <cellStyle name="BAS Currency [0]" xfId="1144" xr:uid="{00000000-0005-0000-0000-00005B030000}"/>
    <cellStyle name="BAS Currency [1]" xfId="1145" xr:uid="{00000000-0005-0000-0000-00005C030000}"/>
    <cellStyle name="BAS Currency [2]" xfId="1146" xr:uid="{00000000-0005-0000-0000-00005D030000}"/>
    <cellStyle name="BAS Multiple [1]" xfId="1147" xr:uid="{00000000-0005-0000-0000-00005E030000}"/>
    <cellStyle name="BAS Percent Actual [1]" xfId="1148" xr:uid="{00000000-0005-0000-0000-00005F030000}"/>
    <cellStyle name="Basic" xfId="1149" xr:uid="{00000000-0005-0000-0000-000060030000}"/>
    <cellStyle name="BB_Date_mmm" xfId="1150" xr:uid="{00000000-0005-0000-0000-000061030000}"/>
    <cellStyle name="BLACK" xfId="1151" xr:uid="{00000000-0005-0000-0000-000062030000}"/>
    <cellStyle name="BlackStrike" xfId="1152" xr:uid="{00000000-0005-0000-0000-000063030000}"/>
    <cellStyle name="BlackText" xfId="1153" xr:uid="{00000000-0005-0000-0000-000064030000}"/>
    <cellStyle name="blank" xfId="1154" xr:uid="{00000000-0005-0000-0000-000065030000}"/>
    <cellStyle name="Blank [,]" xfId="1157" xr:uid="{00000000-0005-0000-0000-000066030000}"/>
    <cellStyle name="Blank [%]" xfId="1156" xr:uid="{00000000-0005-0000-0000-000067030000}"/>
    <cellStyle name="Blank [$]" xfId="1155" xr:uid="{00000000-0005-0000-0000-000068030000}"/>
    <cellStyle name="Blank [1,]" xfId="1160" xr:uid="{00000000-0005-0000-0000-000069030000}"/>
    <cellStyle name="Blank [1%]" xfId="1159" xr:uid="{00000000-0005-0000-0000-00006A030000}"/>
    <cellStyle name="Blank [1$]" xfId="1158" xr:uid="{00000000-0005-0000-0000-00006B030000}"/>
    <cellStyle name="Blank [2,]" xfId="1163" xr:uid="{00000000-0005-0000-0000-00006C030000}"/>
    <cellStyle name="Blank [2%]" xfId="1162" xr:uid="{00000000-0005-0000-0000-00006D030000}"/>
    <cellStyle name="Blank [2$]" xfId="1161" xr:uid="{00000000-0005-0000-0000-00006E030000}"/>
    <cellStyle name="Blank [3,]" xfId="1166" xr:uid="{00000000-0005-0000-0000-00006F030000}"/>
    <cellStyle name="Blank [3%]" xfId="1165" xr:uid="{00000000-0005-0000-0000-000070030000}"/>
    <cellStyle name="Blank [3$]" xfId="1164" xr:uid="{00000000-0005-0000-0000-000071030000}"/>
    <cellStyle name="Blank Out" xfId="1167" xr:uid="{00000000-0005-0000-0000-000072030000}"/>
    <cellStyle name="Blank_BCE Model 1-8-07" xfId="1168" xr:uid="{00000000-0005-0000-0000-000073030000}"/>
    <cellStyle name="Block Titles" xfId="1169" xr:uid="{00000000-0005-0000-0000-000074030000}"/>
    <cellStyle name="Blue" xfId="1170" xr:uid="{00000000-0005-0000-0000-000075030000}"/>
    <cellStyle name="blue shading" xfId="1171" xr:uid="{00000000-0005-0000-0000-000076030000}"/>
    <cellStyle name="Blue Table Text" xfId="1172" xr:uid="{00000000-0005-0000-0000-000077030000}"/>
    <cellStyle name="Blue Title" xfId="1173" xr:uid="{00000000-0005-0000-0000-000078030000}"/>
    <cellStyle name="Blue_060114 BMarkingSummary_aj v3" xfId="1175" xr:uid="{00000000-0005-0000-0000-000079030000}"/>
    <cellStyle name="blue$00" xfId="1174" xr:uid="{00000000-0005-0000-0000-00007A030000}"/>
    <cellStyle name="bluenodec" xfId="1176" xr:uid="{00000000-0005-0000-0000-00007B030000}"/>
    <cellStyle name="bluepercent" xfId="1177" xr:uid="{00000000-0005-0000-0000-00007C030000}"/>
    <cellStyle name="Body" xfId="1178" xr:uid="{00000000-0005-0000-0000-00007D030000}"/>
    <cellStyle name="Bold" xfId="1179" xr:uid="{00000000-0005-0000-0000-00007E030000}"/>
    <cellStyle name="Bold/Border" xfId="1180" xr:uid="{00000000-0005-0000-0000-00007F030000}"/>
    <cellStyle name="BoldText" xfId="1181" xr:uid="{00000000-0005-0000-0000-000080030000}"/>
    <cellStyle name="Border" xfId="1182" xr:uid="{00000000-0005-0000-0000-000081030000}"/>
    <cellStyle name="Border Heavy" xfId="1183" xr:uid="{00000000-0005-0000-0000-000082030000}"/>
    <cellStyle name="Border Thin" xfId="1184" xr:uid="{00000000-0005-0000-0000-000083030000}"/>
    <cellStyle name="border_BCE Model 1-8-07" xfId="1189" xr:uid="{00000000-0005-0000-0000-000084030000}"/>
    <cellStyle name="Border, Bottom" xfId="1185" xr:uid="{00000000-0005-0000-0000-000085030000}"/>
    <cellStyle name="Border, Left" xfId="1186" xr:uid="{00000000-0005-0000-0000-000086030000}"/>
    <cellStyle name="Border, Right" xfId="1187" xr:uid="{00000000-0005-0000-0000-000087030000}"/>
    <cellStyle name="Border, Top" xfId="1188" xr:uid="{00000000-0005-0000-0000-000088030000}"/>
    <cellStyle name="BorderBold" xfId="1190" xr:uid="{00000000-0005-0000-0000-000089030000}"/>
    <cellStyle name="Bottom bold border" xfId="1191" xr:uid="{00000000-0005-0000-0000-00008A030000}"/>
    <cellStyle name="Bottom Edge" xfId="1192" xr:uid="{00000000-0005-0000-0000-00008B030000}"/>
    <cellStyle name="Bottom single border" xfId="1193" xr:uid="{00000000-0005-0000-0000-00008C030000}"/>
    <cellStyle name="British Pound" xfId="1194" xr:uid="{00000000-0005-0000-0000-00008D030000}"/>
    <cellStyle name="bullet" xfId="1195" xr:uid="{00000000-0005-0000-0000-00008E030000}"/>
    <cellStyle name="Bullet [0]" xfId="1196" xr:uid="{00000000-0005-0000-0000-00008F030000}"/>
    <cellStyle name="Bullet [2]" xfId="1197" xr:uid="{00000000-0005-0000-0000-000090030000}"/>
    <cellStyle name="Bullet [4]" xfId="1198" xr:uid="{00000000-0005-0000-0000-000091030000}"/>
    <cellStyle name="Bullet_FS" xfId="1199" xr:uid="{00000000-0005-0000-0000-000092030000}"/>
    <cellStyle name="Business Description" xfId="1200" xr:uid="{00000000-0005-0000-0000-000093030000}"/>
    <cellStyle name="BvDAddIn_Currency" xfId="1201" xr:uid="{00000000-0005-0000-0000-000094030000}"/>
    <cellStyle name="c" xfId="1202" xr:uid="{00000000-0005-0000-0000-000095030000}"/>
    <cellStyle name="c_BCE Model 1-8-07" xfId="1203" xr:uid="{00000000-0005-0000-0000-000096030000}"/>
    <cellStyle name="c_comps_1" xfId="1204" xr:uid="{00000000-0005-0000-0000-000097030000}"/>
    <cellStyle name="C05_Style E Text" xfId="1205" xr:uid="{00000000-0005-0000-0000-000098030000}"/>
    <cellStyle name="c3" xfId="1206" xr:uid="{00000000-0005-0000-0000-000099030000}"/>
    <cellStyle name="Calc" xfId="1207" xr:uid="{00000000-0005-0000-0000-00009A030000}"/>
    <cellStyle name="Calc Cells" xfId="1208" xr:uid="{00000000-0005-0000-0000-00009B030000}"/>
    <cellStyle name="Calc Currency (0)" xfId="1209" xr:uid="{00000000-0005-0000-0000-00009C030000}"/>
    <cellStyle name="Calc Currency (2)" xfId="1210" xr:uid="{00000000-0005-0000-0000-00009D030000}"/>
    <cellStyle name="Calc Percent (0)" xfId="1211" xr:uid="{00000000-0005-0000-0000-00009E030000}"/>
    <cellStyle name="Calc Percent (1)" xfId="1212" xr:uid="{00000000-0005-0000-0000-00009F030000}"/>
    <cellStyle name="Calc Percent (2)" xfId="1213" xr:uid="{00000000-0005-0000-0000-0000A0030000}"/>
    <cellStyle name="Calc Units (0)" xfId="1214" xr:uid="{00000000-0005-0000-0000-0000A1030000}"/>
    <cellStyle name="Calc Units (1)" xfId="1215" xr:uid="{00000000-0005-0000-0000-0000A2030000}"/>
    <cellStyle name="Calc Units (2)" xfId="1216" xr:uid="{00000000-0005-0000-0000-0000A3030000}"/>
    <cellStyle name="Calc_BCE Model 1-8-07" xfId="1218" xr:uid="{00000000-0005-0000-0000-0000A4030000}"/>
    <cellStyle name="Calc$" xfId="1217" xr:uid="{00000000-0005-0000-0000-0000A5030000}"/>
    <cellStyle name="Caption" xfId="1219" xr:uid="{00000000-0005-0000-0000-0000A6030000}"/>
    <cellStyle name="Case" xfId="1220" xr:uid="{00000000-0005-0000-0000-0000A7030000}"/>
    <cellStyle name="Cash Flow Statement" xfId="1221" xr:uid="{00000000-0005-0000-0000-0000A8030000}"/>
    <cellStyle name="CashFlow" xfId="1222" xr:uid="{00000000-0005-0000-0000-0000A9030000}"/>
    <cellStyle name="category" xfId="1223" xr:uid="{00000000-0005-0000-0000-0000AA030000}"/>
    <cellStyle name="Category Name" xfId="1224" xr:uid="{00000000-0005-0000-0000-0000AB030000}"/>
    <cellStyle name="center" xfId="1225" xr:uid="{00000000-0005-0000-0000-0000AC030000}"/>
    <cellStyle name="Center Across" xfId="1226" xr:uid="{00000000-0005-0000-0000-0000AD030000}"/>
    <cellStyle name="Centered Heading" xfId="1227" xr:uid="{00000000-0005-0000-0000-0000AE030000}"/>
    <cellStyle name="Cents" xfId="1228" xr:uid="{00000000-0005-0000-0000-0000AF030000}"/>
    <cellStyle name="Ch, Column Header" xfId="1229" xr:uid="{00000000-0005-0000-0000-0000B0030000}"/>
    <cellStyle name="Changeable" xfId="1230" xr:uid="{00000000-0005-0000-0000-0000B1030000}"/>
    <cellStyle name="Check" xfId="1231" xr:uid="{00000000-0005-0000-0000-0000B2030000}"/>
    <cellStyle name="Clean" xfId="1232" xr:uid="{00000000-0005-0000-0000-0000B3030000}"/>
    <cellStyle name="Client Name" xfId="1233" xr:uid="{00000000-0005-0000-0000-0000B4030000}"/>
    <cellStyle name="Co. Names" xfId="1234" xr:uid="{00000000-0005-0000-0000-0000B5030000}"/>
    <cellStyle name="Co. Names - Bold" xfId="1235" xr:uid="{00000000-0005-0000-0000-0000B6030000}"/>
    <cellStyle name="Co. Names_FS" xfId="1236" xr:uid="{00000000-0005-0000-0000-0000B7030000}"/>
    <cellStyle name="COL HEADINGS" xfId="1237" xr:uid="{00000000-0005-0000-0000-0000B8030000}"/>
    <cellStyle name="Colhead_left" xfId="1238" xr:uid="{00000000-0005-0000-0000-0000B9030000}"/>
    <cellStyle name="ColHeading" xfId="1239" xr:uid="{00000000-0005-0000-0000-0000BA030000}"/>
    <cellStyle name="colheadleft" xfId="1240" xr:uid="{00000000-0005-0000-0000-0000BB030000}"/>
    <cellStyle name="colheadright" xfId="1241" xr:uid="{00000000-0005-0000-0000-0000BC030000}"/>
    <cellStyle name="Collegamento ipertestuale_PLDT" xfId="1242" xr:uid="{00000000-0005-0000-0000-0000BD030000}"/>
    <cellStyle name="Column Heading" xfId="1243" xr:uid="{00000000-0005-0000-0000-0000BE030000}"/>
    <cellStyle name="Column Headings" xfId="1244" xr:uid="{00000000-0005-0000-0000-0000BF030000}"/>
    <cellStyle name="column1" xfId="1245" xr:uid="{00000000-0005-0000-0000-0000C0030000}"/>
    <cellStyle name="column1Big" xfId="1246" xr:uid="{00000000-0005-0000-0000-0000C1030000}"/>
    <cellStyle name="ColumnHeadings" xfId="1247" xr:uid="{00000000-0005-0000-0000-0000C2030000}"/>
    <cellStyle name="ColumnHeadings2" xfId="1248" xr:uid="{00000000-0005-0000-0000-0000C3030000}"/>
    <cellStyle name="coma" xfId="1249" xr:uid="{00000000-0005-0000-0000-0000C4030000}"/>
    <cellStyle name="comm" xfId="1250" xr:uid="{00000000-0005-0000-0000-0000C5030000}"/>
    <cellStyle name="Comma" xfId="3" builtinId="3"/>
    <cellStyle name="Comma  - Style1" xfId="1251" xr:uid="{00000000-0005-0000-0000-0000C7030000}"/>
    <cellStyle name="Comma  - Style2" xfId="1252" xr:uid="{00000000-0005-0000-0000-0000C8030000}"/>
    <cellStyle name="Comma  - Style3" xfId="1253" xr:uid="{00000000-0005-0000-0000-0000C9030000}"/>
    <cellStyle name="Comma  - Style4" xfId="1254" xr:uid="{00000000-0005-0000-0000-0000CA030000}"/>
    <cellStyle name="Comma  - Style5" xfId="1255" xr:uid="{00000000-0005-0000-0000-0000CB030000}"/>
    <cellStyle name="Comma  - Style6" xfId="1256" xr:uid="{00000000-0005-0000-0000-0000CC030000}"/>
    <cellStyle name="Comma  - Style7" xfId="1257" xr:uid="{00000000-0005-0000-0000-0000CD030000}"/>
    <cellStyle name="Comma  - Style8" xfId="1258" xr:uid="{00000000-0005-0000-0000-0000CE030000}"/>
    <cellStyle name="Comma [0] Total" xfId="1259" xr:uid="{00000000-0005-0000-0000-0000CF030000}"/>
    <cellStyle name="Comma [00]" xfId="1260" xr:uid="{00000000-0005-0000-0000-0000D0030000}"/>
    <cellStyle name="Comma [1]" xfId="1261" xr:uid="{00000000-0005-0000-0000-0000D1030000}"/>
    <cellStyle name="Comma [1] Total" xfId="1262" xr:uid="{00000000-0005-0000-0000-0000D2030000}"/>
    <cellStyle name="Comma [1]_060114 BMarkingSummary_aj v3" xfId="1263" xr:uid="{00000000-0005-0000-0000-0000D3030000}"/>
    <cellStyle name="Comma [2]" xfId="1264" xr:uid="{00000000-0005-0000-0000-0000D4030000}"/>
    <cellStyle name="Comma [2] Total" xfId="1265" xr:uid="{00000000-0005-0000-0000-0000D5030000}"/>
    <cellStyle name="Comma [2]_BCE Model 1-8-07" xfId="1266" xr:uid="{00000000-0005-0000-0000-0000D6030000}"/>
    <cellStyle name="Comma [3]" xfId="1267" xr:uid="{00000000-0005-0000-0000-0000D7030000}"/>
    <cellStyle name="Comma 0" xfId="1268" xr:uid="{00000000-0005-0000-0000-0000D8030000}"/>
    <cellStyle name="Comma 0*" xfId="1269" xr:uid="{00000000-0005-0000-0000-0000D9030000}"/>
    <cellStyle name="Comma 2" xfId="281" xr:uid="{00000000-0005-0000-0000-0000DA030000}"/>
    <cellStyle name="Comma 2*" xfId="1270" xr:uid="{00000000-0005-0000-0000-0000DB030000}"/>
    <cellStyle name="comma 3" xfId="1271" xr:uid="{00000000-0005-0000-0000-0000DC030000}"/>
    <cellStyle name="Comma 3*" xfId="1272" xr:uid="{00000000-0005-0000-0000-0000DD030000}"/>
    <cellStyle name="Comma 4" xfId="1273" xr:uid="{00000000-0005-0000-0000-0000DE030000}"/>
    <cellStyle name="Comma Cents" xfId="1274" xr:uid="{00000000-0005-0000-0000-0000DF030000}"/>
    <cellStyle name="comma zerodec" xfId="1275" xr:uid="{00000000-0005-0000-0000-0000E0030000}"/>
    <cellStyle name="Comma-Rounded" xfId="1288" xr:uid="{00000000-0005-0000-0000-0000E1030000}"/>
    <cellStyle name="Comma, 1 dec" xfId="1277" xr:uid="{00000000-0005-0000-0000-0000E2030000}"/>
    <cellStyle name="Comma*" xfId="1276" xr:uid="{00000000-0005-0000-0000-0000E3030000}"/>
    <cellStyle name="Comma0" xfId="1278" xr:uid="{00000000-0005-0000-0000-0000E4030000}"/>
    <cellStyle name="Comma0 - Modelo1" xfId="1279" xr:uid="{00000000-0005-0000-0000-0000E5030000}"/>
    <cellStyle name="Comma0 - Style1" xfId="1280" xr:uid="{00000000-0005-0000-0000-0000E6030000}"/>
    <cellStyle name="comma0_BCE Model 1-8-07" xfId="1281" xr:uid="{00000000-0005-0000-0000-0000E7030000}"/>
    <cellStyle name="Comma1" xfId="1282" xr:uid="{00000000-0005-0000-0000-0000E8030000}"/>
    <cellStyle name="Comma1 - Modelo2" xfId="1283" xr:uid="{00000000-0005-0000-0000-0000E9030000}"/>
    <cellStyle name="Comma1 - Style2" xfId="1284" xr:uid="{00000000-0005-0000-0000-0000EA030000}"/>
    <cellStyle name="Comma2" xfId="1285" xr:uid="{00000000-0005-0000-0000-0000EB030000}"/>
    <cellStyle name="Comma3" xfId="1286" xr:uid="{00000000-0005-0000-0000-0000EC030000}"/>
    <cellStyle name="CommaKM" xfId="1287" xr:uid="{00000000-0005-0000-0000-0000ED030000}"/>
    <cellStyle name="commas" xfId="1289" xr:uid="{00000000-0005-0000-0000-0000EE030000}"/>
    <cellStyle name="Comment" xfId="1290" xr:uid="{00000000-0005-0000-0000-0000EF030000}"/>
    <cellStyle name="Company" xfId="1291" xr:uid="{00000000-0005-0000-0000-0000F0030000}"/>
    <cellStyle name="Company Name" xfId="1292" xr:uid="{00000000-0005-0000-0000-0000F1030000}"/>
    <cellStyle name="CompanyName" xfId="1293" xr:uid="{00000000-0005-0000-0000-0000F2030000}"/>
    <cellStyle name="Copied" xfId="1294" xr:uid="{00000000-0005-0000-0000-0000F3030000}"/>
    <cellStyle name="Cost" xfId="1295" xr:uid="{00000000-0005-0000-0000-0000F4030000}"/>
    <cellStyle name="Cover Date" xfId="1296" xr:uid="{00000000-0005-0000-0000-0000F5030000}"/>
    <cellStyle name="Cover Subtitle" xfId="1297" xr:uid="{00000000-0005-0000-0000-0000F6030000}"/>
    <cellStyle name="Cover Title" xfId="1298" xr:uid="{00000000-0005-0000-0000-0000F7030000}"/>
    <cellStyle name="COVERAGE" xfId="1299" xr:uid="{00000000-0005-0000-0000-0000F8030000}"/>
    <cellStyle name="cpmma" xfId="1300" xr:uid="{00000000-0005-0000-0000-0000F9030000}"/>
    <cellStyle name="Cur" xfId="1301" xr:uid="{00000000-0005-0000-0000-0000FA030000}"/>
    <cellStyle name="CurRatio" xfId="1302" xr:uid="{00000000-0005-0000-0000-0000FB030000}"/>
    <cellStyle name="Currency ($)" xfId="1303" xr:uid="{00000000-0005-0000-0000-0000FC030000}"/>
    <cellStyle name="Currency (£)" xfId="1304" xr:uid="{00000000-0005-0000-0000-0000FD030000}"/>
    <cellStyle name="Currency (€)" xfId="1305" xr:uid="{00000000-0005-0000-0000-0000FE030000}"/>
    <cellStyle name="Currency [0] Total" xfId="1306" xr:uid="{00000000-0005-0000-0000-0000FF030000}"/>
    <cellStyle name="Currency [00]" xfId="1307" xr:uid="{00000000-0005-0000-0000-000000040000}"/>
    <cellStyle name="Currency [1]" xfId="1308" xr:uid="{00000000-0005-0000-0000-000001040000}"/>
    <cellStyle name="Currency [1] Total" xfId="1309" xr:uid="{00000000-0005-0000-0000-000002040000}"/>
    <cellStyle name="Currency [1]_BCE Model 1-8-07" xfId="1310" xr:uid="{00000000-0005-0000-0000-000003040000}"/>
    <cellStyle name="Currency [2]" xfId="1311" xr:uid="{00000000-0005-0000-0000-000004040000}"/>
    <cellStyle name="Currency [2] Total" xfId="1312" xr:uid="{00000000-0005-0000-0000-000005040000}"/>
    <cellStyle name="Currency [2]_BCE Model 1-8-07" xfId="1313" xr:uid="{00000000-0005-0000-0000-000006040000}"/>
    <cellStyle name="Currency [3]" xfId="1314" xr:uid="{00000000-0005-0000-0000-000007040000}"/>
    <cellStyle name="Currency [per_share]" xfId="1315" xr:uid="{00000000-0005-0000-0000-000008040000}"/>
    <cellStyle name="Currency 0" xfId="1316" xr:uid="{00000000-0005-0000-0000-000009040000}"/>
    <cellStyle name="Currency 0.0" xfId="1317" xr:uid="{00000000-0005-0000-0000-00000A040000}"/>
    <cellStyle name="currency 1" xfId="1318" xr:uid="{00000000-0005-0000-0000-00000B040000}"/>
    <cellStyle name="Currency 2" xfId="1319" xr:uid="{00000000-0005-0000-0000-00000C040000}"/>
    <cellStyle name="Currency 2 Total" xfId="1320" xr:uid="{00000000-0005-0000-0000-00000D040000}"/>
    <cellStyle name="Currency 2_!MiniCombo_v081(vclk)" xfId="1322" xr:uid="{00000000-0005-0000-0000-00000E040000}"/>
    <cellStyle name="Currency 2*" xfId="1321" xr:uid="{00000000-0005-0000-0000-00000F040000}"/>
    <cellStyle name="Currency 3*" xfId="1323" xr:uid="{00000000-0005-0000-0000-000010040000}"/>
    <cellStyle name="Currency Input" xfId="1324" xr:uid="{00000000-0005-0000-0000-000011040000}"/>
    <cellStyle name="Currency-Rounded" xfId="1331" xr:uid="{00000000-0005-0000-0000-000012040000}"/>
    <cellStyle name="Currency*" xfId="1325" xr:uid="{00000000-0005-0000-0000-000013040000}"/>
    <cellStyle name="Currency0" xfId="1326" xr:uid="{00000000-0005-0000-0000-000014040000}"/>
    <cellStyle name="Currency1" xfId="1327" xr:uid="{00000000-0005-0000-0000-000015040000}"/>
    <cellStyle name="Currency1Blue" xfId="1328" xr:uid="{00000000-0005-0000-0000-000016040000}"/>
    <cellStyle name="Currency2" xfId="1329" xr:uid="{00000000-0005-0000-0000-000017040000}"/>
    <cellStyle name="Currency3" xfId="1330" xr:uid="{00000000-0005-0000-0000-000018040000}"/>
    <cellStyle name="currencyt 0" xfId="1332" xr:uid="{00000000-0005-0000-0000-000019040000}"/>
    <cellStyle name="Currsmall" xfId="1333" xr:uid="{00000000-0005-0000-0000-00001A040000}"/>
    <cellStyle name="d" xfId="1334" xr:uid="{00000000-0005-0000-0000-00001B040000}"/>
    <cellStyle name="d_101306 CanWest Excel BAck up v14" xfId="1335" xr:uid="{00000000-0005-0000-0000-00001C040000}"/>
    <cellStyle name="d_BCE Model 1-8-07" xfId="1336" xr:uid="{00000000-0005-0000-0000-00001D040000}"/>
    <cellStyle name="d_Eutelsat and Capex Analysis" xfId="1337" xr:uid="{00000000-0005-0000-0000-00001E040000}"/>
    <cellStyle name="d_Ford DCF 072101" xfId="1338" xr:uid="{00000000-0005-0000-0000-00001F040000}"/>
    <cellStyle name="d_yield" xfId="1339" xr:uid="{00000000-0005-0000-0000-000020040000}"/>
    <cellStyle name="d_yield_101306 CanWest Excel BAck up v14" xfId="1340" xr:uid="{00000000-0005-0000-0000-000021040000}"/>
    <cellStyle name="d_yield_ILEC LBO" xfId="1341" xr:uid="{00000000-0005-0000-0000-000022040000}"/>
    <cellStyle name="d_yield_Sheet1" xfId="1342" xr:uid="{00000000-0005-0000-0000-000023040000}"/>
    <cellStyle name="Dash" xfId="1343" xr:uid="{00000000-0005-0000-0000-000024040000}"/>
    <cellStyle name="data" xfId="1344" xr:uid="{00000000-0005-0000-0000-000025040000}"/>
    <cellStyle name="Data Link" xfId="1345" xr:uid="{00000000-0005-0000-0000-000026040000}"/>
    <cellStyle name="data_FS" xfId="1346" xr:uid="{00000000-0005-0000-0000-000027040000}"/>
    <cellStyle name="Date" xfId="1347" xr:uid="{00000000-0005-0000-0000-000028040000}"/>
    <cellStyle name="Date (d-mm-yy)" xfId="1349" xr:uid="{00000000-0005-0000-0000-000029040000}"/>
    <cellStyle name="Date (d/mm/yy)" xfId="1348" xr:uid="{00000000-0005-0000-0000-00002A040000}"/>
    <cellStyle name="Date (Full)" xfId="1350" xr:uid="{00000000-0005-0000-0000-00002B040000}"/>
    <cellStyle name="Date [Abbreviated]" xfId="1351" xr:uid="{00000000-0005-0000-0000-00002C040000}"/>
    <cellStyle name="Date [D-M-Y]" xfId="1352" xr:uid="{00000000-0005-0000-0000-00002D040000}"/>
    <cellStyle name="Date [Long Europe]" xfId="1353" xr:uid="{00000000-0005-0000-0000-00002E040000}"/>
    <cellStyle name="Date [Long U.S.]" xfId="1354" xr:uid="{00000000-0005-0000-0000-00002F040000}"/>
    <cellStyle name="Date [M-Y]" xfId="1358" xr:uid="{00000000-0005-0000-0000-000030040000}"/>
    <cellStyle name="Date [M/D/Y]" xfId="1355" xr:uid="{00000000-0005-0000-0000-000031040000}"/>
    <cellStyle name="Date [M/Y]" xfId="1356" xr:uid="{00000000-0005-0000-0000-000032040000}"/>
    <cellStyle name="Date [mmm-yy]" xfId="1357" xr:uid="{00000000-0005-0000-0000-000033040000}"/>
    <cellStyle name="Date [Short Europe]" xfId="1359" xr:uid="{00000000-0005-0000-0000-000034040000}"/>
    <cellStyle name="Date [Short U.S.]" xfId="1360" xr:uid="{00000000-0005-0000-0000-000035040000}"/>
    <cellStyle name="Date Aligned" xfId="1361" xr:uid="{00000000-0005-0000-0000-000036040000}"/>
    <cellStyle name="Date Aligned*" xfId="1362" xr:uid="{00000000-0005-0000-0000-000037040000}"/>
    <cellStyle name="Date Day" xfId="1363" xr:uid="{00000000-0005-0000-0000-000038040000}"/>
    <cellStyle name="Date Short" xfId="1364" xr:uid="{00000000-0005-0000-0000-000039040000}"/>
    <cellStyle name="Date Year" xfId="1365" xr:uid="{00000000-0005-0000-0000-00003A040000}"/>
    <cellStyle name="Date_060114 BMarkingSummary_aj v3" xfId="1366" xr:uid="{00000000-0005-0000-0000-00003B040000}"/>
    <cellStyle name="Date1" xfId="1367" xr:uid="{00000000-0005-0000-0000-00003C040000}"/>
    <cellStyle name="date2" xfId="1368" xr:uid="{00000000-0005-0000-0000-00003D040000}"/>
    <cellStyle name="date3" xfId="1369" xr:uid="{00000000-0005-0000-0000-00003E040000}"/>
    <cellStyle name="Dates" xfId="1370" xr:uid="{00000000-0005-0000-0000-00003F040000}"/>
    <cellStyle name="DateYear" xfId="1371" xr:uid="{00000000-0005-0000-0000-000040040000}"/>
    <cellStyle name="DateYearEstimate" xfId="1372" xr:uid="{00000000-0005-0000-0000-000041040000}"/>
    <cellStyle name="DateYearWholeEstimate" xfId="1373" xr:uid="{00000000-0005-0000-0000-000042040000}"/>
    <cellStyle name="Days.0" xfId="1374" xr:uid="{00000000-0005-0000-0000-000043040000}"/>
    <cellStyle name="Days.1" xfId="1375" xr:uid="{00000000-0005-0000-0000-000044040000}"/>
    <cellStyle name="DblLineDollarAcct" xfId="1376" xr:uid="{00000000-0005-0000-0000-000045040000}"/>
    <cellStyle name="DblLinePercent" xfId="1377" xr:uid="{00000000-0005-0000-0000-000046040000}"/>
    <cellStyle name="ddate" xfId="1378" xr:uid="{00000000-0005-0000-0000-000047040000}"/>
    <cellStyle name="Decimal" xfId="1379" xr:uid="{00000000-0005-0000-0000-000048040000}"/>
    <cellStyle name="default" xfId="1380" xr:uid="{00000000-0005-0000-0000-000049040000}"/>
    <cellStyle name="Detail" xfId="1381" xr:uid="{00000000-0005-0000-0000-00004A040000}"/>
    <cellStyle name="Deutschmark" xfId="1382" xr:uid="{00000000-0005-0000-0000-00004B040000}"/>
    <cellStyle name="Dezimal__Utopia Index Index und Guidance (Deutsch)" xfId="1383" xr:uid="{00000000-0005-0000-0000-00004C040000}"/>
    <cellStyle name="Dia" xfId="1384" xr:uid="{00000000-0005-0000-0000-00004D040000}"/>
    <cellStyle name="DIANE" xfId="1385" xr:uid="{00000000-0005-0000-0000-00004E040000}"/>
    <cellStyle name="dolar" xfId="1386" xr:uid="{00000000-0005-0000-0000-00004F040000}"/>
    <cellStyle name="dolar whole" xfId="1387" xr:uid="{00000000-0005-0000-0000-000050040000}"/>
    <cellStyle name="dolar_ATT LBO Model 07-02-04v1" xfId="1388" xr:uid="{00000000-0005-0000-0000-000051040000}"/>
    <cellStyle name="Dollar" xfId="1389" xr:uid="{00000000-0005-0000-0000-000052040000}"/>
    <cellStyle name="Dollar - Style5" xfId="1390" xr:uid="{00000000-0005-0000-0000-000053040000}"/>
    <cellStyle name="Dollar (Canadian)" xfId="1391" xr:uid="{00000000-0005-0000-0000-000054040000}"/>
    <cellStyle name="Dollar (zero dec)" xfId="1392" xr:uid="{00000000-0005-0000-0000-000055040000}"/>
    <cellStyle name="Dollar Whole" xfId="1393" xr:uid="{00000000-0005-0000-0000-000056040000}"/>
    <cellStyle name="dollar_051129 DCF Summary" xfId="1394" xr:uid="{00000000-0005-0000-0000-000057040000}"/>
    <cellStyle name="Dollar1" xfId="1395" xr:uid="{00000000-0005-0000-0000-000058040000}"/>
    <cellStyle name="Dollar1Blue" xfId="1396" xr:uid="{00000000-0005-0000-0000-000059040000}"/>
    <cellStyle name="Dollar2" xfId="1397" xr:uid="{00000000-0005-0000-0000-00005A040000}"/>
    <cellStyle name="DollarAccounting" xfId="1398" xr:uid="{00000000-0005-0000-0000-00005B040000}"/>
    <cellStyle name="Dollars" xfId="1399" xr:uid="{00000000-0005-0000-0000-00005C040000}"/>
    <cellStyle name="DollarWhole" xfId="1400" xr:uid="{00000000-0005-0000-0000-00005D040000}"/>
    <cellStyle name="Doller" xfId="1401" xr:uid="{00000000-0005-0000-0000-00005E040000}"/>
    <cellStyle name="Dotted Line" xfId="1402" xr:uid="{00000000-0005-0000-0000-00005F040000}"/>
    <cellStyle name="Double Accounting" xfId="1403" xr:uid="{00000000-0005-0000-0000-000060040000}"/>
    <cellStyle name="Double Underline" xfId="1404" xr:uid="{00000000-0005-0000-0000-000061040000}"/>
    <cellStyle name="Download" xfId="1405" xr:uid="{00000000-0005-0000-0000-000062040000}"/>
    <cellStyle name="dp*NumberGeneral" xfId="1406" xr:uid="{00000000-0005-0000-0000-000063040000}"/>
    <cellStyle name="Driver" xfId="1407" xr:uid="{00000000-0005-0000-0000-000064040000}"/>
    <cellStyle name="Encabez1" xfId="1408" xr:uid="{00000000-0005-0000-0000-000065040000}"/>
    <cellStyle name="Encabez2" xfId="1409" xr:uid="{00000000-0005-0000-0000-000066040000}"/>
    <cellStyle name="Enter Currency (0)" xfId="1410" xr:uid="{00000000-0005-0000-0000-000067040000}"/>
    <cellStyle name="Enter Currency (2)" xfId="1411" xr:uid="{00000000-0005-0000-0000-000068040000}"/>
    <cellStyle name="Enter Units (0)" xfId="1412" xr:uid="{00000000-0005-0000-0000-000069040000}"/>
    <cellStyle name="Enter Units (1)" xfId="1413" xr:uid="{00000000-0005-0000-0000-00006A040000}"/>
    <cellStyle name="Enter Units (2)" xfId="1414" xr:uid="{00000000-0005-0000-0000-00006B040000}"/>
    <cellStyle name="Entered" xfId="1415" xr:uid="{00000000-0005-0000-0000-00006C040000}"/>
    <cellStyle name="Entries" xfId="1416" xr:uid="{00000000-0005-0000-0000-00006D040000}"/>
    <cellStyle name="eps" xfId="1417" xr:uid="{00000000-0005-0000-0000-00006E040000}"/>
    <cellStyle name="eps$" xfId="1418" xr:uid="{00000000-0005-0000-0000-00006F040000}"/>
    <cellStyle name="eps$A" xfId="1419" xr:uid="{00000000-0005-0000-0000-000070040000}"/>
    <cellStyle name="eps$E" xfId="1420" xr:uid="{00000000-0005-0000-0000-000071040000}"/>
    <cellStyle name="epsA" xfId="1421" xr:uid="{00000000-0005-0000-0000-000072040000}"/>
    <cellStyle name="EPSActual" xfId="1422" xr:uid="{00000000-0005-0000-0000-000073040000}"/>
    <cellStyle name="epsE" xfId="1423" xr:uid="{00000000-0005-0000-0000-000074040000}"/>
    <cellStyle name="EPSEstimate" xfId="1424" xr:uid="{00000000-0005-0000-0000-000075040000}"/>
    <cellStyle name="Est - %" xfId="1426" xr:uid="{00000000-0005-0000-0000-000076040000}"/>
    <cellStyle name="Est - $" xfId="1425" xr:uid="{00000000-0005-0000-0000-000077040000}"/>
    <cellStyle name="Est 0,000.0" xfId="1427" xr:uid="{00000000-0005-0000-0000-000078040000}"/>
    <cellStyle name="Estimate" xfId="1428" xr:uid="{00000000-0005-0000-0000-000079040000}"/>
    <cellStyle name="Euro" xfId="1429" xr:uid="{00000000-0005-0000-0000-00007A040000}"/>
    <cellStyle name="Euro-" xfId="1430" xr:uid="{00000000-0005-0000-0000-00007B040000}"/>
    <cellStyle name="External File Cells" xfId="1431" xr:uid="{00000000-0005-0000-0000-00007C040000}"/>
    <cellStyle name="EY0dp" xfId="1432" xr:uid="{00000000-0005-0000-0000-00007D040000}"/>
    <cellStyle name="F2" xfId="1433" xr:uid="{00000000-0005-0000-0000-00007E040000}"/>
    <cellStyle name="F3" xfId="1434" xr:uid="{00000000-0005-0000-0000-00007F040000}"/>
    <cellStyle name="F4" xfId="1435" xr:uid="{00000000-0005-0000-0000-000080040000}"/>
    <cellStyle name="F5" xfId="1436" xr:uid="{00000000-0005-0000-0000-000081040000}"/>
    <cellStyle name="F6" xfId="1437" xr:uid="{00000000-0005-0000-0000-000082040000}"/>
    <cellStyle name="F7" xfId="1438" xr:uid="{00000000-0005-0000-0000-000083040000}"/>
    <cellStyle name="F8" xfId="1439" xr:uid="{00000000-0005-0000-0000-000084040000}"/>
    <cellStyle name="FF_EURO" xfId="1440" xr:uid="{00000000-0005-0000-0000-000085040000}"/>
    <cellStyle name="FieldName" xfId="1441" xr:uid="{00000000-0005-0000-0000-000086040000}"/>
    <cellStyle name="Fijo" xfId="1442" xr:uid="{00000000-0005-0000-0000-000087040000}"/>
    <cellStyle name="Finan?ní0" xfId="1443" xr:uid="{00000000-0005-0000-0000-000088040000}"/>
    <cellStyle name="Financiero" xfId="1444" xr:uid="{00000000-0005-0000-0000-000089040000}"/>
    <cellStyle name="Fixed" xfId="1445" xr:uid="{00000000-0005-0000-0000-00008A040000}"/>
    <cellStyle name="Fixed0" xfId="1446" xr:uid="{00000000-0005-0000-0000-00008B040000}"/>
    <cellStyle name="Fixlong" xfId="1447" xr:uid="{00000000-0005-0000-0000-00008C040000}"/>
    <cellStyle name="Followed Hyperlink" xfId="5" builtinId="9" hidden="1"/>
    <cellStyle name="Followed Hyperlink" xfId="7" builtinId="9" hidden="1"/>
    <cellStyle name="Followed Hyperlink" xfId="9" builtinId="9" hidden="1"/>
    <cellStyle name="Followed Hyperlink" xfId="11" builtinId="9" hidden="1"/>
    <cellStyle name="Followed Hyperlink" xfId="13" builtinId="9" hidden="1"/>
    <cellStyle name="Followed Hyperlink" xfId="15" builtinId="9" hidden="1"/>
    <cellStyle name="Followed Hyperlink" xfId="17" builtinId="9" hidden="1"/>
    <cellStyle name="Followed Hyperlink" xfId="19" builtinId="9" hidden="1"/>
    <cellStyle name="Followed Hyperlink" xfId="21" builtinId="9" hidden="1"/>
    <cellStyle name="Followed Hyperlink" xfId="23" builtinId="9" hidden="1"/>
    <cellStyle name="Followed Hyperlink" xfId="25" builtinId="9" hidden="1"/>
    <cellStyle name="Followed Hyperlink" xfId="27" builtinId="9" hidden="1"/>
    <cellStyle name="Followed Hyperlink" xfId="29" builtinId="9" hidden="1"/>
    <cellStyle name="Followed Hyperlink" xfId="31" builtinId="9" hidden="1"/>
    <cellStyle name="Followed Hyperlink" xfId="33" builtinId="9" hidden="1"/>
    <cellStyle name="Followed Hyperlink" xfId="35" builtinId="9" hidden="1"/>
    <cellStyle name="Followed Hyperlink" xfId="37" builtinId="9" hidden="1"/>
    <cellStyle name="Followed Hyperlink" xfId="39" builtinId="9" hidden="1"/>
    <cellStyle name="Followed Hyperlink" xfId="41" builtinId="9" hidden="1"/>
    <cellStyle name="Followed Hyperlink" xfId="43" builtinId="9" hidden="1"/>
    <cellStyle name="Followed Hyperlink" xfId="45" builtinId="9" hidden="1"/>
    <cellStyle name="Followed Hyperlink" xfId="47" builtinId="9" hidden="1"/>
    <cellStyle name="Followed Hyperlink" xfId="49" builtinId="9" hidden="1"/>
    <cellStyle name="Followed Hyperlink" xfId="51" builtinId="9" hidden="1"/>
    <cellStyle name="Followed Hyperlink" xfId="53" builtinId="9" hidden="1"/>
    <cellStyle name="Followed Hyperlink" xfId="55" builtinId="9" hidden="1"/>
    <cellStyle name="Followed Hyperlink" xfId="57" builtinId="9" hidden="1"/>
    <cellStyle name="Followed Hyperlink" xfId="59" builtinId="9" hidden="1"/>
    <cellStyle name="Followed Hyperlink" xfId="61" builtinId="9" hidden="1"/>
    <cellStyle name="Followed Hyperlink" xfId="63" builtinId="9" hidden="1"/>
    <cellStyle name="Followed Hyperlink" xfId="65" builtinId="9" hidden="1"/>
    <cellStyle name="Followed Hyperlink" xfId="67" builtinId="9" hidden="1"/>
    <cellStyle name="Followed Hyperlink" xfId="69" builtinId="9" hidden="1"/>
    <cellStyle name="Followed Hyperlink" xfId="71" builtinId="9" hidden="1"/>
    <cellStyle name="Followed Hyperlink" xfId="73" builtinId="9" hidden="1"/>
    <cellStyle name="Followed Hyperlink" xfId="75" builtinId="9" hidden="1"/>
    <cellStyle name="Followed Hyperlink" xfId="77" builtinId="9" hidden="1"/>
    <cellStyle name="Followed Hyperlink" xfId="79" builtinId="9" hidden="1"/>
    <cellStyle name="Followed Hyperlink" xfId="81" builtinId="9" hidden="1"/>
    <cellStyle name="Followed Hyperlink" xfId="83" builtinId="9" hidden="1"/>
    <cellStyle name="Followed Hyperlink" xfId="85" builtinId="9" hidden="1"/>
    <cellStyle name="Followed Hyperlink" xfId="87" builtinId="9" hidden="1"/>
    <cellStyle name="Followed Hyperlink" xfId="89" builtinId="9" hidden="1"/>
    <cellStyle name="Followed Hyperlink" xfId="91" builtinId="9" hidden="1"/>
    <cellStyle name="Followed Hyperlink" xfId="93" builtinId="9" hidden="1"/>
    <cellStyle name="Followed Hyperlink" xfId="95" builtinId="9" hidden="1"/>
    <cellStyle name="Followed Hyperlink" xfId="97" builtinId="9" hidden="1"/>
    <cellStyle name="Followed Hyperlink" xfId="99" builtinId="9" hidden="1"/>
    <cellStyle name="Followed Hyperlink" xfId="101" builtinId="9" hidden="1"/>
    <cellStyle name="Followed Hyperlink" xfId="103" builtinId="9" hidden="1"/>
    <cellStyle name="Followed Hyperlink" xfId="105" builtinId="9" hidden="1"/>
    <cellStyle name="Followed Hyperlink" xfId="107" builtinId="9" hidden="1"/>
    <cellStyle name="Followed Hyperlink" xfId="109" builtinId="9" hidden="1"/>
    <cellStyle name="Followed Hyperlink" xfId="111" builtinId="9" hidden="1"/>
    <cellStyle name="Followed Hyperlink" xfId="113" builtinId="9" hidden="1"/>
    <cellStyle name="Followed Hyperlink" xfId="115" builtinId="9" hidden="1"/>
    <cellStyle name="Followed Hyperlink" xfId="117" builtinId="9" hidden="1"/>
    <cellStyle name="Followed Hyperlink" xfId="119" builtinId="9" hidden="1"/>
    <cellStyle name="Followed Hyperlink" xfId="121" builtinId="9" hidden="1"/>
    <cellStyle name="Followed Hyperlink" xfId="123" builtinId="9" hidden="1"/>
    <cellStyle name="Followed Hyperlink" xfId="125" builtinId="9" hidden="1"/>
    <cellStyle name="Followed Hyperlink" xfId="127" builtinId="9" hidden="1"/>
    <cellStyle name="Followed Hyperlink" xfId="129" builtinId="9" hidden="1"/>
    <cellStyle name="Followed Hyperlink" xfId="131" builtinId="9" hidden="1"/>
    <cellStyle name="Followed Hyperlink" xfId="133" builtinId="9" hidden="1"/>
    <cellStyle name="Followed Hyperlink" xfId="135" builtinId="9" hidden="1"/>
    <cellStyle name="Followed Hyperlink" xfId="137" builtinId="9" hidden="1"/>
    <cellStyle name="Followed Hyperlink" xfId="139" builtinId="9" hidden="1"/>
    <cellStyle name="Followed Hyperlink" xfId="141" builtinId="9" hidden="1"/>
    <cellStyle name="Followed Hyperlink" xfId="143" builtinId="9" hidden="1"/>
    <cellStyle name="Followed Hyperlink" xfId="145" builtinId="9" hidden="1"/>
    <cellStyle name="Followed Hyperlink" xfId="147" builtinId="9" hidden="1"/>
    <cellStyle name="Followed Hyperlink" xfId="149" builtinId="9" hidden="1"/>
    <cellStyle name="Followed Hyperlink" xfId="151" builtinId="9" hidden="1"/>
    <cellStyle name="Followed Hyperlink" xfId="153" builtinId="9" hidden="1"/>
    <cellStyle name="Followed Hyperlink" xfId="155" builtinId="9" hidden="1"/>
    <cellStyle name="Followed Hyperlink" xfId="157" builtinId="9" hidden="1"/>
    <cellStyle name="Followed Hyperlink" xfId="159" builtinId="9" hidden="1"/>
    <cellStyle name="Followed Hyperlink" xfId="161" builtinId="9" hidden="1"/>
    <cellStyle name="Followed Hyperlink" xfId="163" builtinId="9" hidden="1"/>
    <cellStyle name="Followed Hyperlink" xfId="165" builtinId="9" hidden="1"/>
    <cellStyle name="Followed Hyperlink" xfId="167" builtinId="9" hidden="1"/>
    <cellStyle name="Followed Hyperlink" xfId="169" builtinId="9" hidden="1"/>
    <cellStyle name="Followed Hyperlink" xfId="171" builtinId="9" hidden="1"/>
    <cellStyle name="Followed Hyperlink" xfId="173" builtinId="9" hidden="1"/>
    <cellStyle name="Followed Hyperlink" xfId="175" builtinId="9" hidden="1"/>
    <cellStyle name="Followed Hyperlink" xfId="177" builtinId="9" hidden="1"/>
    <cellStyle name="Followed Hyperlink" xfId="179" builtinId="9" hidden="1"/>
    <cellStyle name="Followed Hyperlink" xfId="181" builtinId="9" hidden="1"/>
    <cellStyle name="Followed Hyperlink" xfId="183" builtinId="9" hidden="1"/>
    <cellStyle name="Followed Hyperlink" xfId="185" builtinId="9" hidden="1"/>
    <cellStyle name="Followed Hyperlink" xfId="187" builtinId="9" hidden="1"/>
    <cellStyle name="Followed Hyperlink" xfId="189" builtinId="9" hidden="1"/>
    <cellStyle name="Followed Hyperlink" xfId="191" builtinId="9" hidden="1"/>
    <cellStyle name="Followed Hyperlink" xfId="193" builtinId="9" hidden="1"/>
    <cellStyle name="Followed Hyperlink" xfId="195" builtinId="9" hidden="1"/>
    <cellStyle name="Followed Hyperlink" xfId="197" builtinId="9" hidden="1"/>
    <cellStyle name="Followed Hyperlink" xfId="199" builtinId="9" hidden="1"/>
    <cellStyle name="Followed Hyperlink" xfId="201" builtinId="9" hidden="1"/>
    <cellStyle name="Followed Hyperlink" xfId="203" builtinId="9" hidden="1"/>
    <cellStyle name="Followed Hyperlink" xfId="205" builtinId="9" hidden="1"/>
    <cellStyle name="Followed Hyperlink" xfId="207" builtinId="9" hidden="1"/>
    <cellStyle name="Followed Hyperlink" xfId="209" builtinId="9" hidden="1"/>
    <cellStyle name="Followed Hyperlink" xfId="211" builtinId="9" hidden="1"/>
    <cellStyle name="Followed Hyperlink" xfId="213" builtinId="9" hidden="1"/>
    <cellStyle name="Followed Hyperlink" xfId="215" builtinId="9" hidden="1"/>
    <cellStyle name="Followed Hyperlink" xfId="217" builtinId="9" hidden="1"/>
    <cellStyle name="Followed Hyperlink" xfId="219" builtinId="9" hidden="1"/>
    <cellStyle name="Followed Hyperlink" xfId="221" builtinId="9" hidden="1"/>
    <cellStyle name="Followed Hyperlink" xfId="223" builtinId="9" hidden="1"/>
    <cellStyle name="Followed Hyperlink" xfId="225" builtinId="9" hidden="1"/>
    <cellStyle name="Followed Hyperlink" xfId="227" builtinId="9" hidden="1"/>
    <cellStyle name="Followed Hyperlink" xfId="229" builtinId="9" hidden="1"/>
    <cellStyle name="Followed Hyperlink" xfId="231" builtinId="9" hidden="1"/>
    <cellStyle name="Followed Hyperlink" xfId="233" builtinId="9" hidden="1"/>
    <cellStyle name="Followed Hyperlink" xfId="235" builtinId="9" hidden="1"/>
    <cellStyle name="Followed Hyperlink" xfId="237" builtinId="9" hidden="1"/>
    <cellStyle name="Followed Hyperlink" xfId="239" builtinId="9" hidden="1"/>
    <cellStyle name="Followed Hyperlink" xfId="241" builtinId="9" hidden="1"/>
    <cellStyle name="Followed Hyperlink" xfId="243" builtinId="9" hidden="1"/>
    <cellStyle name="Followed Hyperlink" xfId="245" builtinId="9" hidden="1"/>
    <cellStyle name="Followed Hyperlink" xfId="247" builtinId="9" hidden="1"/>
    <cellStyle name="Followed Hyperlink" xfId="249" builtinId="9" hidden="1"/>
    <cellStyle name="Followed Hyperlink" xfId="251" builtinId="9" hidden="1"/>
    <cellStyle name="Followed Hyperlink" xfId="253" builtinId="9" hidden="1"/>
    <cellStyle name="Followed Hyperlink" xfId="255" builtinId="9" hidden="1"/>
    <cellStyle name="Followed Hyperlink" xfId="257" builtinId="9" hidden="1"/>
    <cellStyle name="Followed Hyperlink" xfId="259" builtinId="9" hidden="1"/>
    <cellStyle name="Followed Hyperlink" xfId="261" builtinId="9" hidden="1"/>
    <cellStyle name="Followed Hyperlink" xfId="263" builtinId="9" hidden="1"/>
    <cellStyle name="Followed Hyperlink" xfId="265" builtinId="9" hidden="1"/>
    <cellStyle name="Followed Hyperlink" xfId="267" builtinId="9" hidden="1"/>
    <cellStyle name="Followed Hyperlink" xfId="269" builtinId="9" hidden="1"/>
    <cellStyle name="Followed Hyperlink" xfId="271" builtinId="9" hidden="1"/>
    <cellStyle name="Followed Hyperlink" xfId="273" builtinId="9" hidden="1"/>
    <cellStyle name="Followed Hyperlink" xfId="275" builtinId="9" hidden="1"/>
    <cellStyle name="Followed Hyperlink" xfId="277" builtinId="9" hidden="1"/>
    <cellStyle name="Followed Hyperlink" xfId="279" builtinId="9" hidden="1"/>
    <cellStyle name="Followed Hyperlink" xfId="1621" builtinId="9" hidden="1"/>
    <cellStyle name="Followed Hyperlink" xfId="1623" builtinId="9" hidden="1"/>
    <cellStyle name="Followed Hyperlink" xfId="1625" builtinId="9" hidden="1"/>
    <cellStyle name="Followed Hyperlink" xfId="1627" builtinId="9" hidden="1"/>
    <cellStyle name="Followed Hyperlink" xfId="1629" builtinId="9" hidden="1"/>
    <cellStyle name="Followed Hyperlink" xfId="1631" builtinId="9" hidden="1"/>
    <cellStyle name="Followed Hyperlink" xfId="1633" builtinId="9" hidden="1"/>
    <cellStyle name="Followed Hyperlink" xfId="1635" builtinId="9" hidden="1"/>
    <cellStyle name="Followed Hyperlink" xfId="1637" builtinId="9" hidden="1"/>
    <cellStyle name="Followed Hyperlink" xfId="1639" builtinId="9" hidden="1"/>
    <cellStyle name="Followed Hyperlink" xfId="1641" builtinId="9" hidden="1"/>
    <cellStyle name="Followed Hyperlink" xfId="1643" builtinId="9" hidden="1"/>
    <cellStyle name="Followed Hyperlink" xfId="1645" builtinId="9" hidden="1"/>
    <cellStyle name="Followed Hyperlink" xfId="1647" builtinId="9" hidden="1"/>
    <cellStyle name="Followed Hyperlink" xfId="1649" builtinId="9" hidden="1"/>
    <cellStyle name="Followed Hyperlink" xfId="1651" builtinId="9" hidden="1"/>
    <cellStyle name="Followed Hyperlink" xfId="1653" builtinId="9" hidden="1"/>
    <cellStyle name="Followed Hyperlink" xfId="1655" builtinId="9" hidden="1"/>
    <cellStyle name="Followed Hyperlink" xfId="1657" builtinId="9" hidden="1"/>
    <cellStyle name="Followed Hyperlink" xfId="1659" builtinId="9" hidden="1"/>
    <cellStyle name="Followed Hyperlink" xfId="1661" builtinId="9" hidden="1"/>
    <cellStyle name="Followed Hyperlink" xfId="1663" builtinId="9" hidden="1"/>
    <cellStyle name="Followed Hyperlink" xfId="1665" builtinId="9" hidden="1"/>
    <cellStyle name="Followed Hyperlink" xfId="1667" builtinId="9" hidden="1"/>
    <cellStyle name="Followed Hyperlink" xfId="1669" builtinId="9" hidden="1"/>
    <cellStyle name="Followed Hyperlink" xfId="1671" builtinId="9" hidden="1"/>
    <cellStyle name="Followed Hyperlink" xfId="1673" builtinId="9" hidden="1"/>
    <cellStyle name="Followed Hyperlink" xfId="1675" builtinId="9" hidden="1"/>
    <cellStyle name="Followed Hyperlink" xfId="1677" builtinId="9" hidden="1"/>
    <cellStyle name="Followed Hyperlink" xfId="1679" builtinId="9" hidden="1"/>
    <cellStyle name="Followed Hyperlink" xfId="1681" builtinId="9" hidden="1"/>
    <cellStyle name="Followed Hyperlink" xfId="1683" builtinId="9" hidden="1"/>
    <cellStyle name="Followed Hyperlink" xfId="1685" builtinId="9" hidden="1"/>
    <cellStyle name="Followed Hyperlink" xfId="1687" builtinId="9" hidden="1"/>
    <cellStyle name="Followed Hyperlink" xfId="1689" builtinId="9" hidden="1"/>
    <cellStyle name="Followed Hyperlink" xfId="1691" builtinId="9" hidden="1"/>
    <cellStyle name="Followed Hyperlink" xfId="1693" builtinId="9" hidden="1"/>
    <cellStyle name="Followed Hyperlink" xfId="1695" builtinId="9" hidden="1"/>
    <cellStyle name="Followed Hyperlink" xfId="1697" builtinId="9" hidden="1"/>
    <cellStyle name="Followed Hyperlink" xfId="1699" builtinId="9" hidden="1"/>
    <cellStyle name="Followed Hyperlink" xfId="1701" builtinId="9" hidden="1"/>
    <cellStyle name="Followed Hyperlink" xfId="1703" builtinId="9" hidden="1"/>
    <cellStyle name="Followed Hyperlink" xfId="1705" builtinId="9" hidden="1"/>
    <cellStyle name="Followed Hyperlink" xfId="1707" builtinId="9" hidden="1"/>
    <cellStyle name="Followed Hyperlink" xfId="1709" builtinId="9" hidden="1"/>
    <cellStyle name="Followed Hyperlink" xfId="1711" builtinId="9" hidden="1"/>
    <cellStyle name="Followed Hyperlink" xfId="1713" builtinId="9" hidden="1"/>
    <cellStyle name="Followed Hyperlink" xfId="1715" builtinId="9" hidden="1"/>
    <cellStyle name="Followed Hyperlink" xfId="1717" builtinId="9" hidden="1"/>
    <cellStyle name="Followed Hyperlink" xfId="1719" builtinId="9" hidden="1"/>
    <cellStyle name="Followed Hyperlink" xfId="1721" builtinId="9" hidden="1"/>
    <cellStyle name="Followed Hyperlink" xfId="1723" builtinId="9" hidden="1"/>
    <cellStyle name="Followed Hyperlink" xfId="1725" builtinId="9" hidden="1"/>
    <cellStyle name="Followed Hyperlink" xfId="1727" builtinId="9" hidden="1"/>
    <cellStyle name="Followed Hyperlink" xfId="1729" builtinId="9" hidden="1"/>
    <cellStyle name="Followed Hyperlink" xfId="1731" builtinId="9" hidden="1"/>
    <cellStyle name="Followed Hyperlink" xfId="1733" builtinId="9" hidden="1"/>
    <cellStyle name="Followed Hyperlink" xfId="1735" builtinId="9" hidden="1"/>
    <cellStyle name="Followed Hyperlink" xfId="1737" builtinId="9" hidden="1"/>
    <cellStyle name="Followed Hyperlink" xfId="1739" builtinId="9" hidden="1"/>
    <cellStyle name="Followed Hyperlink" xfId="1741" builtinId="9" hidden="1"/>
    <cellStyle name="Followed Hyperlink" xfId="1743" builtinId="9" hidden="1"/>
    <cellStyle name="Followed Hyperlink" xfId="1745" builtinId="9" hidden="1"/>
    <cellStyle name="Followed Hyperlink" xfId="1747" builtinId="9" hidden="1"/>
    <cellStyle name="Followed Hyperlink" xfId="1749" builtinId="9" hidden="1"/>
    <cellStyle name="Followed Hyperlink" xfId="1751" builtinId="9" hidden="1"/>
    <cellStyle name="Followed Hyperlink" xfId="1753" builtinId="9" hidden="1"/>
    <cellStyle name="Followed Hyperlink" xfId="1755" builtinId="9" hidden="1"/>
    <cellStyle name="Followed Hyperlink" xfId="1757" builtinId="9" hidden="1"/>
    <cellStyle name="Followed Hyperlink" xfId="1759" builtinId="9" hidden="1"/>
    <cellStyle name="Followed Hyperlink" xfId="1761" builtinId="9" hidden="1"/>
    <cellStyle name="Followed Hyperlink" xfId="1763" builtinId="9" hidden="1"/>
    <cellStyle name="Followed Hyperlink" xfId="1765" builtinId="9" hidden="1"/>
    <cellStyle name="Followed Hyperlink" xfId="1767" builtinId="9" hidden="1"/>
    <cellStyle name="Followed Hyperlink" xfId="1769" builtinId="9" hidden="1"/>
    <cellStyle name="Followed Hyperlink" xfId="1771" builtinId="9" hidden="1"/>
    <cellStyle name="Followed Hyperlink" xfId="1773" builtinId="9" hidden="1"/>
    <cellStyle name="Followed Hyperlink" xfId="1775" builtinId="9" hidden="1"/>
    <cellStyle name="Followed Hyperlink" xfId="1777" builtinId="9" hidden="1"/>
    <cellStyle name="Followed Hyperlink" xfId="1779" builtinId="9" hidden="1"/>
    <cellStyle name="Followed Hyperlink" xfId="1781" builtinId="9" hidden="1"/>
    <cellStyle name="Followed Hyperlink" xfId="1783" builtinId="9" hidden="1"/>
    <cellStyle name="Followed Hyperlink" xfId="1785" builtinId="9" hidden="1"/>
    <cellStyle name="Followed Hyperlink" xfId="1787" builtinId="9" hidden="1"/>
    <cellStyle name="Followed Hyperlink" xfId="1789" builtinId="9" hidden="1"/>
    <cellStyle name="Followed Hyperlink" xfId="1791" builtinId="9" hidden="1"/>
    <cellStyle name="Followed Hyperlink" xfId="1793" builtinId="9" hidden="1"/>
    <cellStyle name="Followed Hyperlink" xfId="1795" builtinId="9" hidden="1"/>
    <cellStyle name="Followed Hyperlink" xfId="1797" builtinId="9" hidden="1"/>
    <cellStyle name="Followed Hyperlink" xfId="1799" builtinId="9" hidden="1"/>
    <cellStyle name="Followed Hyperlink" xfId="1801" builtinId="9" hidden="1"/>
    <cellStyle name="Followed Hyperlink" xfId="1803" builtinId="9" hidden="1"/>
    <cellStyle name="Followed Hyperlink" xfId="1805" builtinId="9" hidden="1"/>
    <cellStyle name="Followed Hyperlink" xfId="1807" builtinId="9" hidden="1"/>
    <cellStyle name="Followed Hyperlink" xfId="1809" builtinId="9" hidden="1"/>
    <cellStyle name="Followed Hyperlink" xfId="1811" builtinId="9" hidden="1"/>
    <cellStyle name="Followed Hyperlink" xfId="1813" builtinId="9" hidden="1"/>
    <cellStyle name="Followed Hyperlink" xfId="1815" builtinId="9" hidden="1"/>
    <cellStyle name="Followed Hyperlink" xfId="1817" builtinId="9" hidden="1"/>
    <cellStyle name="Followed Hyperlink" xfId="1819" builtinId="9" hidden="1"/>
    <cellStyle name="Followed Hyperlink" xfId="1821" builtinId="9" hidden="1"/>
    <cellStyle name="Followed Hyperlink" xfId="1823" builtinId="9" hidden="1"/>
    <cellStyle name="Followed Hyperlink" xfId="1825" builtinId="9" hidden="1"/>
    <cellStyle name="Followed Hyperlink" xfId="1827" builtinId="9" hidden="1"/>
    <cellStyle name="Followed Hyperlink" xfId="1829" builtinId="9" hidden="1"/>
    <cellStyle name="Followed Hyperlink" xfId="1831" builtinId="9" hidden="1"/>
    <cellStyle name="Followed Hyperlink" xfId="1833" builtinId="9" hidden="1"/>
    <cellStyle name="Followed Hyperlink" xfId="1835" builtinId="9" hidden="1"/>
    <cellStyle name="Followed Hyperlink" xfId="1837" builtinId="9" hidden="1"/>
    <cellStyle name="Followed Hyperlink" xfId="1839" builtinId="9" hidden="1"/>
    <cellStyle name="Followed Hyperlink" xfId="1841" builtinId="9" hidden="1"/>
    <cellStyle name="Followed Hyperlink" xfId="1843" builtinId="9" hidden="1"/>
    <cellStyle name="Followed Hyperlink" xfId="1845" builtinId="9" hidden="1"/>
    <cellStyle name="Followed Hyperlink" xfId="1847" builtinId="9" hidden="1"/>
    <cellStyle name="Followed Hyperlink" xfId="1849" builtinId="9" hidden="1"/>
    <cellStyle name="Followed Hyperlink" xfId="1851" builtinId="9" hidden="1"/>
    <cellStyle name="Followed Hyperlink" xfId="1853" builtinId="9" hidden="1"/>
    <cellStyle name="Followed Hyperlink" xfId="1855" builtinId="9" hidden="1"/>
    <cellStyle name="Followed Hyperlink" xfId="1857" builtinId="9" hidden="1"/>
    <cellStyle name="Followed Hyperlink" xfId="1859" builtinId="9" hidden="1"/>
    <cellStyle name="Followed Hyperlink" xfId="1861" builtinId="9" hidden="1"/>
    <cellStyle name="Followed Hyperlink" xfId="1863" builtinId="9" hidden="1"/>
    <cellStyle name="Followed Hyperlink" xfId="1865" builtinId="9" hidden="1"/>
    <cellStyle name="Followed Hyperlink" xfId="1867" builtinId="9" hidden="1"/>
    <cellStyle name="Followed Hyperlink" xfId="1869" builtinId="9" hidden="1"/>
    <cellStyle name="Followed Hyperlink" xfId="1871" builtinId="9" hidden="1"/>
    <cellStyle name="Followed Hyperlink" xfId="1873" builtinId="9" hidden="1"/>
    <cellStyle name="Followed Hyperlink" xfId="1875" builtinId="9" hidden="1"/>
    <cellStyle name="Followed Hyperlink" xfId="1877" builtinId="9" hidden="1"/>
    <cellStyle name="Followed Hyperlink" xfId="1879" builtinId="9" hidden="1"/>
    <cellStyle name="Followed Hyperlink" xfId="1881" builtinId="9" hidden="1"/>
    <cellStyle name="Followed Hyperlink" xfId="1883" builtinId="9" hidden="1"/>
    <cellStyle name="Followed Hyperlink" xfId="1885" builtinId="9" hidden="1"/>
    <cellStyle name="Followed Hyperlink" xfId="1887" builtinId="9" hidden="1"/>
    <cellStyle name="Followed Hyperlink" xfId="1889" builtinId="9" hidden="1"/>
    <cellStyle name="Followed Hyperlink" xfId="1891" builtinId="9" hidden="1"/>
    <cellStyle name="Followed Hyperlink" xfId="1893" builtinId="9" hidden="1"/>
    <cellStyle name="Followed Hyperlink" xfId="1895" builtinId="9" hidden="1"/>
    <cellStyle name="Followed Hyperlink" xfId="1897" builtinId="9" hidden="1"/>
    <cellStyle name="Followed Hyperlink" xfId="1899" builtinId="9" hidden="1"/>
    <cellStyle name="Followed Hyperlink" xfId="1901" builtinId="9" hidden="1"/>
    <cellStyle name="Followed Hyperlink" xfId="1903" builtinId="9" hidden="1"/>
    <cellStyle name="Followed Hyperlink" xfId="1905" builtinId="9" hidden="1"/>
    <cellStyle name="Followed Hyperlink" xfId="1907" builtinId="9" hidden="1"/>
    <cellStyle name="Followed Hyperlink" xfId="1909" builtinId="9" hidden="1"/>
    <cellStyle name="Followed Hyperlink" xfId="1911" builtinId="9" hidden="1"/>
    <cellStyle name="Followed Hyperlink" xfId="1913" builtinId="9" hidden="1"/>
    <cellStyle name="Followed Hyperlink" xfId="1915" builtinId="9" hidden="1"/>
    <cellStyle name="Followed Hyperlink" xfId="1917" builtinId="9" hidden="1"/>
    <cellStyle name="Followed Hyperlink" xfId="1919" builtinId="9" hidden="1"/>
    <cellStyle name="Followed Hyperlink" xfId="1921" builtinId="9" hidden="1"/>
    <cellStyle name="Followed Hyperlink" xfId="1923" builtinId="9" hidden="1"/>
    <cellStyle name="Followed Hyperlink" xfId="1925" builtinId="9" hidden="1"/>
    <cellStyle name="Followed Hyperlink" xfId="1927" builtinId="9" hidden="1"/>
    <cellStyle name="Followed Hyperlink" xfId="1929" builtinId="9" hidden="1"/>
    <cellStyle name="Followed Hyperlink" xfId="1931" builtinId="9" hidden="1"/>
    <cellStyle name="Followed Hyperlink" xfId="1933" builtinId="9" hidden="1"/>
    <cellStyle name="Followed Hyperlink" xfId="1935" builtinId="9" hidden="1"/>
    <cellStyle name="Followed Hyperlink" xfId="1937" builtinId="9" hidden="1"/>
    <cellStyle name="Followed Hyperlink" xfId="1939" builtinId="9" hidden="1"/>
    <cellStyle name="Followed Hyperlink" xfId="1941" builtinId="9" hidden="1"/>
    <cellStyle name="Followed Hyperlink" xfId="1943" builtinId="9" hidden="1"/>
    <cellStyle name="Followed Hyperlink" xfId="1945" builtinId="9" hidden="1"/>
    <cellStyle name="Followed Hyperlink" xfId="1947" builtinId="9" hidden="1"/>
    <cellStyle name="Followed Hyperlink" xfId="1949" builtinId="9" hidden="1"/>
    <cellStyle name="Followed Hyperlink" xfId="1951" builtinId="9" hidden="1"/>
    <cellStyle name="Followed Hyperlink" xfId="1953" builtinId="9" hidden="1"/>
    <cellStyle name="Followed Hyperlink" xfId="1955" builtinId="9" hidden="1"/>
    <cellStyle name="Followed Hyperlink" xfId="1957" builtinId="9" hidden="1"/>
    <cellStyle name="Followed Hyperlink" xfId="1959" builtinId="9" hidden="1"/>
    <cellStyle name="Followed Hyperlink" xfId="1961" builtinId="9" hidden="1"/>
    <cellStyle name="Followed Hyperlink" xfId="1963" builtinId="9" hidden="1"/>
    <cellStyle name="Followed Hyperlink" xfId="1965" builtinId="9" hidden="1"/>
    <cellStyle name="Followed Hyperlink" xfId="1967" builtinId="9" hidden="1"/>
    <cellStyle name="Followed Hyperlink" xfId="1969" builtinId="9" hidden="1"/>
    <cellStyle name="Followed Hyperlink" xfId="1971" builtinId="9" hidden="1"/>
    <cellStyle name="Followed Hyperlink" xfId="1973" builtinId="9" hidden="1"/>
    <cellStyle name="Followed Hyperlink" xfId="1975" builtinId="9" hidden="1"/>
    <cellStyle name="Followed Hyperlink" xfId="1977" builtinId="9" hidden="1"/>
    <cellStyle name="Followed Hyperlink" xfId="1979" builtinId="9" hidden="1"/>
    <cellStyle name="Followed Hyperlink" xfId="1981" builtinId="9" hidden="1"/>
    <cellStyle name="Followed Hyperlink" xfId="1983" builtinId="9" hidden="1"/>
    <cellStyle name="Followed Hyperlink" xfId="1985" builtinId="9" hidden="1"/>
    <cellStyle name="Followed Hyperlink" xfId="1987" builtinId="9" hidden="1"/>
    <cellStyle name="Followed Hyperlink" xfId="1989" builtinId="9" hidden="1"/>
    <cellStyle name="Followed Hyperlink" xfId="1991" builtinId="9" hidden="1"/>
    <cellStyle name="Followed Hyperlink" xfId="1993" builtinId="9" hidden="1"/>
    <cellStyle name="Followed Hyperlink" xfId="1995" builtinId="9" hidden="1"/>
    <cellStyle name="Followed Hyperlink" xfId="1997" builtinId="9" hidden="1"/>
    <cellStyle name="Followed Hyperlink" xfId="1999" builtinId="9" hidden="1"/>
    <cellStyle name="Followed Hyperlink" xfId="2001" builtinId="9" hidden="1"/>
    <cellStyle name="Followed Hyperlink" xfId="2003" builtinId="9" hidden="1"/>
    <cellStyle name="Followed Hyperlink" xfId="2005" builtinId="9" hidden="1"/>
    <cellStyle name="Followed Hyperlink" xfId="2007" builtinId="9" hidden="1"/>
    <cellStyle name="Followed Hyperlink" xfId="2009" builtinId="9" hidden="1"/>
    <cellStyle name="Followed Hyperlink" xfId="2011" builtinId="9" hidden="1"/>
    <cellStyle name="Followed Hyperlink" xfId="2013" builtinId="9" hidden="1"/>
    <cellStyle name="Followed Hyperlink" xfId="2015" builtinId="9" hidden="1"/>
    <cellStyle name="Followed Hyperlink" xfId="2017" builtinId="9" hidden="1"/>
    <cellStyle name="Followed Hyperlink" xfId="2019" builtinId="9" hidden="1"/>
    <cellStyle name="Followed Hyperlink" xfId="2021" builtinId="9" hidden="1"/>
    <cellStyle name="Followed Hyperlink" xfId="2023" builtinId="9" hidden="1"/>
    <cellStyle name="Followed Hyperlink" xfId="2025" builtinId="9" hidden="1"/>
    <cellStyle name="Followed Hyperlink" xfId="2027" builtinId="9" hidden="1"/>
    <cellStyle name="Followed Hyperlink" xfId="2029" builtinId="9" hidden="1"/>
    <cellStyle name="Followed Hyperlink" xfId="2031" builtinId="9" hidden="1"/>
    <cellStyle name="Followed Hyperlink" xfId="2033" builtinId="9" hidden="1"/>
    <cellStyle name="Followed Hyperlink" xfId="2035" builtinId="9" hidden="1"/>
    <cellStyle name="Followed Hyperlink" xfId="2037" builtinId="9" hidden="1"/>
    <cellStyle name="Followed Hyperlink" xfId="2039" builtinId="9" hidden="1"/>
    <cellStyle name="Followed Hyperlink" xfId="2041" builtinId="9" hidden="1"/>
    <cellStyle name="Followed Hyperlink" xfId="2043" builtinId="9" hidden="1"/>
    <cellStyle name="Followed Hyperlink" xfId="2045" builtinId="9" hidden="1"/>
    <cellStyle name="Followed Hyperlink" xfId="2047" builtinId="9" hidden="1"/>
    <cellStyle name="Followed Hyperlink" xfId="2049" builtinId="9" hidden="1"/>
    <cellStyle name="Followed Hyperlink" xfId="2051" builtinId="9" hidden="1"/>
    <cellStyle name="Followed Hyperlink" xfId="2053" builtinId="9" hidden="1"/>
    <cellStyle name="Followed Hyperlink" xfId="2055" builtinId="9" hidden="1"/>
    <cellStyle name="Followed Hyperlink" xfId="2057" builtinId="9" hidden="1"/>
    <cellStyle name="Followed Hyperlink" xfId="2059" builtinId="9" hidden="1"/>
    <cellStyle name="Followed Hyperlink" xfId="2061" builtinId="9" hidden="1"/>
    <cellStyle name="Followed Hyperlink" xfId="2063" builtinId="9" hidden="1"/>
    <cellStyle name="Followed Hyperlink" xfId="2065" builtinId="9" hidden="1"/>
    <cellStyle name="Followed Hyperlink" xfId="2067" builtinId="9" hidden="1"/>
    <cellStyle name="Followed Hyperlink" xfId="2069" builtinId="9" hidden="1"/>
    <cellStyle name="Followed Hyperlink" xfId="2071" builtinId="9" hidden="1"/>
    <cellStyle name="Followed Hyperlink" xfId="2073" builtinId="9" hidden="1"/>
    <cellStyle name="Followed Hyperlink" xfId="2075" builtinId="9" hidden="1"/>
    <cellStyle name="Followed Hyperlink" xfId="2077" builtinId="9" hidden="1"/>
    <cellStyle name="Followed Hyperlink" xfId="2079" builtinId="9" hidden="1"/>
    <cellStyle name="Followed Hyperlink" xfId="2081" builtinId="9" hidden="1"/>
    <cellStyle name="Followed Hyperlink" xfId="2083" builtinId="9" hidden="1"/>
    <cellStyle name="Followed Hyperlink" xfId="2085" builtinId="9" hidden="1"/>
    <cellStyle name="Followed Hyperlink" xfId="2087" builtinId="9" hidden="1"/>
    <cellStyle name="Followed Hyperlink" xfId="2089" builtinId="9" hidden="1"/>
    <cellStyle name="Followed Hyperlink" xfId="2091" builtinId="9" hidden="1"/>
    <cellStyle name="Followed Hyperlink" xfId="2093" builtinId="9" hidden="1"/>
    <cellStyle name="Followed Hyperlink" xfId="2095" builtinId="9" hidden="1"/>
    <cellStyle name="Followed Hyperlink" xfId="2097" builtinId="9" hidden="1"/>
    <cellStyle name="Followed Hyperlink" xfId="2099" builtinId="9" hidden="1"/>
    <cellStyle name="Followed Hyperlink" xfId="2101" builtinId="9" hidden="1"/>
    <cellStyle name="Followed Hyperlink" xfId="2103" builtinId="9" hidden="1"/>
    <cellStyle name="Followed Hyperlink" xfId="2105" builtinId="9" hidden="1"/>
    <cellStyle name="Followed Hyperlink" xfId="2107" builtinId="9" hidden="1"/>
    <cellStyle name="Followed Hyperlink" xfId="2109" builtinId="9" hidden="1"/>
    <cellStyle name="Followed Hyperlink" xfId="2111" builtinId="9" hidden="1"/>
    <cellStyle name="Followed Hyperlink" xfId="2113" builtinId="9" hidden="1"/>
    <cellStyle name="Followed Hyperlink" xfId="2115" builtinId="9" hidden="1"/>
    <cellStyle name="Followed Hyperlink" xfId="2117" builtinId="9" hidden="1"/>
    <cellStyle name="Followed Hyperlink" xfId="2119" builtinId="9" hidden="1"/>
    <cellStyle name="Followed Hyperlink" xfId="2121" builtinId="9" hidden="1"/>
    <cellStyle name="Followed Hyperlink" xfId="2123" builtinId="9" hidden="1"/>
    <cellStyle name="Followed Hyperlink" xfId="2125" builtinId="9" hidden="1"/>
    <cellStyle name="Followed Hyperlink" xfId="2127" builtinId="9" hidden="1"/>
    <cellStyle name="Followed Hyperlink" xfId="2129" builtinId="9" hidden="1"/>
    <cellStyle name="Followed Hyperlink" xfId="2131" builtinId="9" hidden="1"/>
    <cellStyle name="Followed Hyperlink" xfId="2133" builtinId="9" hidden="1"/>
    <cellStyle name="Followed Hyperlink" xfId="2135" builtinId="9" hidden="1"/>
    <cellStyle name="Followed Hyperlink" xfId="2137" builtinId="9" hidden="1"/>
    <cellStyle name="Followed Hyperlink" xfId="2139" builtinId="9" hidden="1"/>
    <cellStyle name="Followed Hyperlink" xfId="2141" builtinId="9" hidden="1"/>
    <cellStyle name="Followed Hyperlink" xfId="2143" builtinId="9" hidden="1"/>
    <cellStyle name="Followed Hyperlink" xfId="2145" builtinId="9" hidden="1"/>
    <cellStyle name="Followed Hyperlink" xfId="2147" builtinId="9" hidden="1"/>
    <cellStyle name="Followed Hyperlink" xfId="2149" builtinId="9" hidden="1"/>
    <cellStyle name="Followed Hyperlink" xfId="2151" builtinId="9" hidden="1"/>
    <cellStyle name="Followed Hyperlink" xfId="2153" builtinId="9" hidden="1"/>
    <cellStyle name="Followed Hyperlink" xfId="2155" builtinId="9" hidden="1"/>
    <cellStyle name="Followed Hyperlink" xfId="2157" builtinId="9" hidden="1"/>
    <cellStyle name="Followed Hyperlink" xfId="2159" builtinId="9" hidden="1"/>
    <cellStyle name="Followed Hyperlink" xfId="2161" builtinId="9" hidden="1"/>
    <cellStyle name="Followed Hyperlink" xfId="2163" builtinId="9" hidden="1"/>
    <cellStyle name="Followed Hyperlink" xfId="2165" builtinId="9" hidden="1"/>
    <cellStyle name="Followed Hyperlink" xfId="2167" builtinId="9" hidden="1"/>
    <cellStyle name="Followed Hyperlink" xfId="2169" builtinId="9" hidden="1"/>
    <cellStyle name="Followed Hyperlink" xfId="2171" builtinId="9" hidden="1"/>
    <cellStyle name="Followed Hyperlink" xfId="2173" builtinId="9" hidden="1"/>
    <cellStyle name="Followed Hyperlink" xfId="2175" builtinId="9" hidden="1"/>
    <cellStyle name="Followed Hyperlink" xfId="2177" builtinId="9" hidden="1"/>
    <cellStyle name="Followed Hyperlink" xfId="2179" builtinId="9" hidden="1"/>
    <cellStyle name="Followed Hyperlink" xfId="2181" builtinId="9" hidden="1"/>
    <cellStyle name="Followed Hyperlink" xfId="2183" builtinId="9" hidden="1"/>
    <cellStyle name="Followed Hyperlink" xfId="2185" builtinId="9" hidden="1"/>
    <cellStyle name="Followed Hyperlink" xfId="2187" builtinId="9" hidden="1"/>
    <cellStyle name="Followed Hyperlink" xfId="2189" builtinId="9" hidden="1"/>
    <cellStyle name="Followed Hyperlink" xfId="2191" builtinId="9" hidden="1"/>
    <cellStyle name="Followed Hyperlink" xfId="2193" builtinId="9" hidden="1"/>
    <cellStyle name="Followed Hyperlink" xfId="2195" builtinId="9" hidden="1"/>
    <cellStyle name="Followed Hyperlink" xfId="2197" builtinId="9" hidden="1"/>
    <cellStyle name="Followed Hyperlink" xfId="2199" builtinId="9" hidden="1"/>
    <cellStyle name="Followed Hyperlink" xfId="2201" builtinId="9" hidden="1"/>
    <cellStyle name="Followed Hyperlink" xfId="2203" builtinId="9" hidden="1"/>
    <cellStyle name="Followed Hyperlink" xfId="2205" builtinId="9" hidden="1"/>
    <cellStyle name="Followed Hyperlink" xfId="2207" builtinId="9" hidden="1"/>
    <cellStyle name="Followed Hyperlink" xfId="2209" builtinId="9" hidden="1"/>
    <cellStyle name="Followed Hyperlink" xfId="2211" builtinId="9" hidden="1"/>
    <cellStyle name="Followed Hyperlink" xfId="2213" builtinId="9" hidden="1"/>
    <cellStyle name="Followed Hyperlink" xfId="2215" builtinId="9" hidden="1"/>
    <cellStyle name="Followed Hyperlink" xfId="2217" builtinId="9" hidden="1"/>
    <cellStyle name="Followed Hyperlink" xfId="2219" builtinId="9" hidden="1"/>
    <cellStyle name="Followed Hyperlink" xfId="2221" builtinId="9" hidden="1"/>
    <cellStyle name="Followed Hyperlink" xfId="2223" builtinId="9" hidden="1"/>
    <cellStyle name="Followed Hyperlink" xfId="2225" builtinId="9" hidden="1"/>
    <cellStyle name="Followed Hyperlink" xfId="2227" builtinId="9" hidden="1"/>
    <cellStyle name="Followed Hyperlink" xfId="2229" builtinId="9" hidden="1"/>
    <cellStyle name="Followed Hyperlink" xfId="2231" builtinId="9" hidden="1"/>
    <cellStyle name="Followed Hyperlink" xfId="2233" builtinId="9" hidden="1"/>
    <cellStyle name="Followed Hyperlink" xfId="2235" builtinId="9" hidden="1"/>
    <cellStyle name="Followed Hyperlink" xfId="2237" builtinId="9" hidden="1"/>
    <cellStyle name="Followed Hyperlink" xfId="2239" builtinId="9" hidden="1"/>
    <cellStyle name="Followed Hyperlink" xfId="2241" builtinId="9" hidden="1"/>
    <cellStyle name="Followed Hyperlink" xfId="2243" builtinId="9" hidden="1"/>
    <cellStyle name="Followed Hyperlink" xfId="2245" builtinId="9" hidden="1"/>
    <cellStyle name="Followed Hyperlink" xfId="2247" builtinId="9" hidden="1"/>
    <cellStyle name="Followed Hyperlink" xfId="2249" builtinId="9" hidden="1"/>
    <cellStyle name="Followed Hyperlink" xfId="2251" builtinId="9" hidden="1"/>
    <cellStyle name="Followed Hyperlink" xfId="2253" builtinId="9" hidden="1"/>
    <cellStyle name="Followed Hyperlink" xfId="2255" builtinId="9" hidden="1"/>
    <cellStyle name="Followed Hyperlink" xfId="2257" builtinId="9" hidden="1"/>
    <cellStyle name="Followed Hyperlink" xfId="2259" builtinId="9" hidden="1"/>
    <cellStyle name="Followed Hyperlink" xfId="2261" builtinId="9" hidden="1"/>
    <cellStyle name="Followed Hyperlink" xfId="2263" builtinId="9" hidden="1"/>
    <cellStyle name="Followed Hyperlink" xfId="2265" builtinId="9" hidden="1"/>
    <cellStyle name="Followed Hyperlink" xfId="2267" builtinId="9" hidden="1"/>
    <cellStyle name="Followed Hyperlink" xfId="2269" builtinId="9" hidden="1"/>
    <cellStyle name="Followed Hyperlink" xfId="2271" builtinId="9" hidden="1"/>
    <cellStyle name="Followed Hyperlink" xfId="2273" builtinId="9" hidden="1"/>
    <cellStyle name="Followed Hyperlink" xfId="2275" builtinId="9" hidden="1"/>
    <cellStyle name="Followed Hyperlink" xfId="2277" builtinId="9" hidden="1"/>
    <cellStyle name="Followed Hyperlink" xfId="2279" builtinId="9" hidden="1"/>
    <cellStyle name="Followed Hyperlink" xfId="2281" builtinId="9" hidden="1"/>
    <cellStyle name="Followed Hyperlink" xfId="2283" builtinId="9" hidden="1"/>
    <cellStyle name="Followed Hyperlink" xfId="2285" builtinId="9" hidden="1"/>
    <cellStyle name="Followed Hyperlink" xfId="2287" builtinId="9" hidden="1"/>
    <cellStyle name="Followed Hyperlink" xfId="2289" builtinId="9" hidden="1"/>
    <cellStyle name="Followed Hyperlink" xfId="2291" builtinId="9" hidden="1"/>
    <cellStyle name="Followed Hyperlink" xfId="2293" builtinId="9" hidden="1"/>
    <cellStyle name="Followed Hyperlink" xfId="2295" builtinId="9" hidden="1"/>
    <cellStyle name="Followed Hyperlink" xfId="2297" builtinId="9" hidden="1"/>
    <cellStyle name="Followed Hyperlink" xfId="2299" builtinId="9" hidden="1"/>
    <cellStyle name="Followed Hyperlink" xfId="2301" builtinId="9" hidden="1"/>
    <cellStyle name="Followed Hyperlink" xfId="2303" builtinId="9" hidden="1"/>
    <cellStyle name="Followed Hyperlink" xfId="2305" builtinId="9" hidden="1"/>
    <cellStyle name="Followed Hyperlink" xfId="2307" builtinId="9" hidden="1"/>
    <cellStyle name="Followed Hyperlink" xfId="2309" builtinId="9" hidden="1"/>
    <cellStyle name="Followed Hyperlink" xfId="2311" builtinId="9" hidden="1"/>
    <cellStyle name="Followed Hyperlink" xfId="2313" builtinId="9" hidden="1"/>
    <cellStyle name="Followed Hyperlink" xfId="2315" builtinId="9" hidden="1"/>
    <cellStyle name="Followed Hyperlink" xfId="2317" builtinId="9" hidden="1"/>
    <cellStyle name="Followed Hyperlink" xfId="2319" builtinId="9" hidden="1"/>
    <cellStyle name="Followed Hyperlink" xfId="2321" builtinId="9" hidden="1"/>
    <cellStyle name="Followed Hyperlink" xfId="2323" builtinId="9" hidden="1"/>
    <cellStyle name="Followed Hyperlink" xfId="2325" builtinId="9" hidden="1"/>
    <cellStyle name="Followed Hyperlink" xfId="2327" builtinId="9" hidden="1"/>
    <cellStyle name="Followed Hyperlink" xfId="2329" builtinId="9" hidden="1"/>
    <cellStyle name="Followed Hyperlink" xfId="2331" builtinId="9" hidden="1"/>
    <cellStyle name="Followed Hyperlink" xfId="2333" builtinId="9" hidden="1"/>
    <cellStyle name="Followed Hyperlink" xfId="2335" builtinId="9" hidden="1"/>
    <cellStyle name="Followed Hyperlink" xfId="2337" builtinId="9" hidden="1"/>
    <cellStyle name="Followed Hyperlink" xfId="2339" builtinId="9" hidden="1"/>
    <cellStyle name="Followed Hyperlink" xfId="2341" builtinId="9" hidden="1"/>
    <cellStyle name="Followed Hyperlink" xfId="2343" builtinId="9" hidden="1"/>
    <cellStyle name="Followed Hyperlink" xfId="2345" builtinId="9" hidden="1"/>
    <cellStyle name="Followed Hyperlink" xfId="2347" builtinId="9" hidden="1"/>
    <cellStyle name="Followed Hyperlink" xfId="2349" builtinId="9" hidden="1"/>
    <cellStyle name="Followed Hyperlink" xfId="2351" builtinId="9" hidden="1"/>
    <cellStyle name="Followed Hyperlink" xfId="2353" builtinId="9" hidden="1"/>
    <cellStyle name="Followed Hyperlink" xfId="2355" builtinId="9" hidden="1"/>
    <cellStyle name="Followed Hyperlink" xfId="2357" builtinId="9" hidden="1"/>
    <cellStyle name="Followed Hyperlink" xfId="2359" builtinId="9" hidden="1"/>
    <cellStyle name="Followed Hyperlink" xfId="2361" builtinId="9" hidden="1"/>
    <cellStyle name="Followed Hyperlink" xfId="2363" builtinId="9" hidden="1"/>
    <cellStyle name="Followed Hyperlink" xfId="2365" builtinId="9" hidden="1"/>
    <cellStyle name="Followed Hyperlink" xfId="2367" builtinId="9" hidden="1"/>
    <cellStyle name="Followed Hyperlink" xfId="2369" builtinId="9" hidden="1"/>
    <cellStyle name="Followed Hyperlink" xfId="2371" builtinId="9" hidden="1"/>
    <cellStyle name="Followed Hyperlink" xfId="2373" builtinId="9" hidden="1"/>
    <cellStyle name="Followed Hyperlink" xfId="2375" builtinId="9" hidden="1"/>
    <cellStyle name="Followed Hyperlink" xfId="2377" builtinId="9" hidden="1"/>
    <cellStyle name="Followed Hyperlink" xfId="2379" builtinId="9" hidden="1"/>
    <cellStyle name="Followed Hyperlink" xfId="2381" builtinId="9" hidden="1"/>
    <cellStyle name="Followed Hyperlink" xfId="2383" builtinId="9" hidden="1"/>
    <cellStyle name="Followed Hyperlink" xfId="2385" builtinId="9" hidden="1"/>
    <cellStyle name="Followed Hyperlink" xfId="2387" builtinId="9" hidden="1"/>
    <cellStyle name="Followed Hyperlink" xfId="2389" builtinId="9" hidden="1"/>
    <cellStyle name="Followed Hyperlink" xfId="2391" builtinId="9" hidden="1"/>
    <cellStyle name="Followed Hyperlink" xfId="2393" builtinId="9" hidden="1"/>
    <cellStyle name="Followed Hyperlink" xfId="2395" builtinId="9" hidden="1"/>
    <cellStyle name="Followed Hyperlink" xfId="2397" builtinId="9" hidden="1"/>
    <cellStyle name="Followed Hyperlink" xfId="2399" builtinId="9" hidden="1"/>
    <cellStyle name="Followed Hyperlink" xfId="2401" builtinId="9" hidden="1"/>
    <cellStyle name="Followed Hyperlink" xfId="2403" builtinId="9" hidden="1"/>
    <cellStyle name="Followed Hyperlink" xfId="2405" builtinId="9" hidden="1"/>
    <cellStyle name="Followed Hyperlink" xfId="2407" builtinId="9" hidden="1"/>
    <cellStyle name="Followed Hyperlink" xfId="2409" builtinId="9" hidden="1"/>
    <cellStyle name="Followed Hyperlink" xfId="2411" builtinId="9" hidden="1"/>
    <cellStyle name="Followed Hyperlink" xfId="2413" builtinId="9" hidden="1"/>
    <cellStyle name="Followed Hyperlink" xfId="2415" builtinId="9" hidden="1"/>
    <cellStyle name="Followed Hyperlink" xfId="2417" builtinId="9" hidden="1"/>
    <cellStyle name="Followed Hyperlink" xfId="2419" builtinId="9" hidden="1"/>
    <cellStyle name="Followed Hyperlink" xfId="2421" builtinId="9" hidden="1"/>
    <cellStyle name="Followed Hyperlink" xfId="2423" builtinId="9" hidden="1"/>
    <cellStyle name="Followed Hyperlink" xfId="2425" builtinId="9" hidden="1"/>
    <cellStyle name="Followed Hyperlink" xfId="2427" builtinId="9" hidden="1"/>
    <cellStyle name="Followed Hyperlink" xfId="2429" builtinId="9" hidden="1"/>
    <cellStyle name="Followed Hyperlink" xfId="2431" builtinId="9" hidden="1"/>
    <cellStyle name="Followed Hyperlink" xfId="2433" builtinId="9" hidden="1"/>
    <cellStyle name="Followed Hyperlink" xfId="2435" builtinId="9" hidden="1"/>
    <cellStyle name="Followed Hyperlink" xfId="2437" builtinId="9" hidden="1"/>
    <cellStyle name="Followed Hyperlink" xfId="2439" builtinId="9" hidden="1"/>
    <cellStyle name="Followed Hyperlink" xfId="2441" builtinId="9" hidden="1"/>
    <cellStyle name="Followed Hyperlink" xfId="2443" builtinId="9" hidden="1"/>
    <cellStyle name="Followed Hyperlink" xfId="2445" builtinId="9" hidden="1"/>
    <cellStyle name="Followed Hyperlink" xfId="2447" builtinId="9" hidden="1"/>
    <cellStyle name="Followed Hyperlink" xfId="2449" builtinId="9" hidden="1"/>
    <cellStyle name="Followed Hyperlink" xfId="2451" builtinId="9" hidden="1"/>
    <cellStyle name="Followed Hyperlink" xfId="2453" builtinId="9" hidden="1"/>
    <cellStyle name="Followed Hyperlink" xfId="2455" builtinId="9" hidden="1"/>
    <cellStyle name="Followed Hyperlink" xfId="2457" builtinId="9" hidden="1"/>
    <cellStyle name="Followed Hyperlink" xfId="2459" builtinId="9" hidden="1"/>
    <cellStyle name="Followed Hyperlink" xfId="2461" builtinId="9" hidden="1"/>
    <cellStyle name="Followed Hyperlink" xfId="2463" builtinId="9" hidden="1"/>
    <cellStyle name="Followed Hyperlink" xfId="2465" builtinId="9" hidden="1"/>
    <cellStyle name="Followed Hyperlink" xfId="2467" builtinId="9" hidden="1"/>
    <cellStyle name="Followed Hyperlink" xfId="2469" builtinId="9" hidden="1"/>
    <cellStyle name="Followed Hyperlink" xfId="2471" builtinId="9" hidden="1"/>
    <cellStyle name="Followed Hyperlink" xfId="2473" builtinId="9" hidden="1"/>
    <cellStyle name="Followed Hyperlink" xfId="2475" builtinId="9" hidden="1"/>
    <cellStyle name="Followed Hyperlink" xfId="2477" builtinId="9" hidden="1"/>
    <cellStyle name="Followed Hyperlink" xfId="2479" builtinId="9" hidden="1"/>
    <cellStyle name="Followed Hyperlink" xfId="2481" builtinId="9" hidden="1"/>
    <cellStyle name="Followed Hyperlink" xfId="2483" builtinId="9" hidden="1"/>
    <cellStyle name="Followed Hyperlink" xfId="2485" builtinId="9" hidden="1"/>
    <cellStyle name="Followed Hyperlink" xfId="2487" builtinId="9" hidden="1"/>
    <cellStyle name="Followed Hyperlink" xfId="2489" builtinId="9" hidden="1"/>
    <cellStyle name="Followed Hyperlink" xfId="2491" builtinId="9" hidden="1"/>
    <cellStyle name="Followed Hyperlink" xfId="2493" builtinId="9" hidden="1"/>
    <cellStyle name="Followed Hyperlink" xfId="2495" builtinId="9" hidden="1"/>
    <cellStyle name="Followed Hyperlink" xfId="2497" builtinId="9" hidden="1"/>
    <cellStyle name="Followed Hyperlink" xfId="2499" builtinId="9" hidden="1"/>
    <cellStyle name="Followed Hyperlink" xfId="2501" builtinId="9" hidden="1"/>
    <cellStyle name="Followed Hyperlink" xfId="2503" builtinId="9" hidden="1"/>
    <cellStyle name="Followed Hyperlink" xfId="2505" builtinId="9" hidden="1"/>
    <cellStyle name="Followed Hyperlink" xfId="2507" builtinId="9" hidden="1"/>
    <cellStyle name="Followed Hyperlink" xfId="2509" builtinId="9" hidden="1"/>
    <cellStyle name="Followed Hyperlink" xfId="2511" builtinId="9" hidden="1"/>
    <cellStyle name="Followed Hyperlink" xfId="2513" builtinId="9" hidden="1"/>
    <cellStyle name="Followed Hyperlink" xfId="2515" builtinId="9" hidden="1"/>
    <cellStyle name="Followed Hyperlink" xfId="2517" builtinId="9" hidden="1"/>
    <cellStyle name="Followed Hyperlink" xfId="2519" builtinId="9" hidden="1"/>
    <cellStyle name="Followed Hyperlink" xfId="2521" builtinId="9" hidden="1"/>
    <cellStyle name="Followed Hyperlink" xfId="2523" builtinId="9" hidden="1"/>
    <cellStyle name="Followed Hyperlink" xfId="2525" builtinId="9" hidden="1"/>
    <cellStyle name="Followed Hyperlink" xfId="2527" builtinId="9" hidden="1"/>
    <cellStyle name="Followed Hyperlink" xfId="2529" builtinId="9" hidden="1"/>
    <cellStyle name="Followed Hyperlink" xfId="2531" builtinId="9" hidden="1"/>
    <cellStyle name="Followed Hyperlink" xfId="2533" builtinId="9" hidden="1"/>
    <cellStyle name="Followed Hyperlink" xfId="2535" builtinId="9" hidden="1"/>
    <cellStyle name="Followed Hyperlink" xfId="2537" builtinId="9" hidden="1"/>
    <cellStyle name="Followed Hyperlink" xfId="2539" builtinId="9" hidden="1"/>
    <cellStyle name="Followed Hyperlink" xfId="2541" builtinId="9" hidden="1"/>
    <cellStyle name="Followed Hyperlink" xfId="2543" builtinId="9" hidden="1"/>
    <cellStyle name="Followed Hyperlink" xfId="2545" builtinId="9" hidden="1"/>
    <cellStyle name="Followed Hyperlink" xfId="2547" builtinId="9" hidden="1"/>
    <cellStyle name="Followed Hyperlink" xfId="2549" builtinId="9" hidden="1"/>
    <cellStyle name="Followed Hyperlink" xfId="2551" builtinId="9" hidden="1"/>
    <cellStyle name="Followed Hyperlink" xfId="2553" builtinId="9" hidden="1"/>
    <cellStyle name="Followed Hyperlink" xfId="2555" builtinId="9" hidden="1"/>
    <cellStyle name="Followed Hyperlink" xfId="2557" builtinId="9" hidden="1"/>
    <cellStyle name="Followed Hyperlink" xfId="2559" builtinId="9" hidden="1"/>
    <cellStyle name="Followed Hyperlink" xfId="2561" builtinId="9" hidden="1"/>
    <cellStyle name="Followed Hyperlink" xfId="2563" builtinId="9" hidden="1"/>
    <cellStyle name="Followed Hyperlink" xfId="2565" builtinId="9" hidden="1"/>
    <cellStyle name="Followed Hyperlink" xfId="2567" builtinId="9" hidden="1"/>
    <cellStyle name="Followed Hyperlink" xfId="2569" builtinId="9" hidden="1"/>
    <cellStyle name="Followed Hyperlink" xfId="2571" builtinId="9" hidden="1"/>
    <cellStyle name="Followed Hyperlink" xfId="2573" builtinId="9" hidden="1"/>
    <cellStyle name="Followed Hyperlink" xfId="2575" builtinId="9" hidden="1"/>
    <cellStyle name="Followed Hyperlink" xfId="2577" builtinId="9" hidden="1"/>
    <cellStyle name="Followed Hyperlink" xfId="2579" builtinId="9" hidden="1"/>
    <cellStyle name="Followed Hyperlink" xfId="2581" builtinId="9" hidden="1"/>
    <cellStyle name="Followed Hyperlink" xfId="2583" builtinId="9" hidden="1"/>
    <cellStyle name="Followed Hyperlink" xfId="2585" builtinId="9" hidden="1"/>
    <cellStyle name="Followed Hyperlink" xfId="2587" builtinId="9" hidden="1"/>
    <cellStyle name="Followed Hyperlink" xfId="2589" builtinId="9" hidden="1"/>
    <cellStyle name="Followed Hyperlink" xfId="2591" builtinId="9" hidden="1"/>
    <cellStyle name="Followed Hyperlink" xfId="2593" builtinId="9" hidden="1"/>
    <cellStyle name="Followed Hyperlink" xfId="2595" builtinId="9" hidden="1"/>
    <cellStyle name="Followed Hyperlink" xfId="2597" builtinId="9" hidden="1"/>
    <cellStyle name="Followed Hyperlink" xfId="2599" builtinId="9" hidden="1"/>
    <cellStyle name="Followed Hyperlink" xfId="2601" builtinId="9" hidden="1"/>
    <cellStyle name="Followed Hyperlink" xfId="2603" builtinId="9" hidden="1"/>
    <cellStyle name="Followed Hyperlink" xfId="2605" builtinId="9" hidden="1"/>
    <cellStyle name="Followed Hyperlink" xfId="2607" builtinId="9" hidden="1"/>
    <cellStyle name="Followed Hyperlink" xfId="2609" builtinId="9" hidden="1"/>
    <cellStyle name="Followed Hyperlink" xfId="2611" builtinId="9" hidden="1"/>
    <cellStyle name="Followed Hyperlink" xfId="2613" builtinId="9" hidden="1"/>
    <cellStyle name="Followed Hyperlink" xfId="2615" builtinId="9" hidden="1"/>
    <cellStyle name="Followed Hyperlink" xfId="2617" builtinId="9" hidden="1"/>
    <cellStyle name="Followed Hyperlink" xfId="2619" builtinId="9" hidden="1"/>
    <cellStyle name="Followed Hyperlink" xfId="2621" builtinId="9" hidden="1"/>
    <cellStyle name="Followed Hyperlink" xfId="2623" builtinId="9" hidden="1"/>
    <cellStyle name="Followed Hyperlink" xfId="2625" builtinId="9" hidden="1"/>
    <cellStyle name="Followed Hyperlink" xfId="2627" builtinId="9" hidden="1"/>
    <cellStyle name="Followed Hyperlink" xfId="2629" builtinId="9" hidden="1"/>
    <cellStyle name="Followed Hyperlink" xfId="2631" builtinId="9" hidden="1"/>
    <cellStyle name="Followed Hyperlink" xfId="2633" builtinId="9" hidden="1"/>
    <cellStyle name="Followed Hyperlink" xfId="2635" builtinId="9" hidden="1"/>
    <cellStyle name="Followed Hyperlink" xfId="2637" builtinId="9" hidden="1"/>
    <cellStyle name="Followed Hyperlink" xfId="2639" builtinId="9" hidden="1"/>
    <cellStyle name="Followed Hyperlink" xfId="2641" builtinId="9" hidden="1"/>
    <cellStyle name="Followed Hyperlink" xfId="2643" builtinId="9" hidden="1"/>
    <cellStyle name="Followed Hyperlink" xfId="2645" builtinId="9" hidden="1"/>
    <cellStyle name="Followed Hyperlink" xfId="2647" builtinId="9" hidden="1"/>
    <cellStyle name="Followed Hyperlink" xfId="2649" builtinId="9" hidden="1"/>
    <cellStyle name="Followed Hyperlink" xfId="2651" builtinId="9" hidden="1"/>
    <cellStyle name="Followed Hyperlink" xfId="2653" builtinId="9" hidden="1"/>
    <cellStyle name="Followed Hyperlink" xfId="2655" builtinId="9" hidden="1"/>
    <cellStyle name="Followed Hyperlink" xfId="2657" builtinId="9" hidden="1"/>
    <cellStyle name="Followed Hyperlink" xfId="2659" builtinId="9" hidden="1"/>
    <cellStyle name="Followed Hyperlink" xfId="2661" builtinId="9" hidden="1"/>
    <cellStyle name="Followed Hyperlink" xfId="2663" builtinId="9" hidden="1"/>
    <cellStyle name="Followed Hyperlink" xfId="2666" builtinId="9" hidden="1"/>
    <cellStyle name="Followed Hyperlink" xfId="2668" builtinId="9" hidden="1"/>
    <cellStyle name="Followed Hyperlink" xfId="2670" builtinId="9" hidden="1"/>
    <cellStyle name="Followed Hyperlink" xfId="2672" builtinId="9" hidden="1"/>
    <cellStyle name="Followed Hyperlink" xfId="2674" builtinId="9" hidden="1"/>
    <cellStyle name="Followed Hyperlink" xfId="2676" builtinId="9" hidden="1"/>
    <cellStyle name="Followed Hyperlink" xfId="2678" builtinId="9" hidden="1"/>
    <cellStyle name="Followed Hyperlink" xfId="2680" builtinId="9" hidden="1"/>
    <cellStyle name="Followed Hyperlink" xfId="2682" builtinId="9" hidden="1"/>
    <cellStyle name="Followed Hyperlink" xfId="2684" builtinId="9" hidden="1"/>
    <cellStyle name="Followed Hyperlink" xfId="2686" builtinId="9" hidden="1"/>
    <cellStyle name="Followed Hyperlink" xfId="2688" builtinId="9" hidden="1"/>
    <cellStyle name="Followed Hyperlink" xfId="2690" builtinId="9" hidden="1"/>
    <cellStyle name="Followed Hyperlink" xfId="2692" builtinId="9" hidden="1"/>
    <cellStyle name="Followed Hyperlink" xfId="2694" builtinId="9" hidden="1"/>
    <cellStyle name="Followed Hyperlink" xfId="2696" builtinId="9" hidden="1"/>
    <cellStyle name="Followed Hyperlink" xfId="2698" builtinId="9" hidden="1"/>
    <cellStyle name="Followed Hyperlink" xfId="2700" builtinId="9" hidden="1"/>
    <cellStyle name="Followed Hyperlink" xfId="2702" builtinId="9" hidden="1"/>
    <cellStyle name="Followed Hyperlink" xfId="2704" builtinId="9" hidden="1"/>
    <cellStyle name="Followed Hyperlink" xfId="2706" builtinId="9" hidden="1"/>
    <cellStyle name="Followed Hyperlink" xfId="2708" builtinId="9" hidden="1"/>
    <cellStyle name="Followed Hyperlink" xfId="2710" builtinId="9" hidden="1"/>
    <cellStyle name="Followed Hyperlink" xfId="2712" builtinId="9" hidden="1"/>
    <cellStyle name="Followed Hyperlink" xfId="2714" builtinId="9" hidden="1"/>
    <cellStyle name="Followed Hyperlink" xfId="2716" builtinId="9" hidden="1"/>
    <cellStyle name="Followed Hyperlink" xfId="2718" builtinId="9" hidden="1"/>
    <cellStyle name="Followed Hyperlink" xfId="2720" builtinId="9" hidden="1"/>
    <cellStyle name="Followed Hyperlink" xfId="2722" builtinId="9" hidden="1"/>
    <cellStyle name="Followed Hyperlink" xfId="2724" builtinId="9" hidden="1"/>
    <cellStyle name="Followed Hyperlink" xfId="2726" builtinId="9" hidden="1"/>
    <cellStyle name="Followed Hyperlink" xfId="2728" builtinId="9" hidden="1"/>
    <cellStyle name="Followed Hyperlink" xfId="2730" builtinId="9" hidden="1"/>
    <cellStyle name="Followed Hyperlink" xfId="2732" builtinId="9" hidden="1"/>
    <cellStyle name="Followed Hyperlink" xfId="2734" builtinId="9" hidden="1"/>
    <cellStyle name="Followed Hyperlink" xfId="2736" builtinId="9" hidden="1"/>
    <cellStyle name="Followed Hyperlink" xfId="2738" builtinId="9" hidden="1"/>
    <cellStyle name="Followed Hyperlink" xfId="2740" builtinId="9" hidden="1"/>
    <cellStyle name="Followed Hyperlink" xfId="2742" builtinId="9" hidden="1"/>
    <cellStyle name="Followed Hyperlink" xfId="2744" builtinId="9" hidden="1"/>
    <cellStyle name="Followed Hyperlink" xfId="2746" builtinId="9" hidden="1"/>
    <cellStyle name="Followed Hyperlink" xfId="2748" builtinId="9" hidden="1"/>
    <cellStyle name="Followed Hyperlink" xfId="2750" builtinId="9" hidden="1"/>
    <cellStyle name="Followed Hyperlink" xfId="2752" builtinId="9" hidden="1"/>
    <cellStyle name="Followed Hyperlink" xfId="2754" builtinId="9" hidden="1"/>
    <cellStyle name="Followed Hyperlink" xfId="2756" builtinId="9" hidden="1"/>
    <cellStyle name="Followed Hyperlink" xfId="2758" builtinId="9" hidden="1"/>
    <cellStyle name="Followed Hyperlink" xfId="2760" builtinId="9" hidden="1"/>
    <cellStyle name="Followed Hyperlink" xfId="2762" builtinId="9" hidden="1"/>
    <cellStyle name="Followed Hyperlink" xfId="2764" builtinId="9" hidden="1"/>
    <cellStyle name="Followed Hyperlink" xfId="2766" builtinId="9" hidden="1"/>
    <cellStyle name="Followed Hyperlink" xfId="2768" builtinId="9" hidden="1"/>
    <cellStyle name="Followed Hyperlink" xfId="2770" builtinId="9" hidden="1"/>
    <cellStyle name="Followed Hyperlink" xfId="2772" builtinId="9" hidden="1"/>
    <cellStyle name="Followed Hyperlink" xfId="2774" builtinId="9" hidden="1"/>
    <cellStyle name="Followed Hyperlink" xfId="2776" builtinId="9" hidden="1"/>
    <cellStyle name="Followed Hyperlink" xfId="2778" builtinId="9" hidden="1"/>
    <cellStyle name="Followed Hyperlink" xfId="2780" builtinId="9" hidden="1"/>
    <cellStyle name="Followed Hyperlink" xfId="2782" builtinId="9" hidden="1"/>
    <cellStyle name="Followed Hyperlink" xfId="2784" builtinId="9" hidden="1"/>
    <cellStyle name="Followed Hyperlink" xfId="2786" builtinId="9" hidden="1"/>
    <cellStyle name="Followed Hyperlink" xfId="2788" builtinId="9" hidden="1"/>
    <cellStyle name="Followed Hyperlink" xfId="2790" builtinId="9" hidden="1"/>
    <cellStyle name="Followed Hyperlink" xfId="2792" builtinId="9" hidden="1"/>
    <cellStyle name="Followed Hyperlink" xfId="2794" builtinId="9" hidden="1"/>
    <cellStyle name="Followed Hyperlink" xfId="2796" builtinId="9" hidden="1"/>
    <cellStyle name="Followed Hyperlink" xfId="2798" builtinId="9" hidden="1"/>
    <cellStyle name="Followed Hyperlink" xfId="2800" builtinId="9" hidden="1"/>
    <cellStyle name="Followed Hyperlink" xfId="2802" builtinId="9" hidden="1"/>
    <cellStyle name="Followed Hyperlink" xfId="2804" builtinId="9" hidden="1"/>
    <cellStyle name="Followed Hyperlink" xfId="2806" builtinId="9" hidden="1"/>
    <cellStyle name="Followed Hyperlink" xfId="2808" builtinId="9" hidden="1"/>
    <cellStyle name="Followed Hyperlink" xfId="2810" builtinId="9" hidden="1"/>
    <cellStyle name="Followed Hyperlink" xfId="2812" builtinId="9" hidden="1"/>
    <cellStyle name="Followed Hyperlink" xfId="2814" builtinId="9" hidden="1"/>
    <cellStyle name="Followed Hyperlink" xfId="2816" builtinId="9" hidden="1"/>
    <cellStyle name="Followed Hyperlink" xfId="2818" builtinId="9" hidden="1"/>
    <cellStyle name="Followed Hyperlink" xfId="2820" builtinId="9" hidden="1"/>
    <cellStyle name="Followed Hyperlink" xfId="2822" builtinId="9" hidden="1"/>
    <cellStyle name="Followed Hyperlink" xfId="2824" builtinId="9" hidden="1"/>
    <cellStyle name="Followed Hyperlink" xfId="2826" builtinId="9" hidden="1"/>
    <cellStyle name="Followed Hyperlink" xfId="2828" builtinId="9" hidden="1"/>
    <cellStyle name="Followed Hyperlink" xfId="2830" builtinId="9" hidden="1"/>
    <cellStyle name="Followed Hyperlink" xfId="2832" builtinId="9" hidden="1"/>
    <cellStyle name="Followed Hyperlink" xfId="2834" builtinId="9" hidden="1"/>
    <cellStyle name="Followed Hyperlink" xfId="2836" builtinId="9" hidden="1"/>
    <cellStyle name="Followed Hyperlink" xfId="2838" builtinId="9" hidden="1"/>
    <cellStyle name="Followed Hyperlink" xfId="2840" builtinId="9" hidden="1"/>
    <cellStyle name="Followed Hyperlink" xfId="2842" builtinId="9" hidden="1"/>
    <cellStyle name="Followed Hyperlink" xfId="2844" builtinId="9" hidden="1"/>
    <cellStyle name="Followed Hyperlink" xfId="2846" builtinId="9" hidden="1"/>
    <cellStyle name="Followed Hyperlink" xfId="2848" builtinId="9" hidden="1"/>
    <cellStyle name="Followed Hyperlink" xfId="2850" builtinId="9" hidden="1"/>
    <cellStyle name="Followed Hyperlink" xfId="2852" builtinId="9" hidden="1"/>
    <cellStyle name="Followed Hyperlink" xfId="2854" builtinId="9" hidden="1"/>
    <cellStyle name="Followed Hyperlink" xfId="2856" builtinId="9" hidden="1"/>
    <cellStyle name="Followed Hyperlink" xfId="2858" builtinId="9" hidden="1"/>
    <cellStyle name="Followed Hyperlink" xfId="2860" builtinId="9" hidden="1"/>
    <cellStyle name="Followed Hyperlink" xfId="2862" builtinId="9" hidden="1"/>
    <cellStyle name="Followed Hyperlink" xfId="2864" builtinId="9" hidden="1"/>
    <cellStyle name="Followed Hyperlink" xfId="2866" builtinId="9" hidden="1"/>
    <cellStyle name="Followed Hyperlink" xfId="2868" builtinId="9" hidden="1"/>
    <cellStyle name="Followed Hyperlink" xfId="2870" builtinId="9" hidden="1"/>
    <cellStyle name="Followed Hyperlink" xfId="2872" builtinId="9" hidden="1"/>
    <cellStyle name="Followed Hyperlink" xfId="2874" builtinId="9" hidden="1"/>
    <cellStyle name="Followed Hyperlink" xfId="2876" builtinId="9" hidden="1"/>
    <cellStyle name="Followed Hyperlink" xfId="2878" builtinId="9" hidden="1"/>
    <cellStyle name="Followed Hyperlink" xfId="2880" builtinId="9" hidden="1"/>
    <cellStyle name="Followed Hyperlink" xfId="2882" builtinId="9" hidden="1"/>
    <cellStyle name="Followed Hyperlink" xfId="2884" builtinId="9" hidden="1"/>
    <cellStyle name="Followed Hyperlink" xfId="2886" builtinId="9" hidden="1"/>
    <cellStyle name="Followed Hyperlink" xfId="2888" builtinId="9" hidden="1"/>
    <cellStyle name="Followed Hyperlink" xfId="2890" builtinId="9" hidden="1"/>
    <cellStyle name="Followed Hyperlink" xfId="2892" builtinId="9" hidden="1"/>
    <cellStyle name="Followed Hyperlink" xfId="2894" builtinId="9" hidden="1"/>
    <cellStyle name="Followed Hyperlink" xfId="2896" builtinId="9" hidden="1"/>
    <cellStyle name="Followed Hyperlink" xfId="2898" builtinId="9" hidden="1"/>
    <cellStyle name="Followed Hyperlink" xfId="2900" builtinId="9" hidden="1"/>
    <cellStyle name="Followed Hyperlink" xfId="2902" builtinId="9" hidden="1"/>
    <cellStyle name="Followed Hyperlink" xfId="2904" builtinId="9" hidden="1"/>
    <cellStyle name="Followed Hyperlink" xfId="2906" builtinId="9" hidden="1"/>
    <cellStyle name="Followed Hyperlink" xfId="2908" builtinId="9" hidden="1"/>
    <cellStyle name="Followed Hyperlink" xfId="2910" builtinId="9" hidden="1"/>
    <cellStyle name="Followed Hyperlink" xfId="2912" builtinId="9" hidden="1"/>
    <cellStyle name="Followed Hyperlink" xfId="2914" builtinId="9" hidden="1"/>
    <cellStyle name="Followed Hyperlink" xfId="2916" builtinId="9" hidden="1"/>
    <cellStyle name="Followed Hyperlink" xfId="2918" builtinId="9" hidden="1"/>
    <cellStyle name="Followed Hyperlink" xfId="2920" builtinId="9" hidden="1"/>
    <cellStyle name="Followed Hyperlink" xfId="2922" builtinId="9" hidden="1"/>
    <cellStyle name="Followed Hyperlink" xfId="2924" builtinId="9" hidden="1"/>
    <cellStyle name="Followed Hyperlink" xfId="2926" builtinId="9" hidden="1"/>
    <cellStyle name="Followed Hyperlink" xfId="2928" builtinId="9" hidden="1"/>
    <cellStyle name="Followed Hyperlink" xfId="2930" builtinId="9" hidden="1"/>
    <cellStyle name="Followed Hyperlink" xfId="2932" builtinId="9" hidden="1"/>
    <cellStyle name="Followed Hyperlink" xfId="2934" builtinId="9" hidden="1"/>
    <cellStyle name="Followed Hyperlink" xfId="2936" builtinId="9" hidden="1"/>
    <cellStyle name="Followed Hyperlink" xfId="2938" builtinId="9" hidden="1"/>
    <cellStyle name="Followed Hyperlink" xfId="2940" builtinId="9" hidden="1"/>
    <cellStyle name="Followed Hyperlink" xfId="2942" builtinId="9" hidden="1"/>
    <cellStyle name="Followed Hyperlink" xfId="2944" builtinId="9" hidden="1"/>
    <cellStyle name="Followed Hyperlink" xfId="2946" builtinId="9" hidden="1"/>
    <cellStyle name="Followed Hyperlink" xfId="2948" builtinId="9" hidden="1"/>
    <cellStyle name="Followed Hyperlink" xfId="2950" builtinId="9" hidden="1"/>
    <cellStyle name="Followed Hyperlink" xfId="2952" builtinId="9" hidden="1"/>
    <cellStyle name="Followed Hyperlink" xfId="2954" builtinId="9" hidden="1"/>
    <cellStyle name="Followed Hyperlink" xfId="2956" builtinId="9" hidden="1"/>
    <cellStyle name="Followed Hyperlink" xfId="2958" builtinId="9" hidden="1"/>
    <cellStyle name="Followed Hyperlink" xfId="2960" builtinId="9" hidden="1"/>
    <cellStyle name="Followed Hyperlink" xfId="2962" builtinId="9" hidden="1"/>
    <cellStyle name="Followed Hyperlink" xfId="2964" builtinId="9" hidden="1"/>
    <cellStyle name="Followed Hyperlink" xfId="2966" builtinId="9" hidden="1"/>
    <cellStyle name="Followed Hyperlink" xfId="2968" builtinId="9" hidden="1"/>
    <cellStyle name="Followed Hyperlink" xfId="2970" builtinId="9" hidden="1"/>
    <cellStyle name="Followed Hyperlink" xfId="2972" builtinId="9" hidden="1"/>
    <cellStyle name="Followed Hyperlink" xfId="2974" builtinId="9" hidden="1"/>
    <cellStyle name="Followed Hyperlink" xfId="2976" builtinId="9" hidden="1"/>
    <cellStyle name="Followed Hyperlink" xfId="2978" builtinId="9" hidden="1"/>
    <cellStyle name="Followed Hyperlink" xfId="2980" builtinId="9" hidden="1"/>
    <cellStyle name="Followed Hyperlink" xfId="2982" builtinId="9" hidden="1"/>
    <cellStyle name="Followed Hyperlink" xfId="2984" builtinId="9" hidden="1"/>
    <cellStyle name="Followed Hyperlink" xfId="2986" builtinId="9" hidden="1"/>
    <cellStyle name="Followed Hyperlink" xfId="2988" builtinId="9" hidden="1"/>
    <cellStyle name="Followed Hyperlink" xfId="2990" builtinId="9" hidden="1"/>
    <cellStyle name="Followed Hyperlink" xfId="2992" builtinId="9" hidden="1"/>
    <cellStyle name="Followed Hyperlink" xfId="2994" builtinId="9" hidden="1"/>
    <cellStyle name="Followed Hyperlink" xfId="2996" builtinId="9" hidden="1"/>
    <cellStyle name="Followed Hyperlink" xfId="2998" builtinId="9" hidden="1"/>
    <cellStyle name="Followed Hyperlink" xfId="3000" builtinId="9" hidden="1"/>
    <cellStyle name="Followed Hyperlink" xfId="3002" builtinId="9" hidden="1"/>
    <cellStyle name="Followed Hyperlink" xfId="3004" builtinId="9" hidden="1"/>
    <cellStyle name="Followed Hyperlink" xfId="3006" builtinId="9" hidden="1"/>
    <cellStyle name="Followed Hyperlink" xfId="3008" builtinId="9" hidden="1"/>
    <cellStyle name="Followed Hyperlink" xfId="3010" builtinId="9" hidden="1"/>
    <cellStyle name="Followed Hyperlink" xfId="3012" builtinId="9" hidden="1"/>
    <cellStyle name="Followed Hyperlink" xfId="3014" builtinId="9" hidden="1"/>
    <cellStyle name="Followed Hyperlink" xfId="3016" builtinId="9" hidden="1"/>
    <cellStyle name="Followed Hyperlink" xfId="3018" builtinId="9" hidden="1"/>
    <cellStyle name="Followed Hyperlink" xfId="3020" builtinId="9" hidden="1"/>
    <cellStyle name="Followed Hyperlink" xfId="3022" builtinId="9" hidden="1"/>
    <cellStyle name="Followed Hyperlink" xfId="3024" builtinId="9" hidden="1"/>
    <cellStyle name="Followed Hyperlink" xfId="3026" builtinId="9" hidden="1"/>
    <cellStyle name="Followed Hyperlink" xfId="3028" builtinId="9" hidden="1"/>
    <cellStyle name="Followed Hyperlink" xfId="3030" builtinId="9" hidden="1"/>
    <cellStyle name="Followed Hyperlink" xfId="3032" builtinId="9" hidden="1"/>
    <cellStyle name="Followed Hyperlink" xfId="3034" builtinId="9" hidden="1"/>
    <cellStyle name="Followed Hyperlink" xfId="3036" builtinId="9" hidden="1"/>
    <cellStyle name="Followed Hyperlink" xfId="3038" builtinId="9" hidden="1"/>
    <cellStyle name="Followed Hyperlink" xfId="3040" builtinId="9" hidden="1"/>
    <cellStyle name="Followed Hyperlink" xfId="3042" builtinId="9" hidden="1"/>
    <cellStyle name="Followed Hyperlink" xfId="3044" builtinId="9" hidden="1"/>
    <cellStyle name="Followed Hyperlink" xfId="3046" builtinId="9" hidden="1"/>
    <cellStyle name="Followed Hyperlink" xfId="3048" builtinId="9" hidden="1"/>
    <cellStyle name="Followed Hyperlink" xfId="3050" builtinId="9" hidden="1"/>
    <cellStyle name="Followed Hyperlink" xfId="3052" builtinId="9" hidden="1"/>
    <cellStyle name="Followed Hyperlink" xfId="3054" builtinId="9" hidden="1"/>
    <cellStyle name="Followed Hyperlink" xfId="3056" builtinId="9" hidden="1"/>
    <cellStyle name="Followed Hyperlink" xfId="3058" builtinId="9" hidden="1"/>
    <cellStyle name="Followed Hyperlink" xfId="3060" builtinId="9" hidden="1"/>
    <cellStyle name="Followed Hyperlink" xfId="3062" builtinId="9" hidden="1"/>
    <cellStyle name="Followed Hyperlink" xfId="3064" builtinId="9" hidden="1"/>
    <cellStyle name="Followed Hyperlink" xfId="3066" builtinId="9" hidden="1"/>
    <cellStyle name="Followed Hyperlink" xfId="3068" builtinId="9" hidden="1"/>
    <cellStyle name="Followed Hyperlink" xfId="3070" builtinId="9" hidden="1"/>
    <cellStyle name="Followed Hyperlink" xfId="3072" builtinId="9" hidden="1"/>
    <cellStyle name="Followed Hyperlink" xfId="3074" builtinId="9" hidden="1"/>
    <cellStyle name="Followed Hyperlink" xfId="3076" builtinId="9" hidden="1"/>
    <cellStyle name="Followed Hyperlink" xfId="3078" builtinId="9" hidden="1"/>
    <cellStyle name="Followed Hyperlink" xfId="3080" builtinId="9" hidden="1"/>
    <cellStyle name="Followed Hyperlink" xfId="3082" builtinId="9" hidden="1"/>
    <cellStyle name="Followed Hyperlink" xfId="3084" builtinId="9" hidden="1"/>
    <cellStyle name="Followed Hyperlink" xfId="3086" builtinId="9" hidden="1"/>
    <cellStyle name="Followed Hyperlink" xfId="3088" builtinId="9" hidden="1"/>
    <cellStyle name="Followed Hyperlink" xfId="3090" builtinId="9" hidden="1"/>
    <cellStyle name="Followed Hyperlink" xfId="3092" builtinId="9" hidden="1"/>
    <cellStyle name="Followed Hyperlink" xfId="3094" builtinId="9" hidden="1"/>
    <cellStyle name="Followed Hyperlink" xfId="3096" builtinId="9" hidden="1"/>
    <cellStyle name="Followed Hyperlink" xfId="3098" builtinId="9" hidden="1"/>
    <cellStyle name="Followed Hyperlink" xfId="3100" builtinId="9" hidden="1"/>
    <cellStyle name="Followed Hyperlink" xfId="3102" builtinId="9" hidden="1"/>
    <cellStyle name="Followed Hyperlink" xfId="3104" builtinId="9" hidden="1"/>
    <cellStyle name="Followed Hyperlink" xfId="3106" builtinId="9" hidden="1"/>
    <cellStyle name="Followed Hyperlink" xfId="3108" builtinId="9" hidden="1"/>
    <cellStyle name="Followed Hyperlink" xfId="3110" builtinId="9" hidden="1"/>
    <cellStyle name="Followed Hyperlink" xfId="3112" builtinId="9" hidden="1"/>
    <cellStyle name="Followed Hyperlink" xfId="3114" builtinId="9" hidden="1"/>
    <cellStyle name="Followed Hyperlink" xfId="3116" builtinId="9" hidden="1"/>
    <cellStyle name="Followed Hyperlink" xfId="3118" builtinId="9" hidden="1"/>
    <cellStyle name="Followed Hyperlink" xfId="3120" builtinId="9" hidden="1"/>
    <cellStyle name="Followed Hyperlink" xfId="3122" builtinId="9" hidden="1"/>
    <cellStyle name="Followed Hyperlink" xfId="3124" builtinId="9" hidden="1"/>
    <cellStyle name="Followed Hyperlink" xfId="3126" builtinId="9" hidden="1"/>
    <cellStyle name="Followed Hyperlink" xfId="3128" builtinId="9" hidden="1"/>
    <cellStyle name="Followed Hyperlink" xfId="3130" builtinId="9" hidden="1"/>
    <cellStyle name="Followed Hyperlink" xfId="3132" builtinId="9" hidden="1"/>
    <cellStyle name="Followed Hyperlink" xfId="3134" builtinId="9" hidden="1"/>
    <cellStyle name="Followed Hyperlink" xfId="3136" builtinId="9" hidden="1"/>
    <cellStyle name="Followed Hyperlink" xfId="3138" builtinId="9" hidden="1"/>
    <cellStyle name="Followed Hyperlink" xfId="3140" builtinId="9" hidden="1"/>
    <cellStyle name="Followed Hyperlink" xfId="3142" builtinId="9" hidden="1"/>
    <cellStyle name="Followed Hyperlink" xfId="3144" builtinId="9" hidden="1"/>
    <cellStyle name="Followed Hyperlink" xfId="3146" builtinId="9" hidden="1"/>
    <cellStyle name="Followed Hyperlink" xfId="3148" builtinId="9" hidden="1"/>
    <cellStyle name="Followed Hyperlink" xfId="3150" builtinId="9" hidden="1"/>
    <cellStyle name="Followed Hyperlink" xfId="3152" builtinId="9" hidden="1"/>
    <cellStyle name="Followed Hyperlink" xfId="3154" builtinId="9" hidden="1"/>
    <cellStyle name="Followed Hyperlink" xfId="3156" builtinId="9" hidden="1"/>
    <cellStyle name="Followed Hyperlink" xfId="3158" builtinId="9" hidden="1"/>
    <cellStyle name="Followed Hyperlink" xfId="3160" builtinId="9" hidden="1"/>
    <cellStyle name="Followed Hyperlink" xfId="3162" builtinId="9" hidden="1"/>
    <cellStyle name="Followed Hyperlink" xfId="3164" builtinId="9" hidden="1"/>
    <cellStyle name="Followed Hyperlink" xfId="3166" builtinId="9" hidden="1"/>
    <cellStyle name="Followed Hyperlink" xfId="3168" builtinId="9" hidden="1"/>
    <cellStyle name="Followed Hyperlink" xfId="3170" builtinId="9" hidden="1"/>
    <cellStyle name="Followed Hyperlink" xfId="3172" builtinId="9" hidden="1"/>
    <cellStyle name="Followed Hyperlink" xfId="3174" builtinId="9" hidden="1"/>
    <cellStyle name="Followed Hyperlink" xfId="3176" builtinId="9" hidden="1"/>
    <cellStyle name="Followed Hyperlink" xfId="3178" builtinId="9" hidden="1"/>
    <cellStyle name="Followed Hyperlink" xfId="3180" builtinId="9" hidden="1"/>
    <cellStyle name="Followed Hyperlink" xfId="3182" builtinId="9" hidden="1"/>
    <cellStyle name="Followed Hyperlink" xfId="3184" builtinId="9" hidden="1"/>
    <cellStyle name="Followed Hyperlink" xfId="3186" builtinId="9" hidden="1"/>
    <cellStyle name="Followed Hyperlink" xfId="3188" builtinId="9" hidden="1"/>
    <cellStyle name="Followed Hyperlink" xfId="3190" builtinId="9" hidden="1"/>
    <cellStyle name="Followed Hyperlink" xfId="3192" builtinId="9" hidden="1"/>
    <cellStyle name="Followed Hyperlink" xfId="3194" builtinId="9" hidden="1"/>
    <cellStyle name="Followed Hyperlink" xfId="3196" builtinId="9" hidden="1"/>
    <cellStyle name="Followed Hyperlink" xfId="3198" builtinId="9" hidden="1"/>
    <cellStyle name="Followed Hyperlink" xfId="3200" builtinId="9" hidden="1"/>
    <cellStyle name="Followed Hyperlink" xfId="3202" builtinId="9" hidden="1"/>
    <cellStyle name="Followed Hyperlink" xfId="3204" builtinId="9" hidden="1"/>
    <cellStyle name="Followed Hyperlink" xfId="3206" builtinId="9" hidden="1"/>
    <cellStyle name="Followed Hyperlink" xfId="3208" builtinId="9" hidden="1"/>
    <cellStyle name="Followed Hyperlink" xfId="3210" builtinId="9" hidden="1"/>
    <cellStyle name="Followed Hyperlink" xfId="3212" builtinId="9" hidden="1"/>
    <cellStyle name="Followed Hyperlink" xfId="3214" builtinId="9" hidden="1"/>
    <cellStyle name="Followed Hyperlink" xfId="3216" builtinId="9" hidden="1"/>
    <cellStyle name="Followed Hyperlink" xfId="3218" builtinId="9" hidden="1"/>
    <cellStyle name="Followed Hyperlink" xfId="3220" builtinId="9" hidden="1"/>
    <cellStyle name="Followed Hyperlink" xfId="3222" builtinId="9" hidden="1"/>
    <cellStyle name="Followed Hyperlink" xfId="3224" builtinId="9" hidden="1"/>
    <cellStyle name="Followed Hyperlink" xfId="3226" builtinId="9" hidden="1"/>
    <cellStyle name="Followed Hyperlink" xfId="3228" builtinId="9" hidden="1"/>
    <cellStyle name="Followed Hyperlink" xfId="3230" builtinId="9" hidden="1"/>
    <cellStyle name="Followed Hyperlink" xfId="3232" builtinId="9" hidden="1"/>
    <cellStyle name="Followed Hyperlink" xfId="3234" builtinId="9" hidden="1"/>
    <cellStyle name="Followed Hyperlink" xfId="3236" builtinId="9" hidden="1"/>
    <cellStyle name="Followed Hyperlink" xfId="3238" builtinId="9" hidden="1"/>
    <cellStyle name="Followed Hyperlink" xfId="3240" builtinId="9" hidden="1"/>
    <cellStyle name="Followed Hyperlink" xfId="3242" builtinId="9" hidden="1"/>
    <cellStyle name="Followed Hyperlink" xfId="3244" builtinId="9" hidden="1"/>
    <cellStyle name="Followed Hyperlink" xfId="3246" builtinId="9" hidden="1"/>
    <cellStyle name="Followed Hyperlink" xfId="3248" builtinId="9" hidden="1"/>
    <cellStyle name="Followed Hyperlink" xfId="3250" builtinId="9" hidden="1"/>
    <cellStyle name="Followed Hyperlink" xfId="3252" builtinId="9" hidden="1"/>
    <cellStyle name="Followed Hyperlink" xfId="3254" builtinId="9" hidden="1"/>
    <cellStyle name="Followed Hyperlink" xfId="3256" builtinId="9" hidden="1"/>
    <cellStyle name="Followed Hyperlink" xfId="3258" builtinId="9" hidden="1"/>
    <cellStyle name="Followed Hyperlink" xfId="3260" builtinId="9" hidden="1"/>
    <cellStyle name="Followed Hyperlink" xfId="3262" builtinId="9" hidden="1"/>
    <cellStyle name="Followed Hyperlink" xfId="3264" builtinId="9" hidden="1"/>
    <cellStyle name="Followed Hyperlink" xfId="3266" builtinId="9" hidden="1"/>
    <cellStyle name="Followed Hyperlink" xfId="3268" builtinId="9" hidden="1"/>
    <cellStyle name="Followed Hyperlink" xfId="3270" builtinId="9" hidden="1"/>
    <cellStyle name="Followed Hyperlink" xfId="3272" builtinId="9" hidden="1"/>
    <cellStyle name="Followed Hyperlink" xfId="3274" builtinId="9" hidden="1"/>
    <cellStyle name="Followed Hyperlink" xfId="3276" builtinId="9" hidden="1"/>
    <cellStyle name="Followed Hyperlink" xfId="3278" builtinId="9" hidden="1"/>
    <cellStyle name="Followed Hyperlink" xfId="3280" builtinId="9" hidden="1"/>
    <cellStyle name="Followed Hyperlink" xfId="3282" builtinId="9" hidden="1"/>
    <cellStyle name="Followed Hyperlink" xfId="3284" builtinId="9" hidden="1"/>
    <cellStyle name="Followed Hyperlink" xfId="3286" builtinId="9" hidden="1"/>
    <cellStyle name="Followed Hyperlink" xfId="3288" builtinId="9" hidden="1"/>
    <cellStyle name="Followed Hyperlink" xfId="3290" builtinId="9" hidden="1"/>
    <cellStyle name="Followed Hyperlink" xfId="3292" builtinId="9" hidden="1"/>
    <cellStyle name="Followed Hyperlink" xfId="3294" builtinId="9" hidden="1"/>
    <cellStyle name="Followed Hyperlink" xfId="3296" builtinId="9" hidden="1"/>
    <cellStyle name="Followed Hyperlink" xfId="3298" builtinId="9" hidden="1"/>
    <cellStyle name="Followed Hyperlink" xfId="3300" builtinId="9" hidden="1"/>
    <cellStyle name="Followed Hyperlink" xfId="3302" builtinId="9" hidden="1"/>
    <cellStyle name="Followed Hyperlink" xfId="3304" builtinId="9" hidden="1"/>
    <cellStyle name="Followed Hyperlink" xfId="3306" builtinId="9" hidden="1"/>
    <cellStyle name="Followed Hyperlink" xfId="3308" builtinId="9" hidden="1"/>
    <cellStyle name="Followed Hyperlink" xfId="3310" builtinId="9" hidden="1"/>
    <cellStyle name="Followed Hyperlink" xfId="3312" builtinId="9" hidden="1"/>
    <cellStyle name="Followed Hyperlink" xfId="3314" builtinId="9" hidden="1"/>
    <cellStyle name="Followed Hyperlink" xfId="3316" builtinId="9" hidden="1"/>
    <cellStyle name="Followed Hyperlink" xfId="3318" builtinId="9" hidden="1"/>
    <cellStyle name="Followed Hyperlink" xfId="3320" builtinId="9" hidden="1"/>
    <cellStyle name="Followed Hyperlink" xfId="3322" builtinId="9" hidden="1"/>
    <cellStyle name="Followed Hyperlink" xfId="3324" builtinId="9" hidden="1"/>
    <cellStyle name="Followed Hyperlink" xfId="3326" builtinId="9" hidden="1"/>
    <cellStyle name="Followed Hyperlink" xfId="3328" builtinId="9" hidden="1"/>
    <cellStyle name="Followed Hyperlink" xfId="3330" builtinId="9" hidden="1"/>
    <cellStyle name="Followed Hyperlink" xfId="3332" builtinId="9" hidden="1"/>
    <cellStyle name="Followed Hyperlink" xfId="3334" builtinId="9" hidden="1"/>
    <cellStyle name="Followed Hyperlink" xfId="3336" builtinId="9" hidden="1"/>
    <cellStyle name="Followed Hyperlink" xfId="3338" builtinId="9" hidden="1"/>
    <cellStyle name="Followed Hyperlink" xfId="3340" builtinId="9" hidden="1"/>
    <cellStyle name="Followed Hyperlink" xfId="3342" builtinId="9" hidden="1"/>
    <cellStyle name="Followed Hyperlink" xfId="3344" builtinId="9" hidden="1"/>
    <cellStyle name="Followed Hyperlink" xfId="3346" builtinId="9" hidden="1"/>
    <cellStyle name="Followed Hyperlink" xfId="3348" builtinId="9" hidden="1"/>
    <cellStyle name="Followed Hyperlink" xfId="3350" builtinId="9" hidden="1"/>
    <cellStyle name="Followed Hyperlink" xfId="3352" builtinId="9" hidden="1"/>
    <cellStyle name="Followed Hyperlink" xfId="3354" builtinId="9" hidden="1"/>
    <cellStyle name="Followed Hyperlink" xfId="3356" builtinId="9" hidden="1"/>
    <cellStyle name="Followed Hyperlink" xfId="3358" builtinId="9" hidden="1"/>
    <cellStyle name="Followed Hyperlink" xfId="3360" builtinId="9" hidden="1"/>
    <cellStyle name="Followed Hyperlink" xfId="3362" builtinId="9" hidden="1"/>
    <cellStyle name="Followed Hyperlink" xfId="3364" builtinId="9" hidden="1"/>
    <cellStyle name="Followed Hyperlink" xfId="3366" builtinId="9" hidden="1"/>
    <cellStyle name="Followed Hyperlink" xfId="3368" builtinId="9" hidden="1"/>
    <cellStyle name="Followed Hyperlink" xfId="3370" builtinId="9" hidden="1"/>
    <cellStyle name="Followed Hyperlink" xfId="3372" builtinId="9" hidden="1"/>
    <cellStyle name="Followed Hyperlink" xfId="3374" builtinId="9" hidden="1"/>
    <cellStyle name="Followed Hyperlink" xfId="3376" builtinId="9" hidden="1"/>
    <cellStyle name="Followed Hyperlink" xfId="3378" builtinId="9" hidden="1"/>
    <cellStyle name="Followed Hyperlink" xfId="3380" builtinId="9" hidden="1"/>
    <cellStyle name="Followed Hyperlink" xfId="3382" builtinId="9" hidden="1"/>
    <cellStyle name="Followed Hyperlink" xfId="3384" builtinId="9" hidden="1"/>
    <cellStyle name="Followed Hyperlink" xfId="3386" builtinId="9" hidden="1"/>
    <cellStyle name="Followed Hyperlink" xfId="3388" builtinId="9" hidden="1"/>
    <cellStyle name="Followed Hyperlink" xfId="3390" builtinId="9" hidden="1"/>
    <cellStyle name="Followed Hyperlink" xfId="3392" builtinId="9" hidden="1"/>
    <cellStyle name="Followed Hyperlink" xfId="3394" builtinId="9" hidden="1"/>
    <cellStyle name="Followed Hyperlink" xfId="3396" builtinId="9" hidden="1"/>
    <cellStyle name="Followed Hyperlink" xfId="3398" builtinId="9" hidden="1"/>
    <cellStyle name="Followed Hyperlink" xfId="3400" builtinId="9" hidden="1"/>
    <cellStyle name="Followed Hyperlink" xfId="3402" builtinId="9" hidden="1"/>
    <cellStyle name="Followed Hyperlink" xfId="3404" builtinId="9" hidden="1"/>
    <cellStyle name="Followed Hyperlink" xfId="3406" builtinId="9" hidden="1"/>
    <cellStyle name="Followed Hyperlink" xfId="3408" builtinId="9" hidden="1"/>
    <cellStyle name="Followed Hyperlink" xfId="3410" builtinId="9" hidden="1"/>
    <cellStyle name="Followed Hyperlink" xfId="3412" builtinId="9" hidden="1"/>
    <cellStyle name="Followed Hyperlink" xfId="3414" builtinId="9" hidden="1"/>
    <cellStyle name="Followed Hyperlink" xfId="3416" builtinId="9" hidden="1"/>
    <cellStyle name="Followed Hyperlink" xfId="3418" builtinId="9" hidden="1"/>
    <cellStyle name="Followed Hyperlink" xfId="3420" builtinId="9" hidden="1"/>
    <cellStyle name="Followed Hyperlink" xfId="3422" builtinId="9" hidden="1"/>
    <cellStyle name="Followed Hyperlink" xfId="3424" builtinId="9" hidden="1"/>
    <cellStyle name="Followed Hyperlink" xfId="3426" builtinId="9" hidden="1"/>
    <cellStyle name="Followed Hyperlink" xfId="3428" builtinId="9" hidden="1"/>
    <cellStyle name="Followed Hyperlink" xfId="3430" builtinId="9" hidden="1"/>
    <cellStyle name="Followed Hyperlink" xfId="3432" builtinId="9" hidden="1"/>
    <cellStyle name="Followed Hyperlink" xfId="3434" builtinId="9" hidden="1"/>
    <cellStyle name="Followed Hyperlink" xfId="3436" builtinId="9" hidden="1"/>
    <cellStyle name="Followed Hyperlink" xfId="3438" builtinId="9" hidden="1"/>
    <cellStyle name="Followed Hyperlink" xfId="3440" builtinId="9" hidden="1"/>
    <cellStyle name="Followed Hyperlink" xfId="3442" builtinId="9" hidden="1"/>
    <cellStyle name="Followed Hyperlink" xfId="3444" builtinId="9" hidden="1"/>
    <cellStyle name="Followed Hyperlink" xfId="3446" builtinId="9" hidden="1"/>
    <cellStyle name="Followed Hyperlink" xfId="3448" builtinId="9" hidden="1"/>
    <cellStyle name="Followed Hyperlink" xfId="3450" builtinId="9" hidden="1"/>
    <cellStyle name="Followed Hyperlink" xfId="3452" builtinId="9" hidden="1"/>
    <cellStyle name="Followed Hyperlink" xfId="3454" builtinId="9" hidden="1"/>
    <cellStyle name="Followed Hyperlink" xfId="3456" builtinId="9" hidden="1"/>
    <cellStyle name="Followed Hyperlink" xfId="3458" builtinId="9" hidden="1"/>
    <cellStyle name="Followed Hyperlink" xfId="3460" builtinId="9" hidden="1"/>
    <cellStyle name="Followed Hyperlink" xfId="3462" builtinId="9" hidden="1"/>
    <cellStyle name="Followed Hyperlink" xfId="3464" builtinId="9" hidden="1"/>
    <cellStyle name="Followed Hyperlink" xfId="3466" builtinId="9" hidden="1"/>
    <cellStyle name="Followed Hyperlink" xfId="3468" builtinId="9" hidden="1"/>
    <cellStyle name="Followed Hyperlink" xfId="3470" builtinId="9" hidden="1"/>
    <cellStyle name="Followed Hyperlink" xfId="3472" builtinId="9" hidden="1"/>
    <cellStyle name="Followed Hyperlink" xfId="3474" builtinId="9" hidden="1"/>
    <cellStyle name="Followed Hyperlink" xfId="3476" builtinId="9" hidden="1"/>
    <cellStyle name="Followed Hyperlink" xfId="3478" builtinId="9" hidden="1"/>
    <cellStyle name="Followed Hyperlink" xfId="3480" builtinId="9" hidden="1"/>
    <cellStyle name="Followed Hyperlink" xfId="3482" builtinId="9" hidden="1"/>
    <cellStyle name="Followed Hyperlink" xfId="3484" builtinId="9" hidden="1"/>
    <cellStyle name="Followed Hyperlink" xfId="3486" builtinId="9" hidden="1"/>
    <cellStyle name="Followed Hyperlink" xfId="3488" builtinId="9" hidden="1"/>
    <cellStyle name="Followed Hyperlink" xfId="3490" builtinId="9" hidden="1"/>
    <cellStyle name="Followed Hyperlink" xfId="3492" builtinId="9" hidden="1"/>
    <cellStyle name="Followed Hyperlink" xfId="3494" builtinId="9" hidden="1"/>
    <cellStyle name="Followed Hyperlink" xfId="3496" builtinId="9" hidden="1"/>
    <cellStyle name="Followed Hyperlink" xfId="3498" builtinId="9" hidden="1"/>
    <cellStyle name="Followed Hyperlink" xfId="3500" builtinId="9" hidden="1"/>
    <cellStyle name="Followed Hyperlink" xfId="3502" builtinId="9" hidden="1"/>
    <cellStyle name="Followed Hyperlink" xfId="3504" builtinId="9" hidden="1"/>
    <cellStyle name="Followed Hyperlink" xfId="3506" builtinId="9" hidden="1"/>
    <cellStyle name="Followed Hyperlink" xfId="3508" builtinId="9" hidden="1"/>
    <cellStyle name="Followed Hyperlink" xfId="3510" builtinId="9" hidden="1"/>
    <cellStyle name="Followed Hyperlink" xfId="3512" builtinId="9" hidden="1"/>
    <cellStyle name="Followed Hyperlink" xfId="3514" builtinId="9" hidden="1"/>
    <cellStyle name="Followed Hyperlink" xfId="3516" builtinId="9" hidden="1"/>
    <cellStyle name="Followed Hyperlink" xfId="3518" builtinId="9" hidden="1"/>
    <cellStyle name="Followed Hyperlink" xfId="3520" builtinId="9" hidden="1"/>
    <cellStyle name="Followed Hyperlink" xfId="3522" builtinId="9" hidden="1"/>
    <cellStyle name="Followed Hyperlink" xfId="3524" builtinId="9" hidden="1"/>
    <cellStyle name="Followed Hyperlink" xfId="3526" builtinId="9" hidden="1"/>
    <cellStyle name="Followed Hyperlink" xfId="3528" builtinId="9" hidden="1"/>
    <cellStyle name="Followed Hyperlink" xfId="3530" builtinId="9" hidden="1"/>
    <cellStyle name="Followed Hyperlink" xfId="3532" builtinId="9" hidden="1"/>
    <cellStyle name="Followed Hyperlink" xfId="3534" builtinId="9" hidden="1"/>
    <cellStyle name="Followed Hyperlink" xfId="3536" builtinId="9" hidden="1"/>
    <cellStyle name="Followed Hyperlink" xfId="3538" builtinId="9" hidden="1"/>
    <cellStyle name="Followed Hyperlink" xfId="3540" builtinId="9" hidden="1"/>
    <cellStyle name="Followed Hyperlink" xfId="3542" builtinId="9" hidden="1"/>
    <cellStyle name="Followed Hyperlink" xfId="3544" builtinId="9" hidden="1"/>
    <cellStyle name="Followed Hyperlink" xfId="3546" builtinId="9" hidden="1"/>
    <cellStyle name="Followed Hyperlink" xfId="3548" builtinId="9" hidden="1"/>
    <cellStyle name="Followed Hyperlink" xfId="3550" builtinId="9" hidden="1"/>
    <cellStyle name="Followed Hyperlink" xfId="3552" builtinId="9" hidden="1"/>
    <cellStyle name="Followed Hyperlink" xfId="3554" builtinId="9" hidden="1"/>
    <cellStyle name="Followed Hyperlink" xfId="3556" builtinId="9" hidden="1"/>
    <cellStyle name="Followed Hyperlink" xfId="3558" builtinId="9" hidden="1"/>
    <cellStyle name="Followed Hyperlink" xfId="3560" builtinId="9" hidden="1"/>
    <cellStyle name="Followed Hyperlink" xfId="3562" builtinId="9" hidden="1"/>
    <cellStyle name="Followed Hyperlink" xfId="3564" builtinId="9" hidden="1"/>
    <cellStyle name="Followed Hyperlink" xfId="3566" builtinId="9" hidden="1"/>
    <cellStyle name="Followed Hyperlink" xfId="3568" builtinId="9" hidden="1"/>
    <cellStyle name="Followed Hyperlink" xfId="3570" builtinId="9" hidden="1"/>
    <cellStyle name="Followed Hyperlink" xfId="3572" builtinId="9" hidden="1"/>
    <cellStyle name="Followed Hyperlink" xfId="3574" builtinId="9" hidden="1"/>
    <cellStyle name="Followed Hyperlink" xfId="3576" builtinId="9" hidden="1"/>
    <cellStyle name="Followed Hyperlink" xfId="3578" builtinId="9" hidden="1"/>
    <cellStyle name="Followed Hyperlink" xfId="3580" builtinId="9" hidden="1"/>
    <cellStyle name="Followed Hyperlink" xfId="3582" builtinId="9" hidden="1"/>
    <cellStyle name="Followed Hyperlink" xfId="3584" builtinId="9" hidden="1"/>
    <cellStyle name="Followed Hyperlink" xfId="3586" builtinId="9" hidden="1"/>
    <cellStyle name="Followed Hyperlink" xfId="3588" builtinId="9" hidden="1"/>
    <cellStyle name="Followed Hyperlink" xfId="3590" builtinId="9" hidden="1"/>
    <cellStyle name="Followed Hyperlink" xfId="3592" builtinId="9" hidden="1"/>
    <cellStyle name="Followed Hyperlink" xfId="3594" builtinId="9" hidden="1"/>
    <cellStyle name="Followed Hyperlink" xfId="3596" builtinId="9" hidden="1"/>
    <cellStyle name="Followed Hyperlink" xfId="3598" builtinId="9" hidden="1"/>
    <cellStyle name="Followed Hyperlink" xfId="3600" builtinId="9" hidden="1"/>
    <cellStyle name="Followed Hyperlink" xfId="3602" builtinId="9" hidden="1"/>
    <cellStyle name="Followed Hyperlink" xfId="3604" builtinId="9" hidden="1"/>
    <cellStyle name="Followed Hyperlink" xfId="3606" builtinId="9" hidden="1"/>
    <cellStyle name="Followed Hyperlink" xfId="3608" builtinId="9" hidden="1"/>
    <cellStyle name="Followed Hyperlink" xfId="3610" builtinId="9" hidden="1"/>
    <cellStyle name="Followed Hyperlink" xfId="3612" builtinId="9" hidden="1"/>
    <cellStyle name="Followed Hyperlink" xfId="3614" builtinId="9" hidden="1"/>
    <cellStyle name="Followed Hyperlink" xfId="3616" builtinId="9" hidden="1"/>
    <cellStyle name="Followed Hyperlink" xfId="3618" builtinId="9" hidden="1"/>
    <cellStyle name="Followed Hyperlink" xfId="3620" builtinId="9" hidden="1"/>
    <cellStyle name="Followed Hyperlink" xfId="3622" builtinId="9" hidden="1"/>
    <cellStyle name="Followed Hyperlink" xfId="3624" builtinId="9" hidden="1"/>
    <cellStyle name="Followed Hyperlink" xfId="3626" builtinId="9" hidden="1"/>
    <cellStyle name="Followed Hyperlink" xfId="3628" builtinId="9" hidden="1"/>
    <cellStyle name="Followed Hyperlink" xfId="3630" builtinId="9" hidden="1"/>
    <cellStyle name="Followed Hyperlink" xfId="3632" builtinId="9" hidden="1"/>
    <cellStyle name="Followed Hyperlink" xfId="3634" builtinId="9" hidden="1"/>
    <cellStyle name="Followed Hyperlink" xfId="3636" builtinId="9" hidden="1"/>
    <cellStyle name="Followed Hyperlink" xfId="3638" builtinId="9" hidden="1"/>
    <cellStyle name="Followed Hyperlink" xfId="3640" builtinId="9" hidden="1"/>
    <cellStyle name="Followed Hyperlink" xfId="3642" builtinId="9" hidden="1"/>
    <cellStyle name="Followed Hyperlink" xfId="3644" builtinId="9" hidden="1"/>
    <cellStyle name="Followed Hyperlink" xfId="3646" builtinId="9" hidden="1"/>
    <cellStyle name="Followed Hyperlink" xfId="3648" builtinId="9" hidden="1"/>
    <cellStyle name="Followed Hyperlink" xfId="3650" builtinId="9" hidden="1"/>
    <cellStyle name="Followed Hyperlink" xfId="3652" builtinId="9" hidden="1"/>
    <cellStyle name="Followed Hyperlink" xfId="3654" builtinId="9" hidden="1"/>
    <cellStyle name="Followed Hyperlink" xfId="3656" builtinId="9" hidden="1"/>
    <cellStyle name="Followed Hyperlink" xfId="3658" builtinId="9" hidden="1"/>
    <cellStyle name="Followed Hyperlink" xfId="3660" builtinId="9" hidden="1"/>
    <cellStyle name="Followed Hyperlink" xfId="3662" builtinId="9" hidden="1"/>
    <cellStyle name="Followed Hyperlink" xfId="3664" builtinId="9" hidden="1"/>
    <cellStyle name="Followed Hyperlink" xfId="3666" builtinId="9" hidden="1"/>
    <cellStyle name="Followed Hyperlink" xfId="3668" builtinId="9" hidden="1"/>
    <cellStyle name="Followed Hyperlink" xfId="3670" builtinId="9" hidden="1"/>
    <cellStyle name="Followed Hyperlink" xfId="3672" builtinId="9" hidden="1"/>
    <cellStyle name="Followed Hyperlink" xfId="3674" builtinId="9" hidden="1"/>
    <cellStyle name="Followed Hyperlink" xfId="3676" builtinId="9" hidden="1"/>
    <cellStyle name="Followed Hyperlink" xfId="3678" builtinId="9" hidden="1"/>
    <cellStyle name="Followed Hyperlink" xfId="3680" builtinId="9" hidden="1"/>
    <cellStyle name="Followed Hyperlink" xfId="3682" builtinId="9" hidden="1"/>
    <cellStyle name="Followed Hyperlink" xfId="3684" builtinId="9" hidden="1"/>
    <cellStyle name="Followed Hyperlink" xfId="3686" builtinId="9" hidden="1"/>
    <cellStyle name="Followed Hyperlink" xfId="3688" builtinId="9" hidden="1"/>
    <cellStyle name="Followed Hyperlink" xfId="3690" builtinId="9" hidden="1"/>
    <cellStyle name="Followed Hyperlink" xfId="3692" builtinId="9" hidden="1"/>
    <cellStyle name="Followed Hyperlink" xfId="3694" builtinId="9" hidden="1"/>
    <cellStyle name="Followed Hyperlink" xfId="3696" builtinId="9" hidden="1"/>
    <cellStyle name="Followed Hyperlink" xfId="3698" builtinId="9" hidden="1"/>
    <cellStyle name="Followed Hyperlink" xfId="3700" builtinId="9" hidden="1"/>
    <cellStyle name="Followed Hyperlink" xfId="3702" builtinId="9" hidden="1"/>
    <cellStyle name="Followed Hyperlink" xfId="3704" builtinId="9" hidden="1"/>
    <cellStyle name="Followed Hyperlink" xfId="3706" builtinId="9" hidden="1"/>
    <cellStyle name="Followed Hyperlink" xfId="3708" builtinId="9" hidden="1"/>
    <cellStyle name="Followed Hyperlink" xfId="3710" builtinId="9" hidden="1"/>
    <cellStyle name="Followed Hyperlink" xfId="3712" builtinId="9" hidden="1"/>
    <cellStyle name="Followed Hyperlink" xfId="3714" builtinId="9" hidden="1"/>
    <cellStyle name="Followed Hyperlink" xfId="3716" builtinId="9" hidden="1"/>
    <cellStyle name="Followed Hyperlink" xfId="3718" builtinId="9" hidden="1"/>
    <cellStyle name="Followed Hyperlink" xfId="3720" builtinId="9" hidden="1"/>
    <cellStyle name="Followed Hyperlink" xfId="3722" builtinId="9" hidden="1"/>
    <cellStyle name="Followed Hyperlink" xfId="3724" builtinId="9" hidden="1"/>
    <cellStyle name="Followed Hyperlink" xfId="3726" builtinId="9" hidden="1"/>
    <cellStyle name="Followed Hyperlink" xfId="3728" builtinId="9" hidden="1"/>
    <cellStyle name="Followed Hyperlink" xfId="3730" builtinId="9" hidden="1"/>
    <cellStyle name="Followed Hyperlink" xfId="3732" builtinId="9" hidden="1"/>
    <cellStyle name="Followed Hyperlink" xfId="3734" builtinId="9" hidden="1"/>
    <cellStyle name="Followed Hyperlink" xfId="3736" builtinId="9" hidden="1"/>
    <cellStyle name="Followed Hyperlink" xfId="3738" builtinId="9" hidden="1"/>
    <cellStyle name="Followed Hyperlink" xfId="3740" builtinId="9" hidden="1"/>
    <cellStyle name="Followed Hyperlink" xfId="3742" builtinId="9" hidden="1"/>
    <cellStyle name="Followed Hyperlink" xfId="3744" builtinId="9" hidden="1"/>
    <cellStyle name="Followed Hyperlink" xfId="3746" builtinId="9" hidden="1"/>
    <cellStyle name="Followed Hyperlink" xfId="3748" builtinId="9" hidden="1"/>
    <cellStyle name="Followed Hyperlink" xfId="3750" builtinId="9" hidden="1"/>
    <cellStyle name="Followed Hyperlink" xfId="3752" builtinId="9" hidden="1"/>
    <cellStyle name="Followed Hyperlink" xfId="3754" builtinId="9" hidden="1"/>
    <cellStyle name="Followed Hyperlink" xfId="3756" builtinId="9" hidden="1"/>
    <cellStyle name="Followed Hyperlink" xfId="3758" builtinId="9" hidden="1"/>
    <cellStyle name="Followed Hyperlink" xfId="3760" builtinId="9" hidden="1"/>
    <cellStyle name="Followed Hyperlink" xfId="3762" builtinId="9" hidden="1"/>
    <cellStyle name="Followed Hyperlink" xfId="3764" builtinId="9" hidden="1"/>
    <cellStyle name="Followed Hyperlink" xfId="3766" builtinId="9" hidden="1"/>
    <cellStyle name="Followed Hyperlink" xfId="3768" builtinId="9" hidden="1"/>
    <cellStyle name="Followed Hyperlink" xfId="3770" builtinId="9" hidden="1"/>
    <cellStyle name="Followed Hyperlink" xfId="3772" builtinId="9" hidden="1"/>
    <cellStyle name="Followed Hyperlink" xfId="3774" builtinId="9" hidden="1"/>
    <cellStyle name="Followed Hyperlink" xfId="3776" builtinId="9" hidden="1"/>
    <cellStyle name="Followed Hyperlink" xfId="3778" builtinId="9" hidden="1"/>
    <cellStyle name="Followed Hyperlink" xfId="3780" builtinId="9" hidden="1"/>
    <cellStyle name="Followed Hyperlink" xfId="3782" builtinId="9" hidden="1"/>
    <cellStyle name="Followed Hyperlink" xfId="3784" builtinId="9" hidden="1"/>
    <cellStyle name="Followed Hyperlink" xfId="3786" builtinId="9" hidden="1"/>
    <cellStyle name="Followed Hyperlink" xfId="3788" builtinId="9" hidden="1"/>
    <cellStyle name="Followed Hyperlink" xfId="3790" builtinId="9" hidden="1"/>
    <cellStyle name="Followed Hyperlink" xfId="3792" builtinId="9" hidden="1"/>
    <cellStyle name="Followed Hyperlink" xfId="3794" builtinId="9" hidden="1"/>
    <cellStyle name="Followed Hyperlink" xfId="3796" builtinId="9" hidden="1"/>
    <cellStyle name="Followed Hyperlink" xfId="3798" builtinId="9" hidden="1"/>
    <cellStyle name="Followed Hyperlink" xfId="3800" builtinId="9" hidden="1"/>
    <cellStyle name="Followed Hyperlink" xfId="3802" builtinId="9" hidden="1"/>
    <cellStyle name="Followed Hyperlink" xfId="3804" builtinId="9" hidden="1"/>
    <cellStyle name="Followed Hyperlink" xfId="3806" builtinId="9" hidden="1"/>
    <cellStyle name="Followed Hyperlink" xfId="3808" builtinId="9" hidden="1"/>
    <cellStyle name="Followed Hyperlink" xfId="3810" builtinId="9" hidden="1"/>
    <cellStyle name="Followed Hyperlink" xfId="3812" builtinId="9" hidden="1"/>
    <cellStyle name="Followed Hyperlink" xfId="3814" builtinId="9" hidden="1"/>
    <cellStyle name="Followed Hyperlink" xfId="3816" builtinId="9" hidden="1"/>
    <cellStyle name="Followed Hyperlink" xfId="3818" builtinId="9" hidden="1"/>
    <cellStyle name="Followed Hyperlink" xfId="3820" builtinId="9" hidden="1"/>
    <cellStyle name="Followed Hyperlink" xfId="3822" builtinId="9" hidden="1"/>
    <cellStyle name="Followed Hyperlink" xfId="3824" builtinId="9" hidden="1"/>
    <cellStyle name="Followed Hyperlink" xfId="3826" builtinId="9" hidden="1"/>
    <cellStyle name="Followed Hyperlink" xfId="3828" builtinId="9" hidden="1"/>
    <cellStyle name="Followed Hyperlink" xfId="3830" builtinId="9" hidden="1"/>
    <cellStyle name="Followed Hyperlink" xfId="3832" builtinId="9" hidden="1"/>
    <cellStyle name="Followed Hyperlink" xfId="3834" builtinId="9" hidden="1"/>
    <cellStyle name="Followed Hyperlink" xfId="3836" builtinId="9" hidden="1"/>
    <cellStyle name="Followed Hyperlink" xfId="3838" builtinId="9" hidden="1"/>
    <cellStyle name="Followed Hyperlink" xfId="3840" builtinId="9" hidden="1"/>
    <cellStyle name="Followed Hyperlink" xfId="3842" builtinId="9" hidden="1"/>
    <cellStyle name="Followed Hyperlink" xfId="3844" builtinId="9" hidden="1"/>
    <cellStyle name="Followed Hyperlink" xfId="3846" builtinId="9" hidden="1"/>
    <cellStyle name="Followed Hyperlink" xfId="3848" builtinId="9" hidden="1"/>
    <cellStyle name="Followed Hyperlink" xfId="3850" builtinId="9" hidden="1"/>
    <cellStyle name="Followed Hyperlink" xfId="3852" builtinId="9" hidden="1"/>
    <cellStyle name="Followed Hyperlink" xfId="3854" builtinId="9" hidden="1"/>
    <cellStyle name="Followed Hyperlink" xfId="3856" builtinId="9" hidden="1"/>
    <cellStyle name="Followed Hyperlink" xfId="3858" builtinId="9" hidden="1"/>
    <cellStyle name="Followed Hyperlink" xfId="3860" builtinId="9" hidden="1"/>
    <cellStyle name="Followed Hyperlink" xfId="3862" builtinId="9" hidden="1"/>
    <cellStyle name="Followed Hyperlink" xfId="3864" builtinId="9" hidden="1"/>
    <cellStyle name="Followed Hyperlink" xfId="3866" builtinId="9" hidden="1"/>
    <cellStyle name="Followed Hyperlink" xfId="3868" builtinId="9" hidden="1"/>
    <cellStyle name="Followed Hyperlink" xfId="3870" builtinId="9" hidden="1"/>
    <cellStyle name="Followed Hyperlink" xfId="3872" builtinId="9" hidden="1"/>
    <cellStyle name="Followed Hyperlink" xfId="3874" builtinId="9" hidden="1"/>
    <cellStyle name="Followed Hyperlink" xfId="3876" builtinId="9" hidden="1"/>
    <cellStyle name="Followed Hyperlink" xfId="3878" builtinId="9" hidden="1"/>
    <cellStyle name="Followed Hyperlink" xfId="3880" builtinId="9" hidden="1"/>
    <cellStyle name="Followed Hyperlink" xfId="3882" builtinId="9" hidden="1"/>
    <cellStyle name="Followed Hyperlink" xfId="3884" builtinId="9" hidden="1"/>
    <cellStyle name="Followed Hyperlink" xfId="3886" builtinId="9" hidden="1"/>
    <cellStyle name="Followed Hyperlink" xfId="3888" builtinId="9" hidden="1"/>
    <cellStyle name="Followed Hyperlink" xfId="3890" builtinId="9" hidden="1"/>
    <cellStyle name="Followed Hyperlink" xfId="3892" builtinId="9" hidden="1"/>
    <cellStyle name="Followed Hyperlink" xfId="3894" builtinId="9" hidden="1"/>
    <cellStyle name="Followed Hyperlink" xfId="3896" builtinId="9" hidden="1"/>
    <cellStyle name="Followed Hyperlink" xfId="3898" builtinId="9" hidden="1"/>
    <cellStyle name="Followed Hyperlink" xfId="3900" builtinId="9" hidden="1"/>
    <cellStyle name="Followed Hyperlink" xfId="3902" builtinId="9" hidden="1"/>
    <cellStyle name="Followed Hyperlink" xfId="3904" builtinId="9" hidden="1"/>
    <cellStyle name="Followed Hyperlink" xfId="3906" builtinId="9" hidden="1"/>
    <cellStyle name="Followed Hyperlink" xfId="3908" builtinId="9" hidden="1"/>
    <cellStyle name="Followed Hyperlink" xfId="3910" builtinId="9" hidden="1"/>
    <cellStyle name="Followed Hyperlink" xfId="3912" builtinId="9" hidden="1"/>
    <cellStyle name="Followed Hyperlink" xfId="3914" builtinId="9" hidden="1"/>
    <cellStyle name="Followed Hyperlink" xfId="3916" builtinId="9" hidden="1"/>
    <cellStyle name="Followed Hyperlink" xfId="3918" builtinId="9" hidden="1"/>
    <cellStyle name="Followed Hyperlink" xfId="3920" builtinId="9" hidden="1"/>
    <cellStyle name="Followed Hyperlink" xfId="3922" builtinId="9" hidden="1"/>
    <cellStyle name="Followed Hyperlink" xfId="3924" builtinId="9" hidden="1"/>
    <cellStyle name="Followed Hyperlink" xfId="3926" builtinId="9" hidden="1"/>
    <cellStyle name="Followed Hyperlink" xfId="3928" builtinId="9" hidden="1"/>
    <cellStyle name="Followed Hyperlink" xfId="3930" builtinId="9" hidden="1"/>
    <cellStyle name="Followed Hyperlink" xfId="3932" builtinId="9" hidden="1"/>
    <cellStyle name="Followed Hyperlink" xfId="3934" builtinId="9" hidden="1"/>
    <cellStyle name="Followed Hyperlink" xfId="3936" builtinId="9" hidden="1"/>
    <cellStyle name="Followed Hyperlink" xfId="3938" builtinId="9" hidden="1"/>
    <cellStyle name="Followed Hyperlink" xfId="3940" builtinId="9" hidden="1"/>
    <cellStyle name="Followed Hyperlink" xfId="3942" builtinId="9" hidden="1"/>
    <cellStyle name="Followed Hyperlink" xfId="3944" builtinId="9" hidden="1"/>
    <cellStyle name="Followed Hyperlink" xfId="3946" builtinId="9" hidden="1"/>
    <cellStyle name="Followed Hyperlink" xfId="3948" builtinId="9" hidden="1"/>
    <cellStyle name="Followed Hyperlink" xfId="3950" builtinId="9" hidden="1"/>
    <cellStyle name="Followed Hyperlink" xfId="3952" builtinId="9" hidden="1"/>
    <cellStyle name="Followed Hyperlink" xfId="3954" builtinId="9" hidden="1"/>
    <cellStyle name="Followed Hyperlink" xfId="3956" builtinId="9" hidden="1"/>
    <cellStyle name="Followed Hyperlink" xfId="3958" builtinId="9" hidden="1"/>
    <cellStyle name="Followed Hyperlink" xfId="3960" builtinId="9" hidden="1"/>
    <cellStyle name="Followed Hyperlink" xfId="3962" builtinId="9" hidden="1"/>
    <cellStyle name="Followed Hyperlink" xfId="3964" builtinId="9" hidden="1"/>
    <cellStyle name="Followed Hyperlink" xfId="3966" builtinId="9" hidden="1"/>
    <cellStyle name="Followed Hyperlink" xfId="3968" builtinId="9" hidden="1"/>
    <cellStyle name="Followed Hyperlink" xfId="3970" builtinId="9" hidden="1"/>
    <cellStyle name="Followed Hyperlink" xfId="3972" builtinId="9" hidden="1"/>
    <cellStyle name="Followed Hyperlink" xfId="3974" builtinId="9" hidden="1"/>
    <cellStyle name="Followed Hyperlink" xfId="3976" builtinId="9" hidden="1"/>
    <cellStyle name="Followed Hyperlink" xfId="3978" builtinId="9" hidden="1"/>
    <cellStyle name="Followed Hyperlink" xfId="3980" builtinId="9" hidden="1"/>
    <cellStyle name="Followed Hyperlink" xfId="3982" builtinId="9" hidden="1"/>
    <cellStyle name="Followed Hyperlink" xfId="3984" builtinId="9" hidden="1"/>
    <cellStyle name="Followed Hyperlink" xfId="3986" builtinId="9" hidden="1"/>
    <cellStyle name="Followed Hyperlink" xfId="3988" builtinId="9" hidden="1"/>
    <cellStyle name="Followed Hyperlink" xfId="3990" builtinId="9" hidden="1"/>
    <cellStyle name="Followed Hyperlink" xfId="3992" builtinId="9" hidden="1"/>
    <cellStyle name="Followed Hyperlink" xfId="3994" builtinId="9" hidden="1"/>
    <cellStyle name="Followed Hyperlink" xfId="3996" builtinId="9" hidden="1"/>
    <cellStyle name="Followed Hyperlink" xfId="3998" builtinId="9" hidden="1"/>
    <cellStyle name="Followed Hyperlink" xfId="4000" builtinId="9" hidden="1"/>
    <cellStyle name="Followed Hyperlink" xfId="4002" builtinId="9" hidden="1"/>
    <cellStyle name="Followed Hyperlink" xfId="4004" builtinId="9" hidden="1"/>
    <cellStyle name="Followed Hyperlink" xfId="4006" builtinId="9" hidden="1"/>
    <cellStyle name="Followed Hyperlink" xfId="4008" builtinId="9" hidden="1"/>
    <cellStyle name="Followed Hyperlink" xfId="4010" builtinId="9" hidden="1"/>
    <cellStyle name="Followed Hyperlink" xfId="4012" builtinId="9" hidden="1"/>
    <cellStyle name="Followed Hyperlink" xfId="4014" builtinId="9" hidden="1"/>
    <cellStyle name="Followed Hyperlink" xfId="4016" builtinId="9" hidden="1"/>
    <cellStyle name="Followed Hyperlink" xfId="4018" builtinId="9" hidden="1"/>
    <cellStyle name="Followed Hyperlink" xfId="4020" builtinId="9" hidden="1"/>
    <cellStyle name="Followed Hyperlink" xfId="4022" builtinId="9" hidden="1"/>
    <cellStyle name="Followed Hyperlink" xfId="4024" builtinId="9" hidden="1"/>
    <cellStyle name="Followed Hyperlink" xfId="4026" builtinId="9" hidden="1"/>
    <cellStyle name="Followed Hyperlink" xfId="4028" builtinId="9" hidden="1"/>
    <cellStyle name="Followed Hyperlink" xfId="4030" builtinId="9" hidden="1"/>
    <cellStyle name="Followed Hyperlink" xfId="4032" builtinId="9" hidden="1"/>
    <cellStyle name="Followed Hyperlink" xfId="4034" builtinId="9" hidden="1"/>
    <cellStyle name="Followed Hyperlink" xfId="4036" builtinId="9" hidden="1"/>
    <cellStyle name="Followed Hyperlink" xfId="4038" builtinId="9" hidden="1"/>
    <cellStyle name="Followed Hyperlink" xfId="4040" builtinId="9" hidden="1"/>
    <cellStyle name="Followed Hyperlink" xfId="4042" builtinId="9" hidden="1"/>
    <cellStyle name="Followed Hyperlink" xfId="4044" builtinId="9" hidden="1"/>
    <cellStyle name="Followed Hyperlink" xfId="4046" builtinId="9" hidden="1"/>
    <cellStyle name="Followed Hyperlink" xfId="4048" builtinId="9" hidden="1"/>
    <cellStyle name="Followed Hyperlink" xfId="4050" builtinId="9" hidden="1"/>
    <cellStyle name="Followed Hyperlink" xfId="4052" builtinId="9" hidden="1"/>
    <cellStyle name="Followed Hyperlink" xfId="4054" builtinId="9" hidden="1"/>
    <cellStyle name="Followed Hyperlink" xfId="4056" builtinId="9" hidden="1"/>
    <cellStyle name="Followed Hyperlink" xfId="4058" builtinId="9" hidden="1"/>
    <cellStyle name="Followed Hyperlink" xfId="4060" builtinId="9" hidden="1"/>
    <cellStyle name="Followed Hyperlink" xfId="4062" builtinId="9" hidden="1"/>
    <cellStyle name="Followed Hyperlink" xfId="4064" builtinId="9" hidden="1"/>
    <cellStyle name="Followed Hyperlink" xfId="4066" builtinId="9" hidden="1"/>
    <cellStyle name="Followed Hyperlink" xfId="4068" builtinId="9" hidden="1"/>
    <cellStyle name="Followed Hyperlink" xfId="4070" builtinId="9" hidden="1"/>
    <cellStyle name="Followed Hyperlink" xfId="4072" builtinId="9" hidden="1"/>
    <cellStyle name="Followed Hyperlink" xfId="4074" builtinId="9" hidden="1"/>
    <cellStyle name="Followed Hyperlink" xfId="4076" builtinId="9" hidden="1"/>
    <cellStyle name="Followed Hyperlink" xfId="4078" builtinId="9" hidden="1"/>
    <cellStyle name="Followed Hyperlink" xfId="4080" builtinId="9" hidden="1"/>
    <cellStyle name="Followed Hyperlink" xfId="4082" builtinId="9" hidden="1"/>
    <cellStyle name="Followed Hyperlink" xfId="4084" builtinId="9" hidden="1"/>
    <cellStyle name="Followed Hyperlink" xfId="4086" builtinId="9" hidden="1"/>
    <cellStyle name="Followed Hyperlink" xfId="4088" builtinId="9" hidden="1"/>
    <cellStyle name="Followed Hyperlink" xfId="4090" builtinId="9" hidden="1"/>
    <cellStyle name="Followed Hyperlink" xfId="4092" builtinId="9" hidden="1"/>
    <cellStyle name="Followed Hyperlink" xfId="4094" builtinId="9" hidden="1"/>
    <cellStyle name="Followed Hyperlink" xfId="4096" builtinId="9" hidden="1"/>
    <cellStyle name="Followed Hyperlink" xfId="4098" builtinId="9" hidden="1"/>
    <cellStyle name="Followed Hyperlink" xfId="4100" builtinId="9" hidden="1"/>
    <cellStyle name="Followed Hyperlink" xfId="4102" builtinId="9" hidden="1"/>
    <cellStyle name="Followed Hyperlink" xfId="4104" builtinId="9" hidden="1"/>
    <cellStyle name="Followed Hyperlink" xfId="4106" builtinId="9" hidden="1"/>
    <cellStyle name="Followed Hyperlink" xfId="4108" builtinId="9" hidden="1"/>
    <cellStyle name="Followed Hyperlink" xfId="4110" builtinId="9" hidden="1"/>
    <cellStyle name="Followed Hyperlink" xfId="4112" builtinId="9" hidden="1"/>
    <cellStyle name="Followed Hyperlink" xfId="4114" builtinId="9" hidden="1"/>
    <cellStyle name="Followed Hyperlink" xfId="4116" builtinId="9" hidden="1"/>
    <cellStyle name="Followed Hyperlink" xfId="4118" builtinId="9" hidden="1"/>
    <cellStyle name="Followed Hyperlink" xfId="4120" builtinId="9" hidden="1"/>
    <cellStyle name="Followed Hyperlink" xfId="4122" builtinId="9" hidden="1"/>
    <cellStyle name="Followed Hyperlink" xfId="4124" builtinId="9" hidden="1"/>
    <cellStyle name="Followed Hyperlink" xfId="4126" builtinId="9" hidden="1"/>
    <cellStyle name="Followed Hyperlink" xfId="4128" builtinId="9" hidden="1"/>
    <cellStyle name="Followed Hyperlink" xfId="4130" builtinId="9" hidden="1"/>
    <cellStyle name="Followed Hyperlink" xfId="4132" builtinId="9" hidden="1"/>
    <cellStyle name="Followed Hyperlink" xfId="4134" builtinId="9" hidden="1"/>
    <cellStyle name="Followed Hyperlink" xfId="4136" builtinId="9" hidden="1"/>
    <cellStyle name="Followed Hyperlink" xfId="4138" builtinId="9" hidden="1"/>
    <cellStyle name="Followed Hyperlink" xfId="4140" builtinId="9" hidden="1"/>
    <cellStyle name="Followed Hyperlink" xfId="4142" builtinId="9" hidden="1"/>
    <cellStyle name="Followed Hyperlink" xfId="4144" builtinId="9" hidden="1"/>
    <cellStyle name="Followed Hyperlink" xfId="4146" builtinId="9" hidden="1"/>
    <cellStyle name="Followed Hyperlink" xfId="4148" builtinId="9" hidden="1"/>
    <cellStyle name="Followed Hyperlink" xfId="4150" builtinId="9" hidden="1"/>
    <cellStyle name="Followed Hyperlink" xfId="4152" builtinId="9" hidden="1"/>
    <cellStyle name="Followed Hyperlink" xfId="4154" builtinId="9" hidden="1"/>
    <cellStyle name="Followed Hyperlink" xfId="4156" builtinId="9" hidden="1"/>
    <cellStyle name="Followed Hyperlink" xfId="4158" builtinId="9" hidden="1"/>
    <cellStyle name="Followed Hyperlink" xfId="4160" builtinId="9" hidden="1"/>
    <cellStyle name="Followed Hyperlink" xfId="4162" builtinId="9" hidden="1"/>
    <cellStyle name="Followed Hyperlink" xfId="4164" builtinId="9" hidden="1"/>
    <cellStyle name="Followed Hyperlink" xfId="4166" builtinId="9" hidden="1"/>
    <cellStyle name="Followed Hyperlink" xfId="4168" builtinId="9" hidden="1"/>
    <cellStyle name="Followed Hyperlink" xfId="4170" builtinId="9" hidden="1"/>
    <cellStyle name="Followed Hyperlink" xfId="4172" builtinId="9" hidden="1"/>
    <cellStyle name="Followed Hyperlink" xfId="4174" builtinId="9" hidden="1"/>
    <cellStyle name="Followed Hyperlink" xfId="4176" builtinId="9" hidden="1"/>
    <cellStyle name="Followed Hyperlink" xfId="4178" builtinId="9" hidden="1"/>
    <cellStyle name="Followed Hyperlink" xfId="4180" builtinId="9" hidden="1"/>
    <cellStyle name="Followed Hyperlink" xfId="4182" builtinId="9" hidden="1"/>
    <cellStyle name="Followed Hyperlink" xfId="4184" builtinId="9" hidden="1"/>
    <cellStyle name="Followed Hyperlink" xfId="4186" builtinId="9" hidden="1"/>
    <cellStyle name="Followed Hyperlink" xfId="4188" builtinId="9" hidden="1"/>
    <cellStyle name="Followed Hyperlink" xfId="4190" builtinId="9" hidden="1"/>
    <cellStyle name="Followed Hyperlink" xfId="4192" builtinId="9" hidden="1"/>
    <cellStyle name="Followed Hyperlink" xfId="4194" builtinId="9" hidden="1"/>
    <cellStyle name="Followed Hyperlink" xfId="4196" builtinId="9" hidden="1"/>
    <cellStyle name="Followed Hyperlink" xfId="4198" builtinId="9" hidden="1"/>
    <cellStyle name="Followed Hyperlink" xfId="4200" builtinId="9" hidden="1"/>
    <cellStyle name="Followed Hyperlink" xfId="4202" builtinId="9" hidden="1"/>
    <cellStyle name="Followed Hyperlink" xfId="4204" builtinId="9" hidden="1"/>
    <cellStyle name="Followed Hyperlink" xfId="4206" builtinId="9" hidden="1"/>
    <cellStyle name="Followed Hyperlink" xfId="4208" builtinId="9" hidden="1"/>
    <cellStyle name="Followed Hyperlink" xfId="4210" builtinId="9" hidden="1"/>
    <cellStyle name="Followed Hyperlink" xfId="4212" builtinId="9" hidden="1"/>
    <cellStyle name="Followed Hyperlink" xfId="4214" builtinId="9" hidden="1"/>
    <cellStyle name="Followed Hyperlink" xfId="4216" builtinId="9" hidden="1"/>
    <cellStyle name="Followed Hyperlink" xfId="4218" builtinId="9" hidden="1"/>
    <cellStyle name="Followed Hyperlink" xfId="4220" builtinId="9" hidden="1"/>
    <cellStyle name="Followed Hyperlink" xfId="4222" builtinId="9" hidden="1"/>
    <cellStyle name="Followed Hyperlink" xfId="4224" builtinId="9" hidden="1"/>
    <cellStyle name="Followed Hyperlink" xfId="4226" builtinId="9" hidden="1"/>
    <cellStyle name="Followed Hyperlink" xfId="4228" builtinId="9" hidden="1"/>
    <cellStyle name="Followed Hyperlink" xfId="4230" builtinId="9" hidden="1"/>
    <cellStyle name="Followed Hyperlink" xfId="4232" builtinId="9" hidden="1"/>
    <cellStyle name="Followed Hyperlink" xfId="4234" builtinId="9" hidden="1"/>
    <cellStyle name="Followed Hyperlink" xfId="4236" builtinId="9" hidden="1"/>
    <cellStyle name="Followed Hyperlink" xfId="4238" builtinId="9" hidden="1"/>
    <cellStyle name="Followed Hyperlink" xfId="4240" builtinId="9" hidden="1"/>
    <cellStyle name="Followed Hyperlink" xfId="4242" builtinId="9" hidden="1"/>
    <cellStyle name="Followed Hyperlink" xfId="4244" builtinId="9" hidden="1"/>
    <cellStyle name="Followed Hyperlink" xfId="4246" builtinId="9" hidden="1"/>
    <cellStyle name="Followed Hyperlink" xfId="4248" builtinId="9" hidden="1"/>
    <cellStyle name="Followed Hyperlink" xfId="4250" builtinId="9" hidden="1"/>
    <cellStyle name="Followed Hyperlink" xfId="4252" builtinId="9" hidden="1"/>
    <cellStyle name="Followed Hyperlink" xfId="4254" builtinId="9" hidden="1"/>
    <cellStyle name="Followed Hyperlink" xfId="4256" builtinId="9" hidden="1"/>
    <cellStyle name="Followed Hyperlink" xfId="4258" builtinId="9" hidden="1"/>
    <cellStyle name="Followed Hyperlink" xfId="4260" builtinId="9" hidden="1"/>
    <cellStyle name="Followed Hyperlink" xfId="4262" builtinId="9" hidden="1"/>
    <cellStyle name="Followed Hyperlink" xfId="4264" builtinId="9" hidden="1"/>
    <cellStyle name="Followed Hyperlink" xfId="4266" builtinId="9" hidden="1"/>
    <cellStyle name="Followed Hyperlink" xfId="4268" builtinId="9" hidden="1"/>
    <cellStyle name="Followed Hyperlink" xfId="4270" builtinId="9" hidden="1"/>
    <cellStyle name="Followed Hyperlink" xfId="4272" builtinId="9" hidden="1"/>
    <cellStyle name="Followed Hyperlink" xfId="4274" builtinId="9" hidden="1"/>
    <cellStyle name="Followed Hyperlink" xfId="4276" builtinId="9" hidden="1"/>
    <cellStyle name="Followed Hyperlink" xfId="4278" builtinId="9" hidden="1"/>
    <cellStyle name="Followed Hyperlink" xfId="4280" builtinId="9" hidden="1"/>
    <cellStyle name="Followed Hyperlink" xfId="4282" builtinId="9" hidden="1"/>
    <cellStyle name="Followed Hyperlink" xfId="4284" builtinId="9" hidden="1"/>
    <cellStyle name="Followed Hyperlink" xfId="4286" builtinId="9" hidden="1"/>
    <cellStyle name="Followed Hyperlink" xfId="4288" builtinId="9" hidden="1"/>
    <cellStyle name="Followed Hyperlink" xfId="4290" builtinId="9" hidden="1"/>
    <cellStyle name="Followed Hyperlink" xfId="4292" builtinId="9" hidden="1"/>
    <cellStyle name="Followed Hyperlink" xfId="4294" builtinId="9" hidden="1"/>
    <cellStyle name="Followed Hyperlink" xfId="4296" builtinId="9" hidden="1"/>
    <cellStyle name="Followed Hyperlink" xfId="4298" builtinId="9" hidden="1"/>
    <cellStyle name="Followed Hyperlink" xfId="4300" builtinId="9" hidden="1"/>
    <cellStyle name="Followed Hyperlink" xfId="4302" builtinId="9" hidden="1"/>
    <cellStyle name="Followed Hyperlink" xfId="4304" builtinId="9" hidden="1"/>
    <cellStyle name="Followed Hyperlink" xfId="4306" builtinId="9" hidden="1"/>
    <cellStyle name="Followed Hyperlink" xfId="4308" builtinId="9" hidden="1"/>
    <cellStyle name="Followed Hyperlink" xfId="4310" builtinId="9" hidden="1"/>
    <cellStyle name="Followed Hyperlink" xfId="4312" builtinId="9" hidden="1"/>
    <cellStyle name="Followed Hyperlink" xfId="4314" builtinId="9" hidden="1"/>
    <cellStyle name="Followed Hyperlink" xfId="4316" builtinId="9" hidden="1"/>
    <cellStyle name="Followed Hyperlink" xfId="4318" builtinId="9" hidden="1"/>
    <cellStyle name="Followed Hyperlink" xfId="4320" builtinId="9" hidden="1"/>
    <cellStyle name="Followed Hyperlink" xfId="4322" builtinId="9" hidden="1"/>
    <cellStyle name="Followed Hyperlink" xfId="4324" builtinId="9" hidden="1"/>
    <cellStyle name="Followed Hyperlink" xfId="4326" builtinId="9" hidden="1"/>
    <cellStyle name="Followed Hyperlink" xfId="4328" builtinId="9" hidden="1"/>
    <cellStyle name="Followed Hyperlink" xfId="4330" builtinId="9" hidden="1"/>
    <cellStyle name="Followed Hyperlink" xfId="4332" builtinId="9" hidden="1"/>
    <cellStyle name="Followed Hyperlink" xfId="4334" builtinId="9" hidden="1"/>
    <cellStyle name="Followed Hyperlink" xfId="4336" builtinId="9" hidden="1"/>
    <cellStyle name="Followed Hyperlink" xfId="4338" builtinId="9" hidden="1"/>
    <cellStyle name="Followed Hyperlink" xfId="4340" builtinId="9" hidden="1"/>
    <cellStyle name="Followed Hyperlink" xfId="4342" builtinId="9" hidden="1"/>
    <cellStyle name="Followed Hyperlink" xfId="4344" builtinId="9" hidden="1"/>
    <cellStyle name="Followed Hyperlink" xfId="4346" builtinId="9" hidden="1"/>
    <cellStyle name="Followed Hyperlink" xfId="4348" builtinId="9" hidden="1"/>
    <cellStyle name="Followed Hyperlink" xfId="4350" builtinId="9" hidden="1"/>
    <cellStyle name="Followed Hyperlink" xfId="4352" builtinId="9" hidden="1"/>
    <cellStyle name="Followed Hyperlink" xfId="4354" builtinId="9" hidden="1"/>
    <cellStyle name="Followed Hyperlink" xfId="4356" builtinId="9" hidden="1"/>
    <cellStyle name="Followed Hyperlink" xfId="4358" builtinId="9" hidden="1"/>
    <cellStyle name="Followed Hyperlink" xfId="4360" builtinId="9" hidden="1"/>
    <cellStyle name="Followed Hyperlink" xfId="4362" builtinId="9" hidden="1"/>
    <cellStyle name="Followed Hyperlink" xfId="4364" builtinId="9" hidden="1"/>
    <cellStyle name="Followed Hyperlink" xfId="4366" builtinId="9" hidden="1"/>
    <cellStyle name="Followed Hyperlink" xfId="4368" builtinId="9" hidden="1"/>
    <cellStyle name="Followed Hyperlink" xfId="4370" builtinId="9" hidden="1"/>
    <cellStyle name="Followed Hyperlink" xfId="4372" builtinId="9" hidden="1"/>
    <cellStyle name="Followed Hyperlink" xfId="4374" builtinId="9" hidden="1"/>
    <cellStyle name="Followed Hyperlink" xfId="4376" builtinId="9" hidden="1"/>
    <cellStyle name="Followed Hyperlink" xfId="4378" builtinId="9" hidden="1"/>
    <cellStyle name="Followed Hyperlink" xfId="4380" builtinId="9" hidden="1"/>
    <cellStyle name="Followed Hyperlink" xfId="4382" builtinId="9" hidden="1"/>
    <cellStyle name="Followed Hyperlink" xfId="4384" builtinId="9" hidden="1"/>
    <cellStyle name="Followed Hyperlink" xfId="4386" builtinId="9" hidden="1"/>
    <cellStyle name="Followed Hyperlink" xfId="4388" builtinId="9" hidden="1"/>
    <cellStyle name="Followed Hyperlink" xfId="4390" builtinId="9" hidden="1"/>
    <cellStyle name="Followed Hyperlink" xfId="4392" builtinId="9" hidden="1"/>
    <cellStyle name="Followed Hyperlink" xfId="4394" builtinId="9" hidden="1"/>
    <cellStyle name="Followed Hyperlink" xfId="4396" builtinId="9" hidden="1"/>
    <cellStyle name="Followed Hyperlink" xfId="4398" builtinId="9" hidden="1"/>
    <cellStyle name="Followed Hyperlink" xfId="4400" builtinId="9" hidden="1"/>
    <cellStyle name="Followed Hyperlink" xfId="4402" builtinId="9" hidden="1"/>
    <cellStyle name="Followed Hyperlink" xfId="4404" builtinId="9" hidden="1"/>
    <cellStyle name="Followed Hyperlink" xfId="4406" builtinId="9" hidden="1"/>
    <cellStyle name="Followed Hyperlink" xfId="4408" builtinId="9" hidden="1"/>
    <cellStyle name="Followed Hyperlink" xfId="4410" builtinId="9" hidden="1"/>
    <cellStyle name="Followed Hyperlink" xfId="4412" builtinId="9" hidden="1"/>
    <cellStyle name="Followed Hyperlink" xfId="4414" builtinId="9" hidden="1"/>
    <cellStyle name="Followed Hyperlink" xfId="4416" builtinId="9" hidden="1"/>
    <cellStyle name="Followed Hyperlink" xfId="4418" builtinId="9" hidden="1"/>
    <cellStyle name="Followed Hyperlink" xfId="4420" builtinId="9" hidden="1"/>
    <cellStyle name="Followed Hyperlink" xfId="4422" builtinId="9" hidden="1"/>
    <cellStyle name="Followed Hyperlink" xfId="4424" builtinId="9" hidden="1"/>
    <cellStyle name="Followed Hyperlink" xfId="4426" builtinId="9" hidden="1"/>
    <cellStyle name="Followed Hyperlink" xfId="4428" builtinId="9" hidden="1"/>
    <cellStyle name="Followed Hyperlink" xfId="4430" builtinId="9" hidden="1"/>
    <cellStyle name="Followed Hyperlink" xfId="4432" builtinId="9" hidden="1"/>
    <cellStyle name="Followed Hyperlink" xfId="4434" builtinId="9" hidden="1"/>
    <cellStyle name="Followed Hyperlink" xfId="4436" builtinId="9" hidden="1"/>
    <cellStyle name="Followed Hyperlink" xfId="4438" builtinId="9" hidden="1"/>
    <cellStyle name="Followed Hyperlink" xfId="4440" builtinId="9" hidden="1"/>
    <cellStyle name="Followed Hyperlink" xfId="4442" builtinId="9" hidden="1"/>
    <cellStyle name="Followed Hyperlink" xfId="4444" builtinId="9" hidden="1"/>
    <cellStyle name="Followed Hyperlink" xfId="4446" builtinId="9" hidden="1"/>
    <cellStyle name="Followed Hyperlink" xfId="4448" builtinId="9" hidden="1"/>
    <cellStyle name="Followed Hyperlink" xfId="4450" builtinId="9" hidden="1"/>
    <cellStyle name="Followed Hyperlink" xfId="4452" builtinId="9" hidden="1"/>
    <cellStyle name="Followed Hyperlink" xfId="4454" builtinId="9" hidden="1"/>
    <cellStyle name="Followed Hyperlink" xfId="4456" builtinId="9" hidden="1"/>
    <cellStyle name="Followed Hyperlink" xfId="4458" builtinId="9" hidden="1"/>
    <cellStyle name="Followed Hyperlink" xfId="4460" builtinId="9" hidden="1"/>
    <cellStyle name="Followed Hyperlink" xfId="4462" builtinId="9" hidden="1"/>
    <cellStyle name="Followed Hyperlink" xfId="4464" builtinId="9" hidden="1"/>
    <cellStyle name="Followed Hyperlink" xfId="4466" builtinId="9" hidden="1"/>
    <cellStyle name="Followed Hyperlink" xfId="4468" builtinId="9" hidden="1"/>
    <cellStyle name="Followed Hyperlink" xfId="4470" builtinId="9" hidden="1"/>
    <cellStyle name="Followed Hyperlink" xfId="4472" builtinId="9" hidden="1"/>
    <cellStyle name="Followed Hyperlink" xfId="4474" builtinId="9" hidden="1"/>
    <cellStyle name="Followed Hyperlink" xfId="4476" builtinId="9" hidden="1"/>
    <cellStyle name="Followed Hyperlink" xfId="4478" builtinId="9" hidden="1"/>
    <cellStyle name="Followed Hyperlink" xfId="4480" builtinId="9" hidden="1"/>
    <cellStyle name="Followed Hyperlink" xfId="4482" builtinId="9" hidden="1"/>
    <cellStyle name="Followed Hyperlink" xfId="4484" builtinId="9" hidden="1"/>
    <cellStyle name="Followed Hyperlink" xfId="4486" builtinId="9" hidden="1"/>
    <cellStyle name="Followed Hyperlink" xfId="4488" builtinId="9" hidden="1"/>
    <cellStyle name="Followed Hyperlink" xfId="4490" builtinId="9" hidden="1"/>
    <cellStyle name="Followed Hyperlink" xfId="4492" builtinId="9" hidden="1"/>
    <cellStyle name="Followed Hyperlink" xfId="4494" builtinId="9" hidden="1"/>
    <cellStyle name="Followed Hyperlink" xfId="4496" builtinId="9" hidden="1"/>
    <cellStyle name="Followed Hyperlink" xfId="4498" builtinId="9" hidden="1"/>
    <cellStyle name="Followed Hyperlink" xfId="4500" builtinId="9" hidden="1"/>
    <cellStyle name="Followed Hyperlink" xfId="4502" builtinId="9" hidden="1"/>
    <cellStyle name="Followed Hyperlink" xfId="4504" builtinId="9" hidden="1"/>
    <cellStyle name="Followed Hyperlink" xfId="4506" builtinId="9" hidden="1"/>
    <cellStyle name="Followed Hyperlink" xfId="4508" builtinId="9" hidden="1"/>
    <cellStyle name="Followed Hyperlink" xfId="4510" builtinId="9" hidden="1"/>
    <cellStyle name="Followed Hyperlink" xfId="4512" builtinId="9" hidden="1"/>
    <cellStyle name="Followed Hyperlink" xfId="4514" builtinId="9" hidden="1"/>
    <cellStyle name="Followed Hyperlink" xfId="4516" builtinId="9" hidden="1"/>
    <cellStyle name="Followed Hyperlink" xfId="4518" builtinId="9" hidden="1"/>
    <cellStyle name="Followed Hyperlink" xfId="4520" builtinId="9" hidden="1"/>
    <cellStyle name="Followed Hyperlink" xfId="4522" builtinId="9" hidden="1"/>
    <cellStyle name="Followed Hyperlink" xfId="4524" builtinId="9" hidden="1"/>
    <cellStyle name="Followed Hyperlink" xfId="4526" builtinId="9" hidden="1"/>
    <cellStyle name="Followed Hyperlink" xfId="4528" builtinId="9" hidden="1"/>
    <cellStyle name="Followed Hyperlink" xfId="4530" builtinId="9" hidden="1"/>
    <cellStyle name="Followed Hyperlink" xfId="4532" builtinId="9" hidden="1"/>
    <cellStyle name="Followed Hyperlink" xfId="4534" builtinId="9" hidden="1"/>
    <cellStyle name="Followed Hyperlink" xfId="4536" builtinId="9" hidden="1"/>
    <cellStyle name="Followed Hyperlink" xfId="4538" builtinId="9" hidden="1"/>
    <cellStyle name="Followed Hyperlink" xfId="4540" builtinId="9" hidden="1"/>
    <cellStyle name="Followed Hyperlink" xfId="4542" builtinId="9" hidden="1"/>
    <cellStyle name="Followed Hyperlink" xfId="4544" builtinId="9" hidden="1"/>
    <cellStyle name="Followed Hyperlink" xfId="4546" builtinId="9" hidden="1"/>
    <cellStyle name="Followed Hyperlink" xfId="4548" builtinId="9" hidden="1"/>
    <cellStyle name="Followed Hyperlink" xfId="4550" builtinId="9" hidden="1"/>
    <cellStyle name="Followed Hyperlink" xfId="4552" builtinId="9" hidden="1"/>
    <cellStyle name="Followed Hyperlink" xfId="4554" builtinId="9" hidden="1"/>
    <cellStyle name="Followed Hyperlink" xfId="4556" builtinId="9" hidden="1"/>
    <cellStyle name="Followed Hyperlink" xfId="4558" builtinId="9" hidden="1"/>
    <cellStyle name="Followed Hyperlink" xfId="4560" builtinId="9" hidden="1"/>
    <cellStyle name="Followed Hyperlink" xfId="4562" builtinId="9" hidden="1"/>
    <cellStyle name="Followed Hyperlink" xfId="4564" builtinId="9" hidden="1"/>
    <cellStyle name="Followed Hyperlink" xfId="4566" builtinId="9" hidden="1"/>
    <cellStyle name="Followed Hyperlink" xfId="4568" builtinId="9" hidden="1"/>
    <cellStyle name="Followed Hyperlink" xfId="4570" builtinId="9" hidden="1"/>
    <cellStyle name="Followed Hyperlink" xfId="4572" builtinId="9" hidden="1"/>
    <cellStyle name="Followed Hyperlink" xfId="4574" builtinId="9" hidden="1"/>
    <cellStyle name="Followed Hyperlink" xfId="4576" builtinId="9" hidden="1"/>
    <cellStyle name="Followed Hyperlink" xfId="4578" builtinId="9" hidden="1"/>
    <cellStyle name="Followed Hyperlink" xfId="4580" builtinId="9" hidden="1"/>
    <cellStyle name="Followed Hyperlink" xfId="4582" builtinId="9" hidden="1"/>
    <cellStyle name="Followed Hyperlink" xfId="4584" builtinId="9" hidden="1"/>
    <cellStyle name="Followed Hyperlink" xfId="4586" builtinId="9" hidden="1"/>
    <cellStyle name="Followed Hyperlink" xfId="4588" builtinId="9" hidden="1"/>
    <cellStyle name="Followed Hyperlink" xfId="4590" builtinId="9" hidden="1"/>
    <cellStyle name="Followed Hyperlink" xfId="4592" builtinId="9" hidden="1"/>
    <cellStyle name="Followed Hyperlink" xfId="4594" builtinId="9" hidden="1"/>
    <cellStyle name="Followed Hyperlink" xfId="4596" builtinId="9" hidden="1"/>
    <cellStyle name="Followed Hyperlink" xfId="4598" builtinId="9" hidden="1"/>
    <cellStyle name="Followed Hyperlink" xfId="4600" builtinId="9" hidden="1"/>
    <cellStyle name="Followed Hyperlink" xfId="4602" builtinId="9" hidden="1"/>
    <cellStyle name="Followed Hyperlink" xfId="4604" builtinId="9" hidden="1"/>
    <cellStyle name="Followed Hyperlink" xfId="4606" builtinId="9" hidden="1"/>
    <cellStyle name="Followed Hyperlink" xfId="4608" builtinId="9" hidden="1"/>
    <cellStyle name="Followed Hyperlink" xfId="4610" builtinId="9" hidden="1"/>
    <cellStyle name="Followed Hyperlink" xfId="4612" builtinId="9" hidden="1"/>
    <cellStyle name="Followed Hyperlink" xfId="4614" builtinId="9" hidden="1"/>
    <cellStyle name="Followed Hyperlink" xfId="4616" builtinId="9" hidden="1"/>
    <cellStyle name="Followed Hyperlink" xfId="4618" builtinId="9" hidden="1"/>
    <cellStyle name="Followed Hyperlink" xfId="4620" builtinId="9" hidden="1"/>
    <cellStyle name="Followed Hyperlink" xfId="4622" builtinId="9" hidden="1"/>
    <cellStyle name="Followed Hyperlink" xfId="4624" builtinId="9" hidden="1"/>
    <cellStyle name="Followed Hyperlink" xfId="4626" builtinId="9" hidden="1"/>
    <cellStyle name="Followed Hyperlink" xfId="4628" builtinId="9" hidden="1"/>
    <cellStyle name="Followed Hyperlink" xfId="4630" builtinId="9" hidden="1"/>
    <cellStyle name="Followed Hyperlink" xfId="4632" builtinId="9" hidden="1"/>
    <cellStyle name="Followed Hyperlink" xfId="4634" builtinId="9" hidden="1"/>
    <cellStyle name="Followed Hyperlink" xfId="4636" builtinId="9" hidden="1"/>
    <cellStyle name="Followed Hyperlink" xfId="4638" builtinId="9" hidden="1"/>
    <cellStyle name="Followed Hyperlink" xfId="4640" builtinId="9" hidden="1"/>
    <cellStyle name="Followed Hyperlink" xfId="4642" builtinId="9" hidden="1"/>
    <cellStyle name="Followed Hyperlink" xfId="4644" builtinId="9" hidden="1"/>
    <cellStyle name="Followed Hyperlink" xfId="4646" builtinId="9" hidden="1"/>
    <cellStyle name="Followed Hyperlink" xfId="4648" builtinId="9" hidden="1"/>
    <cellStyle name="Followed Hyperlink" xfId="4650" builtinId="9" hidden="1"/>
    <cellStyle name="Followed Hyperlink" xfId="4652" builtinId="9" hidden="1"/>
    <cellStyle name="Followed Hyperlink" xfId="4654" builtinId="9" hidden="1"/>
    <cellStyle name="Followed Hyperlink" xfId="4656" builtinId="9" hidden="1"/>
    <cellStyle name="Followed Hyperlink" xfId="4658" builtinId="9" hidden="1"/>
    <cellStyle name="Followed Hyperlink" xfId="4660" builtinId="9" hidden="1"/>
    <cellStyle name="Followed Hyperlink" xfId="4662" builtinId="9" hidden="1"/>
    <cellStyle name="Followed Hyperlink" xfId="4664" builtinId="9" hidden="1"/>
    <cellStyle name="Followed Hyperlink" xfId="4666" builtinId="9" hidden="1"/>
    <cellStyle name="Followed Hyperlink" xfId="4668" builtinId="9" hidden="1"/>
    <cellStyle name="Followed Hyperlink" xfId="4670" builtinId="9" hidden="1"/>
    <cellStyle name="Followed Hyperlink" xfId="4672" builtinId="9" hidden="1"/>
    <cellStyle name="Followed Hyperlink" xfId="4674" builtinId="9" hidden="1"/>
    <cellStyle name="Followed Hyperlink" xfId="4676" builtinId="9" hidden="1"/>
    <cellStyle name="Followed Hyperlink" xfId="4678" builtinId="9" hidden="1"/>
    <cellStyle name="Followed Hyperlink" xfId="4680" builtinId="9" hidden="1"/>
    <cellStyle name="Followed Hyperlink" xfId="4682" builtinId="9" hidden="1"/>
    <cellStyle name="Followed Hyperlink" xfId="4684" builtinId="9" hidden="1"/>
    <cellStyle name="Followed Hyperlink" xfId="4686" builtinId="9" hidden="1"/>
    <cellStyle name="Followed Hyperlink" xfId="4688" builtinId="9" hidden="1"/>
    <cellStyle name="Followed Hyperlink" xfId="4690" builtinId="9" hidden="1"/>
    <cellStyle name="Followed Hyperlink" xfId="4692" builtinId="9" hidden="1"/>
    <cellStyle name="Followed Hyperlink" xfId="4694" builtinId="9" hidden="1"/>
    <cellStyle name="Followed Hyperlink" xfId="4696" builtinId="9" hidden="1"/>
    <cellStyle name="Followed Hyperlink" xfId="4698" builtinId="9" hidden="1"/>
    <cellStyle name="Followed Hyperlink" xfId="4700" builtinId="9" hidden="1"/>
    <cellStyle name="Followed Hyperlink" xfId="4702" builtinId="9" hidden="1"/>
    <cellStyle name="Followed Hyperlink" xfId="4704" builtinId="9" hidden="1"/>
    <cellStyle name="Followed Hyperlink" xfId="4706" builtinId="9" hidden="1"/>
    <cellStyle name="Followed Hyperlink" xfId="4708" builtinId="9" hidden="1"/>
    <cellStyle name="Followed Hyperlink" xfId="4710" builtinId="9" hidden="1"/>
    <cellStyle name="Followed Hyperlink" xfId="4712" builtinId="9" hidden="1"/>
    <cellStyle name="Followed Hyperlink" xfId="4714" builtinId="9" hidden="1"/>
    <cellStyle name="Followed Hyperlink" xfId="4716" builtinId="9" hidden="1"/>
    <cellStyle name="Followed Hyperlink" xfId="4718" builtinId="9" hidden="1"/>
    <cellStyle name="Followed Hyperlink" xfId="4720" builtinId="9" hidden="1"/>
    <cellStyle name="Followed Hyperlink" xfId="4722" builtinId="9" hidden="1"/>
    <cellStyle name="Followed Hyperlink" xfId="4724" builtinId="9" hidden="1"/>
    <cellStyle name="Followed Hyperlink" xfId="4726" builtinId="9" hidden="1"/>
    <cellStyle name="Followed Hyperlink" xfId="4728" builtinId="9" hidden="1"/>
    <cellStyle name="Followed Hyperlink" xfId="4730" builtinId="9" hidden="1"/>
    <cellStyle name="Followed Hyperlink" xfId="4732" builtinId="9" hidden="1"/>
    <cellStyle name="Followed Hyperlink" xfId="4734" builtinId="9" hidden="1"/>
    <cellStyle name="Followed Hyperlink" xfId="4736" builtinId="9" hidden="1"/>
    <cellStyle name="Followed Hyperlink" xfId="4738" builtinId="9" hidden="1"/>
    <cellStyle name="Followed Hyperlink" xfId="4740" builtinId="9" hidden="1"/>
    <cellStyle name="Followed Hyperlink" xfId="4742" builtinId="9" hidden="1"/>
    <cellStyle name="Followed Hyperlink" xfId="4744" builtinId="9" hidden="1"/>
    <cellStyle name="Followed Hyperlink" xfId="4746" builtinId="9" hidden="1"/>
    <cellStyle name="Followed Hyperlink" xfId="4748" builtinId="9" hidden="1"/>
    <cellStyle name="Followed Hyperlink" xfId="4750" builtinId="9" hidden="1"/>
    <cellStyle name="Followed Hyperlink" xfId="4752" builtinId="9" hidden="1"/>
    <cellStyle name="Followed Hyperlink" xfId="4754" builtinId="9" hidden="1"/>
    <cellStyle name="Followed Hyperlink" xfId="4756" builtinId="9" hidden="1"/>
    <cellStyle name="Followed Hyperlink" xfId="4758" builtinId="9" hidden="1"/>
    <cellStyle name="Followed Hyperlink" xfId="4760" builtinId="9" hidden="1"/>
    <cellStyle name="Followed Hyperlink" xfId="4762" builtinId="9" hidden="1"/>
    <cellStyle name="Followed Hyperlink" xfId="4764" builtinId="9" hidden="1"/>
    <cellStyle name="Followed Hyperlink" xfId="4766" builtinId="9" hidden="1"/>
    <cellStyle name="Followed Hyperlink" xfId="4768" builtinId="9" hidden="1"/>
    <cellStyle name="Followed Hyperlink" xfId="4770" builtinId="9" hidden="1"/>
    <cellStyle name="Followed Hyperlink" xfId="4772" builtinId="9" hidden="1"/>
    <cellStyle name="Followed Hyperlink" xfId="4774" builtinId="9" hidden="1"/>
    <cellStyle name="Followed Hyperlink" xfId="4776" builtinId="9" hidden="1"/>
    <cellStyle name="Followed Hyperlink" xfId="4778" builtinId="9" hidden="1"/>
    <cellStyle name="Followed Hyperlink" xfId="4780" builtinId="9" hidden="1"/>
    <cellStyle name="Followed Hyperlink" xfId="4782" builtinId="9" hidden="1"/>
    <cellStyle name="Followed Hyperlink" xfId="4784" builtinId="9" hidden="1"/>
    <cellStyle name="Followed Hyperlink" xfId="4786" builtinId="9" hidden="1"/>
    <cellStyle name="Followed Hyperlink" xfId="4788" builtinId="9" hidden="1"/>
    <cellStyle name="Followed Hyperlink" xfId="4790" builtinId="9" hidden="1"/>
    <cellStyle name="Followed Hyperlink" xfId="4792" builtinId="9" hidden="1"/>
    <cellStyle name="Followed Hyperlink" xfId="4794" builtinId="9" hidden="1"/>
    <cellStyle name="Followed Hyperlink" xfId="4796" builtinId="9" hidden="1"/>
    <cellStyle name="Followed Hyperlink" xfId="4798" builtinId="9" hidden="1"/>
    <cellStyle name="Followed Hyperlink" xfId="4800" builtinId="9" hidden="1"/>
    <cellStyle name="Followed Hyperlink" xfId="4802" builtinId="9" hidden="1"/>
    <cellStyle name="Followed Hyperlink" xfId="4804" builtinId="9" hidden="1"/>
    <cellStyle name="Followed Hyperlink" xfId="4806" builtinId="9" hidden="1"/>
    <cellStyle name="Followed Hyperlink" xfId="4808" builtinId="9" hidden="1"/>
    <cellStyle name="Followed Hyperlink" xfId="4810" builtinId="9" hidden="1"/>
    <cellStyle name="Followed Hyperlink" xfId="4812" builtinId="9" hidden="1"/>
    <cellStyle name="Followed Hyperlink" xfId="4814" builtinId="9" hidden="1"/>
    <cellStyle name="Followed Hyperlink" xfId="4816" builtinId="9" hidden="1"/>
    <cellStyle name="Followed Hyperlink" xfId="4818" builtinId="9" hidden="1"/>
    <cellStyle name="Followed Hyperlink" xfId="4820" builtinId="9" hidden="1"/>
    <cellStyle name="Followed Hyperlink" xfId="4822" builtinId="9" hidden="1"/>
    <cellStyle name="Followed Hyperlink" xfId="4824" builtinId="9" hidden="1"/>
    <cellStyle name="Followed Hyperlink" xfId="4826" builtinId="9" hidden="1"/>
    <cellStyle name="Followed Hyperlink" xfId="4828" builtinId="9" hidden="1"/>
    <cellStyle name="Followed Hyperlink" xfId="4830" builtinId="9" hidden="1"/>
    <cellStyle name="Followed Hyperlink" xfId="4832" builtinId="9" hidden="1"/>
    <cellStyle name="Followed Hyperlink" xfId="4834" builtinId="9" hidden="1"/>
    <cellStyle name="Followed Hyperlink" xfId="4836" builtinId="9" hidden="1"/>
    <cellStyle name="Followed Hyperlink" xfId="4838" builtinId="9" hidden="1"/>
    <cellStyle name="Followed Hyperlink" xfId="4840" builtinId="9" hidden="1"/>
    <cellStyle name="Followed Hyperlink" xfId="4842" builtinId="9" hidden="1"/>
    <cellStyle name="Followed Hyperlink" xfId="4844" builtinId="9" hidden="1"/>
    <cellStyle name="Followed Hyperlink" xfId="4846" builtinId="9" hidden="1"/>
    <cellStyle name="Followed Hyperlink" xfId="4848" builtinId="9" hidden="1"/>
    <cellStyle name="Followed Hyperlink" xfId="4850" builtinId="9" hidden="1"/>
    <cellStyle name="Followed Hyperlink" xfId="4852" builtinId="9" hidden="1"/>
    <cellStyle name="Followed Hyperlink" xfId="4854" builtinId="9" hidden="1"/>
    <cellStyle name="Followed Hyperlink" xfId="4856" builtinId="9" hidden="1"/>
    <cellStyle name="Followed Hyperlink" xfId="4858" builtinId="9" hidden="1"/>
    <cellStyle name="Followed Hyperlink" xfId="4860" builtinId="9" hidden="1"/>
    <cellStyle name="Followed Hyperlink" xfId="4862" builtinId="9" hidden="1"/>
    <cellStyle name="Followed Hyperlink" xfId="4864" builtinId="9" hidden="1"/>
    <cellStyle name="Followed Hyperlink" xfId="4866" builtinId="9" hidden="1"/>
    <cellStyle name="Followed Hyperlink" xfId="4868" builtinId="9" hidden="1"/>
    <cellStyle name="Followed Hyperlink" xfId="4870" builtinId="9" hidden="1"/>
    <cellStyle name="Followed Hyperlink" xfId="4872" builtinId="9" hidden="1"/>
    <cellStyle name="Followed Hyperlink" xfId="4874" builtinId="9" hidden="1"/>
    <cellStyle name="Followed Hyperlink" xfId="4876" builtinId="9" hidden="1"/>
    <cellStyle name="Followed Hyperlink" xfId="4878" builtinId="9" hidden="1"/>
    <cellStyle name="Followed Hyperlink" xfId="4880" builtinId="9" hidden="1"/>
    <cellStyle name="Followed Hyperlink" xfId="4882" builtinId="9" hidden="1"/>
    <cellStyle name="Followed Hyperlink" xfId="4884" builtinId="9" hidden="1"/>
    <cellStyle name="Followed Hyperlink" xfId="4886" builtinId="9" hidden="1"/>
    <cellStyle name="Followed Hyperlink" xfId="4888" builtinId="9" hidden="1"/>
    <cellStyle name="Followed Hyperlink" xfId="4890" builtinId="9" hidden="1"/>
    <cellStyle name="Followed Hyperlink" xfId="4892" builtinId="9" hidden="1"/>
    <cellStyle name="Followed Hyperlink" xfId="4894" builtinId="9" hidden="1"/>
    <cellStyle name="Followed Hyperlink" xfId="4896" builtinId="9" hidden="1"/>
    <cellStyle name="Followed Hyperlink" xfId="4898" builtinId="9" hidden="1"/>
    <cellStyle name="Followed Hyperlink" xfId="4900" builtinId="9" hidden="1"/>
    <cellStyle name="Followed Hyperlink" xfId="4902" builtinId="9" hidden="1"/>
    <cellStyle name="Followed Hyperlink" xfId="4904" builtinId="9" hidden="1"/>
    <cellStyle name="Followed Hyperlink" xfId="4906" builtinId="9" hidden="1"/>
    <cellStyle name="Followed Hyperlink" xfId="4908" builtinId="9" hidden="1"/>
    <cellStyle name="Followed Hyperlink" xfId="4910" builtinId="9" hidden="1"/>
    <cellStyle name="Followed Hyperlink" xfId="4912" builtinId="9" hidden="1"/>
    <cellStyle name="Followed Hyperlink" xfId="4914" builtinId="9" hidden="1"/>
    <cellStyle name="Followed Hyperlink" xfId="4916" builtinId="9" hidden="1"/>
    <cellStyle name="Followed Hyperlink" xfId="4918" builtinId="9" hidden="1"/>
    <cellStyle name="Followed Hyperlink" xfId="4920" builtinId="9" hidden="1"/>
    <cellStyle name="Followed Hyperlink" xfId="4922" builtinId="9" hidden="1"/>
    <cellStyle name="Followed Hyperlink" xfId="4924" builtinId="9" hidden="1"/>
    <cellStyle name="Followed Hyperlink" xfId="4926" builtinId="9" hidden="1"/>
    <cellStyle name="Followed Hyperlink" xfId="4928" builtinId="9" hidden="1"/>
    <cellStyle name="Followed Hyperlink" xfId="4930" builtinId="9" hidden="1"/>
    <cellStyle name="Followed Hyperlink" xfId="4932" builtinId="9" hidden="1"/>
    <cellStyle name="Followed Hyperlink" xfId="4934" builtinId="9" hidden="1"/>
    <cellStyle name="Followed Hyperlink" xfId="4936" builtinId="9" hidden="1"/>
    <cellStyle name="Followed Hyperlink" xfId="4938" builtinId="9" hidden="1"/>
    <cellStyle name="Followed Hyperlink" xfId="4940" builtinId="9" hidden="1"/>
    <cellStyle name="Followed Hyperlink" xfId="4942" builtinId="9" hidden="1"/>
    <cellStyle name="Followed Hyperlink" xfId="4944" builtinId="9" hidden="1"/>
    <cellStyle name="Followed Hyperlink" xfId="4946" builtinId="9" hidden="1"/>
    <cellStyle name="Followed Hyperlink" xfId="4948" builtinId="9" hidden="1"/>
    <cellStyle name="Followed Hyperlink" xfId="4950" builtinId="9" hidden="1"/>
    <cellStyle name="Followed Hyperlink" xfId="4952" builtinId="9" hidden="1"/>
    <cellStyle name="Followed Hyperlink" xfId="4954" builtinId="9" hidden="1"/>
    <cellStyle name="Followed Hyperlink" xfId="4956" builtinId="9" hidden="1"/>
    <cellStyle name="Followed Hyperlink" xfId="4958" builtinId="9" hidden="1"/>
    <cellStyle name="Followed Hyperlink" xfId="4960" builtinId="9" hidden="1"/>
    <cellStyle name="Followed Hyperlink" xfId="4962" builtinId="9" hidden="1"/>
    <cellStyle name="Followed Hyperlink" xfId="4964" builtinId="9" hidden="1"/>
    <cellStyle name="Followed Hyperlink" xfId="4966" builtinId="9" hidden="1"/>
    <cellStyle name="Followed Hyperlink" xfId="4968" builtinId="9" hidden="1"/>
    <cellStyle name="Followed Hyperlink" xfId="4970" builtinId="9" hidden="1"/>
    <cellStyle name="Followed Hyperlink" xfId="4972" builtinId="9" hidden="1"/>
    <cellStyle name="Followed Hyperlink" xfId="4974" builtinId="9" hidden="1"/>
    <cellStyle name="Followed Hyperlink" xfId="4976" builtinId="9" hidden="1"/>
    <cellStyle name="Followed Hyperlink" xfId="4978" builtinId="9" hidden="1"/>
    <cellStyle name="Followed Hyperlink" xfId="4980" builtinId="9" hidden="1"/>
    <cellStyle name="Followed Hyperlink" xfId="4982" builtinId="9" hidden="1"/>
    <cellStyle name="Followed Hyperlink" xfId="4984" builtinId="9" hidden="1"/>
    <cellStyle name="Followed Hyperlink" xfId="4986" builtinId="9" hidden="1"/>
    <cellStyle name="Followed Hyperlink" xfId="4988" builtinId="9" hidden="1"/>
    <cellStyle name="Followed Hyperlink" xfId="4990" builtinId="9" hidden="1"/>
    <cellStyle name="Followed Hyperlink" xfId="4992" builtinId="9" hidden="1"/>
    <cellStyle name="Followed Hyperlink" xfId="4994" builtinId="9" hidden="1"/>
    <cellStyle name="Followed Hyperlink" xfId="4996" builtinId="9" hidden="1"/>
    <cellStyle name="Followed Hyperlink" xfId="4998" builtinId="9" hidden="1"/>
    <cellStyle name="Followed Hyperlink" xfId="5000" builtinId="9" hidden="1"/>
    <cellStyle name="Followed Hyperlink" xfId="5002" builtinId="9" hidden="1"/>
    <cellStyle name="Followed Hyperlink" xfId="5004" builtinId="9" hidden="1"/>
    <cellStyle name="Followed Hyperlink" xfId="5006" builtinId="9" hidden="1"/>
    <cellStyle name="Followed Hyperlink" xfId="5008" builtinId="9" hidden="1"/>
    <cellStyle name="Followed Hyperlink" xfId="5010" builtinId="9" hidden="1"/>
    <cellStyle name="Followed Hyperlink" xfId="5012" builtinId="9" hidden="1"/>
    <cellStyle name="Followed Hyperlink" xfId="5014" builtinId="9" hidden="1"/>
    <cellStyle name="Followed Hyperlink" xfId="5016" builtinId="9" hidden="1"/>
    <cellStyle name="Followed Hyperlink" xfId="5018" builtinId="9" hidden="1"/>
    <cellStyle name="Followed Hyperlink" xfId="5020" builtinId="9" hidden="1"/>
    <cellStyle name="Followed Hyperlink" xfId="5022" builtinId="9" hidden="1"/>
    <cellStyle name="Followed Hyperlink" xfId="5024" builtinId="9" hidden="1"/>
    <cellStyle name="Followed Hyperlink" xfId="5026" builtinId="9" hidden="1"/>
    <cellStyle name="Followed Hyperlink" xfId="5028" builtinId="9" hidden="1"/>
    <cellStyle name="Followed Hyperlink" xfId="5030" builtinId="9" hidden="1"/>
    <cellStyle name="Followed Hyperlink" xfId="5032" builtinId="9" hidden="1"/>
    <cellStyle name="Followed Hyperlink" xfId="5034" builtinId="9" hidden="1"/>
    <cellStyle name="Followed Hyperlink" xfId="5036" builtinId="9" hidden="1"/>
    <cellStyle name="Followed Hyperlink" xfId="5038" builtinId="9" hidden="1"/>
    <cellStyle name="Followed Hyperlink" xfId="5040" builtinId="9" hidden="1"/>
    <cellStyle name="Followed Hyperlink" xfId="5042" builtinId="9" hidden="1"/>
    <cellStyle name="Followed Hyperlink" xfId="5044" builtinId="9" hidden="1"/>
    <cellStyle name="Followed Hyperlink" xfId="5046" builtinId="9" hidden="1"/>
    <cellStyle name="Followed Hyperlink" xfId="5048" builtinId="9" hidden="1"/>
    <cellStyle name="Followed Hyperlink" xfId="5050" builtinId="9" hidden="1"/>
    <cellStyle name="Followed Hyperlink" xfId="5052" builtinId="9" hidden="1"/>
    <cellStyle name="Followed Hyperlink" xfId="5054" builtinId="9" hidden="1"/>
    <cellStyle name="Followed Hyperlink" xfId="5056" builtinId="9" hidden="1"/>
    <cellStyle name="Followed Hyperlink" xfId="5058" builtinId="9" hidden="1"/>
    <cellStyle name="Followed Hyperlink" xfId="5060" builtinId="9" hidden="1"/>
    <cellStyle name="Followed Hyperlink" xfId="5062" builtinId="9" hidden="1"/>
    <cellStyle name="Followed Hyperlink" xfId="5064" builtinId="9" hidden="1"/>
    <cellStyle name="Followed Hyperlink" xfId="5066" builtinId="9" hidden="1"/>
    <cellStyle name="Followed Hyperlink" xfId="5068" builtinId="9" hidden="1"/>
    <cellStyle name="Followed Hyperlink" xfId="5070" builtinId="9" hidden="1"/>
    <cellStyle name="Followed Hyperlink" xfId="5072" builtinId="9" hidden="1"/>
    <cellStyle name="Followed Hyperlink" xfId="5074" builtinId="9" hidden="1"/>
    <cellStyle name="Followed Hyperlink" xfId="5076" builtinId="9" hidden="1"/>
    <cellStyle name="Followed Hyperlink" xfId="5078" builtinId="9" hidden="1"/>
    <cellStyle name="Followed Hyperlink" xfId="5080" builtinId="9" hidden="1"/>
    <cellStyle name="Followed Hyperlink" xfId="5082" builtinId="9" hidden="1"/>
    <cellStyle name="Followed Hyperlink" xfId="5084" builtinId="9" hidden="1"/>
    <cellStyle name="Followed Hyperlink" xfId="5086" builtinId="9" hidden="1"/>
    <cellStyle name="Followed Hyperlink" xfId="5088" builtinId="9" hidden="1"/>
    <cellStyle name="Followed Hyperlink" xfId="5090" builtinId="9" hidden="1"/>
    <cellStyle name="Followed Hyperlink" xfId="5092" builtinId="9" hidden="1"/>
    <cellStyle name="Followed Hyperlink" xfId="5094" builtinId="9" hidden="1"/>
    <cellStyle name="Followed Hyperlink" xfId="5096" builtinId="9" hidden="1"/>
    <cellStyle name="Followed Hyperlink" xfId="5098" builtinId="9" hidden="1"/>
    <cellStyle name="Followed Hyperlink" xfId="5100" builtinId="9" hidden="1"/>
    <cellStyle name="Followed Hyperlink" xfId="5102" builtinId="9" hidden="1"/>
    <cellStyle name="Followed Hyperlink" xfId="5104" builtinId="9" hidden="1"/>
    <cellStyle name="Followed Hyperlink" xfId="5106" builtinId="9" hidden="1"/>
    <cellStyle name="Followed Hyperlink" xfId="5108" builtinId="9" hidden="1"/>
    <cellStyle name="Followed Hyperlink" xfId="5110" builtinId="9" hidden="1"/>
    <cellStyle name="Followed Hyperlink" xfId="5112" builtinId="9" hidden="1"/>
    <cellStyle name="Followed Hyperlink" xfId="5114" builtinId="9" hidden="1"/>
    <cellStyle name="Followed Hyperlink" xfId="5116" builtinId="9" hidden="1"/>
    <cellStyle name="Followed Hyperlink" xfId="5118" builtinId="9" hidden="1"/>
    <cellStyle name="Followed Hyperlink" xfId="5120" builtinId="9" hidden="1"/>
    <cellStyle name="Followed Hyperlink" xfId="5122" builtinId="9" hidden="1"/>
    <cellStyle name="Followed Hyperlink" xfId="5124" builtinId="9" hidden="1"/>
    <cellStyle name="Followed Hyperlink" xfId="5126" builtinId="9" hidden="1"/>
    <cellStyle name="Followed Hyperlink" xfId="5128" builtinId="9" hidden="1"/>
    <cellStyle name="Followed Hyperlink" xfId="5130" builtinId="9" hidden="1"/>
    <cellStyle name="Followed Hyperlink" xfId="5132" builtinId="9" hidden="1"/>
    <cellStyle name="Followed Hyperlink" xfId="5134" builtinId="9" hidden="1"/>
    <cellStyle name="Followed Hyperlink" xfId="5136" builtinId="9" hidden="1"/>
    <cellStyle name="Followed Hyperlink" xfId="5138" builtinId="9" hidden="1"/>
    <cellStyle name="Followed Hyperlink" xfId="5140" builtinId="9" hidden="1"/>
    <cellStyle name="Followed Hyperlink" xfId="5142" builtinId="9" hidden="1"/>
    <cellStyle name="Followed Hyperlink" xfId="5144" builtinId="9" hidden="1"/>
    <cellStyle name="Followed Hyperlink" xfId="5146" builtinId="9" hidden="1"/>
    <cellStyle name="Followed Hyperlink" xfId="5148" builtinId="9" hidden="1"/>
    <cellStyle name="Followed Hyperlink" xfId="5150" builtinId="9" hidden="1"/>
    <cellStyle name="Followed Hyperlink" xfId="5152" builtinId="9" hidden="1"/>
    <cellStyle name="Followed Hyperlink" xfId="5154" builtinId="9" hidden="1"/>
    <cellStyle name="Followed Hyperlink" xfId="5156" builtinId="9" hidden="1"/>
    <cellStyle name="Followed Hyperlink" xfId="5158" builtinId="9" hidden="1"/>
    <cellStyle name="Followed Hyperlink" xfId="5160" builtinId="9" hidden="1"/>
    <cellStyle name="Followed Hyperlink" xfId="5162" builtinId="9" hidden="1"/>
    <cellStyle name="Followed Hyperlink" xfId="5164" builtinId="9" hidden="1"/>
    <cellStyle name="Followed Hyperlink" xfId="5166" builtinId="9" hidden="1"/>
    <cellStyle name="Followed Hyperlink" xfId="5168" builtinId="9" hidden="1"/>
    <cellStyle name="Followed Hyperlink" xfId="5170" builtinId="9" hidden="1"/>
    <cellStyle name="Followed Hyperlink" xfId="5172" builtinId="9" hidden="1"/>
    <cellStyle name="Followed Hyperlink" xfId="5174" builtinId="9" hidden="1"/>
    <cellStyle name="Followed Hyperlink" xfId="5176" builtinId="9" hidden="1"/>
    <cellStyle name="Followed Hyperlink" xfId="5178" builtinId="9" hidden="1"/>
    <cellStyle name="Followed Hyperlink" xfId="5180" builtinId="9" hidden="1"/>
    <cellStyle name="Followed Hyperlink" xfId="5182" builtinId="9" hidden="1"/>
    <cellStyle name="Followed Hyperlink" xfId="5184" builtinId="9" hidden="1"/>
    <cellStyle name="Followed Hyperlink" xfId="5186" builtinId="9" hidden="1"/>
    <cellStyle name="Followed Hyperlink" xfId="5188" builtinId="9" hidden="1"/>
    <cellStyle name="Followed Hyperlink" xfId="5190" builtinId="9" hidden="1"/>
    <cellStyle name="Followed Hyperlink" xfId="5192" builtinId="9" hidden="1"/>
    <cellStyle name="Followed Hyperlink" xfId="5194" builtinId="9" hidden="1"/>
    <cellStyle name="Followed Hyperlink" xfId="5196" builtinId="9" hidden="1"/>
    <cellStyle name="Followed Hyperlink" xfId="5198" builtinId="9" hidden="1"/>
    <cellStyle name="Followed Hyperlink" xfId="5200" builtinId="9" hidden="1"/>
    <cellStyle name="Followed Hyperlink" xfId="5202" builtinId="9" hidden="1"/>
    <cellStyle name="Followed Hyperlink" xfId="5204" builtinId="9" hidden="1"/>
    <cellStyle name="Followed Hyperlink" xfId="5206" builtinId="9" hidden="1"/>
    <cellStyle name="Followed Hyperlink" xfId="5208" builtinId="9" hidden="1"/>
    <cellStyle name="Followed Hyperlink" xfId="5210" builtinId="9" hidden="1"/>
    <cellStyle name="Followed Hyperlink" xfId="5212" builtinId="9" hidden="1"/>
    <cellStyle name="Followed Hyperlink" xfId="5214" builtinId="9" hidden="1"/>
    <cellStyle name="Followed Hyperlink" xfId="5216" builtinId="9" hidden="1"/>
    <cellStyle name="Followed Hyperlink" xfId="5218" builtinId="9" hidden="1"/>
    <cellStyle name="Followed Hyperlink" xfId="5220" builtinId="9" hidden="1"/>
    <cellStyle name="Followed Hyperlink" xfId="5222" builtinId="9" hidden="1"/>
    <cellStyle name="Followed Hyperlink" xfId="5224" builtinId="9" hidden="1"/>
    <cellStyle name="Followed Hyperlink" xfId="5226" builtinId="9" hidden="1"/>
    <cellStyle name="Followed Hyperlink" xfId="5228" builtinId="9" hidden="1"/>
    <cellStyle name="Followed Hyperlink" xfId="5230" builtinId="9" hidden="1"/>
    <cellStyle name="Followed Hyperlink" xfId="5232" builtinId="9" hidden="1"/>
    <cellStyle name="Followed Hyperlink" xfId="5234" builtinId="9" hidden="1"/>
    <cellStyle name="Followed Hyperlink" xfId="5236" builtinId="9" hidden="1"/>
    <cellStyle name="Followed Hyperlink" xfId="5238" builtinId="9" hidden="1"/>
    <cellStyle name="Followed Hyperlink" xfId="5240" builtinId="9" hidden="1"/>
    <cellStyle name="Followed Hyperlink" xfId="5242" builtinId="9" hidden="1"/>
    <cellStyle name="Followed Hyperlink" xfId="5244" builtinId="9" hidden="1"/>
    <cellStyle name="Followed Hyperlink" xfId="5246" builtinId="9" hidden="1"/>
    <cellStyle name="Followed Hyperlink" xfId="5248" builtinId="9" hidden="1"/>
    <cellStyle name="Followed Hyperlink" xfId="5250" builtinId="9" hidden="1"/>
    <cellStyle name="Followed Hyperlink" xfId="5252" builtinId="9" hidden="1"/>
    <cellStyle name="Followed Hyperlink" xfId="5254" builtinId="9" hidden="1"/>
    <cellStyle name="Followed Hyperlink" xfId="5256" builtinId="9" hidden="1"/>
    <cellStyle name="Followed Hyperlink" xfId="5258" builtinId="9" hidden="1"/>
    <cellStyle name="Followed Hyperlink" xfId="5260" builtinId="9" hidden="1"/>
    <cellStyle name="Followed Hyperlink" xfId="5262" builtinId="9" hidden="1"/>
    <cellStyle name="Followed Hyperlink" xfId="5264" builtinId="9" hidden="1"/>
    <cellStyle name="Followed Hyperlink" xfId="5266" builtinId="9" hidden="1"/>
    <cellStyle name="Followed Hyperlink" xfId="5268" builtinId="9" hidden="1"/>
    <cellStyle name="Followed Hyperlink" xfId="5270" builtinId="9" hidden="1"/>
    <cellStyle name="Followed Hyperlink" xfId="5272" builtinId="9" hidden="1"/>
    <cellStyle name="Followed Hyperlink" xfId="5274" builtinId="9" hidden="1"/>
    <cellStyle name="Followed Hyperlink" xfId="5276" builtinId="9" hidden="1"/>
    <cellStyle name="Followed Hyperlink" xfId="5278" builtinId="9" hidden="1"/>
    <cellStyle name="Followed Hyperlink" xfId="5280" builtinId="9" hidden="1"/>
    <cellStyle name="Followed Hyperlink" xfId="5282" builtinId="9" hidden="1"/>
    <cellStyle name="Followed Hyperlink" xfId="5284" builtinId="9" hidden="1"/>
    <cellStyle name="Followed Hyperlink" xfId="5286" builtinId="9" hidden="1"/>
    <cellStyle name="Followed Hyperlink" xfId="5288" builtinId="9" hidden="1"/>
    <cellStyle name="Followed Hyperlink" xfId="5290" builtinId="9" hidden="1"/>
    <cellStyle name="Followed Hyperlink" xfId="5292" builtinId="9" hidden="1"/>
    <cellStyle name="Followed Hyperlink" xfId="5294" builtinId="9" hidden="1"/>
    <cellStyle name="Followed Hyperlink" xfId="5296" builtinId="9" hidden="1"/>
    <cellStyle name="Followed Hyperlink" xfId="5298" builtinId="9" hidden="1"/>
    <cellStyle name="Followed Hyperlink" xfId="5300" builtinId="9" hidden="1"/>
    <cellStyle name="Followed Hyperlink" xfId="5302" builtinId="9" hidden="1"/>
    <cellStyle name="Followed Hyperlink" xfId="5304" builtinId="9" hidden="1"/>
    <cellStyle name="Followed Hyperlink" xfId="5306" builtinId="9" hidden="1"/>
    <cellStyle name="Followed Hyperlink" xfId="5308" builtinId="9" hidden="1"/>
    <cellStyle name="Followed Hyperlink" xfId="5310" builtinId="9" hidden="1"/>
    <cellStyle name="Followed Hyperlink" xfId="5312" builtinId="9" hidden="1"/>
    <cellStyle name="Followed Hyperlink" xfId="5314" builtinId="9" hidden="1"/>
    <cellStyle name="Followed Hyperlink" xfId="5316" builtinId="9" hidden="1"/>
    <cellStyle name="Followed Hyperlink" xfId="5318" builtinId="9" hidden="1"/>
    <cellStyle name="Followed Hyperlink" xfId="5320" builtinId="9" hidden="1"/>
    <cellStyle name="Followed Hyperlink" xfId="5322" builtinId="9" hidden="1"/>
    <cellStyle name="Followed Hyperlink" xfId="5324" builtinId="9" hidden="1"/>
    <cellStyle name="Followed Hyperlink" xfId="5326" builtinId="9" hidden="1"/>
    <cellStyle name="Followed Hyperlink" xfId="5328" builtinId="9" hidden="1"/>
    <cellStyle name="Followed Hyperlink" xfId="5330" builtinId="9" hidden="1"/>
    <cellStyle name="Followed Hyperlink" xfId="5332" builtinId="9" hidden="1"/>
    <cellStyle name="Followed Hyperlink" xfId="5334" builtinId="9" hidden="1"/>
    <cellStyle name="Followed Hyperlink" xfId="5336" builtinId="9" hidden="1"/>
    <cellStyle name="Followed Hyperlink" xfId="5338" builtinId="9" hidden="1"/>
    <cellStyle name="Followed Hyperlink" xfId="5340" builtinId="9" hidden="1"/>
    <cellStyle name="Followed Hyperlink" xfId="5342" builtinId="9" hidden="1"/>
    <cellStyle name="Followed Hyperlink" xfId="5344" builtinId="9" hidden="1"/>
    <cellStyle name="Followed Hyperlink" xfId="5346" builtinId="9" hidden="1"/>
    <cellStyle name="Followed Hyperlink" xfId="5348" builtinId="9" hidden="1"/>
    <cellStyle name="Followed Hyperlink" xfId="5350" builtinId="9" hidden="1"/>
    <cellStyle name="Followed Hyperlink" xfId="5352" builtinId="9" hidden="1"/>
    <cellStyle name="Followed Hyperlink" xfId="5354" builtinId="9" hidden="1"/>
    <cellStyle name="Followed Hyperlink" xfId="5356" builtinId="9" hidden="1"/>
    <cellStyle name="Followed Hyperlink" xfId="5358" builtinId="9" hidden="1"/>
    <cellStyle name="Followed Hyperlink" xfId="5360" builtinId="9" hidden="1"/>
    <cellStyle name="Followed Hyperlink" xfId="5362" builtinId="9" hidden="1"/>
    <cellStyle name="Followed Hyperlink" xfId="5364" builtinId="9" hidden="1"/>
    <cellStyle name="Followed Hyperlink" xfId="5366" builtinId="9" hidden="1"/>
    <cellStyle name="Followed Hyperlink" xfId="5368" builtinId="9" hidden="1"/>
    <cellStyle name="Followed Hyperlink" xfId="5370" builtinId="9" hidden="1"/>
    <cellStyle name="Followed Hyperlink" xfId="5372" builtinId="9" hidden="1"/>
    <cellStyle name="Followed Hyperlink" xfId="5374" builtinId="9" hidden="1"/>
    <cellStyle name="Followed Hyperlink" xfId="5376" builtinId="9" hidden="1"/>
    <cellStyle name="Followed Hyperlink" xfId="5378" builtinId="9" hidden="1"/>
    <cellStyle name="Followed Hyperlink" xfId="5380" builtinId="9" hidden="1"/>
    <cellStyle name="Followed Hyperlink" xfId="5382" builtinId="9" hidden="1"/>
    <cellStyle name="Followed Hyperlink" xfId="5384" builtinId="9" hidden="1"/>
    <cellStyle name="Followed Hyperlink" xfId="5386" builtinId="9" hidden="1"/>
    <cellStyle name="Followed Hyperlink" xfId="5388" builtinId="9" hidden="1"/>
    <cellStyle name="Followed Hyperlink" xfId="5390" builtinId="9" hidden="1"/>
    <cellStyle name="Followed Hyperlink" xfId="5392" builtinId="9" hidden="1"/>
    <cellStyle name="Followed Hyperlink" xfId="5394" builtinId="9" hidden="1"/>
    <cellStyle name="Followed Hyperlink" xfId="5396" builtinId="9" hidden="1"/>
    <cellStyle name="Followed Hyperlink" xfId="5398" builtinId="9" hidden="1"/>
    <cellStyle name="Followed Hyperlink" xfId="5400" builtinId="9" hidden="1"/>
    <cellStyle name="Followed Hyperlink" xfId="5402" builtinId="9" hidden="1"/>
    <cellStyle name="Followed Hyperlink" xfId="5404" builtinId="9" hidden="1"/>
    <cellStyle name="Followed Hyperlink" xfId="5406" builtinId="9" hidden="1"/>
    <cellStyle name="Followed Hyperlink" xfId="5408" builtinId="9" hidden="1"/>
    <cellStyle name="Followed Hyperlink" xfId="5410" builtinId="9" hidden="1"/>
    <cellStyle name="Followed Hyperlink" xfId="5412" builtinId="9" hidden="1"/>
    <cellStyle name="Followed Hyperlink" xfId="5414" builtinId="9" hidden="1"/>
    <cellStyle name="Followed Hyperlink" xfId="5416" builtinId="9" hidden="1"/>
    <cellStyle name="Followed Hyperlink" xfId="5418" builtinId="9" hidden="1"/>
    <cellStyle name="Followed Hyperlink" xfId="5420" builtinId="9" hidden="1"/>
    <cellStyle name="Followed Hyperlink" xfId="5422" builtinId="9" hidden="1"/>
    <cellStyle name="Followed Hyperlink" xfId="5424" builtinId="9" hidden="1"/>
    <cellStyle name="Followed Hyperlink" xfId="5426" builtinId="9" hidden="1"/>
    <cellStyle name="Followed Hyperlink" xfId="5428" builtinId="9" hidden="1"/>
    <cellStyle name="Followed Hyperlink" xfId="5430" builtinId="9" hidden="1"/>
    <cellStyle name="Followed Hyperlink" xfId="5432" builtinId="9" hidden="1"/>
    <cellStyle name="Followed Hyperlink" xfId="5434" builtinId="9" hidden="1"/>
    <cellStyle name="Followed Hyperlink" xfId="5436" builtinId="9" hidden="1"/>
    <cellStyle name="Followed Hyperlink" xfId="5438" builtinId="9" hidden="1"/>
    <cellStyle name="Followed Hyperlink" xfId="5440" builtinId="9" hidden="1"/>
    <cellStyle name="Followed Hyperlink" xfId="5442" builtinId="9" hidden="1"/>
    <cellStyle name="Followed Hyperlink" xfId="5444" builtinId="9" hidden="1"/>
    <cellStyle name="Followed Hyperlink" xfId="5446" builtinId="9" hidden="1"/>
    <cellStyle name="Followed Hyperlink" xfId="5448" builtinId="9" hidden="1"/>
    <cellStyle name="Followed Hyperlink" xfId="5450" builtinId="9" hidden="1"/>
    <cellStyle name="Followed Hyperlink" xfId="5452" builtinId="9" hidden="1"/>
    <cellStyle name="Followed Hyperlink" xfId="5454" builtinId="9" hidden="1"/>
    <cellStyle name="Followed Hyperlink" xfId="5456" builtinId="9" hidden="1"/>
    <cellStyle name="Followed Hyperlink" xfId="5458" builtinId="9" hidden="1"/>
    <cellStyle name="Followed Hyperlink" xfId="5460" builtinId="9" hidden="1"/>
    <cellStyle name="Followed Hyperlink" xfId="5462" builtinId="9" hidden="1"/>
    <cellStyle name="Followed Hyperlink" xfId="5464" builtinId="9" hidden="1"/>
    <cellStyle name="Followed Hyperlink" xfId="5466" builtinId="9" hidden="1"/>
    <cellStyle name="Followed Hyperlink" xfId="5468" builtinId="9" hidden="1"/>
    <cellStyle name="Followed Hyperlink" xfId="5470" builtinId="9" hidden="1"/>
    <cellStyle name="Followed Hyperlink" xfId="5472" builtinId="9" hidden="1"/>
    <cellStyle name="Followed Hyperlink" xfId="5474" builtinId="9" hidden="1"/>
    <cellStyle name="Followed Hyperlink" xfId="5476" builtinId="9" hidden="1"/>
    <cellStyle name="Followed Hyperlink" xfId="5478" builtinId="9" hidden="1"/>
    <cellStyle name="Followed Hyperlink" xfId="5480" builtinId="9" hidden="1"/>
    <cellStyle name="Followed Hyperlink" xfId="5482" builtinId="9" hidden="1"/>
    <cellStyle name="Followed Hyperlink" xfId="5484" builtinId="9" hidden="1"/>
    <cellStyle name="Followed Hyperlink" xfId="5486" builtinId="9" hidden="1"/>
    <cellStyle name="Followed Hyperlink" xfId="5488" builtinId="9" hidden="1"/>
    <cellStyle name="Followed Hyperlink" xfId="5490" builtinId="9" hidden="1"/>
    <cellStyle name="Followed Hyperlink" xfId="5492" builtinId="9" hidden="1"/>
    <cellStyle name="Followed Hyperlink" xfId="5494" builtinId="9" hidden="1"/>
    <cellStyle name="Followed Hyperlink" xfId="5496" builtinId="9" hidden="1"/>
    <cellStyle name="Followed Hyperlink" xfId="5498" builtinId="9" hidden="1"/>
    <cellStyle name="Followed Hyperlink" xfId="5500" builtinId="9" hidden="1"/>
    <cellStyle name="Followed Hyperlink" xfId="5502" builtinId="9" hidden="1"/>
    <cellStyle name="Followed Hyperlink" xfId="5504" builtinId="9" hidden="1"/>
    <cellStyle name="Followed Hyperlink" xfId="5506" builtinId="9" hidden="1"/>
    <cellStyle name="Followed Hyperlink" xfId="5508" builtinId="9" hidden="1"/>
    <cellStyle name="Followed Hyperlink" xfId="5510" builtinId="9" hidden="1"/>
    <cellStyle name="Followed Hyperlink" xfId="5512" builtinId="9" hidden="1"/>
    <cellStyle name="Followed Hyperlink" xfId="5514" builtinId="9" hidden="1"/>
    <cellStyle name="Followed Hyperlink" xfId="5516" builtinId="9" hidden="1"/>
    <cellStyle name="Followed Hyperlink" xfId="5518" builtinId="9" hidden="1"/>
    <cellStyle name="Followed Hyperlink" xfId="5520" builtinId="9" hidden="1"/>
    <cellStyle name="Followed Hyperlink" xfId="5522" builtinId="9" hidden="1"/>
    <cellStyle name="Followed Hyperlink" xfId="5524" builtinId="9" hidden="1"/>
    <cellStyle name="Followed Hyperlink" xfId="5526" builtinId="9" hidden="1"/>
    <cellStyle name="Followed Hyperlink" xfId="5528" builtinId="9" hidden="1"/>
    <cellStyle name="Followed Hyperlink" xfId="5530" builtinId="9" hidden="1"/>
    <cellStyle name="Followed Hyperlink" xfId="5532" builtinId="9" hidden="1"/>
    <cellStyle name="Followed Hyperlink" xfId="5534" builtinId="9" hidden="1"/>
    <cellStyle name="Followed Hyperlink" xfId="5536" builtinId="9" hidden="1"/>
    <cellStyle name="Followed Hyperlink" xfId="5538" builtinId="9" hidden="1"/>
    <cellStyle name="Followed Hyperlink" xfId="5540" builtinId="9" hidden="1"/>
    <cellStyle name="Followed Hyperlink" xfId="5542" builtinId="9" hidden="1"/>
    <cellStyle name="Followed Hyperlink" xfId="5544" builtinId="9" hidden="1"/>
    <cellStyle name="Followed Hyperlink" xfId="5546" builtinId="9" hidden="1"/>
    <cellStyle name="Followed Hyperlink" xfId="5548" builtinId="9" hidden="1"/>
    <cellStyle name="Followed Hyperlink" xfId="5550" builtinId="9" hidden="1"/>
    <cellStyle name="Followed Hyperlink" xfId="5552" builtinId="9" hidden="1"/>
    <cellStyle name="Followed Hyperlink" xfId="5554" builtinId="9" hidden="1"/>
    <cellStyle name="Followed Hyperlink" xfId="5556" builtinId="9" hidden="1"/>
    <cellStyle name="Followed Hyperlink" xfId="5558" builtinId="9" hidden="1"/>
    <cellStyle name="Followed Hyperlink" xfId="5560" builtinId="9" hidden="1"/>
    <cellStyle name="Followed Hyperlink" xfId="5562" builtinId="9" hidden="1"/>
    <cellStyle name="Followed Hyperlink" xfId="5564" builtinId="9" hidden="1"/>
    <cellStyle name="Followed Hyperlink" xfId="5566" builtinId="9" hidden="1"/>
    <cellStyle name="Followed Hyperlink" xfId="5568" builtinId="9" hidden="1"/>
    <cellStyle name="Followed Hyperlink" xfId="5570" builtinId="9" hidden="1"/>
    <cellStyle name="Followed Hyperlink" xfId="5572" builtinId="9" hidden="1"/>
    <cellStyle name="Followed Hyperlink" xfId="5574" builtinId="9" hidden="1"/>
    <cellStyle name="Followed Hyperlink" xfId="5576" builtinId="9" hidden="1"/>
    <cellStyle name="Followed Hyperlink" xfId="5578" builtinId="9" hidden="1"/>
    <cellStyle name="Followed Hyperlink" xfId="5580" builtinId="9" hidden="1"/>
    <cellStyle name="Followed Hyperlink" xfId="5582" builtinId="9" hidden="1"/>
    <cellStyle name="Followed Hyperlink" xfId="5584" builtinId="9" hidden="1"/>
    <cellStyle name="Followed Hyperlink" xfId="5586" builtinId="9" hidden="1"/>
    <cellStyle name="Followed Hyperlink" xfId="5588" builtinId="9" hidden="1"/>
    <cellStyle name="Followed Hyperlink" xfId="5590" builtinId="9" hidden="1"/>
    <cellStyle name="Followed Hyperlink" xfId="5592" builtinId="9" hidden="1"/>
    <cellStyle name="Followed Hyperlink" xfId="5594" builtinId="9" hidden="1"/>
    <cellStyle name="Followed Hyperlink" xfId="5596" builtinId="9" hidden="1"/>
    <cellStyle name="Followed Hyperlink" xfId="5598" builtinId="9" hidden="1"/>
    <cellStyle name="Followed Hyperlink" xfId="5600" builtinId="9" hidden="1"/>
    <cellStyle name="Followed Hyperlink" xfId="5602" builtinId="9" hidden="1"/>
    <cellStyle name="Followed Hyperlink" xfId="5604" builtinId="9" hidden="1"/>
    <cellStyle name="Followed Hyperlink" xfId="5606" builtinId="9" hidden="1"/>
    <cellStyle name="Followed Hyperlink" xfId="5608" builtinId="9" hidden="1"/>
    <cellStyle name="Followed Hyperlink" xfId="5610" builtinId="9" hidden="1"/>
    <cellStyle name="Followed Hyperlink" xfId="5612" builtinId="9" hidden="1"/>
    <cellStyle name="Followed Hyperlink" xfId="5614" builtinId="9" hidden="1"/>
    <cellStyle name="Followed Hyperlink" xfId="5616" builtinId="9" hidden="1"/>
    <cellStyle name="Followed Hyperlink" xfId="5618" builtinId="9" hidden="1"/>
    <cellStyle name="Followed Hyperlink" xfId="5620" builtinId="9" hidden="1"/>
    <cellStyle name="Followed Hyperlink" xfId="5622" builtinId="9" hidden="1"/>
    <cellStyle name="Followed Hyperlink" xfId="5624" builtinId="9" hidden="1"/>
    <cellStyle name="Followed Hyperlink" xfId="5626" builtinId="9" hidden="1"/>
    <cellStyle name="Followed Hyperlink" xfId="5628" builtinId="9" hidden="1"/>
    <cellStyle name="Followed Hyperlink" xfId="5630" builtinId="9" hidden="1"/>
    <cellStyle name="Followed Hyperlink" xfId="5632" builtinId="9" hidden="1"/>
    <cellStyle name="Followed Hyperlink" xfId="5634" builtinId="9" hidden="1"/>
    <cellStyle name="Followed Hyperlink" xfId="5636" builtinId="9" hidden="1"/>
    <cellStyle name="Followed Hyperlink" xfId="5638" builtinId="9" hidden="1"/>
    <cellStyle name="Followed Hyperlink" xfId="5640" builtinId="9" hidden="1"/>
    <cellStyle name="Followed Hyperlink" xfId="5642" builtinId="9" hidden="1"/>
    <cellStyle name="Followed Hyperlink" xfId="5644" builtinId="9" hidden="1"/>
    <cellStyle name="Followed Hyperlink" xfId="5646" builtinId="9" hidden="1"/>
    <cellStyle name="Followed Hyperlink" xfId="5648" builtinId="9" hidden="1"/>
    <cellStyle name="Followed Hyperlink" xfId="5650" builtinId="9" hidden="1"/>
    <cellStyle name="Followed Hyperlink" xfId="5652" builtinId="9" hidden="1"/>
    <cellStyle name="Followed Hyperlink" xfId="5654" builtinId="9" hidden="1"/>
    <cellStyle name="Followed Hyperlink" xfId="5656" builtinId="9" hidden="1"/>
    <cellStyle name="Followed Hyperlink" xfId="5658" builtinId="9" hidden="1"/>
    <cellStyle name="Followed Hyperlink" xfId="5660" builtinId="9" hidden="1"/>
    <cellStyle name="Followed Hyperlink" xfId="5662" builtinId="9" hidden="1"/>
    <cellStyle name="Followed Hyperlink" xfId="5664" builtinId="9" hidden="1"/>
    <cellStyle name="Followed Hyperlink" xfId="5666" builtinId="9" hidden="1"/>
    <cellStyle name="Followed Hyperlink" xfId="5668" builtinId="9" hidden="1"/>
    <cellStyle name="Followed Hyperlink" xfId="5670" builtinId="9" hidden="1"/>
    <cellStyle name="Followed Hyperlink" xfId="5672" builtinId="9" hidden="1"/>
    <cellStyle name="Followed Hyperlink" xfId="5674" builtinId="9" hidden="1"/>
    <cellStyle name="Followed Hyperlink" xfId="5676" builtinId="9" hidden="1"/>
    <cellStyle name="Followed Hyperlink" xfId="5678" builtinId="9" hidden="1"/>
    <cellStyle name="Followed Hyperlink" xfId="5680" builtinId="9" hidden="1"/>
    <cellStyle name="Followed Hyperlink" xfId="5682" builtinId="9" hidden="1"/>
    <cellStyle name="Followed Hyperlink" xfId="5684" builtinId="9" hidden="1"/>
    <cellStyle name="Followed Hyperlink" xfId="5686" builtinId="9" hidden="1"/>
    <cellStyle name="Followed Hyperlink" xfId="5688" builtinId="9" hidden="1"/>
    <cellStyle name="Followed Hyperlink" xfId="5690" builtinId="9" hidden="1"/>
    <cellStyle name="Followed Hyperlink" xfId="5692" builtinId="9" hidden="1"/>
    <cellStyle name="Followed Hyperlink" xfId="5694" builtinId="9" hidden="1"/>
    <cellStyle name="Followed Hyperlink" xfId="5696" builtinId="9" hidden="1"/>
    <cellStyle name="Followed Hyperlink" xfId="5698" builtinId="9" hidden="1"/>
    <cellStyle name="Followed Hyperlink" xfId="5700" builtinId="9" hidden="1"/>
    <cellStyle name="Followed Hyperlink" xfId="5702" builtinId="9" hidden="1"/>
    <cellStyle name="Followed Hyperlink" xfId="5704" builtinId="9" hidden="1"/>
    <cellStyle name="Followed Hyperlink" xfId="5706" builtinId="9" hidden="1"/>
    <cellStyle name="Followed Hyperlink" xfId="5708" builtinId="9" hidden="1"/>
    <cellStyle name="Followed Hyperlink" xfId="5710" builtinId="9" hidden="1"/>
    <cellStyle name="Followed Hyperlink" xfId="5712" builtinId="9" hidden="1"/>
    <cellStyle name="Followed Hyperlink" xfId="5714" builtinId="9" hidden="1"/>
    <cellStyle name="Followed Hyperlink" xfId="5716" builtinId="9" hidden="1"/>
    <cellStyle name="Followed Hyperlink" xfId="5718" builtinId="9" hidden="1"/>
    <cellStyle name="Followed Hyperlink" xfId="5720" builtinId="9" hidden="1"/>
    <cellStyle name="Followed Hyperlink" xfId="5722" builtinId="9" hidden="1"/>
    <cellStyle name="Followed Hyperlink" xfId="5724" builtinId="9" hidden="1"/>
    <cellStyle name="Followed Hyperlink" xfId="5726" builtinId="9" hidden="1"/>
    <cellStyle name="Followed Hyperlink" xfId="5728" builtinId="9" hidden="1"/>
    <cellStyle name="Followed Hyperlink" xfId="5730" builtinId="9" hidden="1"/>
    <cellStyle name="Followed Hyperlink" xfId="5732" builtinId="9" hidden="1"/>
    <cellStyle name="Followed Hyperlink" xfId="5734" builtinId="9" hidden="1"/>
    <cellStyle name="Followed Hyperlink" xfId="5736" builtinId="9" hidden="1"/>
    <cellStyle name="Followed Hyperlink" xfId="5738" builtinId="9" hidden="1"/>
    <cellStyle name="Followed Hyperlink" xfId="5740" builtinId="9" hidden="1"/>
    <cellStyle name="Followed Hyperlink" xfId="5742" builtinId="9" hidden="1"/>
    <cellStyle name="Followed Hyperlink" xfId="5744" builtinId="9" hidden="1"/>
    <cellStyle name="Followed Hyperlink" xfId="5746" builtinId="9" hidden="1"/>
    <cellStyle name="Followed Hyperlink" xfId="5748" builtinId="9" hidden="1"/>
    <cellStyle name="Followed Hyperlink" xfId="5750" builtinId="9" hidden="1"/>
    <cellStyle name="Followed Hyperlink" xfId="5752" builtinId="9" hidden="1"/>
    <cellStyle name="Followed Hyperlink" xfId="5754" builtinId="9" hidden="1"/>
    <cellStyle name="Followed Hyperlink" xfId="5756" builtinId="9" hidden="1"/>
    <cellStyle name="Followed Hyperlink" xfId="5758" builtinId="9" hidden="1"/>
    <cellStyle name="Followed Hyperlink" xfId="5760" builtinId="9" hidden="1"/>
    <cellStyle name="Followed Hyperlink" xfId="5762" builtinId="9" hidden="1"/>
    <cellStyle name="Followed Hyperlink" xfId="5764" builtinId="9" hidden="1"/>
    <cellStyle name="Followed Hyperlink" xfId="5766" builtinId="9" hidden="1"/>
    <cellStyle name="Followed Hyperlink" xfId="5768" builtinId="9" hidden="1"/>
    <cellStyle name="Followed Hyperlink" xfId="5770" builtinId="9" hidden="1"/>
    <cellStyle name="Followed Hyperlink" xfId="5772" builtinId="9" hidden="1"/>
    <cellStyle name="Followed Hyperlink" xfId="5774" builtinId="9" hidden="1"/>
    <cellStyle name="Followed Hyperlink" xfId="5776" builtinId="9" hidden="1"/>
    <cellStyle name="Followed Hyperlink" xfId="5778" builtinId="9" hidden="1"/>
    <cellStyle name="Followed Hyperlink" xfId="5780" builtinId="9" hidden="1"/>
    <cellStyle name="Followed Hyperlink" xfId="5782" builtinId="9" hidden="1"/>
    <cellStyle name="Followed Hyperlink" xfId="5784" builtinId="9" hidden="1"/>
    <cellStyle name="Followed Hyperlink" xfId="5786" builtinId="9" hidden="1"/>
    <cellStyle name="Followed Hyperlink" xfId="5788" builtinId="9" hidden="1"/>
    <cellStyle name="Followed Hyperlink" xfId="5790" builtinId="9" hidden="1"/>
    <cellStyle name="Followed Hyperlink" xfId="5792" builtinId="9" hidden="1"/>
    <cellStyle name="Followed Hyperlink" xfId="5794" builtinId="9" hidden="1"/>
    <cellStyle name="Followed Hyperlink" xfId="5796" builtinId="9" hidden="1"/>
    <cellStyle name="Followed Hyperlink" xfId="5798" builtinId="9" hidden="1"/>
    <cellStyle name="Followed Hyperlink" xfId="5800" builtinId="9" hidden="1"/>
    <cellStyle name="Followed Hyperlink" xfId="5802" builtinId="9" hidden="1"/>
    <cellStyle name="Followed Hyperlink" xfId="5804" builtinId="9" hidden="1"/>
    <cellStyle name="Followed Hyperlink" xfId="5806" builtinId="9" hidden="1"/>
    <cellStyle name="Followed Hyperlink" xfId="5808" builtinId="9" hidden="1"/>
    <cellStyle name="Followed Hyperlink" xfId="5810" builtinId="9" hidden="1"/>
    <cellStyle name="Followed Hyperlink" xfId="5812" builtinId="9" hidden="1"/>
    <cellStyle name="Followed Hyperlink" xfId="5814" builtinId="9" hidden="1"/>
    <cellStyle name="Followed Hyperlink" xfId="5816" builtinId="9" hidden="1"/>
    <cellStyle name="Followed Hyperlink" xfId="5818" builtinId="9" hidden="1"/>
    <cellStyle name="Followed Hyperlink" xfId="5820" builtinId="9" hidden="1"/>
    <cellStyle name="Followed Hyperlink" xfId="5822" builtinId="9" hidden="1"/>
    <cellStyle name="Followed Hyperlink" xfId="5824" builtinId="9" hidden="1"/>
    <cellStyle name="Followed Hyperlink" xfId="5826" builtinId="9" hidden="1"/>
    <cellStyle name="Followed Hyperlink" xfId="5828" builtinId="9" hidden="1"/>
    <cellStyle name="Followed Hyperlink" xfId="5830" builtinId="9" hidden="1"/>
    <cellStyle name="Followed Hyperlink" xfId="5832" builtinId="9" hidden="1"/>
    <cellStyle name="Followed Hyperlink" xfId="5834" builtinId="9" hidden="1"/>
    <cellStyle name="Followed Hyperlink" xfId="5836" builtinId="9" hidden="1"/>
    <cellStyle name="Followed Hyperlink" xfId="5838" builtinId="9" hidden="1"/>
    <cellStyle name="Followed Hyperlink" xfId="5840" builtinId="9" hidden="1"/>
    <cellStyle name="Followed Hyperlink" xfId="5842" builtinId="9" hidden="1"/>
    <cellStyle name="Followed Hyperlink" xfId="5844" builtinId="9" hidden="1"/>
    <cellStyle name="Followed Hyperlink" xfId="5846" builtinId="9" hidden="1"/>
    <cellStyle name="Followed Hyperlink" xfId="5848" builtinId="9" hidden="1"/>
    <cellStyle name="Followed Hyperlink" xfId="5850" builtinId="9" hidden="1"/>
    <cellStyle name="Followed Hyperlink" xfId="5852" builtinId="9" hidden="1"/>
    <cellStyle name="Followed Hyperlink" xfId="5854" builtinId="9" hidden="1"/>
    <cellStyle name="Followed Hyperlink" xfId="5856" builtinId="9" hidden="1"/>
    <cellStyle name="Followed Hyperlink" xfId="5858" builtinId="9" hidden="1"/>
    <cellStyle name="Followed Hyperlink" xfId="5860" builtinId="9" hidden="1"/>
    <cellStyle name="Followed Hyperlink" xfId="5862" builtinId="9" hidden="1"/>
    <cellStyle name="Followed Hyperlink" xfId="5864" builtinId="9" hidden="1"/>
    <cellStyle name="Followed Hyperlink" xfId="5866" builtinId="9" hidden="1"/>
    <cellStyle name="Followed Hyperlink" xfId="5868" builtinId="9" hidden="1"/>
    <cellStyle name="Followed Hyperlink" xfId="5870" builtinId="9" hidden="1"/>
    <cellStyle name="Followed Hyperlink" xfId="5872" builtinId="9" hidden="1"/>
    <cellStyle name="Followed Hyperlink" xfId="5874" builtinId="9" hidden="1"/>
    <cellStyle name="Followed Hyperlink" xfId="5876" builtinId="9" hidden="1"/>
    <cellStyle name="Followed Hyperlink" xfId="5878" builtinId="9" hidden="1"/>
    <cellStyle name="Followed Hyperlink" xfId="5880" builtinId="9" hidden="1"/>
    <cellStyle name="Followed Hyperlink" xfId="5882" builtinId="9" hidden="1"/>
    <cellStyle name="Followed Hyperlink" xfId="5884" builtinId="9" hidden="1"/>
    <cellStyle name="Followed Hyperlink" xfId="5886" builtinId="9" hidden="1"/>
    <cellStyle name="Followed Hyperlink" xfId="5888" builtinId="9" hidden="1"/>
    <cellStyle name="Followed Hyperlink" xfId="5890" builtinId="9" hidden="1"/>
    <cellStyle name="Followed Hyperlink" xfId="5892" builtinId="9" hidden="1"/>
    <cellStyle name="Followed Hyperlink" xfId="5894" builtinId="9" hidden="1"/>
    <cellStyle name="Followed Hyperlink" xfId="5896" builtinId="9" hidden="1"/>
    <cellStyle name="Followed Hyperlink" xfId="5898" builtinId="9" hidden="1"/>
    <cellStyle name="Followed Hyperlink" xfId="5900" builtinId="9" hidden="1"/>
    <cellStyle name="Followed Hyperlink" xfId="5902" builtinId="9" hidden="1"/>
    <cellStyle name="Followed Hyperlink" xfId="5904" builtinId="9" hidden="1"/>
    <cellStyle name="Followed Hyperlink" xfId="5906" builtinId="9" hidden="1"/>
    <cellStyle name="Followed Hyperlink" xfId="5908" builtinId="9" hidden="1"/>
    <cellStyle name="Followed Hyperlink" xfId="5910" builtinId="9" hidden="1"/>
    <cellStyle name="Followed Hyperlink" xfId="5912" builtinId="9" hidden="1"/>
    <cellStyle name="Followed Hyperlink" xfId="5914" builtinId="9" hidden="1"/>
    <cellStyle name="Followed Hyperlink" xfId="5916" builtinId="9" hidden="1"/>
    <cellStyle name="Followed Hyperlink" xfId="5918" builtinId="9" hidden="1"/>
    <cellStyle name="Followed Hyperlink" xfId="5920" builtinId="9" hidden="1"/>
    <cellStyle name="Followed Hyperlink" xfId="5922" builtinId="9" hidden="1"/>
    <cellStyle name="Followed Hyperlink" xfId="5924" builtinId="9" hidden="1"/>
    <cellStyle name="Followed Hyperlink" xfId="5926" builtinId="9" hidden="1"/>
    <cellStyle name="Followed Hyperlink" xfId="5928" builtinId="9" hidden="1"/>
    <cellStyle name="Followed Hyperlink" xfId="5930" builtinId="9" hidden="1"/>
    <cellStyle name="Followed Hyperlink" xfId="5932" builtinId="9" hidden="1"/>
    <cellStyle name="Followed Hyperlink" xfId="5934" builtinId="9" hidden="1"/>
    <cellStyle name="Followed Hyperlink" xfId="5936" builtinId="9" hidden="1"/>
    <cellStyle name="Followed Hyperlink" xfId="5938" builtinId="9" hidden="1"/>
    <cellStyle name="Followed Hyperlink" xfId="5940" builtinId="9" hidden="1"/>
    <cellStyle name="Followed Hyperlink" xfId="5942" builtinId="9" hidden="1"/>
    <cellStyle name="Followed Hyperlink" xfId="5944" builtinId="9" hidden="1"/>
    <cellStyle name="Followed Hyperlink" xfId="5946" builtinId="9" hidden="1"/>
    <cellStyle name="Followed Hyperlink" xfId="5948" builtinId="9" hidden="1"/>
    <cellStyle name="Followed Hyperlink" xfId="5950" builtinId="9" hidden="1"/>
    <cellStyle name="Followed Hyperlink" xfId="5952" builtinId="9" hidden="1"/>
    <cellStyle name="Followed Hyperlink" xfId="5954" builtinId="9" hidden="1"/>
    <cellStyle name="Followed Hyperlink" xfId="5956" builtinId="9" hidden="1"/>
    <cellStyle name="Followed Hyperlink" xfId="5958" builtinId="9" hidden="1"/>
    <cellStyle name="Followed Hyperlink" xfId="5960" builtinId="9" hidden="1"/>
    <cellStyle name="Followed Hyperlink" xfId="5962" builtinId="9" hidden="1"/>
    <cellStyle name="Followed Hyperlink" xfId="5964" builtinId="9" hidden="1"/>
    <cellStyle name="Followed Hyperlink" xfId="5966" builtinId="9" hidden="1"/>
    <cellStyle name="Followed Hyperlink" xfId="5968" builtinId="9" hidden="1"/>
    <cellStyle name="Followed Hyperlink" xfId="5970" builtinId="9" hidden="1"/>
    <cellStyle name="Followed Hyperlink" xfId="5972" builtinId="9" hidden="1"/>
    <cellStyle name="Followed Hyperlink" xfId="5974" builtinId="9" hidden="1"/>
    <cellStyle name="Followed Hyperlink" xfId="5976" builtinId="9" hidden="1"/>
    <cellStyle name="Followed Hyperlink" xfId="5978" builtinId="9" hidden="1"/>
    <cellStyle name="Followed Hyperlink" xfId="5980" builtinId="9" hidden="1"/>
    <cellStyle name="Followed Hyperlink" xfId="5982" builtinId="9" hidden="1"/>
    <cellStyle name="Followed Hyperlink" xfId="5984" builtinId="9" hidden="1"/>
    <cellStyle name="Followed Hyperlink" xfId="5986" builtinId="9" hidden="1"/>
    <cellStyle name="Followed Hyperlink" xfId="5988" builtinId="9" hidden="1"/>
    <cellStyle name="Followed Hyperlink" xfId="5990" builtinId="9" hidden="1"/>
    <cellStyle name="Followed Hyperlink" xfId="5992" builtinId="9" hidden="1"/>
    <cellStyle name="Followed Hyperlink" xfId="5994" builtinId="9" hidden="1"/>
    <cellStyle name="Followed Hyperlink" xfId="5996" builtinId="9" hidden="1"/>
    <cellStyle name="Followed Hyperlink" xfId="5998" builtinId="9" hidden="1"/>
    <cellStyle name="Followed Hyperlink" xfId="6000" builtinId="9" hidden="1"/>
    <cellStyle name="Followed Hyperlink" xfId="6002" builtinId="9" hidden="1"/>
    <cellStyle name="Followed Hyperlink" xfId="6004" builtinId="9" hidden="1"/>
    <cellStyle name="Followed Hyperlink" xfId="6006" builtinId="9" hidden="1"/>
    <cellStyle name="Followed Hyperlink" xfId="6008" builtinId="9" hidden="1"/>
    <cellStyle name="Followed Hyperlink" xfId="6010" builtinId="9" hidden="1"/>
    <cellStyle name="Followed Hyperlink" xfId="6012" builtinId="9" hidden="1"/>
    <cellStyle name="Followed Hyperlink" xfId="6014" builtinId="9" hidden="1"/>
    <cellStyle name="Followed Hyperlink" xfId="6016" builtinId="9" hidden="1"/>
    <cellStyle name="Followed Hyperlink" xfId="6018" builtinId="9" hidden="1"/>
    <cellStyle name="Followed Hyperlink" xfId="6020" builtinId="9" hidden="1"/>
    <cellStyle name="Followed Hyperlink" xfId="6022" builtinId="9" hidden="1"/>
    <cellStyle name="Followed Hyperlink" xfId="6024" builtinId="9" hidden="1"/>
    <cellStyle name="Followed Hyperlink" xfId="6026" builtinId="9" hidden="1"/>
    <cellStyle name="Followed Hyperlink" xfId="6028" builtinId="9" hidden="1"/>
    <cellStyle name="Followed Hyperlink" xfId="6030" builtinId="9" hidden="1"/>
    <cellStyle name="Followed Hyperlink" xfId="6032" builtinId="9" hidden="1"/>
    <cellStyle name="Followed Hyperlink" xfId="6034" builtinId="9" hidden="1"/>
    <cellStyle name="Followed Hyperlink" xfId="6036" builtinId="9" hidden="1"/>
    <cellStyle name="Followed Hyperlink" xfId="6038" builtinId="9" hidden="1"/>
    <cellStyle name="Followed Hyperlink" xfId="6040" builtinId="9" hidden="1"/>
    <cellStyle name="Followed Hyperlink" xfId="6042" builtinId="9" hidden="1"/>
    <cellStyle name="Followed Hyperlink" xfId="6044" builtinId="9" hidden="1"/>
    <cellStyle name="Followed Hyperlink" xfId="6046" builtinId="9" hidden="1"/>
    <cellStyle name="Followed Hyperlink" xfId="6048" builtinId="9" hidden="1"/>
    <cellStyle name="Followed Hyperlink" xfId="6050" builtinId="9" hidden="1"/>
    <cellStyle name="Followed Hyperlink" xfId="6052" builtinId="9" hidden="1"/>
    <cellStyle name="Followed Hyperlink" xfId="6054" builtinId="9" hidden="1"/>
    <cellStyle name="Followed Hyperlink" xfId="6056" builtinId="9" hidden="1"/>
    <cellStyle name="Followed Hyperlink" xfId="6058" builtinId="9" hidden="1"/>
    <cellStyle name="Followed Hyperlink" xfId="6060" builtinId="9" hidden="1"/>
    <cellStyle name="Followed Hyperlink" xfId="6062" builtinId="9" hidden="1"/>
    <cellStyle name="Followed Hyperlink" xfId="6064" builtinId="9" hidden="1"/>
    <cellStyle name="Followed Hyperlink" xfId="6066" builtinId="9" hidden="1"/>
    <cellStyle name="Followed Hyperlink" xfId="6068" builtinId="9" hidden="1"/>
    <cellStyle name="Followed Hyperlink" xfId="6070" builtinId="9" hidden="1"/>
    <cellStyle name="Followed Hyperlink" xfId="6072" builtinId="9" hidden="1"/>
    <cellStyle name="Followed Hyperlink" xfId="6074" builtinId="9" hidden="1"/>
    <cellStyle name="Followed Hyperlink" xfId="6076" builtinId="9" hidden="1"/>
    <cellStyle name="Followed Hyperlink" xfId="6078" builtinId="9" hidden="1"/>
    <cellStyle name="Followed Hyperlink" xfId="6080" builtinId="9" hidden="1"/>
    <cellStyle name="Followed Hyperlink" xfId="6082" builtinId="9" hidden="1"/>
    <cellStyle name="Followed Hyperlink" xfId="6084" builtinId="9" hidden="1"/>
    <cellStyle name="Followed Hyperlink" xfId="6086" builtinId="9" hidden="1"/>
    <cellStyle name="Followed Hyperlink" xfId="6088" builtinId="9" hidden="1"/>
    <cellStyle name="Followed Hyperlink" xfId="6090" builtinId="9" hidden="1"/>
    <cellStyle name="Followed Hyperlink" xfId="6092" builtinId="9" hidden="1"/>
    <cellStyle name="Followed Hyperlink" xfId="6094" builtinId="9" hidden="1"/>
    <cellStyle name="Followed Hyperlink" xfId="6096" builtinId="9" hidden="1"/>
    <cellStyle name="Followed Hyperlink" xfId="6098" builtinId="9" hidden="1"/>
    <cellStyle name="Followed Hyperlink" xfId="6100" builtinId="9" hidden="1"/>
    <cellStyle name="Followed Hyperlink" xfId="6102" builtinId="9" hidden="1"/>
    <cellStyle name="Followed Hyperlink" xfId="6104" builtinId="9" hidden="1"/>
    <cellStyle name="Followed Hyperlink" xfId="6106" builtinId="9" hidden="1"/>
    <cellStyle name="Followed Hyperlink" xfId="6108" builtinId="9" hidden="1"/>
    <cellStyle name="Followed Hyperlink" xfId="6110" builtinId="9" hidden="1"/>
    <cellStyle name="Followed Hyperlink" xfId="6112" builtinId="9" hidden="1"/>
    <cellStyle name="Followed Hyperlink" xfId="6114" builtinId="9" hidden="1"/>
    <cellStyle name="Followed Hyperlink" xfId="6116" builtinId="9" hidden="1"/>
    <cellStyle name="Followed Hyperlink" xfId="6118" builtinId="9" hidden="1"/>
    <cellStyle name="Followed Hyperlink" xfId="6120" builtinId="9" hidden="1"/>
    <cellStyle name="Followed Hyperlink" xfId="6122" builtinId="9" hidden="1"/>
    <cellStyle name="Followed Hyperlink" xfId="6124" builtinId="9" hidden="1"/>
    <cellStyle name="Followed Hyperlink" xfId="6126" builtinId="9" hidden="1"/>
    <cellStyle name="Followed Hyperlink" xfId="6128" builtinId="9" hidden="1"/>
    <cellStyle name="Followed Hyperlink" xfId="6130" builtinId="9" hidden="1"/>
    <cellStyle name="Followed Hyperlink" xfId="6132" builtinId="9" hidden="1"/>
    <cellStyle name="Followed Hyperlink" xfId="6134" builtinId="9" hidden="1"/>
    <cellStyle name="Followed Hyperlink" xfId="6136" builtinId="9" hidden="1"/>
    <cellStyle name="Followed Hyperlink" xfId="6138" builtinId="9" hidden="1"/>
    <cellStyle name="Followed Hyperlink" xfId="6140" builtinId="9" hidden="1"/>
    <cellStyle name="Followed Hyperlink" xfId="6142" builtinId="9" hidden="1"/>
    <cellStyle name="Followed Hyperlink" xfId="6144" builtinId="9" hidden="1"/>
    <cellStyle name="Followed Hyperlink" xfId="6146" builtinId="9" hidden="1"/>
    <cellStyle name="Followed Hyperlink" xfId="6148" builtinId="9" hidden="1"/>
    <cellStyle name="Followed Hyperlink" xfId="6150" builtinId="9" hidden="1"/>
    <cellStyle name="Followed Hyperlink" xfId="6152" builtinId="9" hidden="1"/>
    <cellStyle name="Followed Hyperlink" xfId="6154" builtinId="9" hidden="1"/>
    <cellStyle name="Followed Hyperlink" xfId="6156" builtinId="9" hidden="1"/>
    <cellStyle name="Followed Hyperlink" xfId="6158" builtinId="9" hidden="1"/>
    <cellStyle name="Followed Hyperlink" xfId="6160" builtinId="9" hidden="1"/>
    <cellStyle name="Followed Hyperlink" xfId="6162" builtinId="9" hidden="1"/>
    <cellStyle name="Followed Hyperlink" xfId="6164" builtinId="9" hidden="1"/>
    <cellStyle name="Followed Hyperlink" xfId="6166" builtinId="9" hidden="1"/>
    <cellStyle name="Followed Hyperlink" xfId="6168" builtinId="9" hidden="1"/>
    <cellStyle name="Followed Hyperlink" xfId="6170" builtinId="9" hidden="1"/>
    <cellStyle name="Followed Hyperlink" xfId="6172" builtinId="9" hidden="1"/>
    <cellStyle name="Followed Hyperlink" xfId="6174" builtinId="9" hidden="1"/>
    <cellStyle name="Followed Hyperlink" xfId="6176" builtinId="9" hidden="1"/>
    <cellStyle name="Followed Hyperlink" xfId="6178" builtinId="9" hidden="1"/>
    <cellStyle name="Followed Hyperlink" xfId="6180" builtinId="9" hidden="1"/>
    <cellStyle name="Followed Hyperlink" xfId="6182" builtinId="9" hidden="1"/>
    <cellStyle name="Followed Hyperlink" xfId="6184" builtinId="9" hidden="1"/>
    <cellStyle name="Followed Hyperlink" xfId="6186" builtinId="9" hidden="1"/>
    <cellStyle name="Followed Hyperlink" xfId="6188" builtinId="9" hidden="1"/>
    <cellStyle name="Followed Hyperlink" xfId="6190" builtinId="9" hidden="1"/>
    <cellStyle name="Followed Hyperlink" xfId="6192" builtinId="9" hidden="1"/>
    <cellStyle name="Followed Hyperlink" xfId="6194" builtinId="9" hidden="1"/>
    <cellStyle name="Followed Hyperlink" xfId="6196" builtinId="9" hidden="1"/>
    <cellStyle name="Followed Hyperlink" xfId="6198" builtinId="9" hidden="1"/>
    <cellStyle name="Followed Hyperlink" xfId="6200" builtinId="9" hidden="1"/>
    <cellStyle name="Followed Hyperlink" xfId="6202" builtinId="9" hidden="1"/>
    <cellStyle name="Followed Hyperlink" xfId="6204" builtinId="9" hidden="1"/>
    <cellStyle name="Followed Hyperlink" xfId="6206" builtinId="9" hidden="1"/>
    <cellStyle name="Followed Hyperlink" xfId="6208" builtinId="9" hidden="1"/>
    <cellStyle name="Followed Hyperlink" xfId="6210" builtinId="9" hidden="1"/>
    <cellStyle name="Followed Hyperlink" xfId="6212" builtinId="9" hidden="1"/>
    <cellStyle name="Followed Hyperlink" xfId="6214" builtinId="9" hidden="1"/>
    <cellStyle name="Followed Hyperlink" xfId="6216" builtinId="9" hidden="1"/>
    <cellStyle name="Followed Hyperlink" xfId="6218" builtinId="9" hidden="1"/>
    <cellStyle name="Followed Hyperlink" xfId="6220" builtinId="9" hidden="1"/>
    <cellStyle name="Followed Hyperlink" xfId="6222" builtinId="9" hidden="1"/>
    <cellStyle name="Followed Hyperlink" xfId="6224" builtinId="9" hidden="1"/>
    <cellStyle name="Followed Hyperlink" xfId="6226" builtinId="9" hidden="1"/>
    <cellStyle name="Followed Hyperlink" xfId="6228" builtinId="9" hidden="1"/>
    <cellStyle name="Followed Hyperlink" xfId="6230" builtinId="9" hidden="1"/>
    <cellStyle name="Followed Hyperlink" xfId="6232" builtinId="9" hidden="1"/>
    <cellStyle name="Followed Hyperlink" xfId="6234" builtinId="9" hidden="1"/>
    <cellStyle name="Followed Hyperlink" xfId="6236" builtinId="9" hidden="1"/>
    <cellStyle name="Followed Hyperlink" xfId="6238" builtinId="9" hidden="1"/>
    <cellStyle name="Followed Hyperlink" xfId="6240" builtinId="9" hidden="1"/>
    <cellStyle name="Followed Hyperlink" xfId="6242" builtinId="9" hidden="1"/>
    <cellStyle name="Followed Hyperlink" xfId="6244" builtinId="9" hidden="1"/>
    <cellStyle name="Followed Hyperlink" xfId="6246" builtinId="9" hidden="1"/>
    <cellStyle name="Followed Hyperlink" xfId="6248" builtinId="9" hidden="1"/>
    <cellStyle name="Followed Hyperlink" xfId="6250" builtinId="9" hidden="1"/>
    <cellStyle name="Followed Hyperlink" xfId="6252" builtinId="9" hidden="1"/>
    <cellStyle name="Followed Hyperlink" xfId="6254" builtinId="9" hidden="1"/>
    <cellStyle name="Followed Hyperlink" xfId="6256" builtinId="9" hidden="1"/>
    <cellStyle name="Followed Hyperlink" xfId="6258" builtinId="9" hidden="1"/>
    <cellStyle name="Followed Hyperlink" xfId="6260" builtinId="9" hidden="1"/>
    <cellStyle name="Followed Hyperlink" xfId="6262" builtinId="9" hidden="1"/>
    <cellStyle name="Followed Hyperlink" xfId="6264" builtinId="9" hidden="1"/>
    <cellStyle name="Followed Hyperlink" xfId="6266" builtinId="9" hidden="1"/>
    <cellStyle name="Followed Hyperlink" xfId="6268" builtinId="9" hidden="1"/>
    <cellStyle name="Followed Hyperlink" xfId="6270" builtinId="9" hidden="1"/>
    <cellStyle name="Followed Hyperlink" xfId="6272" builtinId="9" hidden="1"/>
    <cellStyle name="Followed Hyperlink" xfId="6274" builtinId="9" hidden="1"/>
    <cellStyle name="Followed Hyperlink" xfId="6276" builtinId="9" hidden="1"/>
    <cellStyle name="Followed Hyperlink" xfId="6278" builtinId="9" hidden="1"/>
    <cellStyle name="Followed Hyperlink" xfId="6280" builtinId="9" hidden="1"/>
    <cellStyle name="Followed Hyperlink" xfId="6282" builtinId="9" hidden="1"/>
    <cellStyle name="Followed Hyperlink" xfId="6284" builtinId="9" hidden="1"/>
    <cellStyle name="Followed Hyperlink" xfId="6286" builtinId="9" hidden="1"/>
    <cellStyle name="Followed Hyperlink" xfId="6288" builtinId="9" hidden="1"/>
    <cellStyle name="Followed Hyperlink" xfId="6290" builtinId="9" hidden="1"/>
    <cellStyle name="Followed Hyperlink" xfId="6292" builtinId="9" hidden="1"/>
    <cellStyle name="Followed Hyperlink" xfId="6294" builtinId="9" hidden="1"/>
    <cellStyle name="Followed Hyperlink" xfId="6296" builtinId="9" hidden="1"/>
    <cellStyle name="Followed Hyperlink" xfId="6298" builtinId="9" hidden="1"/>
    <cellStyle name="Followed Hyperlink" xfId="6300" builtinId="9" hidden="1"/>
    <cellStyle name="Followed Hyperlink" xfId="6302" builtinId="9" hidden="1"/>
    <cellStyle name="Followed Hyperlink" xfId="6304" builtinId="9" hidden="1"/>
    <cellStyle name="Followed Hyperlink" xfId="6306" builtinId="9" hidden="1"/>
    <cellStyle name="Followed Hyperlink" xfId="6308" builtinId="9" hidden="1"/>
    <cellStyle name="Followed Hyperlink" xfId="6310" builtinId="9" hidden="1"/>
    <cellStyle name="Followed Hyperlink" xfId="6312" builtinId="9" hidden="1"/>
    <cellStyle name="Followed Hyperlink" xfId="6314" builtinId="9" hidden="1"/>
    <cellStyle name="Followed Hyperlink" xfId="6316" builtinId="9" hidden="1"/>
    <cellStyle name="Followed Hyperlink" xfId="6318" builtinId="9" hidden="1"/>
    <cellStyle name="Followed Hyperlink" xfId="6320" builtinId="9" hidden="1"/>
    <cellStyle name="Followed Hyperlink" xfId="6322" builtinId="9" hidden="1"/>
    <cellStyle name="Followed Hyperlink" xfId="6324" builtinId="9" hidden="1"/>
    <cellStyle name="Followed Hyperlink" xfId="6326" builtinId="9" hidden="1"/>
    <cellStyle name="Followed Hyperlink" xfId="6328" builtinId="9" hidden="1"/>
    <cellStyle name="Followed Hyperlink" xfId="6330" builtinId="9" hidden="1"/>
    <cellStyle name="Followed Hyperlink" xfId="6332" builtinId="9" hidden="1"/>
    <cellStyle name="Followed Hyperlink" xfId="6334" builtinId="9" hidden="1"/>
    <cellStyle name="Followed Hyperlink" xfId="6336" builtinId="9" hidden="1"/>
    <cellStyle name="Followed Hyperlink" xfId="6338" builtinId="9" hidden="1"/>
    <cellStyle name="Followed Hyperlink" xfId="6340" builtinId="9" hidden="1"/>
    <cellStyle name="Followed Hyperlink" xfId="6342" builtinId="9" hidden="1"/>
    <cellStyle name="Followed Hyperlink" xfId="6344" builtinId="9" hidden="1"/>
    <cellStyle name="Followed Hyperlink" xfId="6346" builtinId="9" hidden="1"/>
    <cellStyle name="Followed Hyperlink" xfId="6348" builtinId="9" hidden="1"/>
    <cellStyle name="Followed Hyperlink" xfId="6350" builtinId="9" hidden="1"/>
    <cellStyle name="Followed Hyperlink" xfId="6352" builtinId="9" hidden="1"/>
    <cellStyle name="Followed Hyperlink" xfId="6354" builtinId="9" hidden="1"/>
    <cellStyle name="Followed Hyperlink" xfId="6356" builtinId="9" hidden="1"/>
    <cellStyle name="Followed Hyperlink" xfId="6358" builtinId="9" hidden="1"/>
    <cellStyle name="Followed Hyperlink" xfId="6360" builtinId="9" hidden="1"/>
    <cellStyle name="Followed Hyperlink" xfId="6362" builtinId="9" hidden="1"/>
    <cellStyle name="Followed Hyperlink" xfId="6364" builtinId="9" hidden="1"/>
    <cellStyle name="Followed Hyperlink" xfId="6366" builtinId="9" hidden="1"/>
    <cellStyle name="Followed Hyperlink" xfId="6368" builtinId="9" hidden="1"/>
    <cellStyle name="Followed Hyperlink" xfId="6370" builtinId="9" hidden="1"/>
    <cellStyle name="Followed Hyperlink" xfId="6372" builtinId="9" hidden="1"/>
    <cellStyle name="Followed Hyperlink" xfId="6374" builtinId="9" hidden="1"/>
    <cellStyle name="Followed Hyperlink" xfId="6376" builtinId="9" hidden="1"/>
    <cellStyle name="Followed Hyperlink" xfId="6378" builtinId="9" hidden="1"/>
    <cellStyle name="Followed Hyperlink" xfId="6380" builtinId="9" hidden="1"/>
    <cellStyle name="Followed Hyperlink" xfId="6382" builtinId="9" hidden="1"/>
    <cellStyle name="Followed Hyperlink" xfId="6384" builtinId="9" hidden="1"/>
    <cellStyle name="Followed Hyperlink" xfId="6386" builtinId="9" hidden="1"/>
    <cellStyle name="Followed Hyperlink" xfId="6388" builtinId="9" hidden="1"/>
    <cellStyle name="Followed Hyperlink" xfId="6390" builtinId="9" hidden="1"/>
    <cellStyle name="Followed Hyperlink" xfId="6392" builtinId="9" hidden="1"/>
    <cellStyle name="Followed Hyperlink" xfId="6394" builtinId="9" hidden="1"/>
    <cellStyle name="Followed Hyperlink" xfId="6396" builtinId="9" hidden="1"/>
    <cellStyle name="Followed Hyperlink" xfId="6398" builtinId="9" hidden="1"/>
    <cellStyle name="Followed Hyperlink" xfId="6400" builtinId="9" hidden="1"/>
    <cellStyle name="Followed Hyperlink" xfId="6402" builtinId="9" hidden="1"/>
    <cellStyle name="Followed Hyperlink" xfId="6404" builtinId="9" hidden="1"/>
    <cellStyle name="Followed Hyperlink" xfId="6406" builtinId="9" hidden="1"/>
    <cellStyle name="Followed Hyperlink" xfId="6408" builtinId="9" hidden="1"/>
    <cellStyle name="Followed Hyperlink" xfId="6410" builtinId="9" hidden="1"/>
    <cellStyle name="Followed Hyperlink" xfId="6412" builtinId="9" hidden="1"/>
    <cellStyle name="Followed Hyperlink" xfId="6414" builtinId="9" hidden="1"/>
    <cellStyle name="Followed Hyperlink" xfId="6416" builtinId="9" hidden="1"/>
    <cellStyle name="Followed Hyperlink" xfId="6418" builtinId="9" hidden="1"/>
    <cellStyle name="Followed Hyperlink" xfId="6420" builtinId="9" hidden="1"/>
    <cellStyle name="Followed Hyperlink" xfId="6422" builtinId="9" hidden="1"/>
    <cellStyle name="Followed Hyperlink" xfId="6424" builtinId="9" hidden="1"/>
    <cellStyle name="Followed Hyperlink" xfId="6426" builtinId="9" hidden="1"/>
    <cellStyle name="Followed Hyperlink" xfId="6428" builtinId="9" hidden="1"/>
    <cellStyle name="Followed Hyperlink" xfId="6430" builtinId="9" hidden="1"/>
    <cellStyle name="Followed Hyperlink" xfId="6432" builtinId="9" hidden="1"/>
    <cellStyle name="Followed Hyperlink" xfId="6434" builtinId="9" hidden="1"/>
    <cellStyle name="Followed Hyperlink" xfId="6436" builtinId="9" hidden="1"/>
    <cellStyle name="Followed Hyperlink" xfId="6438" builtinId="9" hidden="1"/>
    <cellStyle name="Followed Hyperlink" xfId="6440" builtinId="9" hidden="1"/>
    <cellStyle name="Followed Hyperlink" xfId="6442" builtinId="9" hidden="1"/>
    <cellStyle name="Followed Hyperlink" xfId="6444" builtinId="9" hidden="1"/>
    <cellStyle name="Followed Hyperlink" xfId="6446" builtinId="9" hidden="1"/>
    <cellStyle name="Followed Hyperlink" xfId="6448" builtinId="9" hidden="1"/>
    <cellStyle name="Followed Hyperlink" xfId="6450" builtinId="9" hidden="1"/>
    <cellStyle name="Followed Hyperlink" xfId="6452" builtinId="9" hidden="1"/>
    <cellStyle name="Followed Hyperlink" xfId="6454" builtinId="9" hidden="1"/>
    <cellStyle name="Followed Hyperlink" xfId="6456" builtinId="9" hidden="1"/>
    <cellStyle name="Followed Hyperlink" xfId="6458" builtinId="9" hidden="1"/>
    <cellStyle name="Followed Hyperlink" xfId="6460" builtinId="9" hidden="1"/>
    <cellStyle name="Followed Hyperlink" xfId="6462" builtinId="9" hidden="1"/>
    <cellStyle name="Followed Hyperlink" xfId="6464" builtinId="9" hidden="1"/>
    <cellStyle name="Followed Hyperlink" xfId="6466" builtinId="9" hidden="1"/>
    <cellStyle name="Followed Hyperlink" xfId="6468" builtinId="9" hidden="1"/>
    <cellStyle name="Followed Hyperlink" xfId="6470" builtinId="9" hidden="1"/>
    <cellStyle name="Followed Hyperlink" xfId="6472" builtinId="9" hidden="1"/>
    <cellStyle name="Followed Hyperlink" xfId="6474" builtinId="9" hidden="1"/>
    <cellStyle name="Followed Hyperlink" xfId="6476" builtinId="9" hidden="1"/>
    <cellStyle name="Followed Hyperlink" xfId="6478" builtinId="9" hidden="1"/>
    <cellStyle name="Followed Hyperlink" xfId="6480" builtinId="9" hidden="1"/>
    <cellStyle name="Followed Hyperlink" xfId="6482" builtinId="9" hidden="1"/>
    <cellStyle name="Followed Hyperlink" xfId="6484" builtinId="9" hidden="1"/>
    <cellStyle name="Followed Hyperlink" xfId="6486" builtinId="9" hidden="1"/>
    <cellStyle name="Followed Hyperlink" xfId="6488" builtinId="9" hidden="1"/>
    <cellStyle name="Followed Hyperlink" xfId="6490" builtinId="9" hidden="1"/>
    <cellStyle name="Followed Hyperlink" xfId="6492" builtinId="9" hidden="1"/>
    <cellStyle name="Followed Hyperlink" xfId="6494" builtinId="9" hidden="1"/>
    <cellStyle name="Followed Hyperlink" xfId="6496" builtinId="9" hidden="1"/>
    <cellStyle name="Followed Hyperlink" xfId="6498" builtinId="9" hidden="1"/>
    <cellStyle name="Followed Hyperlink" xfId="6500" builtinId="9" hidden="1"/>
    <cellStyle name="Followed Hyperlink" xfId="6502" builtinId="9" hidden="1"/>
    <cellStyle name="Followed Hyperlink" xfId="6504" builtinId="9" hidden="1"/>
    <cellStyle name="Followed Hyperlink" xfId="6506" builtinId="9" hidden="1"/>
    <cellStyle name="Followed Hyperlink" xfId="6508" builtinId="9" hidden="1"/>
    <cellStyle name="Followed Hyperlink" xfId="6510" builtinId="9" hidden="1"/>
    <cellStyle name="Followed Hyperlink" xfId="6512" builtinId="9" hidden="1"/>
    <cellStyle name="Followed Hyperlink" xfId="6514" builtinId="9" hidden="1"/>
    <cellStyle name="Followed Hyperlink" xfId="6516" builtinId="9" hidden="1"/>
    <cellStyle name="Followed Hyperlink" xfId="6518" builtinId="9" hidden="1"/>
    <cellStyle name="Followed Hyperlink" xfId="6520" builtinId="9" hidden="1"/>
    <cellStyle name="Followed Hyperlink" xfId="6522" builtinId="9" hidden="1"/>
    <cellStyle name="Followed Hyperlink" xfId="6524" builtinId="9" hidden="1"/>
    <cellStyle name="Followed Hyperlink" xfId="6526" builtinId="9" hidden="1"/>
    <cellStyle name="Followed Hyperlink" xfId="6528" builtinId="9" hidden="1"/>
    <cellStyle name="Followed Hyperlink" xfId="6530" builtinId="9" hidden="1"/>
    <cellStyle name="Followed Hyperlink" xfId="6532" builtinId="9" hidden="1"/>
    <cellStyle name="Followed Hyperlink" xfId="6534" builtinId="9" hidden="1"/>
    <cellStyle name="Followed Hyperlink" xfId="6536" builtinId="9" hidden="1"/>
    <cellStyle name="Followed Hyperlink" xfId="6538" builtinId="9" hidden="1"/>
    <cellStyle name="Followed Hyperlink" xfId="6540" builtinId="9" hidden="1"/>
    <cellStyle name="Followed Hyperlink" xfId="6542" builtinId="9" hidden="1"/>
    <cellStyle name="Followed Hyperlink" xfId="6544" builtinId="9" hidden="1"/>
    <cellStyle name="Followed Hyperlink" xfId="6546" builtinId="9" hidden="1"/>
    <cellStyle name="Followed Hyperlink" xfId="6548" builtinId="9" hidden="1"/>
    <cellStyle name="Followed Hyperlink" xfId="6550" builtinId="9" hidden="1"/>
    <cellStyle name="Followed Hyperlink" xfId="6552" builtinId="9" hidden="1"/>
    <cellStyle name="Followed Hyperlink" xfId="6554" builtinId="9" hidden="1"/>
    <cellStyle name="Followed Hyperlink" xfId="6556" builtinId="9" hidden="1"/>
    <cellStyle name="Followed Hyperlink" xfId="6558" builtinId="9" hidden="1"/>
    <cellStyle name="Followed Hyperlink" xfId="6560" builtinId="9" hidden="1"/>
    <cellStyle name="Followed Hyperlink" xfId="6562" builtinId="9" hidden="1"/>
    <cellStyle name="Followed Hyperlink" xfId="6564" builtinId="9" hidden="1"/>
    <cellStyle name="Followed Hyperlink" xfId="6566" builtinId="9" hidden="1"/>
    <cellStyle name="Followed Hyperlink" xfId="6568" builtinId="9" hidden="1"/>
    <cellStyle name="Followed Hyperlink" xfId="6570" builtinId="9" hidden="1"/>
    <cellStyle name="Followed Hyperlink" xfId="6572" builtinId="9" hidden="1"/>
    <cellStyle name="Followed Hyperlink" xfId="6574" builtinId="9" hidden="1"/>
    <cellStyle name="Followed Hyperlink" xfId="6576" builtinId="9" hidden="1"/>
    <cellStyle name="Followed Hyperlink" xfId="6578" builtinId="9" hidden="1"/>
    <cellStyle name="Followed Hyperlink" xfId="6580" builtinId="9" hidden="1"/>
    <cellStyle name="Followed Hyperlink" xfId="6582" builtinId="9" hidden="1"/>
    <cellStyle name="Followed Hyperlink" xfId="6584" builtinId="9" hidden="1"/>
    <cellStyle name="Followed Hyperlink" xfId="6586" builtinId="9" hidden="1"/>
    <cellStyle name="Followed Hyperlink" xfId="6588" builtinId="9" hidden="1"/>
    <cellStyle name="Followed Hyperlink" xfId="6590" builtinId="9" hidden="1"/>
    <cellStyle name="Followed Hyperlink" xfId="6592" builtinId="9" hidden="1"/>
    <cellStyle name="Followed Hyperlink" xfId="6594" builtinId="9" hidden="1"/>
    <cellStyle name="Followed Hyperlink" xfId="6596" builtinId="9" hidden="1"/>
    <cellStyle name="Followed Hyperlink" xfId="6598" builtinId="9" hidden="1"/>
    <cellStyle name="Followed Hyperlink" xfId="6600" builtinId="9" hidden="1"/>
    <cellStyle name="Followed Hyperlink" xfId="6602" builtinId="9" hidden="1"/>
    <cellStyle name="Followed Hyperlink" xfId="6604" builtinId="9" hidden="1"/>
    <cellStyle name="Followed Hyperlink" xfId="6606" builtinId="9" hidden="1"/>
    <cellStyle name="Followed Hyperlink" xfId="6608" builtinId="9" hidden="1"/>
    <cellStyle name="Followed Hyperlink" xfId="6610" builtinId="9" hidden="1"/>
    <cellStyle name="Followed Hyperlink" xfId="6612" builtinId="9" hidden="1"/>
    <cellStyle name="Followed Hyperlink" xfId="6614" builtinId="9" hidden="1"/>
    <cellStyle name="Followed Hyperlink" xfId="6616" builtinId="9" hidden="1"/>
    <cellStyle name="Followed Hyperlink" xfId="6618" builtinId="9" hidden="1"/>
    <cellStyle name="Followed Hyperlink" xfId="6620" builtinId="9" hidden="1"/>
    <cellStyle name="Followed Hyperlink" xfId="6622" builtinId="9" hidden="1"/>
    <cellStyle name="Followed Hyperlink" xfId="6624" builtinId="9" hidden="1"/>
    <cellStyle name="Followed Hyperlink" xfId="6626" builtinId="9" hidden="1"/>
    <cellStyle name="Followed Hyperlink" xfId="6628" builtinId="9" hidden="1"/>
    <cellStyle name="Followed Hyperlink" xfId="6630" builtinId="9" hidden="1"/>
    <cellStyle name="Followed Hyperlink" xfId="6632" builtinId="9" hidden="1"/>
    <cellStyle name="Followed Hyperlink" xfId="6634" builtinId="9" hidden="1"/>
    <cellStyle name="Followed Hyperlink" xfId="6636" builtinId="9" hidden="1"/>
    <cellStyle name="Followed Hyperlink" xfId="6638" builtinId="9" hidden="1"/>
    <cellStyle name="Followed Hyperlink" xfId="6640" builtinId="9" hidden="1"/>
    <cellStyle name="Followed Hyperlink" xfId="6642" builtinId="9" hidden="1"/>
    <cellStyle name="Followed Hyperlink" xfId="6644" builtinId="9" hidden="1"/>
    <cellStyle name="Followed Hyperlink" xfId="6646" builtinId="9" hidden="1"/>
    <cellStyle name="Followed Hyperlink" xfId="6648" builtinId="9" hidden="1"/>
    <cellStyle name="Followed Hyperlink" xfId="6650" builtinId="9" hidden="1"/>
    <cellStyle name="Followed Hyperlink" xfId="6652" builtinId="9" hidden="1"/>
    <cellStyle name="Followed Hyperlink" xfId="6654" builtinId="9" hidden="1"/>
    <cellStyle name="Followed Hyperlink" xfId="6656" builtinId="9" hidden="1"/>
    <cellStyle name="Followed Hyperlink" xfId="6658" builtinId="9" hidden="1"/>
    <cellStyle name="Followed Hyperlink" xfId="6660" builtinId="9" hidden="1"/>
    <cellStyle name="Followed Hyperlink" xfId="6662" builtinId="9" hidden="1"/>
    <cellStyle name="Followed Hyperlink" xfId="6664" builtinId="9" hidden="1"/>
    <cellStyle name="Followed Hyperlink" xfId="6666" builtinId="9" hidden="1"/>
    <cellStyle name="Followed Hyperlink" xfId="6668" builtinId="9" hidden="1"/>
    <cellStyle name="Followed Hyperlink" xfId="6670" builtinId="9" hidden="1"/>
    <cellStyle name="Followed Hyperlink" xfId="6672" builtinId="9" hidden="1"/>
    <cellStyle name="Followed Hyperlink" xfId="6674" builtinId="9" hidden="1"/>
    <cellStyle name="Followed Hyperlink" xfId="6676" builtinId="9" hidden="1"/>
    <cellStyle name="Followed Hyperlink" xfId="6678" builtinId="9" hidden="1"/>
    <cellStyle name="Followed Hyperlink" xfId="6680" builtinId="9" hidden="1"/>
    <cellStyle name="Followed Hyperlink" xfId="6682" builtinId="9" hidden="1"/>
    <cellStyle name="Followed Hyperlink" xfId="6684" builtinId="9" hidden="1"/>
    <cellStyle name="Followed Hyperlink" xfId="6686" builtinId="9" hidden="1"/>
    <cellStyle name="Followed Hyperlink" xfId="6688" builtinId="9" hidden="1"/>
    <cellStyle name="Followed Hyperlink" xfId="6690" builtinId="9" hidden="1"/>
    <cellStyle name="Followed Hyperlink" xfId="6692" builtinId="9" hidden="1"/>
    <cellStyle name="Followed Hyperlink" xfId="6694" builtinId="9" hidden="1"/>
    <cellStyle name="Followed Hyperlink" xfId="6696" builtinId="9" hidden="1"/>
    <cellStyle name="Followed Hyperlink" xfId="6698" builtinId="9" hidden="1"/>
    <cellStyle name="Followed Hyperlink" xfId="6700" builtinId="9" hidden="1"/>
    <cellStyle name="Followed Hyperlink" xfId="6702" builtinId="9" hidden="1"/>
    <cellStyle name="Followed Hyperlink" xfId="6704" builtinId="9" hidden="1"/>
    <cellStyle name="Followed Hyperlink" xfId="6706" builtinId="9" hidden="1"/>
    <cellStyle name="Followed Hyperlink" xfId="6708" builtinId="9" hidden="1"/>
    <cellStyle name="Followed Hyperlink" xfId="6710" builtinId="9" hidden="1"/>
    <cellStyle name="Followed Hyperlink" xfId="6712" builtinId="9" hidden="1"/>
    <cellStyle name="Followed Hyperlink" xfId="6714" builtinId="9" hidden="1"/>
    <cellStyle name="Followed Hyperlink" xfId="6716" builtinId="9" hidden="1"/>
    <cellStyle name="Followed Hyperlink" xfId="6718" builtinId="9" hidden="1"/>
    <cellStyle name="Followed Hyperlink" xfId="6720" builtinId="9" hidden="1"/>
    <cellStyle name="Followed Hyperlink" xfId="6722" builtinId="9" hidden="1"/>
    <cellStyle name="Followed Hyperlink" xfId="6724" builtinId="9" hidden="1"/>
    <cellStyle name="Followed Hyperlink" xfId="6726" builtinId="9" hidden="1"/>
    <cellStyle name="Followed Hyperlink" xfId="6728" builtinId="9" hidden="1"/>
    <cellStyle name="Followed Hyperlink" xfId="6730" builtinId="9" hidden="1"/>
    <cellStyle name="Followed Hyperlink" xfId="6732" builtinId="9" hidden="1"/>
    <cellStyle name="Followed Hyperlink" xfId="6734" builtinId="9" hidden="1"/>
    <cellStyle name="Followed Hyperlink" xfId="6736" builtinId="9" hidden="1"/>
    <cellStyle name="Followed Hyperlink" xfId="6738" builtinId="9" hidden="1"/>
    <cellStyle name="Followed Hyperlink" xfId="6740" builtinId="9" hidden="1"/>
    <cellStyle name="Followed Hyperlink" xfId="6742" builtinId="9" hidden="1"/>
    <cellStyle name="Followed Hyperlink" xfId="6744" builtinId="9" hidden="1"/>
    <cellStyle name="Followed Hyperlink" xfId="6746" builtinId="9" hidden="1"/>
    <cellStyle name="Followed Hyperlink" xfId="6748" builtinId="9" hidden="1"/>
    <cellStyle name="Followed Hyperlink" xfId="6750" builtinId="9" hidden="1"/>
    <cellStyle name="Followed Hyperlink" xfId="6752" builtinId="9" hidden="1"/>
    <cellStyle name="Followed Hyperlink" xfId="6754" builtinId="9" hidden="1"/>
    <cellStyle name="Followed Hyperlink" xfId="6756" builtinId="9" hidden="1"/>
    <cellStyle name="Followed Hyperlink" xfId="6758" builtinId="9" hidden="1"/>
    <cellStyle name="Followed Hyperlink" xfId="6760" builtinId="9" hidden="1"/>
    <cellStyle name="Followed Hyperlink" xfId="6762" builtinId="9" hidden="1"/>
    <cellStyle name="Followed Hyperlink" xfId="6764" builtinId="9" hidden="1"/>
    <cellStyle name="Followed Hyperlink" xfId="6766" builtinId="9" hidden="1"/>
    <cellStyle name="Followed Hyperlink" xfId="6768" builtinId="9" hidden="1"/>
    <cellStyle name="Followed Hyperlink" xfId="6770" builtinId="9" hidden="1"/>
    <cellStyle name="Followed Hyperlink" xfId="6772" builtinId="9" hidden="1"/>
    <cellStyle name="Followed Hyperlink" xfId="6774" builtinId="9" hidden="1"/>
    <cellStyle name="Followed Hyperlink" xfId="6776" builtinId="9" hidden="1"/>
    <cellStyle name="Followed Hyperlink" xfId="6778" builtinId="9" hidden="1"/>
    <cellStyle name="Followed Hyperlink" xfId="6780" builtinId="9" hidden="1"/>
    <cellStyle name="Followed Hyperlink" xfId="6782" builtinId="9" hidden="1"/>
    <cellStyle name="Followed Hyperlink" xfId="6784" builtinId="9" hidden="1"/>
    <cellStyle name="Followed Hyperlink" xfId="6786" builtinId="9" hidden="1"/>
    <cellStyle name="Followed Hyperlink" xfId="6788" builtinId="9" hidden="1"/>
    <cellStyle name="Followed Hyperlink" xfId="6790" builtinId="9" hidden="1"/>
    <cellStyle name="Followed Hyperlink" xfId="6792" builtinId="9" hidden="1"/>
    <cellStyle name="Followed Hyperlink" xfId="6794" builtinId="9" hidden="1"/>
    <cellStyle name="Followed Hyperlink" xfId="6796" builtinId="9" hidden="1"/>
    <cellStyle name="Followed Hyperlink" xfId="6798" builtinId="9" hidden="1"/>
    <cellStyle name="Followed Hyperlink" xfId="6800" builtinId="9" hidden="1"/>
    <cellStyle name="Followed Hyperlink" xfId="6802" builtinId="9" hidden="1"/>
    <cellStyle name="Followed Hyperlink" xfId="6804" builtinId="9" hidden="1"/>
    <cellStyle name="Followed Hyperlink" xfId="6806" builtinId="9" hidden="1"/>
    <cellStyle name="Followed Hyperlink" xfId="6808" builtinId="9" hidden="1"/>
    <cellStyle name="Followed Hyperlink" xfId="6810" builtinId="9" hidden="1"/>
    <cellStyle name="Followed Hyperlink" xfId="6812" builtinId="9" hidden="1"/>
    <cellStyle name="Followed Hyperlink" xfId="6814" builtinId="9" hidden="1"/>
    <cellStyle name="Followed Hyperlink" xfId="6816" builtinId="9" hidden="1"/>
    <cellStyle name="Followed Hyperlink" xfId="6818" builtinId="9" hidden="1"/>
    <cellStyle name="Followed Hyperlink" xfId="6820" builtinId="9" hidden="1"/>
    <cellStyle name="Followed Hyperlink" xfId="6822" builtinId="9" hidden="1"/>
    <cellStyle name="Followed Hyperlink" xfId="6824" builtinId="9" hidden="1"/>
    <cellStyle name="Followed Hyperlink" xfId="6826" builtinId="9" hidden="1"/>
    <cellStyle name="Followed Hyperlink" xfId="6828" builtinId="9" hidden="1"/>
    <cellStyle name="Followed Hyperlink" xfId="6830" builtinId="9" hidden="1"/>
    <cellStyle name="Followed Hyperlink" xfId="6832" builtinId="9" hidden="1"/>
    <cellStyle name="Followed Hyperlink" xfId="6834" builtinId="9" hidden="1"/>
    <cellStyle name="Followed Hyperlink" xfId="6836" builtinId="9" hidden="1"/>
    <cellStyle name="Followed Hyperlink" xfId="6838" builtinId="9" hidden="1"/>
    <cellStyle name="Followed Hyperlink" xfId="6840" builtinId="9" hidden="1"/>
    <cellStyle name="Followed Hyperlink" xfId="6842" builtinId="9" hidden="1"/>
    <cellStyle name="Followed Hyperlink" xfId="6844" builtinId="9" hidden="1"/>
    <cellStyle name="Followed Hyperlink" xfId="6846" builtinId="9" hidden="1"/>
    <cellStyle name="Followed Hyperlink" xfId="6848" builtinId="9" hidden="1"/>
    <cellStyle name="Followed Hyperlink" xfId="6850" builtinId="9" hidden="1"/>
    <cellStyle name="Followed Hyperlink" xfId="6852" builtinId="9" hidden="1"/>
    <cellStyle name="Followed Hyperlink" xfId="6854" builtinId="9" hidden="1"/>
    <cellStyle name="Followed Hyperlink" xfId="6856" builtinId="9" hidden="1"/>
    <cellStyle name="Followed Hyperlink" xfId="6858" builtinId="9" hidden="1"/>
    <cellStyle name="Followed Hyperlink" xfId="6860" builtinId="9" hidden="1"/>
    <cellStyle name="Followed Hyperlink" xfId="6862" builtinId="9" hidden="1"/>
    <cellStyle name="Followed Hyperlink" xfId="6864" builtinId="9" hidden="1"/>
    <cellStyle name="Followed Hyperlink" xfId="6866" builtinId="9" hidden="1"/>
    <cellStyle name="Followed Hyperlink" xfId="6868" builtinId="9" hidden="1"/>
    <cellStyle name="Followed Hyperlink" xfId="6870" builtinId="9" hidden="1"/>
    <cellStyle name="Followed Hyperlink" xfId="6872" builtinId="9" hidden="1"/>
    <cellStyle name="Followed Hyperlink" xfId="6874" builtinId="9" hidden="1"/>
    <cellStyle name="Followed Hyperlink" xfId="6876" builtinId="9" hidden="1"/>
    <cellStyle name="Followed Hyperlink" xfId="6878" builtinId="9" hidden="1"/>
    <cellStyle name="Followed Hyperlink" xfId="6880" builtinId="9" hidden="1"/>
    <cellStyle name="Followed Hyperlink" xfId="6882" builtinId="9" hidden="1"/>
    <cellStyle name="Followed Hyperlink" xfId="6884" builtinId="9" hidden="1"/>
    <cellStyle name="Followed Hyperlink" xfId="6886" builtinId="9" hidden="1"/>
    <cellStyle name="Followed Hyperlink" xfId="6888" builtinId="9" hidden="1"/>
    <cellStyle name="Followed Hyperlink" xfId="6890" builtinId="9" hidden="1"/>
    <cellStyle name="Followed Hyperlink" xfId="6892" builtinId="9" hidden="1"/>
    <cellStyle name="Followed Hyperlink" xfId="6894" builtinId="9" hidden="1"/>
    <cellStyle name="Followed Hyperlink" xfId="6896" builtinId="9" hidden="1"/>
    <cellStyle name="Followed Hyperlink" xfId="6898" builtinId="9" hidden="1"/>
    <cellStyle name="Followed Hyperlink" xfId="6900" builtinId="9" hidden="1"/>
    <cellStyle name="Followed Hyperlink" xfId="6902" builtinId="9" hidden="1"/>
    <cellStyle name="Followed Hyperlink" xfId="6904" builtinId="9" hidden="1"/>
    <cellStyle name="Followed Hyperlink" xfId="6906" builtinId="9" hidden="1"/>
    <cellStyle name="Followed Hyperlink" xfId="6908" builtinId="9" hidden="1"/>
    <cellStyle name="Followed Hyperlink" xfId="6910" builtinId="9" hidden="1"/>
    <cellStyle name="Followed Hyperlink" xfId="6912" builtinId="9" hidden="1"/>
    <cellStyle name="Followed Hyperlink" xfId="6914" builtinId="9" hidden="1"/>
    <cellStyle name="Followed Hyperlink" xfId="6916" builtinId="9" hidden="1"/>
    <cellStyle name="Followed Hyperlink" xfId="6918" builtinId="9" hidden="1"/>
    <cellStyle name="Followed Hyperlink" xfId="6920" builtinId="9" hidden="1"/>
    <cellStyle name="Followed Hyperlink" xfId="6922" builtinId="9" hidden="1"/>
    <cellStyle name="Followed Hyperlink" xfId="6924" builtinId="9" hidden="1"/>
    <cellStyle name="Followed Hyperlink" xfId="6926" builtinId="9" hidden="1"/>
    <cellStyle name="Followed Hyperlink" xfId="6928" builtinId="9" hidden="1"/>
    <cellStyle name="Followed Hyperlink" xfId="6930" builtinId="9" hidden="1"/>
    <cellStyle name="Followed Hyperlink" xfId="6932" builtinId="9" hidden="1"/>
    <cellStyle name="Followed Hyperlink" xfId="6934" builtinId="9" hidden="1"/>
    <cellStyle name="Followed Hyperlink" xfId="6936" builtinId="9" hidden="1"/>
    <cellStyle name="Followed Hyperlink" xfId="6938" builtinId="9" hidden="1"/>
    <cellStyle name="Followed Hyperlink" xfId="6940" builtinId="9" hidden="1"/>
    <cellStyle name="Followed Hyperlink" xfId="6942" builtinId="9" hidden="1"/>
    <cellStyle name="Followed Hyperlink" xfId="6944" builtinId="9" hidden="1"/>
    <cellStyle name="Followed Hyperlink" xfId="6946" builtinId="9" hidden="1"/>
    <cellStyle name="Followed Hyperlink" xfId="6948" builtinId="9" hidden="1"/>
    <cellStyle name="Followed Hyperlink" xfId="6950" builtinId="9" hidden="1"/>
    <cellStyle name="Followed Hyperlink" xfId="6952" builtinId="9" hidden="1"/>
    <cellStyle name="Followed Hyperlink" xfId="6954" builtinId="9" hidden="1"/>
    <cellStyle name="Followed Hyperlink" xfId="6956" builtinId="9" hidden="1"/>
    <cellStyle name="Followed Hyperlink" xfId="6958" builtinId="9" hidden="1"/>
    <cellStyle name="Followed Hyperlink" xfId="6960" builtinId="9" hidden="1"/>
    <cellStyle name="Followed Hyperlink" xfId="6962" builtinId="9" hidden="1"/>
    <cellStyle name="Followed Hyperlink" xfId="6964" builtinId="9" hidden="1"/>
    <cellStyle name="Followed Hyperlink" xfId="6966" builtinId="9" hidden="1"/>
    <cellStyle name="Followed Hyperlink" xfId="6968" builtinId="9" hidden="1"/>
    <cellStyle name="Followed Hyperlink" xfId="6970" builtinId="9" hidden="1"/>
    <cellStyle name="Followed Hyperlink" xfId="6972" builtinId="9" hidden="1"/>
    <cellStyle name="Followed Hyperlink" xfId="6974" builtinId="9" hidden="1"/>
    <cellStyle name="Followed Hyperlink" xfId="6976" builtinId="9" hidden="1"/>
    <cellStyle name="Followed Hyperlink" xfId="6978" builtinId="9" hidden="1"/>
    <cellStyle name="Followed Hyperlink" xfId="6980" builtinId="9" hidden="1"/>
    <cellStyle name="Followed Hyperlink" xfId="6982" builtinId="9" hidden="1"/>
    <cellStyle name="Followed Hyperlink" xfId="6984" builtinId="9" hidden="1"/>
    <cellStyle name="Followed Hyperlink" xfId="6986" builtinId="9" hidden="1"/>
    <cellStyle name="Followed Hyperlink" xfId="6988" builtinId="9" hidden="1"/>
    <cellStyle name="Followed Hyperlink" xfId="6990" builtinId="9" hidden="1"/>
    <cellStyle name="Followed Hyperlink" xfId="6992" builtinId="9" hidden="1"/>
    <cellStyle name="Followed Hyperlink" xfId="6994" builtinId="9" hidden="1"/>
    <cellStyle name="Followed Hyperlink" xfId="6996" builtinId="9" hidden="1"/>
    <cellStyle name="Followed Hyperlink" xfId="6998" builtinId="9" hidden="1"/>
    <cellStyle name="Followed Hyperlink" xfId="7000" builtinId="9" hidden="1"/>
    <cellStyle name="Followed Hyperlink" xfId="7002" builtinId="9" hidden="1"/>
    <cellStyle name="Followed Hyperlink" xfId="7004" builtinId="9" hidden="1"/>
    <cellStyle name="Followed Hyperlink" xfId="7006" builtinId="9" hidden="1"/>
    <cellStyle name="Followed Hyperlink" xfId="7008" builtinId="9" hidden="1"/>
    <cellStyle name="Followed Hyperlink" xfId="7010" builtinId="9" hidden="1"/>
    <cellStyle name="Followed Hyperlink" xfId="7012" builtinId="9" hidden="1"/>
    <cellStyle name="Followed Hyperlink" xfId="7014" builtinId="9" hidden="1"/>
    <cellStyle name="Followed Hyperlink" xfId="7016" builtinId="9" hidden="1"/>
    <cellStyle name="Followed Hyperlink" xfId="7018" builtinId="9" hidden="1"/>
    <cellStyle name="Followed Hyperlink" xfId="7020" builtinId="9" hidden="1"/>
    <cellStyle name="Followed Hyperlink" xfId="7022" builtinId="9" hidden="1"/>
    <cellStyle name="Followed Hyperlink" xfId="7024" builtinId="9" hidden="1"/>
    <cellStyle name="Followed Hyperlink" xfId="7026" builtinId="9" hidden="1"/>
    <cellStyle name="Followed Hyperlink" xfId="7028" builtinId="9" hidden="1"/>
    <cellStyle name="Followed Hyperlink" xfId="7030" builtinId="9" hidden="1"/>
    <cellStyle name="Followed Hyperlink" xfId="7032" builtinId="9" hidden="1"/>
    <cellStyle name="Followed Hyperlink" xfId="7034" builtinId="9" hidden="1"/>
    <cellStyle name="Followed Hyperlink" xfId="7036" builtinId="9" hidden="1"/>
    <cellStyle name="Followed Hyperlink" xfId="7038" builtinId="9" hidden="1"/>
    <cellStyle name="Followed Hyperlink" xfId="7040" builtinId="9" hidden="1"/>
    <cellStyle name="Followed Hyperlink" xfId="7042" builtinId="9" hidden="1"/>
    <cellStyle name="Followed Hyperlink" xfId="7044" builtinId="9" hidden="1"/>
    <cellStyle name="Followed Hyperlink" xfId="7046" builtinId="9" hidden="1"/>
    <cellStyle name="Followed Hyperlink" xfId="7048" builtinId="9" hidden="1"/>
    <cellStyle name="Followed Hyperlink" xfId="7050" builtinId="9" hidden="1"/>
    <cellStyle name="Followed Hyperlink" xfId="7052" builtinId="9" hidden="1"/>
    <cellStyle name="Followed Hyperlink" xfId="7054" builtinId="9" hidden="1"/>
    <cellStyle name="Followed Hyperlink" xfId="7056" builtinId="9" hidden="1"/>
    <cellStyle name="Followed Hyperlink" xfId="7058" builtinId="9" hidden="1"/>
    <cellStyle name="Followed Hyperlink" xfId="7060" builtinId="9" hidden="1"/>
    <cellStyle name="Followed Hyperlink" xfId="7062" builtinId="9" hidden="1"/>
    <cellStyle name="Followed Hyperlink" xfId="7064" builtinId="9" hidden="1"/>
    <cellStyle name="Followed Hyperlink" xfId="7066" builtinId="9" hidden="1"/>
    <cellStyle name="Followed Hyperlink" xfId="7068" builtinId="9" hidden="1"/>
    <cellStyle name="Followed Hyperlink" xfId="7070" builtinId="9" hidden="1"/>
    <cellStyle name="Followed Hyperlink" xfId="7072" builtinId="9" hidden="1"/>
    <cellStyle name="Followed Hyperlink" xfId="7074" builtinId="9" hidden="1"/>
    <cellStyle name="Followed Hyperlink" xfId="7076" builtinId="9" hidden="1"/>
    <cellStyle name="Followed Hyperlink" xfId="7078" builtinId="9" hidden="1"/>
    <cellStyle name="Followed Hyperlink" xfId="7080" builtinId="9" hidden="1"/>
    <cellStyle name="Followed Hyperlink" xfId="7082" builtinId="9" hidden="1"/>
    <cellStyle name="Followed Hyperlink" xfId="7084" builtinId="9" hidden="1"/>
    <cellStyle name="Followed Hyperlink" xfId="7086" builtinId="9" hidden="1"/>
    <cellStyle name="Followed Hyperlink" xfId="7088" builtinId="9" hidden="1"/>
    <cellStyle name="Followed Hyperlink" xfId="7090" builtinId="9" hidden="1"/>
    <cellStyle name="Followed Hyperlink" xfId="7092" builtinId="9" hidden="1"/>
    <cellStyle name="Followed Hyperlink" xfId="7094" builtinId="9" hidden="1"/>
    <cellStyle name="Followed Hyperlink" xfId="7096" builtinId="9" hidden="1"/>
    <cellStyle name="Followed Hyperlink" xfId="7098" builtinId="9" hidden="1"/>
    <cellStyle name="Followed Hyperlink" xfId="7100" builtinId="9" hidden="1"/>
    <cellStyle name="Followed Hyperlink" xfId="7102" builtinId="9" hidden="1"/>
    <cellStyle name="Followed Hyperlink" xfId="7104" builtinId="9" hidden="1"/>
    <cellStyle name="Followed Hyperlink" xfId="7106" builtinId="9" hidden="1"/>
    <cellStyle name="Followed Hyperlink" xfId="7108" builtinId="9" hidden="1"/>
    <cellStyle name="Followed Hyperlink" xfId="7110" builtinId="9" hidden="1"/>
    <cellStyle name="Followed Hyperlink" xfId="7112" builtinId="9" hidden="1"/>
    <cellStyle name="Followed Hyperlink" xfId="7114" builtinId="9" hidden="1"/>
    <cellStyle name="Followed Hyperlink" xfId="7116" builtinId="9" hidden="1"/>
    <cellStyle name="Followed Hyperlink" xfId="7118" builtinId="9" hidden="1"/>
    <cellStyle name="Followed Hyperlink" xfId="7120" builtinId="9" hidden="1"/>
    <cellStyle name="Followed Hyperlink" xfId="7122" builtinId="9" hidden="1"/>
    <cellStyle name="Followed Hyperlink" xfId="7124" builtinId="9" hidden="1"/>
    <cellStyle name="Followed Hyperlink" xfId="7126" builtinId="9" hidden="1"/>
    <cellStyle name="Followed Hyperlink" xfId="7128" builtinId="9" hidden="1"/>
    <cellStyle name="Followed Hyperlink" xfId="7130" builtinId="9" hidden="1"/>
    <cellStyle name="Followed Hyperlink" xfId="7132" builtinId="9" hidden="1"/>
    <cellStyle name="Followed Hyperlink" xfId="7134" builtinId="9" hidden="1"/>
    <cellStyle name="Followed Hyperlink" xfId="7136" builtinId="9" hidden="1"/>
    <cellStyle name="Followed Hyperlink" xfId="7138" builtinId="9" hidden="1"/>
    <cellStyle name="Followed Hyperlink" xfId="7140" builtinId="9" hidden="1"/>
    <cellStyle name="Followed Hyperlink" xfId="7142" builtinId="9" hidden="1"/>
    <cellStyle name="Followed Hyperlink" xfId="7144" builtinId="9" hidden="1"/>
    <cellStyle name="Followed Hyperlink" xfId="7146" builtinId="9" hidden="1"/>
    <cellStyle name="Followed Hyperlink" xfId="7148" builtinId="9" hidden="1"/>
    <cellStyle name="Followed Hyperlink" xfId="7150" builtinId="9" hidden="1"/>
    <cellStyle name="Followed Hyperlink" xfId="7152" builtinId="9" hidden="1"/>
    <cellStyle name="Followed Hyperlink" xfId="7154" builtinId="9" hidden="1"/>
    <cellStyle name="Followed Hyperlink" xfId="7156" builtinId="9" hidden="1"/>
    <cellStyle name="Followed Hyperlink" xfId="7158" builtinId="9" hidden="1"/>
    <cellStyle name="Followed Hyperlink" xfId="7160" builtinId="9" hidden="1"/>
    <cellStyle name="Followed Hyperlink" xfId="7162" builtinId="9" hidden="1"/>
    <cellStyle name="Followed Hyperlink" xfId="7164" builtinId="9" hidden="1"/>
    <cellStyle name="Followed Hyperlink" xfId="7166" builtinId="9" hidden="1"/>
    <cellStyle name="Followed Hyperlink" xfId="7168" builtinId="9" hidden="1"/>
    <cellStyle name="Followed Hyperlink" xfId="7170" builtinId="9" hidden="1"/>
    <cellStyle name="Followed Hyperlink" xfId="7172" builtinId="9" hidden="1"/>
    <cellStyle name="Followed Hyperlink" xfId="7174" builtinId="9" hidden="1"/>
    <cellStyle name="Followed Hyperlink" xfId="7176" builtinId="9" hidden="1"/>
    <cellStyle name="Followed Hyperlink" xfId="7178" builtinId="9" hidden="1"/>
    <cellStyle name="Followed Hyperlink" xfId="7180" builtinId="9" hidden="1"/>
    <cellStyle name="Followed Hyperlink" xfId="7182" builtinId="9" hidden="1"/>
    <cellStyle name="Followed Hyperlink" xfId="7184" builtinId="9" hidden="1"/>
    <cellStyle name="Followed Hyperlink" xfId="7186" builtinId="9" hidden="1"/>
    <cellStyle name="Followed Hyperlink" xfId="7188" builtinId="9" hidden="1"/>
    <cellStyle name="Followed Hyperlink" xfId="7190" builtinId="9" hidden="1"/>
    <cellStyle name="Followed Hyperlink" xfId="7192" builtinId="9" hidden="1"/>
    <cellStyle name="Followed Hyperlink" xfId="7194" builtinId="9" hidden="1"/>
    <cellStyle name="Followed Hyperlink" xfId="7196" builtinId="9" hidden="1"/>
    <cellStyle name="Followed Hyperlink" xfId="7198" builtinId="9" hidden="1"/>
    <cellStyle name="Followed Hyperlink" xfId="7200" builtinId="9" hidden="1"/>
    <cellStyle name="Followed Hyperlink" xfId="7202" builtinId="9" hidden="1"/>
    <cellStyle name="Followed Hyperlink" xfId="7204" builtinId="9" hidden="1"/>
    <cellStyle name="Followed Hyperlink" xfId="7206" builtinId="9" hidden="1"/>
    <cellStyle name="Followed Hyperlink" xfId="7208" builtinId="9" hidden="1"/>
    <cellStyle name="Followed Hyperlink" xfId="7210" builtinId="9" hidden="1"/>
    <cellStyle name="Followed Hyperlink" xfId="7212" builtinId="9" hidden="1"/>
    <cellStyle name="Followed Hyperlink" xfId="7214" builtinId="9" hidden="1"/>
    <cellStyle name="Followed Hyperlink" xfId="7216" builtinId="9" hidden="1"/>
    <cellStyle name="Followed Hyperlink" xfId="7218" builtinId="9" hidden="1"/>
    <cellStyle name="Followed Hyperlink" xfId="7220" builtinId="9" hidden="1"/>
    <cellStyle name="Followed Hyperlink" xfId="7222" builtinId="9" hidden="1"/>
    <cellStyle name="Followed Hyperlink" xfId="7224" builtinId="9" hidden="1"/>
    <cellStyle name="Followed Hyperlink" xfId="7226" builtinId="9" hidden="1"/>
    <cellStyle name="Followed Hyperlink" xfId="7228" builtinId="9" hidden="1"/>
    <cellStyle name="Followed Hyperlink" xfId="7230" builtinId="9" hidden="1"/>
    <cellStyle name="Followed Hyperlink" xfId="7232" builtinId="9" hidden="1"/>
    <cellStyle name="Followed Hyperlink" xfId="7234" builtinId="9" hidden="1"/>
    <cellStyle name="Followed Hyperlink" xfId="7236" builtinId="9" hidden="1"/>
    <cellStyle name="Followed Hyperlink" xfId="7238" builtinId="9" hidden="1"/>
    <cellStyle name="Followed Hyperlink" xfId="7240" builtinId="9" hidden="1"/>
    <cellStyle name="Followed Hyperlink" xfId="7242" builtinId="9" hidden="1"/>
    <cellStyle name="Followed Hyperlink" xfId="7244" builtinId="9" hidden="1"/>
    <cellStyle name="Followed Hyperlink" xfId="7246" builtinId="9" hidden="1"/>
    <cellStyle name="Followed Hyperlink" xfId="7248" builtinId="9" hidden="1"/>
    <cellStyle name="Followed Hyperlink" xfId="7250" builtinId="9" hidden="1"/>
    <cellStyle name="Followed Hyperlink" xfId="7252" builtinId="9" hidden="1"/>
    <cellStyle name="Followed Hyperlink" xfId="7254" builtinId="9" hidden="1"/>
    <cellStyle name="Followed Hyperlink" xfId="7256" builtinId="9" hidden="1"/>
    <cellStyle name="Followed Hyperlink" xfId="7258" builtinId="9" hidden="1"/>
    <cellStyle name="Followed Hyperlink" xfId="7260" builtinId="9" hidden="1"/>
    <cellStyle name="Followed Hyperlink" xfId="7262" builtinId="9" hidden="1"/>
    <cellStyle name="Followed Hyperlink" xfId="7264" builtinId="9" hidden="1"/>
    <cellStyle name="Followed Hyperlink" xfId="7266" builtinId="9" hidden="1"/>
    <cellStyle name="Followed Hyperlink" xfId="7268" builtinId="9" hidden="1"/>
    <cellStyle name="Followed Hyperlink" xfId="7270" builtinId="9" hidden="1"/>
    <cellStyle name="Followed Hyperlink" xfId="7272" builtinId="9" hidden="1"/>
    <cellStyle name="Followed Hyperlink" xfId="7274" builtinId="9" hidden="1"/>
    <cellStyle name="Followed Hyperlink" xfId="7276" builtinId="9" hidden="1"/>
    <cellStyle name="Followed Hyperlink" xfId="7278" builtinId="9" hidden="1"/>
    <cellStyle name="Followed Hyperlink" xfId="7280" builtinId="9" hidden="1"/>
    <cellStyle name="Followed Hyperlink" xfId="7282" builtinId="9" hidden="1"/>
    <cellStyle name="Followed Hyperlink" xfId="7284" builtinId="9" hidden="1"/>
    <cellStyle name="Followed Hyperlink" xfId="7286" builtinId="9" hidden="1"/>
    <cellStyle name="Followed Hyperlink" xfId="7288" builtinId="9" hidden="1"/>
    <cellStyle name="Followed Hyperlink" xfId="7290" builtinId="9" hidden="1"/>
    <cellStyle name="Followed Hyperlink" xfId="7292" builtinId="9" hidden="1"/>
    <cellStyle name="Followed Hyperlink" xfId="7294" builtinId="9" hidden="1"/>
    <cellStyle name="Followed Hyperlink" xfId="7296" builtinId="9" hidden="1"/>
    <cellStyle name="Followed Hyperlink" xfId="7298" builtinId="9" hidden="1"/>
    <cellStyle name="Followed Hyperlink" xfId="7300" builtinId="9" hidden="1"/>
    <cellStyle name="Followed Hyperlink" xfId="7302" builtinId="9" hidden="1"/>
    <cellStyle name="Followed Hyperlink" xfId="7304" builtinId="9" hidden="1"/>
    <cellStyle name="Followed Hyperlink" xfId="7306" builtinId="9" hidden="1"/>
    <cellStyle name="Followed Hyperlink" xfId="7308" builtinId="9" hidden="1"/>
    <cellStyle name="Followed Hyperlink" xfId="7310" builtinId="9" hidden="1"/>
    <cellStyle name="Followed Hyperlink" xfId="7312" builtinId="9" hidden="1"/>
    <cellStyle name="Followed Hyperlink" xfId="7314" builtinId="9" hidden="1"/>
    <cellStyle name="Followed Hyperlink" xfId="7316" builtinId="9" hidden="1"/>
    <cellStyle name="Followed Hyperlink" xfId="7318" builtinId="9" hidden="1"/>
    <cellStyle name="Followed Hyperlink" xfId="7320" builtinId="9" hidden="1"/>
    <cellStyle name="Followed Hyperlink" xfId="7322" builtinId="9" hidden="1"/>
    <cellStyle name="Followed Hyperlink" xfId="7324" builtinId="9" hidden="1"/>
    <cellStyle name="Followed Hyperlink" xfId="7326" builtinId="9" hidden="1"/>
    <cellStyle name="Followed Hyperlink" xfId="7328" builtinId="9" hidden="1"/>
    <cellStyle name="Followed Hyperlink" xfId="7330" builtinId="9" hidden="1"/>
    <cellStyle name="Followed Hyperlink" xfId="7332" builtinId="9" hidden="1"/>
    <cellStyle name="Followed Hyperlink" xfId="7334" builtinId="9" hidden="1"/>
    <cellStyle name="Followed Hyperlink" xfId="7336" builtinId="9" hidden="1"/>
    <cellStyle name="Followed Hyperlink" xfId="7338" builtinId="9" hidden="1"/>
    <cellStyle name="Followed Hyperlink" xfId="7340" builtinId="9" hidden="1"/>
    <cellStyle name="Followed Hyperlink" xfId="7342" builtinId="9" hidden="1"/>
    <cellStyle name="Followed Hyperlink" xfId="7344" builtinId="9" hidden="1"/>
    <cellStyle name="Followed Hyperlink" xfId="7346" builtinId="9" hidden="1"/>
    <cellStyle name="Followed Hyperlink" xfId="7348" builtinId="9" hidden="1"/>
    <cellStyle name="Followed Hyperlink" xfId="7350" builtinId="9" hidden="1"/>
    <cellStyle name="Followed Hyperlink" xfId="7352" builtinId="9" hidden="1"/>
    <cellStyle name="Followed Hyperlink" xfId="7354" builtinId="9" hidden="1"/>
    <cellStyle name="Followed Hyperlink" xfId="7356" builtinId="9" hidden="1"/>
    <cellStyle name="Followed Hyperlink" xfId="7358" builtinId="9" hidden="1"/>
    <cellStyle name="Followed Hyperlink" xfId="7360" builtinId="9" hidden="1"/>
    <cellStyle name="Followed Hyperlink" xfId="7362" builtinId="9" hidden="1"/>
    <cellStyle name="Followed Hyperlink" xfId="7364" builtinId="9" hidden="1"/>
    <cellStyle name="Followed Hyperlink" xfId="7366" builtinId="9" hidden="1"/>
    <cellStyle name="Followed Hyperlink" xfId="7368" builtinId="9" hidden="1"/>
    <cellStyle name="Followed Hyperlink" xfId="7370" builtinId="9" hidden="1"/>
    <cellStyle name="Followed Hyperlink" xfId="7372" builtinId="9" hidden="1"/>
    <cellStyle name="Followed Hyperlink" xfId="7374" builtinId="9" hidden="1"/>
    <cellStyle name="Followed Hyperlink" xfId="7376" builtinId="9" hidden="1"/>
    <cellStyle name="Followed Hyperlink" xfId="7378" builtinId="9" hidden="1"/>
    <cellStyle name="Followed Hyperlink" xfId="7380" builtinId="9" hidden="1"/>
    <cellStyle name="Followed Hyperlink" xfId="7382" builtinId="9" hidden="1"/>
    <cellStyle name="Followed Hyperlink" xfId="7384" builtinId="9" hidden="1"/>
    <cellStyle name="Followed Hyperlink" xfId="7386" builtinId="9" hidden="1"/>
    <cellStyle name="Followed Hyperlink" xfId="7388" builtinId="9" hidden="1"/>
    <cellStyle name="Followed Hyperlink" xfId="7390" builtinId="9" hidden="1"/>
    <cellStyle name="Followed Hyperlink" xfId="7392" builtinId="9" hidden="1"/>
    <cellStyle name="Followed Hyperlink" xfId="7394" builtinId="9" hidden="1"/>
    <cellStyle name="Followed Hyperlink" xfId="7396" builtinId="9" hidden="1"/>
    <cellStyle name="Followed Hyperlink" xfId="7398" builtinId="9" hidden="1"/>
    <cellStyle name="Followed Hyperlink" xfId="7400" builtinId="9" hidden="1"/>
    <cellStyle name="Followed Hyperlink" xfId="7402" builtinId="9" hidden="1"/>
    <cellStyle name="Followed Hyperlink" xfId="7404" builtinId="9" hidden="1"/>
    <cellStyle name="Followed Hyperlink" xfId="7406" builtinId="9" hidden="1"/>
    <cellStyle name="Followed Hyperlink" xfId="7408" builtinId="9" hidden="1"/>
    <cellStyle name="Followed Hyperlink" xfId="7410" builtinId="9" hidden="1"/>
    <cellStyle name="Followed Hyperlink" xfId="7412" builtinId="9" hidden="1"/>
    <cellStyle name="Followed Hyperlink" xfId="7414" builtinId="9" hidden="1"/>
    <cellStyle name="Followed Hyperlink" xfId="7416" builtinId="9" hidden="1"/>
    <cellStyle name="Followed Hyperlink" xfId="7418" builtinId="9" hidden="1"/>
    <cellStyle name="Followed Hyperlink" xfId="7420" builtinId="9" hidden="1"/>
    <cellStyle name="Followed Hyperlink" xfId="7422" builtinId="9" hidden="1"/>
    <cellStyle name="Followed Hyperlink" xfId="7424" builtinId="9" hidden="1"/>
    <cellStyle name="Followed Hyperlink" xfId="7426" builtinId="9" hidden="1"/>
    <cellStyle name="Followed Hyperlink" xfId="7428" builtinId="9" hidden="1"/>
    <cellStyle name="Followed Hyperlink" xfId="7430" builtinId="9" hidden="1"/>
    <cellStyle name="Followed Hyperlink" xfId="7432" builtinId="9" hidden="1"/>
    <cellStyle name="Followed Hyperlink" xfId="7434" builtinId="9" hidden="1"/>
    <cellStyle name="Followed Hyperlink" xfId="7436" builtinId="9" hidden="1"/>
    <cellStyle name="Followed Hyperlink" xfId="7438" builtinId="9" hidden="1"/>
    <cellStyle name="Followed Hyperlink" xfId="7440" builtinId="9" hidden="1"/>
    <cellStyle name="Followed Hyperlink" xfId="7442" builtinId="9" hidden="1"/>
    <cellStyle name="Followed Hyperlink" xfId="7444" builtinId="9" hidden="1"/>
    <cellStyle name="Followed Hyperlink" xfId="7446" builtinId="9" hidden="1"/>
    <cellStyle name="Followed Hyperlink" xfId="7448" builtinId="9" hidden="1"/>
    <cellStyle name="Followed Hyperlink" xfId="7450" builtinId="9" hidden="1"/>
    <cellStyle name="Followed Hyperlink" xfId="7452" builtinId="9" hidden="1"/>
    <cellStyle name="Followed Hyperlink" xfId="7454" builtinId="9" hidden="1"/>
    <cellStyle name="Followed Hyperlink" xfId="7456" builtinId="9" hidden="1"/>
    <cellStyle name="Followed Hyperlink" xfId="7458" builtinId="9" hidden="1"/>
    <cellStyle name="Followed Hyperlink" xfId="7460" builtinId="9" hidden="1"/>
    <cellStyle name="Followed Hyperlink" xfId="7462" builtinId="9" hidden="1"/>
    <cellStyle name="Followed Hyperlink" xfId="7464" builtinId="9" hidden="1"/>
    <cellStyle name="Followed Hyperlink" xfId="7466" builtinId="9" hidden="1"/>
    <cellStyle name="Followed Hyperlink" xfId="7468" builtinId="9" hidden="1"/>
    <cellStyle name="Followed Hyperlink" xfId="7470" builtinId="9" hidden="1"/>
    <cellStyle name="Followed Hyperlink" xfId="7472" builtinId="9" hidden="1"/>
    <cellStyle name="Followed Hyperlink" xfId="7474" builtinId="9" hidden="1"/>
    <cellStyle name="Followed Hyperlink" xfId="7476" builtinId="9" hidden="1"/>
    <cellStyle name="Followed Hyperlink" xfId="7478" builtinId="9" hidden="1"/>
    <cellStyle name="Followed Hyperlink" xfId="7480" builtinId="9" hidden="1"/>
    <cellStyle name="Followed Hyperlink" xfId="7482" builtinId="9" hidden="1"/>
    <cellStyle name="Followed Hyperlink" xfId="7484" builtinId="9" hidden="1"/>
    <cellStyle name="Followed Hyperlink" xfId="7486" builtinId="9" hidden="1"/>
    <cellStyle name="Followed Hyperlink" xfId="7488" builtinId="9" hidden="1"/>
    <cellStyle name="Followed Hyperlink" xfId="7490" builtinId="9" hidden="1"/>
    <cellStyle name="Followed Hyperlink" xfId="7492" builtinId="9" hidden="1"/>
    <cellStyle name="Followed Hyperlink" xfId="7494" builtinId="9" hidden="1"/>
    <cellStyle name="Followed Hyperlink" xfId="7496" builtinId="9" hidden="1"/>
    <cellStyle name="Followed Hyperlink" xfId="7498" builtinId="9" hidden="1"/>
    <cellStyle name="Followed Hyperlink" xfId="7500" builtinId="9" hidden="1"/>
    <cellStyle name="Followed Hyperlink" xfId="7502" builtinId="9" hidden="1"/>
    <cellStyle name="Followed Hyperlink" xfId="7504" builtinId="9" hidden="1"/>
    <cellStyle name="Followed Hyperlink" xfId="7506" builtinId="9" hidden="1"/>
    <cellStyle name="Followed Hyperlink" xfId="7508" builtinId="9" hidden="1"/>
    <cellStyle name="Followed Hyperlink" xfId="7510" builtinId="9" hidden="1"/>
    <cellStyle name="Followed Hyperlink" xfId="7512" builtinId="9" hidden="1"/>
    <cellStyle name="Followed Hyperlink" xfId="7514" builtinId="9" hidden="1"/>
    <cellStyle name="Followed Hyperlink" xfId="7516" builtinId="9" hidden="1"/>
    <cellStyle name="Followed Hyperlink" xfId="7518" builtinId="9" hidden="1"/>
    <cellStyle name="Followed Hyperlink" xfId="7520" builtinId="9" hidden="1"/>
    <cellStyle name="Followed Hyperlink" xfId="7522" builtinId="9" hidden="1"/>
    <cellStyle name="Followed Hyperlink" xfId="7524" builtinId="9" hidden="1"/>
    <cellStyle name="Followed Hyperlink" xfId="7526" builtinId="9" hidden="1"/>
    <cellStyle name="Followed Hyperlink" xfId="7528" builtinId="9" hidden="1"/>
    <cellStyle name="Followed Hyperlink" xfId="7530" builtinId="9" hidden="1"/>
    <cellStyle name="Followed Hyperlink" xfId="7532" builtinId="9" hidden="1"/>
    <cellStyle name="Followed Hyperlink" xfId="7534" builtinId="9" hidden="1"/>
    <cellStyle name="Followed Hyperlink" xfId="7536" builtinId="9" hidden="1"/>
    <cellStyle name="Followed Hyperlink" xfId="7538" builtinId="9" hidden="1"/>
    <cellStyle name="Followed Hyperlink" xfId="7540" builtinId="9" hidden="1"/>
    <cellStyle name="Followed Hyperlink" xfId="7542" builtinId="9" hidden="1"/>
    <cellStyle name="Followed Hyperlink" xfId="7544" builtinId="9" hidden="1"/>
    <cellStyle name="Followed Hyperlink" xfId="7546" builtinId="9" hidden="1"/>
    <cellStyle name="Followed Hyperlink" xfId="7548" builtinId="9" hidden="1"/>
    <cellStyle name="Followed Hyperlink" xfId="7550" builtinId="9" hidden="1"/>
    <cellStyle name="Followed Hyperlink" xfId="7552" builtinId="9" hidden="1"/>
    <cellStyle name="Followed Hyperlink" xfId="7554" builtinId="9" hidden="1"/>
    <cellStyle name="Followed Hyperlink" xfId="7556" builtinId="9" hidden="1"/>
    <cellStyle name="Followed Hyperlink" xfId="7558" builtinId="9" hidden="1"/>
    <cellStyle name="Followed Hyperlink" xfId="7560" builtinId="9" hidden="1"/>
    <cellStyle name="Followed Hyperlink" xfId="7562" builtinId="9" hidden="1"/>
    <cellStyle name="Followed Hyperlink" xfId="7564" builtinId="9" hidden="1"/>
    <cellStyle name="Followed Hyperlink" xfId="7566" builtinId="9" hidden="1"/>
    <cellStyle name="Followed Hyperlink" xfId="7568" builtinId="9" hidden="1"/>
    <cellStyle name="Followed Hyperlink" xfId="7570" builtinId="9" hidden="1"/>
    <cellStyle name="Footer SBILogo1" xfId="1448" xr:uid="{00000000-0005-0000-0000-0000B6100000}"/>
    <cellStyle name="Footer SBILogo2" xfId="1449" xr:uid="{00000000-0005-0000-0000-0000B7100000}"/>
    <cellStyle name="Footnote" xfId="1450" xr:uid="{00000000-0005-0000-0000-0000B8100000}"/>
    <cellStyle name="Footnote Reference" xfId="1451" xr:uid="{00000000-0005-0000-0000-0000B9100000}"/>
    <cellStyle name="Footnote_% Change" xfId="1452" xr:uid="{00000000-0005-0000-0000-0000BA100000}"/>
    <cellStyle name="Footnotes" xfId="1453" xr:uid="{00000000-0005-0000-0000-0000BB100000}"/>
    <cellStyle name="Forecast Cells" xfId="1454" xr:uid="{00000000-0005-0000-0000-0000BC100000}"/>
    <cellStyle name="Format ($)" xfId="1455" xr:uid="{00000000-0005-0000-0000-0000BD100000}"/>
    <cellStyle name="Format (no $ no underline)" xfId="1456" xr:uid="{00000000-0005-0000-0000-0000BE100000}"/>
    <cellStyle name="Format (no $ underline)" xfId="1457" xr:uid="{00000000-0005-0000-0000-0000BF100000}"/>
    <cellStyle name="Format (no $)" xfId="1458" xr:uid="{00000000-0005-0000-0000-0000C0100000}"/>
    <cellStyle name="Format underline (no $)" xfId="1459" xr:uid="{00000000-0005-0000-0000-0000C1100000}"/>
    <cellStyle name="Formula" xfId="1460" xr:uid="{00000000-0005-0000-0000-0000C2100000}"/>
    <cellStyle name="fourdecplace" xfId="1461" xr:uid="{00000000-0005-0000-0000-0000C3100000}"/>
    <cellStyle name="Fraction" xfId="1462" xr:uid="{00000000-0005-0000-0000-0000C4100000}"/>
    <cellStyle name="Fraction ($)" xfId="1463" xr:uid="{00000000-0005-0000-0000-0000C5100000}"/>
    <cellStyle name="Fraction [8]" xfId="1464" xr:uid="{00000000-0005-0000-0000-0000C6100000}"/>
    <cellStyle name="Fraction [Bl]" xfId="1465" xr:uid="{00000000-0005-0000-0000-0000C7100000}"/>
    <cellStyle name="French Francs" xfId="1466" xr:uid="{00000000-0005-0000-0000-0000C8100000}"/>
    <cellStyle name="fy_eps$" xfId="1467" xr:uid="{00000000-0005-0000-0000-0000C9100000}"/>
    <cellStyle name="g_rate" xfId="1468" xr:uid="{00000000-0005-0000-0000-0000CA100000}"/>
    <cellStyle name="g_rate_101306 CanWest Excel BAck up v14" xfId="1469" xr:uid="{00000000-0005-0000-0000-0000CB100000}"/>
    <cellStyle name="g_rate_ILEC LBO" xfId="1470" xr:uid="{00000000-0005-0000-0000-0000CC100000}"/>
    <cellStyle name="G02 Table Text" xfId="1471" xr:uid="{00000000-0005-0000-0000-0000CD100000}"/>
    <cellStyle name="G04_Main head" xfId="1472" xr:uid="{00000000-0005-0000-0000-0000CE100000}"/>
    <cellStyle name="G05 Tab Head Bold" xfId="1473" xr:uid="{00000000-0005-0000-0000-0000CF100000}"/>
    <cellStyle name="G05 Tab Head Light" xfId="1474" xr:uid="{00000000-0005-0000-0000-0000D0100000}"/>
    <cellStyle name="G1_1999 figures" xfId="1475" xr:uid="{00000000-0005-0000-0000-0000D1100000}"/>
    <cellStyle name="General" xfId="1476" xr:uid="{00000000-0005-0000-0000-0000D2100000}"/>
    <cellStyle name="General [C]" xfId="1477" xr:uid="{00000000-0005-0000-0000-0000D3100000}"/>
    <cellStyle name="General [R]" xfId="1478" xr:uid="{00000000-0005-0000-0000-0000D4100000}"/>
    <cellStyle name="General_060114 BMarkingSummary_aj v3" xfId="1479" xr:uid="{00000000-0005-0000-0000-0000D5100000}"/>
    <cellStyle name="Grand" xfId="1480" xr:uid="{00000000-0005-0000-0000-0000D6100000}"/>
    <cellStyle name="Grand Total" xfId="1481" xr:uid="{00000000-0005-0000-0000-0000D7100000}"/>
    <cellStyle name="Green" xfId="1482" xr:uid="{00000000-0005-0000-0000-0000D8100000}"/>
    <cellStyle name="Grey" xfId="1483" xr:uid="{00000000-0005-0000-0000-0000D9100000}"/>
    <cellStyle name="GROSS" xfId="1484" xr:uid="{00000000-0005-0000-0000-0000DA100000}"/>
    <cellStyle name="Group Headings" xfId="1485" xr:uid="{00000000-0005-0000-0000-0000DB100000}"/>
    <cellStyle name="growth" xfId="1486" xr:uid="{00000000-0005-0000-0000-0000DC100000}"/>
    <cellStyle name="Growth%" xfId="1487" xr:uid="{00000000-0005-0000-0000-0000DD100000}"/>
    <cellStyle name="GrowthLarge" xfId="1488" xr:uid="{00000000-0005-0000-0000-0000DE100000}"/>
    <cellStyle name="GrowthRate" xfId="1489" xr:uid="{00000000-0005-0000-0000-0000DF100000}"/>
    <cellStyle name="GrowthSeq" xfId="1490" xr:uid="{00000000-0005-0000-0000-0000E0100000}"/>
    <cellStyle name="GrowthSmall" xfId="1491" xr:uid="{00000000-0005-0000-0000-0000E1100000}"/>
    <cellStyle name="GS Table Header" xfId="1492" xr:uid="{00000000-0005-0000-0000-0000E2100000}"/>
    <cellStyle name="H 2" xfId="1493" xr:uid="{00000000-0005-0000-0000-0000E3100000}"/>
    <cellStyle name="H_1998_col_head" xfId="1494" xr:uid="{00000000-0005-0000-0000-0000E4100000}"/>
    <cellStyle name="H_1999_col_head" xfId="1495" xr:uid="{00000000-0005-0000-0000-0000E5100000}"/>
    <cellStyle name="H1_1998 figures" xfId="1496" xr:uid="{00000000-0005-0000-0000-0000E6100000}"/>
    <cellStyle name="hard no" xfId="1497" xr:uid="{00000000-0005-0000-0000-0000E7100000}"/>
    <cellStyle name="hard no." xfId="1498" xr:uid="{00000000-0005-0000-0000-0000E8100000}"/>
    <cellStyle name="Hard Percent" xfId="1499" xr:uid="{00000000-0005-0000-0000-0000E9100000}"/>
    <cellStyle name="hardno" xfId="1500" xr:uid="{00000000-0005-0000-0000-0000EA100000}"/>
    <cellStyle name="head1" xfId="1501" xr:uid="{00000000-0005-0000-0000-0000EB100000}"/>
    <cellStyle name="Head12" xfId="1502" xr:uid="{00000000-0005-0000-0000-0000EC100000}"/>
    <cellStyle name="head2" xfId="1503" xr:uid="{00000000-0005-0000-0000-0000ED100000}"/>
    <cellStyle name="Header" xfId="1504" xr:uid="{00000000-0005-0000-0000-0000EE100000}"/>
    <cellStyle name="Header Draft Stamp" xfId="1505" xr:uid="{00000000-0005-0000-0000-0000EF100000}"/>
    <cellStyle name="Header_% Change" xfId="1506" xr:uid="{00000000-0005-0000-0000-0000F0100000}"/>
    <cellStyle name="Header1" xfId="1507" xr:uid="{00000000-0005-0000-0000-0000F1100000}"/>
    <cellStyle name="Header2" xfId="1508" xr:uid="{00000000-0005-0000-0000-0000F2100000}"/>
    <cellStyle name="headers" xfId="1509" xr:uid="{00000000-0005-0000-0000-0000F3100000}"/>
    <cellStyle name="Headin - Style6" xfId="1510" xr:uid="{00000000-0005-0000-0000-0000F4100000}"/>
    <cellStyle name="heading" xfId="1511" xr:uid="{00000000-0005-0000-0000-0000F5100000}"/>
    <cellStyle name="Heading 1" xfId="2664" builtinId="16"/>
    <cellStyle name="Heading 1 Above" xfId="1512" xr:uid="{00000000-0005-0000-0000-0000F7100000}"/>
    <cellStyle name="Heading 1+" xfId="1513" xr:uid="{00000000-0005-0000-0000-0000F8100000}"/>
    <cellStyle name="Heading 2 Below" xfId="1514" xr:uid="{00000000-0005-0000-0000-0000F9100000}"/>
    <cellStyle name="Hyperlink" xfId="4" builtinId="8" hidden="1"/>
    <cellStyle name="Hyperlink" xfId="6" builtinId="8" hidden="1"/>
    <cellStyle name="Hyperlink" xfId="8" builtinId="8" hidden="1"/>
    <cellStyle name="Hyperlink" xfId="10" builtinId="8" hidden="1"/>
    <cellStyle name="Hyperlink" xfId="12" builtinId="8" hidden="1"/>
    <cellStyle name="Hyperlink" xfId="14" builtinId="8" hidden="1"/>
    <cellStyle name="Hyperlink" xfId="16" builtinId="8" hidden="1"/>
    <cellStyle name="Hyperlink" xfId="18" builtinId="8" hidden="1"/>
    <cellStyle name="Hyperlink" xfId="20" builtinId="8" hidden="1"/>
    <cellStyle name="Hyperlink" xfId="22" builtinId="8" hidden="1"/>
    <cellStyle name="Hyperlink" xfId="24" builtinId="8" hidden="1"/>
    <cellStyle name="Hyperlink" xfId="26" builtinId="8" hidden="1"/>
    <cellStyle name="Hyperlink" xfId="28" builtinId="8" hidden="1"/>
    <cellStyle name="Hyperlink" xfId="30" builtinId="8" hidden="1"/>
    <cellStyle name="Hyperlink" xfId="32" builtinId="8" hidden="1"/>
    <cellStyle name="Hyperlink" xfId="34" builtinId="8" hidden="1"/>
    <cellStyle name="Hyperlink" xfId="36" builtinId="8" hidden="1"/>
    <cellStyle name="Hyperlink" xfId="38" builtinId="8" hidden="1"/>
    <cellStyle name="Hyperlink" xfId="40" builtinId="8" hidden="1"/>
    <cellStyle name="Hyperlink" xfId="42" builtinId="8" hidden="1"/>
    <cellStyle name="Hyperlink" xfId="44" builtinId="8" hidden="1"/>
    <cellStyle name="Hyperlink" xfId="46" builtinId="8" hidden="1"/>
    <cellStyle name="Hyperlink" xfId="48" builtinId="8" hidden="1"/>
    <cellStyle name="Hyperlink" xfId="50" builtinId="8" hidden="1"/>
    <cellStyle name="Hyperlink" xfId="52" builtinId="8" hidden="1"/>
    <cellStyle name="Hyperlink" xfId="54" builtinId="8" hidden="1"/>
    <cellStyle name="Hyperlink" xfId="56" builtinId="8" hidden="1"/>
    <cellStyle name="Hyperlink" xfId="58" builtinId="8" hidden="1"/>
    <cellStyle name="Hyperlink" xfId="60" builtinId="8" hidden="1"/>
    <cellStyle name="Hyperlink" xfId="62" builtinId="8" hidden="1"/>
    <cellStyle name="Hyperlink" xfId="64" builtinId="8" hidden="1"/>
    <cellStyle name="Hyperlink" xfId="66" builtinId="8" hidden="1"/>
    <cellStyle name="Hyperlink" xfId="68" builtinId="8" hidden="1"/>
    <cellStyle name="Hyperlink" xfId="70" builtinId="8" hidden="1"/>
    <cellStyle name="Hyperlink" xfId="72" builtinId="8" hidden="1"/>
    <cellStyle name="Hyperlink" xfId="74" builtinId="8" hidden="1"/>
    <cellStyle name="Hyperlink" xfId="76" builtinId="8" hidden="1"/>
    <cellStyle name="Hyperlink" xfId="78" builtinId="8" hidden="1"/>
    <cellStyle name="Hyperlink" xfId="80" builtinId="8" hidden="1"/>
    <cellStyle name="Hyperlink" xfId="82" builtinId="8" hidden="1"/>
    <cellStyle name="Hyperlink" xfId="84" builtinId="8" hidden="1"/>
    <cellStyle name="Hyperlink" xfId="86" builtinId="8" hidden="1"/>
    <cellStyle name="Hyperlink" xfId="88" builtinId="8" hidden="1"/>
    <cellStyle name="Hyperlink" xfId="90" builtinId="8" hidden="1"/>
    <cellStyle name="Hyperlink" xfId="92" builtinId="8" hidden="1"/>
    <cellStyle name="Hyperlink" xfId="94" builtinId="8" hidden="1"/>
    <cellStyle name="Hyperlink" xfId="96" builtinId="8" hidden="1"/>
    <cellStyle name="Hyperlink" xfId="98" builtinId="8" hidden="1"/>
    <cellStyle name="Hyperlink" xfId="100" builtinId="8" hidden="1"/>
    <cellStyle name="Hyperlink" xfId="102" builtinId="8" hidden="1"/>
    <cellStyle name="Hyperlink" xfId="104" builtinId="8" hidden="1"/>
    <cellStyle name="Hyperlink" xfId="106" builtinId="8" hidden="1"/>
    <cellStyle name="Hyperlink" xfId="108" builtinId="8" hidden="1"/>
    <cellStyle name="Hyperlink" xfId="110" builtinId="8" hidden="1"/>
    <cellStyle name="Hyperlink" xfId="112" builtinId="8" hidden="1"/>
    <cellStyle name="Hyperlink" xfId="114" builtinId="8" hidden="1"/>
    <cellStyle name="Hyperlink" xfId="116" builtinId="8" hidden="1"/>
    <cellStyle name="Hyperlink" xfId="118" builtinId="8" hidden="1"/>
    <cellStyle name="Hyperlink" xfId="120" builtinId="8" hidden="1"/>
    <cellStyle name="Hyperlink" xfId="122" builtinId="8" hidden="1"/>
    <cellStyle name="Hyperlink" xfId="124" builtinId="8" hidden="1"/>
    <cellStyle name="Hyperlink" xfId="126" builtinId="8" hidden="1"/>
    <cellStyle name="Hyperlink" xfId="128" builtinId="8" hidden="1"/>
    <cellStyle name="Hyperlink" xfId="130" builtinId="8" hidden="1"/>
    <cellStyle name="Hyperlink" xfId="132" builtinId="8" hidden="1"/>
    <cellStyle name="Hyperlink" xfId="134" builtinId="8" hidden="1"/>
    <cellStyle name="Hyperlink" xfId="136" builtinId="8" hidden="1"/>
    <cellStyle name="Hyperlink" xfId="138" builtinId="8" hidden="1"/>
    <cellStyle name="Hyperlink" xfId="140" builtinId="8" hidden="1"/>
    <cellStyle name="Hyperlink" xfId="142" builtinId="8" hidden="1"/>
    <cellStyle name="Hyperlink" xfId="144" builtinId="8" hidden="1"/>
    <cellStyle name="Hyperlink" xfId="146" builtinId="8" hidden="1"/>
    <cellStyle name="Hyperlink" xfId="148" builtinId="8" hidden="1"/>
    <cellStyle name="Hyperlink" xfId="150" builtinId="8" hidden="1"/>
    <cellStyle name="Hyperlink" xfId="152" builtinId="8" hidden="1"/>
    <cellStyle name="Hyperlink" xfId="154" builtinId="8" hidden="1"/>
    <cellStyle name="Hyperlink" xfId="156" builtinId="8" hidden="1"/>
    <cellStyle name="Hyperlink" xfId="158" builtinId="8" hidden="1"/>
    <cellStyle name="Hyperlink" xfId="160" builtinId="8" hidden="1"/>
    <cellStyle name="Hyperlink" xfId="162" builtinId="8" hidden="1"/>
    <cellStyle name="Hyperlink" xfId="164" builtinId="8" hidden="1"/>
    <cellStyle name="Hyperlink" xfId="166" builtinId="8" hidden="1"/>
    <cellStyle name="Hyperlink" xfId="168" builtinId="8" hidden="1"/>
    <cellStyle name="Hyperlink" xfId="170" builtinId="8" hidden="1"/>
    <cellStyle name="Hyperlink" xfId="172" builtinId="8" hidden="1"/>
    <cellStyle name="Hyperlink" xfId="174" builtinId="8" hidden="1"/>
    <cellStyle name="Hyperlink" xfId="176" builtinId="8" hidden="1"/>
    <cellStyle name="Hyperlink" xfId="178" builtinId="8" hidden="1"/>
    <cellStyle name="Hyperlink" xfId="180" builtinId="8" hidden="1"/>
    <cellStyle name="Hyperlink" xfId="182" builtinId="8" hidden="1"/>
    <cellStyle name="Hyperlink" xfId="184" builtinId="8" hidden="1"/>
    <cellStyle name="Hyperlink" xfId="186" builtinId="8" hidden="1"/>
    <cellStyle name="Hyperlink" xfId="188" builtinId="8" hidden="1"/>
    <cellStyle name="Hyperlink" xfId="190" builtinId="8" hidden="1"/>
    <cellStyle name="Hyperlink" xfId="192" builtinId="8" hidden="1"/>
    <cellStyle name="Hyperlink" xfId="194" builtinId="8" hidden="1"/>
    <cellStyle name="Hyperlink" xfId="196" builtinId="8" hidden="1"/>
    <cellStyle name="Hyperlink" xfId="198" builtinId="8" hidden="1"/>
    <cellStyle name="Hyperlink" xfId="200" builtinId="8" hidden="1"/>
    <cellStyle name="Hyperlink" xfId="202" builtinId="8" hidden="1"/>
    <cellStyle name="Hyperlink" xfId="204" builtinId="8" hidden="1"/>
    <cellStyle name="Hyperlink" xfId="206" builtinId="8" hidden="1"/>
    <cellStyle name="Hyperlink" xfId="208" builtinId="8" hidden="1"/>
    <cellStyle name="Hyperlink" xfId="210" builtinId="8" hidden="1"/>
    <cellStyle name="Hyperlink" xfId="212" builtinId="8" hidden="1"/>
    <cellStyle name="Hyperlink" xfId="214" builtinId="8" hidden="1"/>
    <cellStyle name="Hyperlink" xfId="216" builtinId="8" hidden="1"/>
    <cellStyle name="Hyperlink" xfId="218" builtinId="8" hidden="1"/>
    <cellStyle name="Hyperlink" xfId="220" builtinId="8" hidden="1"/>
    <cellStyle name="Hyperlink" xfId="222" builtinId="8" hidden="1"/>
    <cellStyle name="Hyperlink" xfId="224" builtinId="8" hidden="1"/>
    <cellStyle name="Hyperlink" xfId="226" builtinId="8" hidden="1"/>
    <cellStyle name="Hyperlink" xfId="228" builtinId="8" hidden="1"/>
    <cellStyle name="Hyperlink" xfId="230" builtinId="8" hidden="1"/>
    <cellStyle name="Hyperlink" xfId="232" builtinId="8" hidden="1"/>
    <cellStyle name="Hyperlink" xfId="234" builtinId="8" hidden="1"/>
    <cellStyle name="Hyperlink" xfId="236" builtinId="8" hidden="1"/>
    <cellStyle name="Hyperlink" xfId="238" builtinId="8" hidden="1"/>
    <cellStyle name="Hyperlink" xfId="240" builtinId="8" hidden="1"/>
    <cellStyle name="Hyperlink" xfId="242" builtinId="8" hidden="1"/>
    <cellStyle name="Hyperlink" xfId="244" builtinId="8" hidden="1"/>
    <cellStyle name="Hyperlink" xfId="246" builtinId="8" hidden="1"/>
    <cellStyle name="Hyperlink" xfId="248" builtinId="8" hidden="1"/>
    <cellStyle name="Hyperlink" xfId="250" builtinId="8" hidden="1"/>
    <cellStyle name="Hyperlink" xfId="252" builtinId="8" hidden="1"/>
    <cellStyle name="Hyperlink" xfId="254" builtinId="8" hidden="1"/>
    <cellStyle name="Hyperlink" xfId="256" builtinId="8" hidden="1"/>
    <cellStyle name="Hyperlink" xfId="258" builtinId="8" hidden="1"/>
    <cellStyle name="Hyperlink" xfId="260" builtinId="8" hidden="1"/>
    <cellStyle name="Hyperlink" xfId="262" builtinId="8" hidden="1"/>
    <cellStyle name="Hyperlink" xfId="264" builtinId="8" hidden="1"/>
    <cellStyle name="Hyperlink" xfId="266" builtinId="8" hidden="1"/>
    <cellStyle name="Hyperlink" xfId="268" builtinId="8" hidden="1"/>
    <cellStyle name="Hyperlink" xfId="270" builtinId="8" hidden="1"/>
    <cellStyle name="Hyperlink" xfId="272" builtinId="8" hidden="1"/>
    <cellStyle name="Hyperlink" xfId="274" builtinId="8" hidden="1"/>
    <cellStyle name="Hyperlink" xfId="276" builtinId="8" hidden="1"/>
    <cellStyle name="Hyperlink" xfId="278" builtinId="8" hidden="1"/>
    <cellStyle name="Hyperlink" xfId="1620" builtinId="8" hidden="1"/>
    <cellStyle name="Hyperlink" xfId="1622" builtinId="8" hidden="1"/>
    <cellStyle name="Hyperlink" xfId="1624" builtinId="8" hidden="1"/>
    <cellStyle name="Hyperlink" xfId="1626" builtinId="8" hidden="1"/>
    <cellStyle name="Hyperlink" xfId="1628" builtinId="8" hidden="1"/>
    <cellStyle name="Hyperlink" xfId="1630" builtinId="8" hidden="1"/>
    <cellStyle name="Hyperlink" xfId="1632" builtinId="8" hidden="1"/>
    <cellStyle name="Hyperlink" xfId="1634" builtinId="8" hidden="1"/>
    <cellStyle name="Hyperlink" xfId="1636" builtinId="8" hidden="1"/>
    <cellStyle name="Hyperlink" xfId="1638" builtinId="8" hidden="1"/>
    <cellStyle name="Hyperlink" xfId="1640" builtinId="8" hidden="1"/>
    <cellStyle name="Hyperlink" xfId="1642" builtinId="8" hidden="1"/>
    <cellStyle name="Hyperlink" xfId="1644" builtinId="8" hidden="1"/>
    <cellStyle name="Hyperlink" xfId="1646" builtinId="8" hidden="1"/>
    <cellStyle name="Hyperlink" xfId="1648" builtinId="8" hidden="1"/>
    <cellStyle name="Hyperlink" xfId="1650" builtinId="8" hidden="1"/>
    <cellStyle name="Hyperlink" xfId="1652" builtinId="8" hidden="1"/>
    <cellStyle name="Hyperlink" xfId="1654" builtinId="8" hidden="1"/>
    <cellStyle name="Hyperlink" xfId="1656" builtinId="8" hidden="1"/>
    <cellStyle name="Hyperlink" xfId="1658" builtinId="8" hidden="1"/>
    <cellStyle name="Hyperlink" xfId="1660" builtinId="8" hidden="1"/>
    <cellStyle name="Hyperlink" xfId="1662" builtinId="8" hidden="1"/>
    <cellStyle name="Hyperlink" xfId="1664" builtinId="8" hidden="1"/>
    <cellStyle name="Hyperlink" xfId="1666" builtinId="8" hidden="1"/>
    <cellStyle name="Hyperlink" xfId="1668" builtinId="8" hidden="1"/>
    <cellStyle name="Hyperlink" xfId="1670" builtinId="8" hidden="1"/>
    <cellStyle name="Hyperlink" xfId="1672" builtinId="8" hidden="1"/>
    <cellStyle name="Hyperlink" xfId="1674" builtinId="8" hidden="1"/>
    <cellStyle name="Hyperlink" xfId="1676" builtinId="8" hidden="1"/>
    <cellStyle name="Hyperlink" xfId="1678" builtinId="8" hidden="1"/>
    <cellStyle name="Hyperlink" xfId="1680" builtinId="8" hidden="1"/>
    <cellStyle name="Hyperlink" xfId="1682" builtinId="8" hidden="1"/>
    <cellStyle name="Hyperlink" xfId="1684" builtinId="8" hidden="1"/>
    <cellStyle name="Hyperlink" xfId="1686" builtinId="8" hidden="1"/>
    <cellStyle name="Hyperlink" xfId="1688" builtinId="8" hidden="1"/>
    <cellStyle name="Hyperlink" xfId="1690" builtinId="8" hidden="1"/>
    <cellStyle name="Hyperlink" xfId="1692" builtinId="8" hidden="1"/>
    <cellStyle name="Hyperlink" xfId="1694" builtinId="8" hidden="1"/>
    <cellStyle name="Hyperlink" xfId="1696" builtinId="8" hidden="1"/>
    <cellStyle name="Hyperlink" xfId="1698" builtinId="8" hidden="1"/>
    <cellStyle name="Hyperlink" xfId="1700" builtinId="8" hidden="1"/>
    <cellStyle name="Hyperlink" xfId="1702" builtinId="8" hidden="1"/>
    <cellStyle name="Hyperlink" xfId="1704" builtinId="8" hidden="1"/>
    <cellStyle name="Hyperlink" xfId="1706" builtinId="8" hidden="1"/>
    <cellStyle name="Hyperlink" xfId="1708" builtinId="8" hidden="1"/>
    <cellStyle name="Hyperlink" xfId="1710" builtinId="8" hidden="1"/>
    <cellStyle name="Hyperlink" xfId="1712" builtinId="8" hidden="1"/>
    <cellStyle name="Hyperlink" xfId="1714" builtinId="8" hidden="1"/>
    <cellStyle name="Hyperlink" xfId="1716" builtinId="8" hidden="1"/>
    <cellStyle name="Hyperlink" xfId="1718" builtinId="8" hidden="1"/>
    <cellStyle name="Hyperlink" xfId="1720" builtinId="8" hidden="1"/>
    <cellStyle name="Hyperlink" xfId="1722" builtinId="8" hidden="1"/>
    <cellStyle name="Hyperlink" xfId="1724" builtinId="8" hidden="1"/>
    <cellStyle name="Hyperlink" xfId="1726" builtinId="8" hidden="1"/>
    <cellStyle name="Hyperlink" xfId="1728" builtinId="8" hidden="1"/>
    <cellStyle name="Hyperlink" xfId="1730" builtinId="8" hidden="1"/>
    <cellStyle name="Hyperlink" xfId="1732" builtinId="8" hidden="1"/>
    <cellStyle name="Hyperlink" xfId="1734" builtinId="8" hidden="1"/>
    <cellStyle name="Hyperlink" xfId="1736" builtinId="8" hidden="1"/>
    <cellStyle name="Hyperlink" xfId="1738" builtinId="8" hidden="1"/>
    <cellStyle name="Hyperlink" xfId="1740" builtinId="8" hidden="1"/>
    <cellStyle name="Hyperlink" xfId="1742" builtinId="8" hidden="1"/>
    <cellStyle name="Hyperlink" xfId="1744" builtinId="8" hidden="1"/>
    <cellStyle name="Hyperlink" xfId="1746" builtinId="8" hidden="1"/>
    <cellStyle name="Hyperlink" xfId="1748" builtinId="8" hidden="1"/>
    <cellStyle name="Hyperlink" xfId="1750" builtinId="8" hidden="1"/>
    <cellStyle name="Hyperlink" xfId="1752" builtinId="8" hidden="1"/>
    <cellStyle name="Hyperlink" xfId="1754" builtinId="8" hidden="1"/>
    <cellStyle name="Hyperlink" xfId="1756" builtinId="8" hidden="1"/>
    <cellStyle name="Hyperlink" xfId="1758" builtinId="8" hidden="1"/>
    <cellStyle name="Hyperlink" xfId="1760" builtinId="8" hidden="1"/>
    <cellStyle name="Hyperlink" xfId="1762" builtinId="8" hidden="1"/>
    <cellStyle name="Hyperlink" xfId="1764" builtinId="8" hidden="1"/>
    <cellStyle name="Hyperlink" xfId="1766" builtinId="8" hidden="1"/>
    <cellStyle name="Hyperlink" xfId="1768" builtinId="8" hidden="1"/>
    <cellStyle name="Hyperlink" xfId="1770" builtinId="8" hidden="1"/>
    <cellStyle name="Hyperlink" xfId="1772" builtinId="8" hidden="1"/>
    <cellStyle name="Hyperlink" xfId="1774" builtinId="8" hidden="1"/>
    <cellStyle name="Hyperlink" xfId="1776" builtinId="8" hidden="1"/>
    <cellStyle name="Hyperlink" xfId="1778" builtinId="8" hidden="1"/>
    <cellStyle name="Hyperlink" xfId="1780" builtinId="8" hidden="1"/>
    <cellStyle name="Hyperlink" xfId="1782" builtinId="8" hidden="1"/>
    <cellStyle name="Hyperlink" xfId="1784" builtinId="8" hidden="1"/>
    <cellStyle name="Hyperlink" xfId="1786" builtinId="8" hidden="1"/>
    <cellStyle name="Hyperlink" xfId="1788" builtinId="8" hidden="1"/>
    <cellStyle name="Hyperlink" xfId="1790" builtinId="8" hidden="1"/>
    <cellStyle name="Hyperlink" xfId="1792" builtinId="8" hidden="1"/>
    <cellStyle name="Hyperlink" xfId="1794" builtinId="8" hidden="1"/>
    <cellStyle name="Hyperlink" xfId="1796" builtinId="8" hidden="1"/>
    <cellStyle name="Hyperlink" xfId="1798" builtinId="8" hidden="1"/>
    <cellStyle name="Hyperlink" xfId="1800" builtinId="8" hidden="1"/>
    <cellStyle name="Hyperlink" xfId="1802" builtinId="8" hidden="1"/>
    <cellStyle name="Hyperlink" xfId="1804" builtinId="8" hidden="1"/>
    <cellStyle name="Hyperlink" xfId="1806" builtinId="8" hidden="1"/>
    <cellStyle name="Hyperlink" xfId="1808" builtinId="8" hidden="1"/>
    <cellStyle name="Hyperlink" xfId="1810" builtinId="8" hidden="1"/>
    <cellStyle name="Hyperlink" xfId="1812" builtinId="8" hidden="1"/>
    <cellStyle name="Hyperlink" xfId="1814" builtinId="8" hidden="1"/>
    <cellStyle name="Hyperlink" xfId="1816" builtinId="8" hidden="1"/>
    <cellStyle name="Hyperlink" xfId="1818" builtinId="8" hidden="1"/>
    <cellStyle name="Hyperlink" xfId="1820" builtinId="8" hidden="1"/>
    <cellStyle name="Hyperlink" xfId="1822" builtinId="8" hidden="1"/>
    <cellStyle name="Hyperlink" xfId="1824" builtinId="8" hidden="1"/>
    <cellStyle name="Hyperlink" xfId="1826" builtinId="8" hidden="1"/>
    <cellStyle name="Hyperlink" xfId="1828" builtinId="8" hidden="1"/>
    <cellStyle name="Hyperlink" xfId="1830" builtinId="8" hidden="1"/>
    <cellStyle name="Hyperlink" xfId="1832" builtinId="8" hidden="1"/>
    <cellStyle name="Hyperlink" xfId="1834" builtinId="8" hidden="1"/>
    <cellStyle name="Hyperlink" xfId="1836" builtinId="8" hidden="1"/>
    <cellStyle name="Hyperlink" xfId="1838" builtinId="8" hidden="1"/>
    <cellStyle name="Hyperlink" xfId="1840" builtinId="8" hidden="1"/>
    <cellStyle name="Hyperlink" xfId="1842" builtinId="8" hidden="1"/>
    <cellStyle name="Hyperlink" xfId="1844" builtinId="8" hidden="1"/>
    <cellStyle name="Hyperlink" xfId="1846" builtinId="8" hidden="1"/>
    <cellStyle name="Hyperlink" xfId="1848" builtinId="8" hidden="1"/>
    <cellStyle name="Hyperlink" xfId="1850" builtinId="8" hidden="1"/>
    <cellStyle name="Hyperlink" xfId="1852" builtinId="8" hidden="1"/>
    <cellStyle name="Hyperlink" xfId="1854" builtinId="8" hidden="1"/>
    <cellStyle name="Hyperlink" xfId="1856" builtinId="8" hidden="1"/>
    <cellStyle name="Hyperlink" xfId="1858" builtinId="8" hidden="1"/>
    <cellStyle name="Hyperlink" xfId="1860" builtinId="8" hidden="1"/>
    <cellStyle name="Hyperlink" xfId="1862" builtinId="8" hidden="1"/>
    <cellStyle name="Hyperlink" xfId="1864" builtinId="8" hidden="1"/>
    <cellStyle name="Hyperlink" xfId="1866" builtinId="8" hidden="1"/>
    <cellStyle name="Hyperlink" xfId="1868" builtinId="8" hidden="1"/>
    <cellStyle name="Hyperlink" xfId="1870" builtinId="8" hidden="1"/>
    <cellStyle name="Hyperlink" xfId="1872" builtinId="8" hidden="1"/>
    <cellStyle name="Hyperlink" xfId="1874" builtinId="8" hidden="1"/>
    <cellStyle name="Hyperlink" xfId="1876" builtinId="8" hidden="1"/>
    <cellStyle name="Hyperlink" xfId="1878" builtinId="8" hidden="1"/>
    <cellStyle name="Hyperlink" xfId="1880" builtinId="8" hidden="1"/>
    <cellStyle name="Hyperlink" xfId="1882" builtinId="8" hidden="1"/>
    <cellStyle name="Hyperlink" xfId="1884" builtinId="8" hidden="1"/>
    <cellStyle name="Hyperlink" xfId="1886" builtinId="8" hidden="1"/>
    <cellStyle name="Hyperlink" xfId="1888" builtinId="8" hidden="1"/>
    <cellStyle name="Hyperlink" xfId="1890" builtinId="8" hidden="1"/>
    <cellStyle name="Hyperlink" xfId="1892" builtinId="8" hidden="1"/>
    <cellStyle name="Hyperlink" xfId="1894" builtinId="8" hidden="1"/>
    <cellStyle name="Hyperlink" xfId="1896" builtinId="8" hidden="1"/>
    <cellStyle name="Hyperlink" xfId="1898" builtinId="8" hidden="1"/>
    <cellStyle name="Hyperlink" xfId="1900" builtinId="8" hidden="1"/>
    <cellStyle name="Hyperlink" xfId="1902" builtinId="8" hidden="1"/>
    <cellStyle name="Hyperlink" xfId="1904" builtinId="8" hidden="1"/>
    <cellStyle name="Hyperlink" xfId="1906" builtinId="8" hidden="1"/>
    <cellStyle name="Hyperlink" xfId="1908" builtinId="8" hidden="1"/>
    <cellStyle name="Hyperlink" xfId="1910" builtinId="8" hidden="1"/>
    <cellStyle name="Hyperlink" xfId="1912" builtinId="8" hidden="1"/>
    <cellStyle name="Hyperlink" xfId="1914" builtinId="8" hidden="1"/>
    <cellStyle name="Hyperlink" xfId="1916" builtinId="8" hidden="1"/>
    <cellStyle name="Hyperlink" xfId="1918" builtinId="8" hidden="1"/>
    <cellStyle name="Hyperlink" xfId="1920" builtinId="8" hidden="1"/>
    <cellStyle name="Hyperlink" xfId="1922" builtinId="8" hidden="1"/>
    <cellStyle name="Hyperlink" xfId="1924" builtinId="8" hidden="1"/>
    <cellStyle name="Hyperlink" xfId="1926" builtinId="8" hidden="1"/>
    <cellStyle name="Hyperlink" xfId="1928" builtinId="8" hidden="1"/>
    <cellStyle name="Hyperlink" xfId="1930" builtinId="8" hidden="1"/>
    <cellStyle name="Hyperlink" xfId="1932" builtinId="8" hidden="1"/>
    <cellStyle name="Hyperlink" xfId="1934" builtinId="8" hidden="1"/>
    <cellStyle name="Hyperlink" xfId="1936" builtinId="8" hidden="1"/>
    <cellStyle name="Hyperlink" xfId="1938" builtinId="8" hidden="1"/>
    <cellStyle name="Hyperlink" xfId="1940" builtinId="8" hidden="1"/>
    <cellStyle name="Hyperlink" xfId="1942" builtinId="8" hidden="1"/>
    <cellStyle name="Hyperlink" xfId="1944" builtinId="8" hidden="1"/>
    <cellStyle name="Hyperlink" xfId="1946" builtinId="8" hidden="1"/>
    <cellStyle name="Hyperlink" xfId="1948" builtinId="8" hidden="1"/>
    <cellStyle name="Hyperlink" xfId="1950" builtinId="8" hidden="1"/>
    <cellStyle name="Hyperlink" xfId="1952" builtinId="8" hidden="1"/>
    <cellStyle name="Hyperlink" xfId="1954" builtinId="8" hidden="1"/>
    <cellStyle name="Hyperlink" xfId="1956" builtinId="8" hidden="1"/>
    <cellStyle name="Hyperlink" xfId="1958" builtinId="8" hidden="1"/>
    <cellStyle name="Hyperlink" xfId="1960" builtinId="8" hidden="1"/>
    <cellStyle name="Hyperlink" xfId="1962" builtinId="8" hidden="1"/>
    <cellStyle name="Hyperlink" xfId="1964" builtinId="8" hidden="1"/>
    <cellStyle name="Hyperlink" xfId="1966" builtinId="8" hidden="1"/>
    <cellStyle name="Hyperlink" xfId="1968" builtinId="8" hidden="1"/>
    <cellStyle name="Hyperlink" xfId="1970" builtinId="8" hidden="1"/>
    <cellStyle name="Hyperlink" xfId="1972" builtinId="8" hidden="1"/>
    <cellStyle name="Hyperlink" xfId="1974" builtinId="8" hidden="1"/>
    <cellStyle name="Hyperlink" xfId="1976" builtinId="8" hidden="1"/>
    <cellStyle name="Hyperlink" xfId="1978" builtinId="8" hidden="1"/>
    <cellStyle name="Hyperlink" xfId="1980" builtinId="8" hidden="1"/>
    <cellStyle name="Hyperlink" xfId="1982" builtinId="8" hidden="1"/>
    <cellStyle name="Hyperlink" xfId="1984" builtinId="8" hidden="1"/>
    <cellStyle name="Hyperlink" xfId="1986" builtinId="8" hidden="1"/>
    <cellStyle name="Hyperlink" xfId="1988" builtinId="8" hidden="1"/>
    <cellStyle name="Hyperlink" xfId="1990" builtinId="8" hidden="1"/>
    <cellStyle name="Hyperlink" xfId="1992" builtinId="8" hidden="1"/>
    <cellStyle name="Hyperlink" xfId="1994" builtinId="8" hidden="1"/>
    <cellStyle name="Hyperlink" xfId="1996" builtinId="8" hidden="1"/>
    <cellStyle name="Hyperlink" xfId="1998" builtinId="8" hidden="1"/>
    <cellStyle name="Hyperlink" xfId="2000" builtinId="8" hidden="1"/>
    <cellStyle name="Hyperlink" xfId="2002" builtinId="8" hidden="1"/>
    <cellStyle name="Hyperlink" xfId="2004" builtinId="8" hidden="1"/>
    <cellStyle name="Hyperlink" xfId="2006" builtinId="8" hidden="1"/>
    <cellStyle name="Hyperlink" xfId="2008" builtinId="8" hidden="1"/>
    <cellStyle name="Hyperlink" xfId="2010" builtinId="8" hidden="1"/>
    <cellStyle name="Hyperlink" xfId="2012" builtinId="8" hidden="1"/>
    <cellStyle name="Hyperlink" xfId="2014" builtinId="8" hidden="1"/>
    <cellStyle name="Hyperlink" xfId="2016" builtinId="8" hidden="1"/>
    <cellStyle name="Hyperlink" xfId="2018" builtinId="8" hidden="1"/>
    <cellStyle name="Hyperlink" xfId="2020" builtinId="8" hidden="1"/>
    <cellStyle name="Hyperlink" xfId="2022" builtinId="8" hidden="1"/>
    <cellStyle name="Hyperlink" xfId="2024" builtinId="8" hidden="1"/>
    <cellStyle name="Hyperlink" xfId="2026" builtinId="8" hidden="1"/>
    <cellStyle name="Hyperlink" xfId="2028" builtinId="8" hidden="1"/>
    <cellStyle name="Hyperlink" xfId="2030" builtinId="8" hidden="1"/>
    <cellStyle name="Hyperlink" xfId="2032" builtinId="8" hidden="1"/>
    <cellStyle name="Hyperlink" xfId="2034" builtinId="8" hidden="1"/>
    <cellStyle name="Hyperlink" xfId="2036" builtinId="8" hidden="1"/>
    <cellStyle name="Hyperlink" xfId="2038" builtinId="8" hidden="1"/>
    <cellStyle name="Hyperlink" xfId="2040" builtinId="8" hidden="1"/>
    <cellStyle name="Hyperlink" xfId="2042" builtinId="8" hidden="1"/>
    <cellStyle name="Hyperlink" xfId="2044" builtinId="8" hidden="1"/>
    <cellStyle name="Hyperlink" xfId="2046" builtinId="8" hidden="1"/>
    <cellStyle name="Hyperlink" xfId="2048" builtinId="8" hidden="1"/>
    <cellStyle name="Hyperlink" xfId="2050" builtinId="8" hidden="1"/>
    <cellStyle name="Hyperlink" xfId="2052" builtinId="8" hidden="1"/>
    <cellStyle name="Hyperlink" xfId="2054" builtinId="8" hidden="1"/>
    <cellStyle name="Hyperlink" xfId="2056" builtinId="8" hidden="1"/>
    <cellStyle name="Hyperlink" xfId="2058" builtinId="8" hidden="1"/>
    <cellStyle name="Hyperlink" xfId="2060" builtinId="8" hidden="1"/>
    <cellStyle name="Hyperlink" xfId="2062" builtinId="8" hidden="1"/>
    <cellStyle name="Hyperlink" xfId="2064" builtinId="8" hidden="1"/>
    <cellStyle name="Hyperlink" xfId="2066" builtinId="8" hidden="1"/>
    <cellStyle name="Hyperlink" xfId="2068" builtinId="8" hidden="1"/>
    <cellStyle name="Hyperlink" xfId="2070" builtinId="8" hidden="1"/>
    <cellStyle name="Hyperlink" xfId="2072" builtinId="8" hidden="1"/>
    <cellStyle name="Hyperlink" xfId="2074" builtinId="8" hidden="1"/>
    <cellStyle name="Hyperlink" xfId="2076" builtinId="8" hidden="1"/>
    <cellStyle name="Hyperlink" xfId="2078" builtinId="8" hidden="1"/>
    <cellStyle name="Hyperlink" xfId="2080" builtinId="8" hidden="1"/>
    <cellStyle name="Hyperlink" xfId="2082" builtinId="8" hidden="1"/>
    <cellStyle name="Hyperlink" xfId="2084" builtinId="8" hidden="1"/>
    <cellStyle name="Hyperlink" xfId="2086" builtinId="8" hidden="1"/>
    <cellStyle name="Hyperlink" xfId="2088" builtinId="8" hidden="1"/>
    <cellStyle name="Hyperlink" xfId="2090" builtinId="8" hidden="1"/>
    <cellStyle name="Hyperlink" xfId="2092" builtinId="8" hidden="1"/>
    <cellStyle name="Hyperlink" xfId="2094" builtinId="8" hidden="1"/>
    <cellStyle name="Hyperlink" xfId="2096" builtinId="8" hidden="1"/>
    <cellStyle name="Hyperlink" xfId="2098" builtinId="8" hidden="1"/>
    <cellStyle name="Hyperlink" xfId="2100" builtinId="8" hidden="1"/>
    <cellStyle name="Hyperlink" xfId="2102" builtinId="8" hidden="1"/>
    <cellStyle name="Hyperlink" xfId="2104" builtinId="8" hidden="1"/>
    <cellStyle name="Hyperlink" xfId="2106" builtinId="8" hidden="1"/>
    <cellStyle name="Hyperlink" xfId="2108" builtinId="8" hidden="1"/>
    <cellStyle name="Hyperlink" xfId="2110" builtinId="8" hidden="1"/>
    <cellStyle name="Hyperlink" xfId="2112" builtinId="8" hidden="1"/>
    <cellStyle name="Hyperlink" xfId="2114" builtinId="8" hidden="1"/>
    <cellStyle name="Hyperlink" xfId="2116" builtinId="8" hidden="1"/>
    <cellStyle name="Hyperlink" xfId="2118" builtinId="8" hidden="1"/>
    <cellStyle name="Hyperlink" xfId="2120" builtinId="8" hidden="1"/>
    <cellStyle name="Hyperlink" xfId="2122" builtinId="8" hidden="1"/>
    <cellStyle name="Hyperlink" xfId="2124" builtinId="8" hidden="1"/>
    <cellStyle name="Hyperlink" xfId="2126" builtinId="8" hidden="1"/>
    <cellStyle name="Hyperlink" xfId="2128" builtinId="8" hidden="1"/>
    <cellStyle name="Hyperlink" xfId="2130" builtinId="8" hidden="1"/>
    <cellStyle name="Hyperlink" xfId="2132" builtinId="8" hidden="1"/>
    <cellStyle name="Hyperlink" xfId="2134" builtinId="8" hidden="1"/>
    <cellStyle name="Hyperlink" xfId="2136" builtinId="8" hidden="1"/>
    <cellStyle name="Hyperlink" xfId="2138" builtinId="8" hidden="1"/>
    <cellStyle name="Hyperlink" xfId="2140" builtinId="8" hidden="1"/>
    <cellStyle name="Hyperlink" xfId="2142" builtinId="8" hidden="1"/>
    <cellStyle name="Hyperlink" xfId="2144" builtinId="8" hidden="1"/>
    <cellStyle name="Hyperlink" xfId="2146" builtinId="8" hidden="1"/>
    <cellStyle name="Hyperlink" xfId="2148" builtinId="8" hidden="1"/>
    <cellStyle name="Hyperlink" xfId="2150" builtinId="8" hidden="1"/>
    <cellStyle name="Hyperlink" xfId="2152" builtinId="8" hidden="1"/>
    <cellStyle name="Hyperlink" xfId="2154" builtinId="8" hidden="1"/>
    <cellStyle name="Hyperlink" xfId="2156" builtinId="8" hidden="1"/>
    <cellStyle name="Hyperlink" xfId="2158" builtinId="8" hidden="1"/>
    <cellStyle name="Hyperlink" xfId="2160" builtinId="8" hidden="1"/>
    <cellStyle name="Hyperlink" xfId="2162" builtinId="8" hidden="1"/>
    <cellStyle name="Hyperlink" xfId="2164" builtinId="8" hidden="1"/>
    <cellStyle name="Hyperlink" xfId="2166" builtinId="8" hidden="1"/>
    <cellStyle name="Hyperlink" xfId="2168" builtinId="8" hidden="1"/>
    <cellStyle name="Hyperlink" xfId="2170" builtinId="8" hidden="1"/>
    <cellStyle name="Hyperlink" xfId="2172" builtinId="8" hidden="1"/>
    <cellStyle name="Hyperlink" xfId="2174" builtinId="8" hidden="1"/>
    <cellStyle name="Hyperlink" xfId="2176" builtinId="8" hidden="1"/>
    <cellStyle name="Hyperlink" xfId="2178" builtinId="8" hidden="1"/>
    <cellStyle name="Hyperlink" xfId="2180" builtinId="8" hidden="1"/>
    <cellStyle name="Hyperlink" xfId="2182" builtinId="8" hidden="1"/>
    <cellStyle name="Hyperlink" xfId="2184" builtinId="8" hidden="1"/>
    <cellStyle name="Hyperlink" xfId="2186" builtinId="8" hidden="1"/>
    <cellStyle name="Hyperlink" xfId="2188" builtinId="8" hidden="1"/>
    <cellStyle name="Hyperlink" xfId="2190" builtinId="8" hidden="1"/>
    <cellStyle name="Hyperlink" xfId="2192" builtinId="8" hidden="1"/>
    <cellStyle name="Hyperlink" xfId="2194" builtinId="8" hidden="1"/>
    <cellStyle name="Hyperlink" xfId="2196" builtinId="8" hidden="1"/>
    <cellStyle name="Hyperlink" xfId="2198" builtinId="8" hidden="1"/>
    <cellStyle name="Hyperlink" xfId="2200" builtinId="8" hidden="1"/>
    <cellStyle name="Hyperlink" xfId="2202" builtinId="8" hidden="1"/>
    <cellStyle name="Hyperlink" xfId="2204" builtinId="8" hidden="1"/>
    <cellStyle name="Hyperlink" xfId="2206" builtinId="8" hidden="1"/>
    <cellStyle name="Hyperlink" xfId="2208" builtinId="8" hidden="1"/>
    <cellStyle name="Hyperlink" xfId="2210" builtinId="8" hidden="1"/>
    <cellStyle name="Hyperlink" xfId="2212" builtinId="8" hidden="1"/>
    <cellStyle name="Hyperlink" xfId="2214" builtinId="8" hidden="1"/>
    <cellStyle name="Hyperlink" xfId="2216" builtinId="8" hidden="1"/>
    <cellStyle name="Hyperlink" xfId="2218" builtinId="8" hidden="1"/>
    <cellStyle name="Hyperlink" xfId="2220" builtinId="8" hidden="1"/>
    <cellStyle name="Hyperlink" xfId="2222" builtinId="8" hidden="1"/>
    <cellStyle name="Hyperlink" xfId="2224" builtinId="8" hidden="1"/>
    <cellStyle name="Hyperlink" xfId="2226" builtinId="8" hidden="1"/>
    <cellStyle name="Hyperlink" xfId="2228" builtinId="8" hidden="1"/>
    <cellStyle name="Hyperlink" xfId="2230" builtinId="8" hidden="1"/>
    <cellStyle name="Hyperlink" xfId="2232" builtinId="8" hidden="1"/>
    <cellStyle name="Hyperlink" xfId="2234" builtinId="8" hidden="1"/>
    <cellStyle name="Hyperlink" xfId="2236" builtinId="8" hidden="1"/>
    <cellStyle name="Hyperlink" xfId="2238" builtinId="8" hidden="1"/>
    <cellStyle name="Hyperlink" xfId="2240" builtinId="8" hidden="1"/>
    <cellStyle name="Hyperlink" xfId="2242" builtinId="8" hidden="1"/>
    <cellStyle name="Hyperlink" xfId="2244" builtinId="8" hidden="1"/>
    <cellStyle name="Hyperlink" xfId="2246" builtinId="8" hidden="1"/>
    <cellStyle name="Hyperlink" xfId="2248" builtinId="8" hidden="1"/>
    <cellStyle name="Hyperlink" xfId="2250" builtinId="8" hidden="1"/>
    <cellStyle name="Hyperlink" xfId="2252" builtinId="8" hidden="1"/>
    <cellStyle name="Hyperlink" xfId="2254" builtinId="8" hidden="1"/>
    <cellStyle name="Hyperlink" xfId="2256" builtinId="8" hidden="1"/>
    <cellStyle name="Hyperlink" xfId="2258" builtinId="8" hidden="1"/>
    <cellStyle name="Hyperlink" xfId="2260" builtinId="8" hidden="1"/>
    <cellStyle name="Hyperlink" xfId="2262" builtinId="8" hidden="1"/>
    <cellStyle name="Hyperlink" xfId="2264" builtinId="8" hidden="1"/>
    <cellStyle name="Hyperlink" xfId="2266" builtinId="8" hidden="1"/>
    <cellStyle name="Hyperlink" xfId="2268" builtinId="8" hidden="1"/>
    <cellStyle name="Hyperlink" xfId="2270" builtinId="8" hidden="1"/>
    <cellStyle name="Hyperlink" xfId="2272" builtinId="8" hidden="1"/>
    <cellStyle name="Hyperlink" xfId="2274" builtinId="8" hidden="1"/>
    <cellStyle name="Hyperlink" xfId="2276" builtinId="8" hidden="1"/>
    <cellStyle name="Hyperlink" xfId="2278" builtinId="8" hidden="1"/>
    <cellStyle name="Hyperlink" xfId="2280" builtinId="8" hidden="1"/>
    <cellStyle name="Hyperlink" xfId="2282" builtinId="8" hidden="1"/>
    <cellStyle name="Hyperlink" xfId="2284" builtinId="8" hidden="1"/>
    <cellStyle name="Hyperlink" xfId="2286" builtinId="8" hidden="1"/>
    <cellStyle name="Hyperlink" xfId="2288" builtinId="8" hidden="1"/>
    <cellStyle name="Hyperlink" xfId="2290" builtinId="8" hidden="1"/>
    <cellStyle name="Hyperlink" xfId="2292" builtinId="8" hidden="1"/>
    <cellStyle name="Hyperlink" xfId="2294" builtinId="8" hidden="1"/>
    <cellStyle name="Hyperlink" xfId="2296" builtinId="8" hidden="1"/>
    <cellStyle name="Hyperlink" xfId="2298" builtinId="8" hidden="1"/>
    <cellStyle name="Hyperlink" xfId="2300" builtinId="8" hidden="1"/>
    <cellStyle name="Hyperlink" xfId="2302" builtinId="8" hidden="1"/>
    <cellStyle name="Hyperlink" xfId="2304" builtinId="8" hidden="1"/>
    <cellStyle name="Hyperlink" xfId="2306" builtinId="8" hidden="1"/>
    <cellStyle name="Hyperlink" xfId="2308" builtinId="8" hidden="1"/>
    <cellStyle name="Hyperlink" xfId="2310" builtinId="8" hidden="1"/>
    <cellStyle name="Hyperlink" xfId="2312" builtinId="8" hidden="1"/>
    <cellStyle name="Hyperlink" xfId="2314" builtinId="8" hidden="1"/>
    <cellStyle name="Hyperlink" xfId="2316" builtinId="8" hidden="1"/>
    <cellStyle name="Hyperlink" xfId="2318" builtinId="8" hidden="1"/>
    <cellStyle name="Hyperlink" xfId="2320" builtinId="8" hidden="1"/>
    <cellStyle name="Hyperlink" xfId="2322" builtinId="8" hidden="1"/>
    <cellStyle name="Hyperlink" xfId="2324" builtinId="8" hidden="1"/>
    <cellStyle name="Hyperlink" xfId="2326" builtinId="8" hidden="1"/>
    <cellStyle name="Hyperlink" xfId="2328" builtinId="8" hidden="1"/>
    <cellStyle name="Hyperlink" xfId="2330" builtinId="8" hidden="1"/>
    <cellStyle name="Hyperlink" xfId="2332" builtinId="8" hidden="1"/>
    <cellStyle name="Hyperlink" xfId="2334" builtinId="8" hidden="1"/>
    <cellStyle name="Hyperlink" xfId="2336" builtinId="8" hidden="1"/>
    <cellStyle name="Hyperlink" xfId="2338" builtinId="8" hidden="1"/>
    <cellStyle name="Hyperlink" xfId="2340" builtinId="8" hidden="1"/>
    <cellStyle name="Hyperlink" xfId="2342" builtinId="8" hidden="1"/>
    <cellStyle name="Hyperlink" xfId="2344" builtinId="8" hidden="1"/>
    <cellStyle name="Hyperlink" xfId="2346" builtinId="8" hidden="1"/>
    <cellStyle name="Hyperlink" xfId="2348" builtinId="8" hidden="1"/>
    <cellStyle name="Hyperlink" xfId="2350" builtinId="8" hidden="1"/>
    <cellStyle name="Hyperlink" xfId="2352" builtinId="8" hidden="1"/>
    <cellStyle name="Hyperlink" xfId="2354" builtinId="8" hidden="1"/>
    <cellStyle name="Hyperlink" xfId="2356" builtinId="8" hidden="1"/>
    <cellStyle name="Hyperlink" xfId="2358" builtinId="8" hidden="1"/>
    <cellStyle name="Hyperlink" xfId="2360" builtinId="8" hidden="1"/>
    <cellStyle name="Hyperlink" xfId="2362" builtinId="8" hidden="1"/>
    <cellStyle name="Hyperlink" xfId="2364" builtinId="8" hidden="1"/>
    <cellStyle name="Hyperlink" xfId="2366" builtinId="8" hidden="1"/>
    <cellStyle name="Hyperlink" xfId="2368" builtinId="8" hidden="1"/>
    <cellStyle name="Hyperlink" xfId="2370" builtinId="8" hidden="1"/>
    <cellStyle name="Hyperlink" xfId="2372" builtinId="8" hidden="1"/>
    <cellStyle name="Hyperlink" xfId="2374" builtinId="8" hidden="1"/>
    <cellStyle name="Hyperlink" xfId="2376" builtinId="8" hidden="1"/>
    <cellStyle name="Hyperlink" xfId="2378" builtinId="8" hidden="1"/>
    <cellStyle name="Hyperlink" xfId="2380" builtinId="8" hidden="1"/>
    <cellStyle name="Hyperlink" xfId="2382" builtinId="8" hidden="1"/>
    <cellStyle name="Hyperlink" xfId="2384" builtinId="8" hidden="1"/>
    <cellStyle name="Hyperlink" xfId="2386" builtinId="8" hidden="1"/>
    <cellStyle name="Hyperlink" xfId="2388" builtinId="8" hidden="1"/>
    <cellStyle name="Hyperlink" xfId="2390" builtinId="8" hidden="1"/>
    <cellStyle name="Hyperlink" xfId="2392" builtinId="8" hidden="1"/>
    <cellStyle name="Hyperlink" xfId="2394" builtinId="8" hidden="1"/>
    <cellStyle name="Hyperlink" xfId="2396" builtinId="8" hidden="1"/>
    <cellStyle name="Hyperlink" xfId="2398" builtinId="8" hidden="1"/>
    <cellStyle name="Hyperlink" xfId="2400" builtinId="8" hidden="1"/>
    <cellStyle name="Hyperlink" xfId="2402" builtinId="8" hidden="1"/>
    <cellStyle name="Hyperlink" xfId="2404" builtinId="8" hidden="1"/>
    <cellStyle name="Hyperlink" xfId="2406" builtinId="8" hidden="1"/>
    <cellStyle name="Hyperlink" xfId="2408" builtinId="8" hidden="1"/>
    <cellStyle name="Hyperlink" xfId="2410" builtinId="8" hidden="1"/>
    <cellStyle name="Hyperlink" xfId="2412" builtinId="8" hidden="1"/>
    <cellStyle name="Hyperlink" xfId="2414" builtinId="8" hidden="1"/>
    <cellStyle name="Hyperlink" xfId="2416" builtinId="8" hidden="1"/>
    <cellStyle name="Hyperlink" xfId="2418" builtinId="8" hidden="1"/>
    <cellStyle name="Hyperlink" xfId="2420" builtinId="8" hidden="1"/>
    <cellStyle name="Hyperlink" xfId="2422" builtinId="8" hidden="1"/>
    <cellStyle name="Hyperlink" xfId="2424" builtinId="8" hidden="1"/>
    <cellStyle name="Hyperlink" xfId="2426" builtinId="8" hidden="1"/>
    <cellStyle name="Hyperlink" xfId="2428" builtinId="8" hidden="1"/>
    <cellStyle name="Hyperlink" xfId="2430" builtinId="8" hidden="1"/>
    <cellStyle name="Hyperlink" xfId="2432" builtinId="8" hidden="1"/>
    <cellStyle name="Hyperlink" xfId="2434" builtinId="8" hidden="1"/>
    <cellStyle name="Hyperlink" xfId="2436" builtinId="8" hidden="1"/>
    <cellStyle name="Hyperlink" xfId="2438" builtinId="8" hidden="1"/>
    <cellStyle name="Hyperlink" xfId="2440" builtinId="8" hidden="1"/>
    <cellStyle name="Hyperlink" xfId="2442" builtinId="8" hidden="1"/>
    <cellStyle name="Hyperlink" xfId="2444" builtinId="8" hidden="1"/>
    <cellStyle name="Hyperlink" xfId="2446" builtinId="8" hidden="1"/>
    <cellStyle name="Hyperlink" xfId="2448" builtinId="8" hidden="1"/>
    <cellStyle name="Hyperlink" xfId="2450" builtinId="8" hidden="1"/>
    <cellStyle name="Hyperlink" xfId="2452" builtinId="8" hidden="1"/>
    <cellStyle name="Hyperlink" xfId="2454" builtinId="8" hidden="1"/>
    <cellStyle name="Hyperlink" xfId="2456" builtinId="8" hidden="1"/>
    <cellStyle name="Hyperlink" xfId="2458" builtinId="8" hidden="1"/>
    <cellStyle name="Hyperlink" xfId="2460" builtinId="8" hidden="1"/>
    <cellStyle name="Hyperlink" xfId="2462" builtinId="8" hidden="1"/>
    <cellStyle name="Hyperlink" xfId="2464" builtinId="8" hidden="1"/>
    <cellStyle name="Hyperlink" xfId="2466" builtinId="8" hidden="1"/>
    <cellStyle name="Hyperlink" xfId="2468" builtinId="8" hidden="1"/>
    <cellStyle name="Hyperlink" xfId="2470" builtinId="8" hidden="1"/>
    <cellStyle name="Hyperlink" xfId="2472" builtinId="8" hidden="1"/>
    <cellStyle name="Hyperlink" xfId="2474" builtinId="8" hidden="1"/>
    <cellStyle name="Hyperlink" xfId="2476" builtinId="8" hidden="1"/>
    <cellStyle name="Hyperlink" xfId="2478" builtinId="8" hidden="1"/>
    <cellStyle name="Hyperlink" xfId="2480" builtinId="8" hidden="1"/>
    <cellStyle name="Hyperlink" xfId="2482" builtinId="8" hidden="1"/>
    <cellStyle name="Hyperlink" xfId="2484" builtinId="8" hidden="1"/>
    <cellStyle name="Hyperlink" xfId="2486" builtinId="8" hidden="1"/>
    <cellStyle name="Hyperlink" xfId="2488" builtinId="8" hidden="1"/>
    <cellStyle name="Hyperlink" xfId="2490" builtinId="8" hidden="1"/>
    <cellStyle name="Hyperlink" xfId="2492" builtinId="8" hidden="1"/>
    <cellStyle name="Hyperlink" xfId="2494" builtinId="8" hidden="1"/>
    <cellStyle name="Hyperlink" xfId="2496" builtinId="8" hidden="1"/>
    <cellStyle name="Hyperlink" xfId="2498" builtinId="8" hidden="1"/>
    <cellStyle name="Hyperlink" xfId="2500" builtinId="8" hidden="1"/>
    <cellStyle name="Hyperlink" xfId="2502" builtinId="8" hidden="1"/>
    <cellStyle name="Hyperlink" xfId="2504" builtinId="8" hidden="1"/>
    <cellStyle name="Hyperlink" xfId="2506" builtinId="8" hidden="1"/>
    <cellStyle name="Hyperlink" xfId="2508" builtinId="8" hidden="1"/>
    <cellStyle name="Hyperlink" xfId="2510" builtinId="8" hidden="1"/>
    <cellStyle name="Hyperlink" xfId="2512" builtinId="8" hidden="1"/>
    <cellStyle name="Hyperlink" xfId="2514" builtinId="8" hidden="1"/>
    <cellStyle name="Hyperlink" xfId="2516" builtinId="8" hidden="1"/>
    <cellStyle name="Hyperlink" xfId="2518" builtinId="8" hidden="1"/>
    <cellStyle name="Hyperlink" xfId="2520" builtinId="8" hidden="1"/>
    <cellStyle name="Hyperlink" xfId="2522" builtinId="8" hidden="1"/>
    <cellStyle name="Hyperlink" xfId="2524" builtinId="8" hidden="1"/>
    <cellStyle name="Hyperlink" xfId="2526" builtinId="8" hidden="1"/>
    <cellStyle name="Hyperlink" xfId="2528" builtinId="8" hidden="1"/>
    <cellStyle name="Hyperlink" xfId="2530" builtinId="8" hidden="1"/>
    <cellStyle name="Hyperlink" xfId="2532" builtinId="8" hidden="1"/>
    <cellStyle name="Hyperlink" xfId="2534" builtinId="8" hidden="1"/>
    <cellStyle name="Hyperlink" xfId="2536" builtinId="8" hidden="1"/>
    <cellStyle name="Hyperlink" xfId="2538" builtinId="8" hidden="1"/>
    <cellStyle name="Hyperlink" xfId="2540" builtinId="8" hidden="1"/>
    <cellStyle name="Hyperlink" xfId="2542" builtinId="8" hidden="1"/>
    <cellStyle name="Hyperlink" xfId="2544" builtinId="8" hidden="1"/>
    <cellStyle name="Hyperlink" xfId="2546" builtinId="8" hidden="1"/>
    <cellStyle name="Hyperlink" xfId="2548" builtinId="8" hidden="1"/>
    <cellStyle name="Hyperlink" xfId="2550" builtinId="8" hidden="1"/>
    <cellStyle name="Hyperlink" xfId="2552" builtinId="8" hidden="1"/>
    <cellStyle name="Hyperlink" xfId="2554" builtinId="8" hidden="1"/>
    <cellStyle name="Hyperlink" xfId="2556" builtinId="8" hidden="1"/>
    <cellStyle name="Hyperlink" xfId="2558" builtinId="8" hidden="1"/>
    <cellStyle name="Hyperlink" xfId="2560" builtinId="8" hidden="1"/>
    <cellStyle name="Hyperlink" xfId="2562" builtinId="8" hidden="1"/>
    <cellStyle name="Hyperlink" xfId="2564" builtinId="8" hidden="1"/>
    <cellStyle name="Hyperlink" xfId="2566" builtinId="8" hidden="1"/>
    <cellStyle name="Hyperlink" xfId="2568" builtinId="8" hidden="1"/>
    <cellStyle name="Hyperlink" xfId="2570" builtinId="8" hidden="1"/>
    <cellStyle name="Hyperlink" xfId="2572" builtinId="8" hidden="1"/>
    <cellStyle name="Hyperlink" xfId="2574" builtinId="8" hidden="1"/>
    <cellStyle name="Hyperlink" xfId="2576" builtinId="8" hidden="1"/>
    <cellStyle name="Hyperlink" xfId="2578" builtinId="8" hidden="1"/>
    <cellStyle name="Hyperlink" xfId="2580" builtinId="8" hidden="1"/>
    <cellStyle name="Hyperlink" xfId="2582" builtinId="8" hidden="1"/>
    <cellStyle name="Hyperlink" xfId="2584" builtinId="8" hidden="1"/>
    <cellStyle name="Hyperlink" xfId="2586" builtinId="8" hidden="1"/>
    <cellStyle name="Hyperlink" xfId="2588" builtinId="8" hidden="1"/>
    <cellStyle name="Hyperlink" xfId="2590" builtinId="8" hidden="1"/>
    <cellStyle name="Hyperlink" xfId="2592" builtinId="8" hidden="1"/>
    <cellStyle name="Hyperlink" xfId="2594" builtinId="8" hidden="1"/>
    <cellStyle name="Hyperlink" xfId="2596" builtinId="8" hidden="1"/>
    <cellStyle name="Hyperlink" xfId="2598" builtinId="8" hidden="1"/>
    <cellStyle name="Hyperlink" xfId="2600" builtinId="8" hidden="1"/>
    <cellStyle name="Hyperlink" xfId="2602" builtinId="8" hidden="1"/>
    <cellStyle name="Hyperlink" xfId="2604" builtinId="8" hidden="1"/>
    <cellStyle name="Hyperlink" xfId="2606" builtinId="8" hidden="1"/>
    <cellStyle name="Hyperlink" xfId="2608" builtinId="8" hidden="1"/>
    <cellStyle name="Hyperlink" xfId="2610" builtinId="8" hidden="1"/>
    <cellStyle name="Hyperlink" xfId="2612" builtinId="8" hidden="1"/>
    <cellStyle name="Hyperlink" xfId="2614" builtinId="8" hidden="1"/>
    <cellStyle name="Hyperlink" xfId="2616" builtinId="8" hidden="1"/>
    <cellStyle name="Hyperlink" xfId="2618" builtinId="8" hidden="1"/>
    <cellStyle name="Hyperlink" xfId="2620" builtinId="8" hidden="1"/>
    <cellStyle name="Hyperlink" xfId="2622" builtinId="8" hidden="1"/>
    <cellStyle name="Hyperlink" xfId="2624" builtinId="8" hidden="1"/>
    <cellStyle name="Hyperlink" xfId="2626" builtinId="8" hidden="1"/>
    <cellStyle name="Hyperlink" xfId="2628" builtinId="8" hidden="1"/>
    <cellStyle name="Hyperlink" xfId="2630" builtinId="8" hidden="1"/>
    <cellStyle name="Hyperlink" xfId="2632" builtinId="8" hidden="1"/>
    <cellStyle name="Hyperlink" xfId="2634" builtinId="8" hidden="1"/>
    <cellStyle name="Hyperlink" xfId="2636" builtinId="8" hidden="1"/>
    <cellStyle name="Hyperlink" xfId="2638" builtinId="8" hidden="1"/>
    <cellStyle name="Hyperlink" xfId="2640" builtinId="8" hidden="1"/>
    <cellStyle name="Hyperlink" xfId="2642" builtinId="8" hidden="1"/>
    <cellStyle name="Hyperlink" xfId="2644" builtinId="8" hidden="1"/>
    <cellStyle name="Hyperlink" xfId="2646" builtinId="8" hidden="1"/>
    <cellStyle name="Hyperlink" xfId="2648" builtinId="8" hidden="1"/>
    <cellStyle name="Hyperlink" xfId="2650" builtinId="8" hidden="1"/>
    <cellStyle name="Hyperlink" xfId="2652" builtinId="8" hidden="1"/>
    <cellStyle name="Hyperlink" xfId="2654" builtinId="8" hidden="1"/>
    <cellStyle name="Hyperlink" xfId="2656" builtinId="8" hidden="1"/>
    <cellStyle name="Hyperlink" xfId="2658" builtinId="8" hidden="1"/>
    <cellStyle name="Hyperlink" xfId="2660" builtinId="8" hidden="1"/>
    <cellStyle name="Hyperlink" xfId="2662" builtinId="8" hidden="1"/>
    <cellStyle name="Hyperlink" xfId="2665" builtinId="8" hidden="1"/>
    <cellStyle name="Hyperlink" xfId="2667" builtinId="8" hidden="1"/>
    <cellStyle name="Hyperlink" xfId="2669" builtinId="8" hidden="1"/>
    <cellStyle name="Hyperlink" xfId="2671" builtinId="8" hidden="1"/>
    <cellStyle name="Hyperlink" xfId="2673" builtinId="8" hidden="1"/>
    <cellStyle name="Hyperlink" xfId="2675" builtinId="8" hidden="1"/>
    <cellStyle name="Hyperlink" xfId="2677" builtinId="8" hidden="1"/>
    <cellStyle name="Hyperlink" xfId="2679" builtinId="8" hidden="1"/>
    <cellStyle name="Hyperlink" xfId="2681" builtinId="8" hidden="1"/>
    <cellStyle name="Hyperlink" xfId="2683" builtinId="8" hidden="1"/>
    <cellStyle name="Hyperlink" xfId="2685" builtinId="8" hidden="1"/>
    <cellStyle name="Hyperlink" xfId="2687" builtinId="8" hidden="1"/>
    <cellStyle name="Hyperlink" xfId="2689" builtinId="8" hidden="1"/>
    <cellStyle name="Hyperlink" xfId="2691" builtinId="8" hidden="1"/>
    <cellStyle name="Hyperlink" xfId="2693" builtinId="8" hidden="1"/>
    <cellStyle name="Hyperlink" xfId="2695" builtinId="8" hidden="1"/>
    <cellStyle name="Hyperlink" xfId="2697" builtinId="8" hidden="1"/>
    <cellStyle name="Hyperlink" xfId="2699" builtinId="8" hidden="1"/>
    <cellStyle name="Hyperlink" xfId="2701" builtinId="8" hidden="1"/>
    <cellStyle name="Hyperlink" xfId="2703" builtinId="8" hidden="1"/>
    <cellStyle name="Hyperlink" xfId="2705" builtinId="8" hidden="1"/>
    <cellStyle name="Hyperlink" xfId="2707" builtinId="8" hidden="1"/>
    <cellStyle name="Hyperlink" xfId="2709" builtinId="8" hidden="1"/>
    <cellStyle name="Hyperlink" xfId="2711" builtinId="8" hidden="1"/>
    <cellStyle name="Hyperlink" xfId="2713" builtinId="8" hidden="1"/>
    <cellStyle name="Hyperlink" xfId="2715" builtinId="8" hidden="1"/>
    <cellStyle name="Hyperlink" xfId="2717" builtinId="8" hidden="1"/>
    <cellStyle name="Hyperlink" xfId="2719" builtinId="8" hidden="1"/>
    <cellStyle name="Hyperlink" xfId="2721" builtinId="8" hidden="1"/>
    <cellStyle name="Hyperlink" xfId="2723" builtinId="8" hidden="1"/>
    <cellStyle name="Hyperlink" xfId="2725" builtinId="8" hidden="1"/>
    <cellStyle name="Hyperlink" xfId="2727" builtinId="8" hidden="1"/>
    <cellStyle name="Hyperlink" xfId="2729" builtinId="8" hidden="1"/>
    <cellStyle name="Hyperlink" xfId="2731" builtinId="8" hidden="1"/>
    <cellStyle name="Hyperlink" xfId="2733" builtinId="8" hidden="1"/>
    <cellStyle name="Hyperlink" xfId="2735" builtinId="8" hidden="1"/>
    <cellStyle name="Hyperlink" xfId="2737" builtinId="8" hidden="1"/>
    <cellStyle name="Hyperlink" xfId="2739" builtinId="8" hidden="1"/>
    <cellStyle name="Hyperlink" xfId="2741" builtinId="8" hidden="1"/>
    <cellStyle name="Hyperlink" xfId="2743" builtinId="8" hidden="1"/>
    <cellStyle name="Hyperlink" xfId="2745" builtinId="8" hidden="1"/>
    <cellStyle name="Hyperlink" xfId="2747" builtinId="8" hidden="1"/>
    <cellStyle name="Hyperlink" xfId="2749" builtinId="8" hidden="1"/>
    <cellStyle name="Hyperlink" xfId="2751" builtinId="8" hidden="1"/>
    <cellStyle name="Hyperlink" xfId="2753" builtinId="8" hidden="1"/>
    <cellStyle name="Hyperlink" xfId="2755" builtinId="8" hidden="1"/>
    <cellStyle name="Hyperlink" xfId="2757" builtinId="8" hidden="1"/>
    <cellStyle name="Hyperlink" xfId="2759" builtinId="8" hidden="1"/>
    <cellStyle name="Hyperlink" xfId="2761" builtinId="8" hidden="1"/>
    <cellStyle name="Hyperlink" xfId="2763" builtinId="8" hidden="1"/>
    <cellStyle name="Hyperlink" xfId="2765" builtinId="8" hidden="1"/>
    <cellStyle name="Hyperlink" xfId="2767" builtinId="8" hidden="1"/>
    <cellStyle name="Hyperlink" xfId="2769" builtinId="8" hidden="1"/>
    <cellStyle name="Hyperlink" xfId="2771" builtinId="8" hidden="1"/>
    <cellStyle name="Hyperlink" xfId="2773" builtinId="8" hidden="1"/>
    <cellStyle name="Hyperlink" xfId="2775" builtinId="8" hidden="1"/>
    <cellStyle name="Hyperlink" xfId="2777" builtinId="8" hidden="1"/>
    <cellStyle name="Hyperlink" xfId="2779" builtinId="8" hidden="1"/>
    <cellStyle name="Hyperlink" xfId="2781" builtinId="8" hidden="1"/>
    <cellStyle name="Hyperlink" xfId="2783" builtinId="8" hidden="1"/>
    <cellStyle name="Hyperlink" xfId="2785" builtinId="8" hidden="1"/>
    <cellStyle name="Hyperlink" xfId="2787" builtinId="8" hidden="1"/>
    <cellStyle name="Hyperlink" xfId="2789" builtinId="8" hidden="1"/>
    <cellStyle name="Hyperlink" xfId="2791" builtinId="8" hidden="1"/>
    <cellStyle name="Hyperlink" xfId="2793" builtinId="8" hidden="1"/>
    <cellStyle name="Hyperlink" xfId="2795" builtinId="8" hidden="1"/>
    <cellStyle name="Hyperlink" xfId="2797" builtinId="8" hidden="1"/>
    <cellStyle name="Hyperlink" xfId="2799" builtinId="8" hidden="1"/>
    <cellStyle name="Hyperlink" xfId="2801" builtinId="8" hidden="1"/>
    <cellStyle name="Hyperlink" xfId="2803" builtinId="8" hidden="1"/>
    <cellStyle name="Hyperlink" xfId="2805" builtinId="8" hidden="1"/>
    <cellStyle name="Hyperlink" xfId="2807" builtinId="8" hidden="1"/>
    <cellStyle name="Hyperlink" xfId="2809" builtinId="8" hidden="1"/>
    <cellStyle name="Hyperlink" xfId="2811" builtinId="8" hidden="1"/>
    <cellStyle name="Hyperlink" xfId="2813" builtinId="8" hidden="1"/>
    <cellStyle name="Hyperlink" xfId="2815" builtinId="8" hidden="1"/>
    <cellStyle name="Hyperlink" xfId="2817" builtinId="8" hidden="1"/>
    <cellStyle name="Hyperlink" xfId="2819" builtinId="8" hidden="1"/>
    <cellStyle name="Hyperlink" xfId="2821" builtinId="8" hidden="1"/>
    <cellStyle name="Hyperlink" xfId="2823" builtinId="8" hidden="1"/>
    <cellStyle name="Hyperlink" xfId="2825" builtinId="8" hidden="1"/>
    <cellStyle name="Hyperlink" xfId="2827" builtinId="8" hidden="1"/>
    <cellStyle name="Hyperlink" xfId="2829" builtinId="8" hidden="1"/>
    <cellStyle name="Hyperlink" xfId="2831" builtinId="8" hidden="1"/>
    <cellStyle name="Hyperlink" xfId="2833" builtinId="8" hidden="1"/>
    <cellStyle name="Hyperlink" xfId="2835" builtinId="8" hidden="1"/>
    <cellStyle name="Hyperlink" xfId="2837" builtinId="8" hidden="1"/>
    <cellStyle name="Hyperlink" xfId="2839" builtinId="8" hidden="1"/>
    <cellStyle name="Hyperlink" xfId="2841" builtinId="8" hidden="1"/>
    <cellStyle name="Hyperlink" xfId="2843" builtinId="8" hidden="1"/>
    <cellStyle name="Hyperlink" xfId="2845" builtinId="8" hidden="1"/>
    <cellStyle name="Hyperlink" xfId="2847" builtinId="8" hidden="1"/>
    <cellStyle name="Hyperlink" xfId="2849" builtinId="8" hidden="1"/>
    <cellStyle name="Hyperlink" xfId="2851" builtinId="8" hidden="1"/>
    <cellStyle name="Hyperlink" xfId="2853" builtinId="8" hidden="1"/>
    <cellStyle name="Hyperlink" xfId="2855" builtinId="8" hidden="1"/>
    <cellStyle name="Hyperlink" xfId="2857" builtinId="8" hidden="1"/>
    <cellStyle name="Hyperlink" xfId="2859" builtinId="8" hidden="1"/>
    <cellStyle name="Hyperlink" xfId="2861" builtinId="8" hidden="1"/>
    <cellStyle name="Hyperlink" xfId="2863" builtinId="8" hidden="1"/>
    <cellStyle name="Hyperlink" xfId="2865" builtinId="8" hidden="1"/>
    <cellStyle name="Hyperlink" xfId="2867" builtinId="8" hidden="1"/>
    <cellStyle name="Hyperlink" xfId="2869" builtinId="8" hidden="1"/>
    <cellStyle name="Hyperlink" xfId="2871" builtinId="8" hidden="1"/>
    <cellStyle name="Hyperlink" xfId="2873" builtinId="8" hidden="1"/>
    <cellStyle name="Hyperlink" xfId="2875" builtinId="8" hidden="1"/>
    <cellStyle name="Hyperlink" xfId="2877" builtinId="8" hidden="1"/>
    <cellStyle name="Hyperlink" xfId="2879" builtinId="8" hidden="1"/>
    <cellStyle name="Hyperlink" xfId="2881" builtinId="8" hidden="1"/>
    <cellStyle name="Hyperlink" xfId="2883" builtinId="8" hidden="1"/>
    <cellStyle name="Hyperlink" xfId="2885" builtinId="8" hidden="1"/>
    <cellStyle name="Hyperlink" xfId="2887" builtinId="8" hidden="1"/>
    <cellStyle name="Hyperlink" xfId="2889" builtinId="8" hidden="1"/>
    <cellStyle name="Hyperlink" xfId="2891" builtinId="8" hidden="1"/>
    <cellStyle name="Hyperlink" xfId="2893" builtinId="8" hidden="1"/>
    <cellStyle name="Hyperlink" xfId="2895" builtinId="8" hidden="1"/>
    <cellStyle name="Hyperlink" xfId="2897" builtinId="8" hidden="1"/>
    <cellStyle name="Hyperlink" xfId="2899" builtinId="8" hidden="1"/>
    <cellStyle name="Hyperlink" xfId="2901" builtinId="8" hidden="1"/>
    <cellStyle name="Hyperlink" xfId="2903" builtinId="8" hidden="1"/>
    <cellStyle name="Hyperlink" xfId="2905" builtinId="8" hidden="1"/>
    <cellStyle name="Hyperlink" xfId="2907" builtinId="8" hidden="1"/>
    <cellStyle name="Hyperlink" xfId="2909" builtinId="8" hidden="1"/>
    <cellStyle name="Hyperlink" xfId="2911" builtinId="8" hidden="1"/>
    <cellStyle name="Hyperlink" xfId="2913" builtinId="8" hidden="1"/>
    <cellStyle name="Hyperlink" xfId="2915" builtinId="8" hidden="1"/>
    <cellStyle name="Hyperlink" xfId="2917" builtinId="8" hidden="1"/>
    <cellStyle name="Hyperlink" xfId="2919" builtinId="8" hidden="1"/>
    <cellStyle name="Hyperlink" xfId="2921" builtinId="8" hidden="1"/>
    <cellStyle name="Hyperlink" xfId="2923" builtinId="8" hidden="1"/>
    <cellStyle name="Hyperlink" xfId="2925" builtinId="8" hidden="1"/>
    <cellStyle name="Hyperlink" xfId="2927" builtinId="8" hidden="1"/>
    <cellStyle name="Hyperlink" xfId="2929" builtinId="8" hidden="1"/>
    <cellStyle name="Hyperlink" xfId="2931" builtinId="8" hidden="1"/>
    <cellStyle name="Hyperlink" xfId="2933" builtinId="8" hidden="1"/>
    <cellStyle name="Hyperlink" xfId="2935" builtinId="8" hidden="1"/>
    <cellStyle name="Hyperlink" xfId="2937" builtinId="8" hidden="1"/>
    <cellStyle name="Hyperlink" xfId="2939" builtinId="8" hidden="1"/>
    <cellStyle name="Hyperlink" xfId="2941" builtinId="8" hidden="1"/>
    <cellStyle name="Hyperlink" xfId="2943" builtinId="8" hidden="1"/>
    <cellStyle name="Hyperlink" xfId="2945" builtinId="8" hidden="1"/>
    <cellStyle name="Hyperlink" xfId="2947" builtinId="8" hidden="1"/>
    <cellStyle name="Hyperlink" xfId="2949" builtinId="8" hidden="1"/>
    <cellStyle name="Hyperlink" xfId="2951" builtinId="8" hidden="1"/>
    <cellStyle name="Hyperlink" xfId="2953" builtinId="8" hidden="1"/>
    <cellStyle name="Hyperlink" xfId="2955" builtinId="8" hidden="1"/>
    <cellStyle name="Hyperlink" xfId="2957" builtinId="8" hidden="1"/>
    <cellStyle name="Hyperlink" xfId="2959" builtinId="8" hidden="1"/>
    <cellStyle name="Hyperlink" xfId="2961" builtinId="8" hidden="1"/>
    <cellStyle name="Hyperlink" xfId="2963" builtinId="8" hidden="1"/>
    <cellStyle name="Hyperlink" xfId="2965" builtinId="8" hidden="1"/>
    <cellStyle name="Hyperlink" xfId="2967" builtinId="8" hidden="1"/>
    <cellStyle name="Hyperlink" xfId="2969" builtinId="8" hidden="1"/>
    <cellStyle name="Hyperlink" xfId="2971" builtinId="8" hidden="1"/>
    <cellStyle name="Hyperlink" xfId="2973" builtinId="8" hidden="1"/>
    <cellStyle name="Hyperlink" xfId="2975" builtinId="8" hidden="1"/>
    <cellStyle name="Hyperlink" xfId="2977" builtinId="8" hidden="1"/>
    <cellStyle name="Hyperlink" xfId="2979" builtinId="8" hidden="1"/>
    <cellStyle name="Hyperlink" xfId="2981" builtinId="8" hidden="1"/>
    <cellStyle name="Hyperlink" xfId="2983" builtinId="8" hidden="1"/>
    <cellStyle name="Hyperlink" xfId="2985" builtinId="8" hidden="1"/>
    <cellStyle name="Hyperlink" xfId="2987" builtinId="8" hidden="1"/>
    <cellStyle name="Hyperlink" xfId="2989" builtinId="8" hidden="1"/>
    <cellStyle name="Hyperlink" xfId="2991" builtinId="8" hidden="1"/>
    <cellStyle name="Hyperlink" xfId="2993" builtinId="8" hidden="1"/>
    <cellStyle name="Hyperlink" xfId="2995" builtinId="8" hidden="1"/>
    <cellStyle name="Hyperlink" xfId="2997" builtinId="8" hidden="1"/>
    <cellStyle name="Hyperlink" xfId="2999" builtinId="8" hidden="1"/>
    <cellStyle name="Hyperlink" xfId="3001" builtinId="8" hidden="1"/>
    <cellStyle name="Hyperlink" xfId="3003" builtinId="8" hidden="1"/>
    <cellStyle name="Hyperlink" xfId="3005" builtinId="8" hidden="1"/>
    <cellStyle name="Hyperlink" xfId="3007" builtinId="8" hidden="1"/>
    <cellStyle name="Hyperlink" xfId="3009" builtinId="8" hidden="1"/>
    <cellStyle name="Hyperlink" xfId="3011" builtinId="8" hidden="1"/>
    <cellStyle name="Hyperlink" xfId="3013" builtinId="8" hidden="1"/>
    <cellStyle name="Hyperlink" xfId="3015" builtinId="8" hidden="1"/>
    <cellStyle name="Hyperlink" xfId="3017" builtinId="8" hidden="1"/>
    <cellStyle name="Hyperlink" xfId="3019" builtinId="8" hidden="1"/>
    <cellStyle name="Hyperlink" xfId="3021" builtinId="8" hidden="1"/>
    <cellStyle name="Hyperlink" xfId="3023" builtinId="8" hidden="1"/>
    <cellStyle name="Hyperlink" xfId="3025" builtinId="8" hidden="1"/>
    <cellStyle name="Hyperlink" xfId="3027" builtinId="8" hidden="1"/>
    <cellStyle name="Hyperlink" xfId="3029" builtinId="8" hidden="1"/>
    <cellStyle name="Hyperlink" xfId="3031" builtinId="8" hidden="1"/>
    <cellStyle name="Hyperlink" xfId="3033" builtinId="8" hidden="1"/>
    <cellStyle name="Hyperlink" xfId="3035" builtinId="8" hidden="1"/>
    <cellStyle name="Hyperlink" xfId="3037" builtinId="8" hidden="1"/>
    <cellStyle name="Hyperlink" xfId="3039" builtinId="8" hidden="1"/>
    <cellStyle name="Hyperlink" xfId="3041" builtinId="8" hidden="1"/>
    <cellStyle name="Hyperlink" xfId="3043" builtinId="8" hidden="1"/>
    <cellStyle name="Hyperlink" xfId="3045" builtinId="8" hidden="1"/>
    <cellStyle name="Hyperlink" xfId="3047" builtinId="8" hidden="1"/>
    <cellStyle name="Hyperlink" xfId="3049" builtinId="8" hidden="1"/>
    <cellStyle name="Hyperlink" xfId="3051" builtinId="8" hidden="1"/>
    <cellStyle name="Hyperlink" xfId="3053" builtinId="8" hidden="1"/>
    <cellStyle name="Hyperlink" xfId="3055" builtinId="8" hidden="1"/>
    <cellStyle name="Hyperlink" xfId="3057" builtinId="8" hidden="1"/>
    <cellStyle name="Hyperlink" xfId="3059" builtinId="8" hidden="1"/>
    <cellStyle name="Hyperlink" xfId="3061" builtinId="8" hidden="1"/>
    <cellStyle name="Hyperlink" xfId="3063" builtinId="8" hidden="1"/>
    <cellStyle name="Hyperlink" xfId="3065" builtinId="8" hidden="1"/>
    <cellStyle name="Hyperlink" xfId="3067" builtinId="8" hidden="1"/>
    <cellStyle name="Hyperlink" xfId="3069" builtinId="8" hidden="1"/>
    <cellStyle name="Hyperlink" xfId="3071" builtinId="8" hidden="1"/>
    <cellStyle name="Hyperlink" xfId="3073" builtinId="8" hidden="1"/>
    <cellStyle name="Hyperlink" xfId="3075" builtinId="8" hidden="1"/>
    <cellStyle name="Hyperlink" xfId="3077" builtinId="8" hidden="1"/>
    <cellStyle name="Hyperlink" xfId="3079" builtinId="8" hidden="1"/>
    <cellStyle name="Hyperlink" xfId="3081" builtinId="8" hidden="1"/>
    <cellStyle name="Hyperlink" xfId="3083" builtinId="8" hidden="1"/>
    <cellStyle name="Hyperlink" xfId="3085" builtinId="8" hidden="1"/>
    <cellStyle name="Hyperlink" xfId="3087" builtinId="8" hidden="1"/>
    <cellStyle name="Hyperlink" xfId="3089" builtinId="8" hidden="1"/>
    <cellStyle name="Hyperlink" xfId="3091" builtinId="8" hidden="1"/>
    <cellStyle name="Hyperlink" xfId="3093" builtinId="8" hidden="1"/>
    <cellStyle name="Hyperlink" xfId="3095" builtinId="8" hidden="1"/>
    <cellStyle name="Hyperlink" xfId="3097" builtinId="8" hidden="1"/>
    <cellStyle name="Hyperlink" xfId="3099" builtinId="8" hidden="1"/>
    <cellStyle name="Hyperlink" xfId="3101" builtinId="8" hidden="1"/>
    <cellStyle name="Hyperlink" xfId="3103" builtinId="8" hidden="1"/>
    <cellStyle name="Hyperlink" xfId="3105" builtinId="8" hidden="1"/>
    <cellStyle name="Hyperlink" xfId="3107" builtinId="8" hidden="1"/>
    <cellStyle name="Hyperlink" xfId="3109" builtinId="8" hidden="1"/>
    <cellStyle name="Hyperlink" xfId="3111" builtinId="8" hidden="1"/>
    <cellStyle name="Hyperlink" xfId="3113" builtinId="8" hidden="1"/>
    <cellStyle name="Hyperlink" xfId="3115" builtinId="8" hidden="1"/>
    <cellStyle name="Hyperlink" xfId="3117" builtinId="8" hidden="1"/>
    <cellStyle name="Hyperlink" xfId="3119" builtinId="8" hidden="1"/>
    <cellStyle name="Hyperlink" xfId="3121" builtinId="8" hidden="1"/>
    <cellStyle name="Hyperlink" xfId="3123" builtinId="8" hidden="1"/>
    <cellStyle name="Hyperlink" xfId="3125" builtinId="8" hidden="1"/>
    <cellStyle name="Hyperlink" xfId="3127" builtinId="8" hidden="1"/>
    <cellStyle name="Hyperlink" xfId="3129" builtinId="8" hidden="1"/>
    <cellStyle name="Hyperlink" xfId="3131" builtinId="8" hidden="1"/>
    <cellStyle name="Hyperlink" xfId="3133" builtinId="8" hidden="1"/>
    <cellStyle name="Hyperlink" xfId="3135" builtinId="8" hidden="1"/>
    <cellStyle name="Hyperlink" xfId="3137" builtinId="8" hidden="1"/>
    <cellStyle name="Hyperlink" xfId="3139" builtinId="8" hidden="1"/>
    <cellStyle name="Hyperlink" xfId="3141" builtinId="8" hidden="1"/>
    <cellStyle name="Hyperlink" xfId="3143" builtinId="8" hidden="1"/>
    <cellStyle name="Hyperlink" xfId="3145" builtinId="8" hidden="1"/>
    <cellStyle name="Hyperlink" xfId="3147" builtinId="8" hidden="1"/>
    <cellStyle name="Hyperlink" xfId="3149" builtinId="8" hidden="1"/>
    <cellStyle name="Hyperlink" xfId="3151" builtinId="8" hidden="1"/>
    <cellStyle name="Hyperlink" xfId="3153" builtinId="8" hidden="1"/>
    <cellStyle name="Hyperlink" xfId="3155" builtinId="8" hidden="1"/>
    <cellStyle name="Hyperlink" xfId="3157" builtinId="8" hidden="1"/>
    <cellStyle name="Hyperlink" xfId="3159" builtinId="8" hidden="1"/>
    <cellStyle name="Hyperlink" xfId="3161" builtinId="8" hidden="1"/>
    <cellStyle name="Hyperlink" xfId="3163" builtinId="8" hidden="1"/>
    <cellStyle name="Hyperlink" xfId="3165" builtinId="8" hidden="1"/>
    <cellStyle name="Hyperlink" xfId="3167" builtinId="8" hidden="1"/>
    <cellStyle name="Hyperlink" xfId="3169" builtinId="8" hidden="1"/>
    <cellStyle name="Hyperlink" xfId="3171" builtinId="8" hidden="1"/>
    <cellStyle name="Hyperlink" xfId="3173" builtinId="8" hidden="1"/>
    <cellStyle name="Hyperlink" xfId="3175" builtinId="8" hidden="1"/>
    <cellStyle name="Hyperlink" xfId="3177" builtinId="8" hidden="1"/>
    <cellStyle name="Hyperlink" xfId="3179" builtinId="8" hidden="1"/>
    <cellStyle name="Hyperlink" xfId="3181" builtinId="8" hidden="1"/>
    <cellStyle name="Hyperlink" xfId="3183" builtinId="8" hidden="1"/>
    <cellStyle name="Hyperlink" xfId="3185" builtinId="8" hidden="1"/>
    <cellStyle name="Hyperlink" xfId="3187" builtinId="8" hidden="1"/>
    <cellStyle name="Hyperlink" xfId="3189" builtinId="8" hidden="1"/>
    <cellStyle name="Hyperlink" xfId="3191" builtinId="8" hidden="1"/>
    <cellStyle name="Hyperlink" xfId="3193" builtinId="8" hidden="1"/>
    <cellStyle name="Hyperlink" xfId="3195" builtinId="8" hidden="1"/>
    <cellStyle name="Hyperlink" xfId="3197" builtinId="8" hidden="1"/>
    <cellStyle name="Hyperlink" xfId="3199" builtinId="8" hidden="1"/>
    <cellStyle name="Hyperlink" xfId="3201" builtinId="8" hidden="1"/>
    <cellStyle name="Hyperlink" xfId="3203" builtinId="8" hidden="1"/>
    <cellStyle name="Hyperlink" xfId="3205" builtinId="8" hidden="1"/>
    <cellStyle name="Hyperlink" xfId="3207" builtinId="8" hidden="1"/>
    <cellStyle name="Hyperlink" xfId="3209" builtinId="8" hidden="1"/>
    <cellStyle name="Hyperlink" xfId="3211" builtinId="8" hidden="1"/>
    <cellStyle name="Hyperlink" xfId="3213" builtinId="8" hidden="1"/>
    <cellStyle name="Hyperlink" xfId="3215" builtinId="8" hidden="1"/>
    <cellStyle name="Hyperlink" xfId="3217" builtinId="8" hidden="1"/>
    <cellStyle name="Hyperlink" xfId="3219" builtinId="8" hidden="1"/>
    <cellStyle name="Hyperlink" xfId="3221" builtinId="8" hidden="1"/>
    <cellStyle name="Hyperlink" xfId="3223" builtinId="8" hidden="1"/>
    <cellStyle name="Hyperlink" xfId="3225" builtinId="8" hidden="1"/>
    <cellStyle name="Hyperlink" xfId="3227" builtinId="8" hidden="1"/>
    <cellStyle name="Hyperlink" xfId="3229" builtinId="8" hidden="1"/>
    <cellStyle name="Hyperlink" xfId="3231" builtinId="8" hidden="1"/>
    <cellStyle name="Hyperlink" xfId="3233" builtinId="8" hidden="1"/>
    <cellStyle name="Hyperlink" xfId="3235" builtinId="8" hidden="1"/>
    <cellStyle name="Hyperlink" xfId="3237" builtinId="8" hidden="1"/>
    <cellStyle name="Hyperlink" xfId="3239" builtinId="8" hidden="1"/>
    <cellStyle name="Hyperlink" xfId="3241" builtinId="8" hidden="1"/>
    <cellStyle name="Hyperlink" xfId="3243" builtinId="8" hidden="1"/>
    <cellStyle name="Hyperlink" xfId="3245" builtinId="8" hidden="1"/>
    <cellStyle name="Hyperlink" xfId="3247" builtinId="8" hidden="1"/>
    <cellStyle name="Hyperlink" xfId="3249" builtinId="8" hidden="1"/>
    <cellStyle name="Hyperlink" xfId="3251" builtinId="8" hidden="1"/>
    <cellStyle name="Hyperlink" xfId="3253" builtinId="8" hidden="1"/>
    <cellStyle name="Hyperlink" xfId="3255" builtinId="8" hidden="1"/>
    <cellStyle name="Hyperlink" xfId="3257" builtinId="8" hidden="1"/>
    <cellStyle name="Hyperlink" xfId="3259" builtinId="8" hidden="1"/>
    <cellStyle name="Hyperlink" xfId="3261" builtinId="8" hidden="1"/>
    <cellStyle name="Hyperlink" xfId="3263" builtinId="8" hidden="1"/>
    <cellStyle name="Hyperlink" xfId="3265" builtinId="8" hidden="1"/>
    <cellStyle name="Hyperlink" xfId="3267" builtinId="8" hidden="1"/>
    <cellStyle name="Hyperlink" xfId="3269" builtinId="8" hidden="1"/>
    <cellStyle name="Hyperlink" xfId="3271" builtinId="8" hidden="1"/>
    <cellStyle name="Hyperlink" xfId="3273" builtinId="8" hidden="1"/>
    <cellStyle name="Hyperlink" xfId="3275" builtinId="8" hidden="1"/>
    <cellStyle name="Hyperlink" xfId="3277" builtinId="8" hidden="1"/>
    <cellStyle name="Hyperlink" xfId="3279" builtinId="8" hidden="1"/>
    <cellStyle name="Hyperlink" xfId="3281" builtinId="8" hidden="1"/>
    <cellStyle name="Hyperlink" xfId="3283" builtinId="8" hidden="1"/>
    <cellStyle name="Hyperlink" xfId="3285" builtinId="8" hidden="1"/>
    <cellStyle name="Hyperlink" xfId="3287" builtinId="8" hidden="1"/>
    <cellStyle name="Hyperlink" xfId="3289" builtinId="8" hidden="1"/>
    <cellStyle name="Hyperlink" xfId="3291" builtinId="8" hidden="1"/>
    <cellStyle name="Hyperlink" xfId="3293" builtinId="8" hidden="1"/>
    <cellStyle name="Hyperlink" xfId="3295" builtinId="8" hidden="1"/>
    <cellStyle name="Hyperlink" xfId="3297" builtinId="8" hidden="1"/>
    <cellStyle name="Hyperlink" xfId="3299" builtinId="8" hidden="1"/>
    <cellStyle name="Hyperlink" xfId="3301" builtinId="8" hidden="1"/>
    <cellStyle name="Hyperlink" xfId="3303" builtinId="8" hidden="1"/>
    <cellStyle name="Hyperlink" xfId="3305" builtinId="8" hidden="1"/>
    <cellStyle name="Hyperlink" xfId="3307" builtinId="8" hidden="1"/>
    <cellStyle name="Hyperlink" xfId="3309" builtinId="8" hidden="1"/>
    <cellStyle name="Hyperlink" xfId="3311" builtinId="8" hidden="1"/>
    <cellStyle name="Hyperlink" xfId="3313" builtinId="8" hidden="1"/>
    <cellStyle name="Hyperlink" xfId="3315" builtinId="8" hidden="1"/>
    <cellStyle name="Hyperlink" xfId="3317" builtinId="8" hidden="1"/>
    <cellStyle name="Hyperlink" xfId="3319" builtinId="8" hidden="1"/>
    <cellStyle name="Hyperlink" xfId="3321" builtinId="8" hidden="1"/>
    <cellStyle name="Hyperlink" xfId="3323" builtinId="8" hidden="1"/>
    <cellStyle name="Hyperlink" xfId="3325" builtinId="8" hidden="1"/>
    <cellStyle name="Hyperlink" xfId="3327" builtinId="8" hidden="1"/>
    <cellStyle name="Hyperlink" xfId="3329" builtinId="8" hidden="1"/>
    <cellStyle name="Hyperlink" xfId="3331" builtinId="8" hidden="1"/>
    <cellStyle name="Hyperlink" xfId="3333" builtinId="8" hidden="1"/>
    <cellStyle name="Hyperlink" xfId="3335" builtinId="8" hidden="1"/>
    <cellStyle name="Hyperlink" xfId="3337" builtinId="8" hidden="1"/>
    <cellStyle name="Hyperlink" xfId="3339" builtinId="8" hidden="1"/>
    <cellStyle name="Hyperlink" xfId="3341" builtinId="8" hidden="1"/>
    <cellStyle name="Hyperlink" xfId="3343" builtinId="8" hidden="1"/>
    <cellStyle name="Hyperlink" xfId="3345" builtinId="8" hidden="1"/>
    <cellStyle name="Hyperlink" xfId="3347" builtinId="8" hidden="1"/>
    <cellStyle name="Hyperlink" xfId="3349" builtinId="8" hidden="1"/>
    <cellStyle name="Hyperlink" xfId="3351" builtinId="8" hidden="1"/>
    <cellStyle name="Hyperlink" xfId="3353" builtinId="8" hidden="1"/>
    <cellStyle name="Hyperlink" xfId="3355" builtinId="8" hidden="1"/>
    <cellStyle name="Hyperlink" xfId="3357" builtinId="8" hidden="1"/>
    <cellStyle name="Hyperlink" xfId="3359" builtinId="8" hidden="1"/>
    <cellStyle name="Hyperlink" xfId="3361" builtinId="8" hidden="1"/>
    <cellStyle name="Hyperlink" xfId="3363" builtinId="8" hidden="1"/>
    <cellStyle name="Hyperlink" xfId="3365" builtinId="8" hidden="1"/>
    <cellStyle name="Hyperlink" xfId="3367" builtinId="8" hidden="1"/>
    <cellStyle name="Hyperlink" xfId="3369" builtinId="8" hidden="1"/>
    <cellStyle name="Hyperlink" xfId="3371" builtinId="8" hidden="1"/>
    <cellStyle name="Hyperlink" xfId="3373" builtinId="8" hidden="1"/>
    <cellStyle name="Hyperlink" xfId="3375" builtinId="8" hidden="1"/>
    <cellStyle name="Hyperlink" xfId="3377" builtinId="8" hidden="1"/>
    <cellStyle name="Hyperlink" xfId="3379" builtinId="8" hidden="1"/>
    <cellStyle name="Hyperlink" xfId="3381" builtinId="8" hidden="1"/>
    <cellStyle name="Hyperlink" xfId="3383" builtinId="8" hidden="1"/>
    <cellStyle name="Hyperlink" xfId="3385" builtinId="8" hidden="1"/>
    <cellStyle name="Hyperlink" xfId="3387" builtinId="8" hidden="1"/>
    <cellStyle name="Hyperlink" xfId="3389" builtinId="8" hidden="1"/>
    <cellStyle name="Hyperlink" xfId="3391" builtinId="8" hidden="1"/>
    <cellStyle name="Hyperlink" xfId="3393" builtinId="8" hidden="1"/>
    <cellStyle name="Hyperlink" xfId="3395" builtinId="8" hidden="1"/>
    <cellStyle name="Hyperlink" xfId="3397" builtinId="8" hidden="1"/>
    <cellStyle name="Hyperlink" xfId="3399" builtinId="8" hidden="1"/>
    <cellStyle name="Hyperlink" xfId="3401" builtinId="8" hidden="1"/>
    <cellStyle name="Hyperlink" xfId="3403" builtinId="8" hidden="1"/>
    <cellStyle name="Hyperlink" xfId="3405" builtinId="8" hidden="1"/>
    <cellStyle name="Hyperlink" xfId="3407" builtinId="8" hidden="1"/>
    <cellStyle name="Hyperlink" xfId="3409" builtinId="8" hidden="1"/>
    <cellStyle name="Hyperlink" xfId="3411" builtinId="8" hidden="1"/>
    <cellStyle name="Hyperlink" xfId="3413" builtinId="8" hidden="1"/>
    <cellStyle name="Hyperlink" xfId="3415" builtinId="8" hidden="1"/>
    <cellStyle name="Hyperlink" xfId="3417" builtinId="8" hidden="1"/>
    <cellStyle name="Hyperlink" xfId="3419" builtinId="8" hidden="1"/>
    <cellStyle name="Hyperlink" xfId="3421" builtinId="8" hidden="1"/>
    <cellStyle name="Hyperlink" xfId="3423" builtinId="8" hidden="1"/>
    <cellStyle name="Hyperlink" xfId="3425" builtinId="8" hidden="1"/>
    <cellStyle name="Hyperlink" xfId="3427" builtinId="8" hidden="1"/>
    <cellStyle name="Hyperlink" xfId="3429" builtinId="8" hidden="1"/>
    <cellStyle name="Hyperlink" xfId="3431" builtinId="8" hidden="1"/>
    <cellStyle name="Hyperlink" xfId="3433" builtinId="8" hidden="1"/>
    <cellStyle name="Hyperlink" xfId="3435" builtinId="8" hidden="1"/>
    <cellStyle name="Hyperlink" xfId="3437" builtinId="8" hidden="1"/>
    <cellStyle name="Hyperlink" xfId="3439" builtinId="8" hidden="1"/>
    <cellStyle name="Hyperlink" xfId="3441" builtinId="8" hidden="1"/>
    <cellStyle name="Hyperlink" xfId="3443" builtinId="8" hidden="1"/>
    <cellStyle name="Hyperlink" xfId="3445" builtinId="8" hidden="1"/>
    <cellStyle name="Hyperlink" xfId="3447" builtinId="8" hidden="1"/>
    <cellStyle name="Hyperlink" xfId="3449" builtinId="8" hidden="1"/>
    <cellStyle name="Hyperlink" xfId="3451" builtinId="8" hidden="1"/>
    <cellStyle name="Hyperlink" xfId="3453" builtinId="8" hidden="1"/>
    <cellStyle name="Hyperlink" xfId="3455" builtinId="8" hidden="1"/>
    <cellStyle name="Hyperlink" xfId="3457" builtinId="8" hidden="1"/>
    <cellStyle name="Hyperlink" xfId="3459" builtinId="8" hidden="1"/>
    <cellStyle name="Hyperlink" xfId="3461" builtinId="8" hidden="1"/>
    <cellStyle name="Hyperlink" xfId="3463" builtinId="8" hidden="1"/>
    <cellStyle name="Hyperlink" xfId="3465" builtinId="8" hidden="1"/>
    <cellStyle name="Hyperlink" xfId="3467" builtinId="8" hidden="1"/>
    <cellStyle name="Hyperlink" xfId="3469" builtinId="8" hidden="1"/>
    <cellStyle name="Hyperlink" xfId="3471" builtinId="8" hidden="1"/>
    <cellStyle name="Hyperlink" xfId="3473" builtinId="8" hidden="1"/>
    <cellStyle name="Hyperlink" xfId="3475" builtinId="8" hidden="1"/>
    <cellStyle name="Hyperlink" xfId="3477" builtinId="8" hidden="1"/>
    <cellStyle name="Hyperlink" xfId="3479" builtinId="8" hidden="1"/>
    <cellStyle name="Hyperlink" xfId="3481" builtinId="8" hidden="1"/>
    <cellStyle name="Hyperlink" xfId="3483" builtinId="8" hidden="1"/>
    <cellStyle name="Hyperlink" xfId="3485" builtinId="8" hidden="1"/>
    <cellStyle name="Hyperlink" xfId="3487" builtinId="8" hidden="1"/>
    <cellStyle name="Hyperlink" xfId="3489" builtinId="8" hidden="1"/>
    <cellStyle name="Hyperlink" xfId="3491" builtinId="8" hidden="1"/>
    <cellStyle name="Hyperlink" xfId="3493" builtinId="8" hidden="1"/>
    <cellStyle name="Hyperlink" xfId="3495" builtinId="8" hidden="1"/>
    <cellStyle name="Hyperlink" xfId="3497" builtinId="8" hidden="1"/>
    <cellStyle name="Hyperlink" xfId="3499" builtinId="8" hidden="1"/>
    <cellStyle name="Hyperlink" xfId="3501" builtinId="8" hidden="1"/>
    <cellStyle name="Hyperlink" xfId="3503" builtinId="8" hidden="1"/>
    <cellStyle name="Hyperlink" xfId="3505" builtinId="8" hidden="1"/>
    <cellStyle name="Hyperlink" xfId="3507" builtinId="8" hidden="1"/>
    <cellStyle name="Hyperlink" xfId="3509" builtinId="8" hidden="1"/>
    <cellStyle name="Hyperlink" xfId="3511" builtinId="8" hidden="1"/>
    <cellStyle name="Hyperlink" xfId="3513" builtinId="8" hidden="1"/>
    <cellStyle name="Hyperlink" xfId="3515" builtinId="8" hidden="1"/>
    <cellStyle name="Hyperlink" xfId="3517" builtinId="8" hidden="1"/>
    <cellStyle name="Hyperlink" xfId="3519" builtinId="8" hidden="1"/>
    <cellStyle name="Hyperlink" xfId="3521" builtinId="8" hidden="1"/>
    <cellStyle name="Hyperlink" xfId="3523" builtinId="8" hidden="1"/>
    <cellStyle name="Hyperlink" xfId="3525" builtinId="8" hidden="1"/>
    <cellStyle name="Hyperlink" xfId="3527" builtinId="8" hidden="1"/>
    <cellStyle name="Hyperlink" xfId="3529" builtinId="8" hidden="1"/>
    <cellStyle name="Hyperlink" xfId="3531" builtinId="8" hidden="1"/>
    <cellStyle name="Hyperlink" xfId="3533" builtinId="8" hidden="1"/>
    <cellStyle name="Hyperlink" xfId="3535" builtinId="8" hidden="1"/>
    <cellStyle name="Hyperlink" xfId="3537" builtinId="8" hidden="1"/>
    <cellStyle name="Hyperlink" xfId="3539" builtinId="8" hidden="1"/>
    <cellStyle name="Hyperlink" xfId="3541" builtinId="8" hidden="1"/>
    <cellStyle name="Hyperlink" xfId="3543" builtinId="8" hidden="1"/>
    <cellStyle name="Hyperlink" xfId="3545" builtinId="8" hidden="1"/>
    <cellStyle name="Hyperlink" xfId="3547" builtinId="8" hidden="1"/>
    <cellStyle name="Hyperlink" xfId="3549" builtinId="8" hidden="1"/>
    <cellStyle name="Hyperlink" xfId="3551" builtinId="8" hidden="1"/>
    <cellStyle name="Hyperlink" xfId="3553" builtinId="8" hidden="1"/>
    <cellStyle name="Hyperlink" xfId="3555" builtinId="8" hidden="1"/>
    <cellStyle name="Hyperlink" xfId="3557" builtinId="8" hidden="1"/>
    <cellStyle name="Hyperlink" xfId="3559" builtinId="8" hidden="1"/>
    <cellStyle name="Hyperlink" xfId="3561" builtinId="8" hidden="1"/>
    <cellStyle name="Hyperlink" xfId="3563" builtinId="8" hidden="1"/>
    <cellStyle name="Hyperlink" xfId="3565" builtinId="8" hidden="1"/>
    <cellStyle name="Hyperlink" xfId="3567" builtinId="8" hidden="1"/>
    <cellStyle name="Hyperlink" xfId="3569" builtinId="8" hidden="1"/>
    <cellStyle name="Hyperlink" xfId="3571" builtinId="8" hidden="1"/>
    <cellStyle name="Hyperlink" xfId="3573" builtinId="8" hidden="1"/>
    <cellStyle name="Hyperlink" xfId="3575" builtinId="8" hidden="1"/>
    <cellStyle name="Hyperlink" xfId="3577" builtinId="8" hidden="1"/>
    <cellStyle name="Hyperlink" xfId="3579" builtinId="8" hidden="1"/>
    <cellStyle name="Hyperlink" xfId="3581" builtinId="8" hidden="1"/>
    <cellStyle name="Hyperlink" xfId="3583" builtinId="8" hidden="1"/>
    <cellStyle name="Hyperlink" xfId="3585" builtinId="8" hidden="1"/>
    <cellStyle name="Hyperlink" xfId="3587" builtinId="8" hidden="1"/>
    <cellStyle name="Hyperlink" xfId="3589" builtinId="8" hidden="1"/>
    <cellStyle name="Hyperlink" xfId="3591" builtinId="8" hidden="1"/>
    <cellStyle name="Hyperlink" xfId="3593" builtinId="8" hidden="1"/>
    <cellStyle name="Hyperlink" xfId="3595" builtinId="8" hidden="1"/>
    <cellStyle name="Hyperlink" xfId="3597" builtinId="8" hidden="1"/>
    <cellStyle name="Hyperlink" xfId="3599" builtinId="8" hidden="1"/>
    <cellStyle name="Hyperlink" xfId="3601" builtinId="8" hidden="1"/>
    <cellStyle name="Hyperlink" xfId="3603" builtinId="8" hidden="1"/>
    <cellStyle name="Hyperlink" xfId="3605" builtinId="8" hidden="1"/>
    <cellStyle name="Hyperlink" xfId="3607" builtinId="8" hidden="1"/>
    <cellStyle name="Hyperlink" xfId="3609" builtinId="8" hidden="1"/>
    <cellStyle name="Hyperlink" xfId="3611" builtinId="8" hidden="1"/>
    <cellStyle name="Hyperlink" xfId="3613" builtinId="8" hidden="1"/>
    <cellStyle name="Hyperlink" xfId="3615" builtinId="8" hidden="1"/>
    <cellStyle name="Hyperlink" xfId="3617" builtinId="8" hidden="1"/>
    <cellStyle name="Hyperlink" xfId="3619" builtinId="8" hidden="1"/>
    <cellStyle name="Hyperlink" xfId="3621" builtinId="8" hidden="1"/>
    <cellStyle name="Hyperlink" xfId="3623" builtinId="8" hidden="1"/>
    <cellStyle name="Hyperlink" xfId="3625" builtinId="8" hidden="1"/>
    <cellStyle name="Hyperlink" xfId="3627" builtinId="8" hidden="1"/>
    <cellStyle name="Hyperlink" xfId="3629" builtinId="8" hidden="1"/>
    <cellStyle name="Hyperlink" xfId="3631" builtinId="8" hidden="1"/>
    <cellStyle name="Hyperlink" xfId="3633" builtinId="8" hidden="1"/>
    <cellStyle name="Hyperlink" xfId="3635" builtinId="8" hidden="1"/>
    <cellStyle name="Hyperlink" xfId="3637" builtinId="8" hidden="1"/>
    <cellStyle name="Hyperlink" xfId="3639" builtinId="8" hidden="1"/>
    <cellStyle name="Hyperlink" xfId="3641" builtinId="8" hidden="1"/>
    <cellStyle name="Hyperlink" xfId="3643" builtinId="8" hidden="1"/>
    <cellStyle name="Hyperlink" xfId="3645" builtinId="8" hidden="1"/>
    <cellStyle name="Hyperlink" xfId="3647" builtinId="8" hidden="1"/>
    <cellStyle name="Hyperlink" xfId="3649" builtinId="8" hidden="1"/>
    <cellStyle name="Hyperlink" xfId="3651" builtinId="8" hidden="1"/>
    <cellStyle name="Hyperlink" xfId="3653" builtinId="8" hidden="1"/>
    <cellStyle name="Hyperlink" xfId="3655" builtinId="8" hidden="1"/>
    <cellStyle name="Hyperlink" xfId="3657" builtinId="8" hidden="1"/>
    <cellStyle name="Hyperlink" xfId="3659" builtinId="8" hidden="1"/>
    <cellStyle name="Hyperlink" xfId="3661" builtinId="8" hidden="1"/>
    <cellStyle name="Hyperlink" xfId="3663" builtinId="8" hidden="1"/>
    <cellStyle name="Hyperlink" xfId="3665" builtinId="8" hidden="1"/>
    <cellStyle name="Hyperlink" xfId="3667" builtinId="8" hidden="1"/>
    <cellStyle name="Hyperlink" xfId="3669" builtinId="8" hidden="1"/>
    <cellStyle name="Hyperlink" xfId="3671" builtinId="8" hidden="1"/>
    <cellStyle name="Hyperlink" xfId="3673" builtinId="8" hidden="1"/>
    <cellStyle name="Hyperlink" xfId="3675" builtinId="8" hidden="1"/>
    <cellStyle name="Hyperlink" xfId="3677" builtinId="8" hidden="1"/>
    <cellStyle name="Hyperlink" xfId="3679" builtinId="8" hidden="1"/>
    <cellStyle name="Hyperlink" xfId="3681" builtinId="8" hidden="1"/>
    <cellStyle name="Hyperlink" xfId="3683" builtinId="8" hidden="1"/>
    <cellStyle name="Hyperlink" xfId="3685" builtinId="8" hidden="1"/>
    <cellStyle name="Hyperlink" xfId="3687" builtinId="8" hidden="1"/>
    <cellStyle name="Hyperlink" xfId="3689" builtinId="8" hidden="1"/>
    <cellStyle name="Hyperlink" xfId="3691" builtinId="8" hidden="1"/>
    <cellStyle name="Hyperlink" xfId="3693" builtinId="8" hidden="1"/>
    <cellStyle name="Hyperlink" xfId="3695" builtinId="8" hidden="1"/>
    <cellStyle name="Hyperlink" xfId="3697" builtinId="8" hidden="1"/>
    <cellStyle name="Hyperlink" xfId="3699" builtinId="8" hidden="1"/>
    <cellStyle name="Hyperlink" xfId="3701" builtinId="8" hidden="1"/>
    <cellStyle name="Hyperlink" xfId="3703" builtinId="8" hidden="1"/>
    <cellStyle name="Hyperlink" xfId="3705" builtinId="8" hidden="1"/>
    <cellStyle name="Hyperlink" xfId="3707" builtinId="8" hidden="1"/>
    <cellStyle name="Hyperlink" xfId="3709" builtinId="8" hidden="1"/>
    <cellStyle name="Hyperlink" xfId="3711" builtinId="8" hidden="1"/>
    <cellStyle name="Hyperlink" xfId="3713" builtinId="8" hidden="1"/>
    <cellStyle name="Hyperlink" xfId="3715" builtinId="8" hidden="1"/>
    <cellStyle name="Hyperlink" xfId="3717" builtinId="8" hidden="1"/>
    <cellStyle name="Hyperlink" xfId="3719" builtinId="8" hidden="1"/>
    <cellStyle name="Hyperlink" xfId="3721" builtinId="8" hidden="1"/>
    <cellStyle name="Hyperlink" xfId="3723" builtinId="8" hidden="1"/>
    <cellStyle name="Hyperlink" xfId="3725" builtinId="8" hidden="1"/>
    <cellStyle name="Hyperlink" xfId="3727" builtinId="8" hidden="1"/>
    <cellStyle name="Hyperlink" xfId="3729" builtinId="8" hidden="1"/>
    <cellStyle name="Hyperlink" xfId="3731" builtinId="8" hidden="1"/>
    <cellStyle name="Hyperlink" xfId="3733" builtinId="8" hidden="1"/>
    <cellStyle name="Hyperlink" xfId="3735" builtinId="8" hidden="1"/>
    <cellStyle name="Hyperlink" xfId="3737" builtinId="8" hidden="1"/>
    <cellStyle name="Hyperlink" xfId="3739" builtinId="8" hidden="1"/>
    <cellStyle name="Hyperlink" xfId="3741" builtinId="8" hidden="1"/>
    <cellStyle name="Hyperlink" xfId="3743" builtinId="8" hidden="1"/>
    <cellStyle name="Hyperlink" xfId="3745" builtinId="8" hidden="1"/>
    <cellStyle name="Hyperlink" xfId="3747" builtinId="8" hidden="1"/>
    <cellStyle name="Hyperlink" xfId="3749" builtinId="8" hidden="1"/>
    <cellStyle name="Hyperlink" xfId="3751" builtinId="8" hidden="1"/>
    <cellStyle name="Hyperlink" xfId="3753" builtinId="8" hidden="1"/>
    <cellStyle name="Hyperlink" xfId="3755" builtinId="8" hidden="1"/>
    <cellStyle name="Hyperlink" xfId="3757" builtinId="8" hidden="1"/>
    <cellStyle name="Hyperlink" xfId="3759" builtinId="8" hidden="1"/>
    <cellStyle name="Hyperlink" xfId="3761" builtinId="8" hidden="1"/>
    <cellStyle name="Hyperlink" xfId="3763" builtinId="8" hidden="1"/>
    <cellStyle name="Hyperlink" xfId="3765" builtinId="8" hidden="1"/>
    <cellStyle name="Hyperlink" xfId="3767" builtinId="8" hidden="1"/>
    <cellStyle name="Hyperlink" xfId="3769" builtinId="8" hidden="1"/>
    <cellStyle name="Hyperlink" xfId="3771" builtinId="8" hidden="1"/>
    <cellStyle name="Hyperlink" xfId="3773" builtinId="8" hidden="1"/>
    <cellStyle name="Hyperlink" xfId="3775" builtinId="8" hidden="1"/>
    <cellStyle name="Hyperlink" xfId="3777" builtinId="8" hidden="1"/>
    <cellStyle name="Hyperlink" xfId="3779" builtinId="8" hidden="1"/>
    <cellStyle name="Hyperlink" xfId="3781" builtinId="8" hidden="1"/>
    <cellStyle name="Hyperlink" xfId="3783" builtinId="8" hidden="1"/>
    <cellStyle name="Hyperlink" xfId="3785" builtinId="8" hidden="1"/>
    <cellStyle name="Hyperlink" xfId="3787" builtinId="8" hidden="1"/>
    <cellStyle name="Hyperlink" xfId="3789" builtinId="8" hidden="1"/>
    <cellStyle name="Hyperlink" xfId="3791" builtinId="8" hidden="1"/>
    <cellStyle name="Hyperlink" xfId="3793" builtinId="8" hidden="1"/>
    <cellStyle name="Hyperlink" xfId="3795" builtinId="8" hidden="1"/>
    <cellStyle name="Hyperlink" xfId="3797" builtinId="8" hidden="1"/>
    <cellStyle name="Hyperlink" xfId="3799" builtinId="8" hidden="1"/>
    <cellStyle name="Hyperlink" xfId="3801" builtinId="8" hidden="1"/>
    <cellStyle name="Hyperlink" xfId="3803" builtinId="8" hidden="1"/>
    <cellStyle name="Hyperlink" xfId="3805" builtinId="8" hidden="1"/>
    <cellStyle name="Hyperlink" xfId="3807" builtinId="8" hidden="1"/>
    <cellStyle name="Hyperlink" xfId="3809" builtinId="8" hidden="1"/>
    <cellStyle name="Hyperlink" xfId="3811" builtinId="8" hidden="1"/>
    <cellStyle name="Hyperlink" xfId="3813" builtinId="8" hidden="1"/>
    <cellStyle name="Hyperlink" xfId="3815" builtinId="8" hidden="1"/>
    <cellStyle name="Hyperlink" xfId="3817" builtinId="8" hidden="1"/>
    <cellStyle name="Hyperlink" xfId="3819" builtinId="8" hidden="1"/>
    <cellStyle name="Hyperlink" xfId="3821" builtinId="8" hidden="1"/>
    <cellStyle name="Hyperlink" xfId="3823" builtinId="8" hidden="1"/>
    <cellStyle name="Hyperlink" xfId="3825" builtinId="8" hidden="1"/>
    <cellStyle name="Hyperlink" xfId="3827" builtinId="8" hidden="1"/>
    <cellStyle name="Hyperlink" xfId="3829" builtinId="8" hidden="1"/>
    <cellStyle name="Hyperlink" xfId="3831" builtinId="8" hidden="1"/>
    <cellStyle name="Hyperlink" xfId="3833" builtinId="8" hidden="1"/>
    <cellStyle name="Hyperlink" xfId="3835" builtinId="8" hidden="1"/>
    <cellStyle name="Hyperlink" xfId="3837" builtinId="8" hidden="1"/>
    <cellStyle name="Hyperlink" xfId="3839" builtinId="8" hidden="1"/>
    <cellStyle name="Hyperlink" xfId="3841" builtinId="8" hidden="1"/>
    <cellStyle name="Hyperlink" xfId="3843" builtinId="8" hidden="1"/>
    <cellStyle name="Hyperlink" xfId="3845" builtinId="8" hidden="1"/>
    <cellStyle name="Hyperlink" xfId="3847" builtinId="8" hidden="1"/>
    <cellStyle name="Hyperlink" xfId="3849" builtinId="8" hidden="1"/>
    <cellStyle name="Hyperlink" xfId="3851" builtinId="8" hidden="1"/>
    <cellStyle name="Hyperlink" xfId="3853" builtinId="8" hidden="1"/>
    <cellStyle name="Hyperlink" xfId="3855" builtinId="8" hidden="1"/>
    <cellStyle name="Hyperlink" xfId="3857" builtinId="8" hidden="1"/>
    <cellStyle name="Hyperlink" xfId="3859" builtinId="8" hidden="1"/>
    <cellStyle name="Hyperlink" xfId="3861" builtinId="8" hidden="1"/>
    <cellStyle name="Hyperlink" xfId="3863" builtinId="8" hidden="1"/>
    <cellStyle name="Hyperlink" xfId="3865" builtinId="8" hidden="1"/>
    <cellStyle name="Hyperlink" xfId="3867" builtinId="8" hidden="1"/>
    <cellStyle name="Hyperlink" xfId="3869" builtinId="8" hidden="1"/>
    <cellStyle name="Hyperlink" xfId="3871" builtinId="8" hidden="1"/>
    <cellStyle name="Hyperlink" xfId="3873" builtinId="8" hidden="1"/>
    <cellStyle name="Hyperlink" xfId="3875" builtinId="8" hidden="1"/>
    <cellStyle name="Hyperlink" xfId="3877" builtinId="8" hidden="1"/>
    <cellStyle name="Hyperlink" xfId="3879" builtinId="8" hidden="1"/>
    <cellStyle name="Hyperlink" xfId="3881" builtinId="8" hidden="1"/>
    <cellStyle name="Hyperlink" xfId="3883" builtinId="8" hidden="1"/>
    <cellStyle name="Hyperlink" xfId="3885" builtinId="8" hidden="1"/>
    <cellStyle name="Hyperlink" xfId="3887" builtinId="8" hidden="1"/>
    <cellStyle name="Hyperlink" xfId="3889" builtinId="8" hidden="1"/>
    <cellStyle name="Hyperlink" xfId="3891" builtinId="8" hidden="1"/>
    <cellStyle name="Hyperlink" xfId="3893" builtinId="8" hidden="1"/>
    <cellStyle name="Hyperlink" xfId="3895" builtinId="8" hidden="1"/>
    <cellStyle name="Hyperlink" xfId="3897" builtinId="8" hidden="1"/>
    <cellStyle name="Hyperlink" xfId="3899" builtinId="8" hidden="1"/>
    <cellStyle name="Hyperlink" xfId="3901" builtinId="8" hidden="1"/>
    <cellStyle name="Hyperlink" xfId="3903" builtinId="8" hidden="1"/>
    <cellStyle name="Hyperlink" xfId="3905" builtinId="8" hidden="1"/>
    <cellStyle name="Hyperlink" xfId="3907" builtinId="8" hidden="1"/>
    <cellStyle name="Hyperlink" xfId="3909" builtinId="8" hidden="1"/>
    <cellStyle name="Hyperlink" xfId="3911" builtinId="8" hidden="1"/>
    <cellStyle name="Hyperlink" xfId="3913" builtinId="8" hidden="1"/>
    <cellStyle name="Hyperlink" xfId="3915" builtinId="8" hidden="1"/>
    <cellStyle name="Hyperlink" xfId="3917" builtinId="8" hidden="1"/>
    <cellStyle name="Hyperlink" xfId="3919" builtinId="8" hidden="1"/>
    <cellStyle name="Hyperlink" xfId="3921" builtinId="8" hidden="1"/>
    <cellStyle name="Hyperlink" xfId="3923" builtinId="8" hidden="1"/>
    <cellStyle name="Hyperlink" xfId="3925" builtinId="8" hidden="1"/>
    <cellStyle name="Hyperlink" xfId="3927" builtinId="8" hidden="1"/>
    <cellStyle name="Hyperlink" xfId="3929" builtinId="8" hidden="1"/>
    <cellStyle name="Hyperlink" xfId="3931" builtinId="8" hidden="1"/>
    <cellStyle name="Hyperlink" xfId="3933" builtinId="8" hidden="1"/>
    <cellStyle name="Hyperlink" xfId="3935" builtinId="8" hidden="1"/>
    <cellStyle name="Hyperlink" xfId="3937" builtinId="8" hidden="1"/>
    <cellStyle name="Hyperlink" xfId="3939" builtinId="8" hidden="1"/>
    <cellStyle name="Hyperlink" xfId="3941" builtinId="8" hidden="1"/>
    <cellStyle name="Hyperlink" xfId="3943" builtinId="8" hidden="1"/>
    <cellStyle name="Hyperlink" xfId="3945" builtinId="8" hidden="1"/>
    <cellStyle name="Hyperlink" xfId="3947" builtinId="8" hidden="1"/>
    <cellStyle name="Hyperlink" xfId="3949" builtinId="8" hidden="1"/>
    <cellStyle name="Hyperlink" xfId="3951" builtinId="8" hidden="1"/>
    <cellStyle name="Hyperlink" xfId="3953" builtinId="8" hidden="1"/>
    <cellStyle name="Hyperlink" xfId="3955" builtinId="8" hidden="1"/>
    <cellStyle name="Hyperlink" xfId="3957" builtinId="8" hidden="1"/>
    <cellStyle name="Hyperlink" xfId="3959" builtinId="8" hidden="1"/>
    <cellStyle name="Hyperlink" xfId="3961" builtinId="8" hidden="1"/>
    <cellStyle name="Hyperlink" xfId="3963" builtinId="8" hidden="1"/>
    <cellStyle name="Hyperlink" xfId="3965" builtinId="8" hidden="1"/>
    <cellStyle name="Hyperlink" xfId="3967" builtinId="8" hidden="1"/>
    <cellStyle name="Hyperlink" xfId="3969" builtinId="8" hidden="1"/>
    <cellStyle name="Hyperlink" xfId="3971" builtinId="8" hidden="1"/>
    <cellStyle name="Hyperlink" xfId="3973" builtinId="8" hidden="1"/>
    <cellStyle name="Hyperlink" xfId="3975" builtinId="8" hidden="1"/>
    <cellStyle name="Hyperlink" xfId="3977" builtinId="8" hidden="1"/>
    <cellStyle name="Hyperlink" xfId="3979" builtinId="8" hidden="1"/>
    <cellStyle name="Hyperlink" xfId="3981" builtinId="8" hidden="1"/>
    <cellStyle name="Hyperlink" xfId="3983" builtinId="8" hidden="1"/>
    <cellStyle name="Hyperlink" xfId="3985" builtinId="8" hidden="1"/>
    <cellStyle name="Hyperlink" xfId="3987" builtinId="8" hidden="1"/>
    <cellStyle name="Hyperlink" xfId="3989" builtinId="8" hidden="1"/>
    <cellStyle name="Hyperlink" xfId="3991" builtinId="8" hidden="1"/>
    <cellStyle name="Hyperlink" xfId="3993" builtinId="8" hidden="1"/>
    <cellStyle name="Hyperlink" xfId="3995" builtinId="8" hidden="1"/>
    <cellStyle name="Hyperlink" xfId="3997" builtinId="8" hidden="1"/>
    <cellStyle name="Hyperlink" xfId="3999" builtinId="8" hidden="1"/>
    <cellStyle name="Hyperlink" xfId="4001" builtinId="8" hidden="1"/>
    <cellStyle name="Hyperlink" xfId="4003" builtinId="8" hidden="1"/>
    <cellStyle name="Hyperlink" xfId="4005" builtinId="8" hidden="1"/>
    <cellStyle name="Hyperlink" xfId="4007" builtinId="8" hidden="1"/>
    <cellStyle name="Hyperlink" xfId="4009" builtinId="8" hidden="1"/>
    <cellStyle name="Hyperlink" xfId="4011" builtinId="8" hidden="1"/>
    <cellStyle name="Hyperlink" xfId="4013" builtinId="8" hidden="1"/>
    <cellStyle name="Hyperlink" xfId="4015" builtinId="8" hidden="1"/>
    <cellStyle name="Hyperlink" xfId="4017" builtinId="8" hidden="1"/>
    <cellStyle name="Hyperlink" xfId="4019" builtinId="8" hidden="1"/>
    <cellStyle name="Hyperlink" xfId="4021" builtinId="8" hidden="1"/>
    <cellStyle name="Hyperlink" xfId="4023" builtinId="8" hidden="1"/>
    <cellStyle name="Hyperlink" xfId="4025" builtinId="8" hidden="1"/>
    <cellStyle name="Hyperlink" xfId="4027" builtinId="8" hidden="1"/>
    <cellStyle name="Hyperlink" xfId="4029" builtinId="8" hidden="1"/>
    <cellStyle name="Hyperlink" xfId="4031" builtinId="8" hidden="1"/>
    <cellStyle name="Hyperlink" xfId="4033" builtinId="8" hidden="1"/>
    <cellStyle name="Hyperlink" xfId="4035" builtinId="8" hidden="1"/>
    <cellStyle name="Hyperlink" xfId="4037" builtinId="8" hidden="1"/>
    <cellStyle name="Hyperlink" xfId="4039" builtinId="8" hidden="1"/>
    <cellStyle name="Hyperlink" xfId="4041" builtinId="8" hidden="1"/>
    <cellStyle name="Hyperlink" xfId="4043" builtinId="8" hidden="1"/>
    <cellStyle name="Hyperlink" xfId="4045" builtinId="8" hidden="1"/>
    <cellStyle name="Hyperlink" xfId="4047" builtinId="8" hidden="1"/>
    <cellStyle name="Hyperlink" xfId="4049" builtinId="8" hidden="1"/>
    <cellStyle name="Hyperlink" xfId="4051" builtinId="8" hidden="1"/>
    <cellStyle name="Hyperlink" xfId="4053" builtinId="8" hidden="1"/>
    <cellStyle name="Hyperlink" xfId="4055" builtinId="8" hidden="1"/>
    <cellStyle name="Hyperlink" xfId="4057" builtinId="8" hidden="1"/>
    <cellStyle name="Hyperlink" xfId="4059" builtinId="8" hidden="1"/>
    <cellStyle name="Hyperlink" xfId="4061" builtinId="8" hidden="1"/>
    <cellStyle name="Hyperlink" xfId="4063" builtinId="8" hidden="1"/>
    <cellStyle name="Hyperlink" xfId="4065" builtinId="8" hidden="1"/>
    <cellStyle name="Hyperlink" xfId="4067" builtinId="8" hidden="1"/>
    <cellStyle name="Hyperlink" xfId="4069" builtinId="8" hidden="1"/>
    <cellStyle name="Hyperlink" xfId="4071" builtinId="8" hidden="1"/>
    <cellStyle name="Hyperlink" xfId="4073" builtinId="8" hidden="1"/>
    <cellStyle name="Hyperlink" xfId="4075" builtinId="8" hidden="1"/>
    <cellStyle name="Hyperlink" xfId="4077" builtinId="8" hidden="1"/>
    <cellStyle name="Hyperlink" xfId="4079" builtinId="8" hidden="1"/>
    <cellStyle name="Hyperlink" xfId="4081" builtinId="8" hidden="1"/>
    <cellStyle name="Hyperlink" xfId="4083" builtinId="8" hidden="1"/>
    <cellStyle name="Hyperlink" xfId="4085" builtinId="8" hidden="1"/>
    <cellStyle name="Hyperlink" xfId="4087" builtinId="8" hidden="1"/>
    <cellStyle name="Hyperlink" xfId="4089" builtinId="8" hidden="1"/>
    <cellStyle name="Hyperlink" xfId="4091" builtinId="8" hidden="1"/>
    <cellStyle name="Hyperlink" xfId="4093" builtinId="8" hidden="1"/>
    <cellStyle name="Hyperlink" xfId="4095" builtinId="8" hidden="1"/>
    <cellStyle name="Hyperlink" xfId="4097" builtinId="8" hidden="1"/>
    <cellStyle name="Hyperlink" xfId="4099" builtinId="8" hidden="1"/>
    <cellStyle name="Hyperlink" xfId="4101" builtinId="8" hidden="1"/>
    <cellStyle name="Hyperlink" xfId="4103" builtinId="8" hidden="1"/>
    <cellStyle name="Hyperlink" xfId="4105" builtinId="8" hidden="1"/>
    <cellStyle name="Hyperlink" xfId="4107" builtinId="8" hidden="1"/>
    <cellStyle name="Hyperlink" xfId="4109" builtinId="8" hidden="1"/>
    <cellStyle name="Hyperlink" xfId="4111" builtinId="8" hidden="1"/>
    <cellStyle name="Hyperlink" xfId="4113" builtinId="8" hidden="1"/>
    <cellStyle name="Hyperlink" xfId="4115" builtinId="8" hidden="1"/>
    <cellStyle name="Hyperlink" xfId="4117" builtinId="8" hidden="1"/>
    <cellStyle name="Hyperlink" xfId="4119" builtinId="8" hidden="1"/>
    <cellStyle name="Hyperlink" xfId="4121" builtinId="8" hidden="1"/>
    <cellStyle name="Hyperlink" xfId="4123" builtinId="8" hidden="1"/>
    <cellStyle name="Hyperlink" xfId="4125" builtinId="8" hidden="1"/>
    <cellStyle name="Hyperlink" xfId="4127" builtinId="8" hidden="1"/>
    <cellStyle name="Hyperlink" xfId="4129" builtinId="8" hidden="1"/>
    <cellStyle name="Hyperlink" xfId="4131" builtinId="8" hidden="1"/>
    <cellStyle name="Hyperlink" xfId="4133" builtinId="8" hidden="1"/>
    <cellStyle name="Hyperlink" xfId="4135" builtinId="8" hidden="1"/>
    <cellStyle name="Hyperlink" xfId="4137" builtinId="8" hidden="1"/>
    <cellStyle name="Hyperlink" xfId="4139" builtinId="8" hidden="1"/>
    <cellStyle name="Hyperlink" xfId="4141" builtinId="8" hidden="1"/>
    <cellStyle name="Hyperlink" xfId="4143" builtinId="8" hidden="1"/>
    <cellStyle name="Hyperlink" xfId="4145" builtinId="8" hidden="1"/>
    <cellStyle name="Hyperlink" xfId="4147" builtinId="8" hidden="1"/>
    <cellStyle name="Hyperlink" xfId="4149" builtinId="8" hidden="1"/>
    <cellStyle name="Hyperlink" xfId="4151" builtinId="8" hidden="1"/>
    <cellStyle name="Hyperlink" xfId="4153" builtinId="8" hidden="1"/>
    <cellStyle name="Hyperlink" xfId="4155" builtinId="8" hidden="1"/>
    <cellStyle name="Hyperlink" xfId="4157" builtinId="8" hidden="1"/>
    <cellStyle name="Hyperlink" xfId="4159" builtinId="8" hidden="1"/>
    <cellStyle name="Hyperlink" xfId="4161" builtinId="8" hidden="1"/>
    <cellStyle name="Hyperlink" xfId="4163" builtinId="8" hidden="1"/>
    <cellStyle name="Hyperlink" xfId="4165" builtinId="8" hidden="1"/>
    <cellStyle name="Hyperlink" xfId="4167" builtinId="8" hidden="1"/>
    <cellStyle name="Hyperlink" xfId="4169" builtinId="8" hidden="1"/>
    <cellStyle name="Hyperlink" xfId="4171" builtinId="8" hidden="1"/>
    <cellStyle name="Hyperlink" xfId="4173" builtinId="8" hidden="1"/>
    <cellStyle name="Hyperlink" xfId="4175" builtinId="8" hidden="1"/>
    <cellStyle name="Hyperlink" xfId="4177" builtinId="8" hidden="1"/>
    <cellStyle name="Hyperlink" xfId="4179" builtinId="8" hidden="1"/>
    <cellStyle name="Hyperlink" xfId="4181" builtinId="8" hidden="1"/>
    <cellStyle name="Hyperlink" xfId="4183" builtinId="8" hidden="1"/>
    <cellStyle name="Hyperlink" xfId="4185" builtinId="8" hidden="1"/>
    <cellStyle name="Hyperlink" xfId="4187" builtinId="8" hidden="1"/>
    <cellStyle name="Hyperlink" xfId="4189" builtinId="8" hidden="1"/>
    <cellStyle name="Hyperlink" xfId="4191" builtinId="8" hidden="1"/>
    <cellStyle name="Hyperlink" xfId="4193" builtinId="8" hidden="1"/>
    <cellStyle name="Hyperlink" xfId="4195" builtinId="8" hidden="1"/>
    <cellStyle name="Hyperlink" xfId="4197" builtinId="8" hidden="1"/>
    <cellStyle name="Hyperlink" xfId="4199" builtinId="8" hidden="1"/>
    <cellStyle name="Hyperlink" xfId="4201" builtinId="8" hidden="1"/>
    <cellStyle name="Hyperlink" xfId="4203" builtinId="8" hidden="1"/>
    <cellStyle name="Hyperlink" xfId="4205" builtinId="8" hidden="1"/>
    <cellStyle name="Hyperlink" xfId="4207" builtinId="8" hidden="1"/>
    <cellStyle name="Hyperlink" xfId="4209" builtinId="8" hidden="1"/>
    <cellStyle name="Hyperlink" xfId="4211" builtinId="8" hidden="1"/>
    <cellStyle name="Hyperlink" xfId="4213" builtinId="8" hidden="1"/>
    <cellStyle name="Hyperlink" xfId="4215" builtinId="8" hidden="1"/>
    <cellStyle name="Hyperlink" xfId="4217" builtinId="8" hidden="1"/>
    <cellStyle name="Hyperlink" xfId="4219" builtinId="8" hidden="1"/>
    <cellStyle name="Hyperlink" xfId="4221" builtinId="8" hidden="1"/>
    <cellStyle name="Hyperlink" xfId="4223" builtinId="8" hidden="1"/>
    <cellStyle name="Hyperlink" xfId="4225" builtinId="8" hidden="1"/>
    <cellStyle name="Hyperlink" xfId="4227" builtinId="8" hidden="1"/>
    <cellStyle name="Hyperlink" xfId="4229" builtinId="8" hidden="1"/>
    <cellStyle name="Hyperlink" xfId="4231" builtinId="8" hidden="1"/>
    <cellStyle name="Hyperlink" xfId="4233" builtinId="8" hidden="1"/>
    <cellStyle name="Hyperlink" xfId="4235" builtinId="8" hidden="1"/>
    <cellStyle name="Hyperlink" xfId="4237" builtinId="8" hidden="1"/>
    <cellStyle name="Hyperlink" xfId="4239" builtinId="8" hidden="1"/>
    <cellStyle name="Hyperlink" xfId="4241" builtinId="8" hidden="1"/>
    <cellStyle name="Hyperlink" xfId="4243" builtinId="8" hidden="1"/>
    <cellStyle name="Hyperlink" xfId="4245" builtinId="8" hidden="1"/>
    <cellStyle name="Hyperlink" xfId="4247" builtinId="8" hidden="1"/>
    <cellStyle name="Hyperlink" xfId="4249" builtinId="8" hidden="1"/>
    <cellStyle name="Hyperlink" xfId="4251" builtinId="8" hidden="1"/>
    <cellStyle name="Hyperlink" xfId="4253" builtinId="8" hidden="1"/>
    <cellStyle name="Hyperlink" xfId="4255" builtinId="8" hidden="1"/>
    <cellStyle name="Hyperlink" xfId="4257" builtinId="8" hidden="1"/>
    <cellStyle name="Hyperlink" xfId="4259" builtinId="8" hidden="1"/>
    <cellStyle name="Hyperlink" xfId="4261" builtinId="8" hidden="1"/>
    <cellStyle name="Hyperlink" xfId="4263" builtinId="8" hidden="1"/>
    <cellStyle name="Hyperlink" xfId="4265" builtinId="8" hidden="1"/>
    <cellStyle name="Hyperlink" xfId="4267" builtinId="8" hidden="1"/>
    <cellStyle name="Hyperlink" xfId="4269" builtinId="8" hidden="1"/>
    <cellStyle name="Hyperlink" xfId="4271" builtinId="8" hidden="1"/>
    <cellStyle name="Hyperlink" xfId="4273" builtinId="8" hidden="1"/>
    <cellStyle name="Hyperlink" xfId="4275" builtinId="8" hidden="1"/>
    <cellStyle name="Hyperlink" xfId="4277" builtinId="8" hidden="1"/>
    <cellStyle name="Hyperlink" xfId="4279" builtinId="8" hidden="1"/>
    <cellStyle name="Hyperlink" xfId="4281" builtinId="8" hidden="1"/>
    <cellStyle name="Hyperlink" xfId="4283" builtinId="8" hidden="1"/>
    <cellStyle name="Hyperlink" xfId="4285" builtinId="8" hidden="1"/>
    <cellStyle name="Hyperlink" xfId="4287" builtinId="8" hidden="1"/>
    <cellStyle name="Hyperlink" xfId="4289" builtinId="8" hidden="1"/>
    <cellStyle name="Hyperlink" xfId="4291" builtinId="8" hidden="1"/>
    <cellStyle name="Hyperlink" xfId="4293" builtinId="8" hidden="1"/>
    <cellStyle name="Hyperlink" xfId="4295" builtinId="8" hidden="1"/>
    <cellStyle name="Hyperlink" xfId="4297" builtinId="8" hidden="1"/>
    <cellStyle name="Hyperlink" xfId="4299" builtinId="8" hidden="1"/>
    <cellStyle name="Hyperlink" xfId="4301" builtinId="8" hidden="1"/>
    <cellStyle name="Hyperlink" xfId="4303" builtinId="8" hidden="1"/>
    <cellStyle name="Hyperlink" xfId="4305" builtinId="8" hidden="1"/>
    <cellStyle name="Hyperlink" xfId="4307" builtinId="8" hidden="1"/>
    <cellStyle name="Hyperlink" xfId="4309" builtinId="8" hidden="1"/>
    <cellStyle name="Hyperlink" xfId="4311" builtinId="8" hidden="1"/>
    <cellStyle name="Hyperlink" xfId="4313" builtinId="8" hidden="1"/>
    <cellStyle name="Hyperlink" xfId="4315" builtinId="8" hidden="1"/>
    <cellStyle name="Hyperlink" xfId="4317" builtinId="8" hidden="1"/>
    <cellStyle name="Hyperlink" xfId="4319" builtinId="8" hidden="1"/>
    <cellStyle name="Hyperlink" xfId="4321" builtinId="8" hidden="1"/>
    <cellStyle name="Hyperlink" xfId="4323" builtinId="8" hidden="1"/>
    <cellStyle name="Hyperlink" xfId="4325" builtinId="8" hidden="1"/>
    <cellStyle name="Hyperlink" xfId="4327" builtinId="8" hidden="1"/>
    <cellStyle name="Hyperlink" xfId="4329" builtinId="8" hidden="1"/>
    <cellStyle name="Hyperlink" xfId="4331" builtinId="8" hidden="1"/>
    <cellStyle name="Hyperlink" xfId="4333" builtinId="8" hidden="1"/>
    <cellStyle name="Hyperlink" xfId="4335" builtinId="8" hidden="1"/>
    <cellStyle name="Hyperlink" xfId="4337" builtinId="8" hidden="1"/>
    <cellStyle name="Hyperlink" xfId="4339" builtinId="8" hidden="1"/>
    <cellStyle name="Hyperlink" xfId="4341" builtinId="8" hidden="1"/>
    <cellStyle name="Hyperlink" xfId="4343" builtinId="8" hidden="1"/>
    <cellStyle name="Hyperlink" xfId="4345" builtinId="8" hidden="1"/>
    <cellStyle name="Hyperlink" xfId="4347" builtinId="8" hidden="1"/>
    <cellStyle name="Hyperlink" xfId="4349" builtinId="8" hidden="1"/>
    <cellStyle name="Hyperlink" xfId="4351" builtinId="8" hidden="1"/>
    <cellStyle name="Hyperlink" xfId="4353" builtinId="8" hidden="1"/>
    <cellStyle name="Hyperlink" xfId="4355" builtinId="8" hidden="1"/>
    <cellStyle name="Hyperlink" xfId="4357" builtinId="8" hidden="1"/>
    <cellStyle name="Hyperlink" xfId="4359" builtinId="8" hidden="1"/>
    <cellStyle name="Hyperlink" xfId="4361" builtinId="8" hidden="1"/>
    <cellStyle name="Hyperlink" xfId="4363" builtinId="8" hidden="1"/>
    <cellStyle name="Hyperlink" xfId="4365" builtinId="8" hidden="1"/>
    <cellStyle name="Hyperlink" xfId="4367" builtinId="8" hidden="1"/>
    <cellStyle name="Hyperlink" xfId="4369" builtinId="8" hidden="1"/>
    <cellStyle name="Hyperlink" xfId="4371" builtinId="8" hidden="1"/>
    <cellStyle name="Hyperlink" xfId="4373" builtinId="8" hidden="1"/>
    <cellStyle name="Hyperlink" xfId="4375" builtinId="8" hidden="1"/>
    <cellStyle name="Hyperlink" xfId="4377" builtinId="8" hidden="1"/>
    <cellStyle name="Hyperlink" xfId="4379" builtinId="8" hidden="1"/>
    <cellStyle name="Hyperlink" xfId="4381" builtinId="8" hidden="1"/>
    <cellStyle name="Hyperlink" xfId="4383" builtinId="8" hidden="1"/>
    <cellStyle name="Hyperlink" xfId="4385" builtinId="8" hidden="1"/>
    <cellStyle name="Hyperlink" xfId="4387" builtinId="8" hidden="1"/>
    <cellStyle name="Hyperlink" xfId="4389" builtinId="8" hidden="1"/>
    <cellStyle name="Hyperlink" xfId="4391" builtinId="8" hidden="1"/>
    <cellStyle name="Hyperlink" xfId="4393" builtinId="8" hidden="1"/>
    <cellStyle name="Hyperlink" xfId="4395" builtinId="8" hidden="1"/>
    <cellStyle name="Hyperlink" xfId="4397" builtinId="8" hidden="1"/>
    <cellStyle name="Hyperlink" xfId="4399" builtinId="8" hidden="1"/>
    <cellStyle name="Hyperlink" xfId="4401" builtinId="8" hidden="1"/>
    <cellStyle name="Hyperlink" xfId="4403" builtinId="8" hidden="1"/>
    <cellStyle name="Hyperlink" xfId="4405" builtinId="8" hidden="1"/>
    <cellStyle name="Hyperlink" xfId="4407" builtinId="8" hidden="1"/>
    <cellStyle name="Hyperlink" xfId="4409" builtinId="8" hidden="1"/>
    <cellStyle name="Hyperlink" xfId="4411" builtinId="8" hidden="1"/>
    <cellStyle name="Hyperlink" xfId="4413" builtinId="8" hidden="1"/>
    <cellStyle name="Hyperlink" xfId="4415" builtinId="8" hidden="1"/>
    <cellStyle name="Hyperlink" xfId="4417" builtinId="8" hidden="1"/>
    <cellStyle name="Hyperlink" xfId="4419" builtinId="8" hidden="1"/>
    <cellStyle name="Hyperlink" xfId="4421" builtinId="8" hidden="1"/>
    <cellStyle name="Hyperlink" xfId="4423" builtinId="8" hidden="1"/>
    <cellStyle name="Hyperlink" xfId="4425" builtinId="8" hidden="1"/>
    <cellStyle name="Hyperlink" xfId="4427" builtinId="8" hidden="1"/>
    <cellStyle name="Hyperlink" xfId="4429" builtinId="8" hidden="1"/>
    <cellStyle name="Hyperlink" xfId="4431" builtinId="8" hidden="1"/>
    <cellStyle name="Hyperlink" xfId="4433" builtinId="8" hidden="1"/>
    <cellStyle name="Hyperlink" xfId="4435" builtinId="8" hidden="1"/>
    <cellStyle name="Hyperlink" xfId="4437" builtinId="8" hidden="1"/>
    <cellStyle name="Hyperlink" xfId="4439" builtinId="8" hidden="1"/>
    <cellStyle name="Hyperlink" xfId="4441" builtinId="8" hidden="1"/>
    <cellStyle name="Hyperlink" xfId="4443" builtinId="8" hidden="1"/>
    <cellStyle name="Hyperlink" xfId="4445" builtinId="8" hidden="1"/>
    <cellStyle name="Hyperlink" xfId="4447" builtinId="8" hidden="1"/>
    <cellStyle name="Hyperlink" xfId="4449" builtinId="8" hidden="1"/>
    <cellStyle name="Hyperlink" xfId="4451" builtinId="8" hidden="1"/>
    <cellStyle name="Hyperlink" xfId="4453" builtinId="8" hidden="1"/>
    <cellStyle name="Hyperlink" xfId="4455" builtinId="8" hidden="1"/>
    <cellStyle name="Hyperlink" xfId="4457" builtinId="8" hidden="1"/>
    <cellStyle name="Hyperlink" xfId="4459" builtinId="8" hidden="1"/>
    <cellStyle name="Hyperlink" xfId="4461" builtinId="8" hidden="1"/>
    <cellStyle name="Hyperlink" xfId="4463" builtinId="8" hidden="1"/>
    <cellStyle name="Hyperlink" xfId="4465" builtinId="8" hidden="1"/>
    <cellStyle name="Hyperlink" xfId="4467" builtinId="8" hidden="1"/>
    <cellStyle name="Hyperlink" xfId="4469" builtinId="8" hidden="1"/>
    <cellStyle name="Hyperlink" xfId="4471" builtinId="8" hidden="1"/>
    <cellStyle name="Hyperlink" xfId="4473" builtinId="8" hidden="1"/>
    <cellStyle name="Hyperlink" xfId="4475" builtinId="8" hidden="1"/>
    <cellStyle name="Hyperlink" xfId="4477" builtinId="8" hidden="1"/>
    <cellStyle name="Hyperlink" xfId="4479" builtinId="8" hidden="1"/>
    <cellStyle name="Hyperlink" xfId="4481" builtinId="8" hidden="1"/>
    <cellStyle name="Hyperlink" xfId="4483" builtinId="8" hidden="1"/>
    <cellStyle name="Hyperlink" xfId="4485" builtinId="8" hidden="1"/>
    <cellStyle name="Hyperlink" xfId="4487" builtinId="8" hidden="1"/>
    <cellStyle name="Hyperlink" xfId="4489" builtinId="8" hidden="1"/>
    <cellStyle name="Hyperlink" xfId="4491" builtinId="8" hidden="1"/>
    <cellStyle name="Hyperlink" xfId="4493" builtinId="8" hidden="1"/>
    <cellStyle name="Hyperlink" xfId="4495" builtinId="8" hidden="1"/>
    <cellStyle name="Hyperlink" xfId="4497" builtinId="8" hidden="1"/>
    <cellStyle name="Hyperlink" xfId="4499" builtinId="8" hidden="1"/>
    <cellStyle name="Hyperlink" xfId="4501" builtinId="8" hidden="1"/>
    <cellStyle name="Hyperlink" xfId="4503" builtinId="8" hidden="1"/>
    <cellStyle name="Hyperlink" xfId="4505" builtinId="8" hidden="1"/>
    <cellStyle name="Hyperlink" xfId="4507" builtinId="8" hidden="1"/>
    <cellStyle name="Hyperlink" xfId="4509" builtinId="8" hidden="1"/>
    <cellStyle name="Hyperlink" xfId="4511" builtinId="8" hidden="1"/>
    <cellStyle name="Hyperlink" xfId="4513" builtinId="8" hidden="1"/>
    <cellStyle name="Hyperlink" xfId="4515" builtinId="8" hidden="1"/>
    <cellStyle name="Hyperlink" xfId="4517" builtinId="8" hidden="1"/>
    <cellStyle name="Hyperlink" xfId="4519" builtinId="8" hidden="1"/>
    <cellStyle name="Hyperlink" xfId="4521" builtinId="8" hidden="1"/>
    <cellStyle name="Hyperlink" xfId="4523" builtinId="8" hidden="1"/>
    <cellStyle name="Hyperlink" xfId="4525" builtinId="8" hidden="1"/>
    <cellStyle name="Hyperlink" xfId="4527" builtinId="8" hidden="1"/>
    <cellStyle name="Hyperlink" xfId="4529" builtinId="8" hidden="1"/>
    <cellStyle name="Hyperlink" xfId="4531" builtinId="8" hidden="1"/>
    <cellStyle name="Hyperlink" xfId="4533" builtinId="8" hidden="1"/>
    <cellStyle name="Hyperlink" xfId="4535" builtinId="8" hidden="1"/>
    <cellStyle name="Hyperlink" xfId="4537" builtinId="8" hidden="1"/>
    <cellStyle name="Hyperlink" xfId="4539" builtinId="8" hidden="1"/>
    <cellStyle name="Hyperlink" xfId="4541" builtinId="8" hidden="1"/>
    <cellStyle name="Hyperlink" xfId="4543" builtinId="8" hidden="1"/>
    <cellStyle name="Hyperlink" xfId="4545" builtinId="8" hidden="1"/>
    <cellStyle name="Hyperlink" xfId="4547" builtinId="8" hidden="1"/>
    <cellStyle name="Hyperlink" xfId="4549" builtinId="8" hidden="1"/>
    <cellStyle name="Hyperlink" xfId="4551" builtinId="8" hidden="1"/>
    <cellStyle name="Hyperlink" xfId="4553" builtinId="8" hidden="1"/>
    <cellStyle name="Hyperlink" xfId="4555" builtinId="8" hidden="1"/>
    <cellStyle name="Hyperlink" xfId="4557" builtinId="8" hidden="1"/>
    <cellStyle name="Hyperlink" xfId="4559" builtinId="8" hidden="1"/>
    <cellStyle name="Hyperlink" xfId="4561" builtinId="8" hidden="1"/>
    <cellStyle name="Hyperlink" xfId="4563" builtinId="8" hidden="1"/>
    <cellStyle name="Hyperlink" xfId="4565" builtinId="8" hidden="1"/>
    <cellStyle name="Hyperlink" xfId="4567" builtinId="8" hidden="1"/>
    <cellStyle name="Hyperlink" xfId="4569" builtinId="8" hidden="1"/>
    <cellStyle name="Hyperlink" xfId="4571" builtinId="8" hidden="1"/>
    <cellStyle name="Hyperlink" xfId="4573" builtinId="8" hidden="1"/>
    <cellStyle name="Hyperlink" xfId="4575" builtinId="8" hidden="1"/>
    <cellStyle name="Hyperlink" xfId="4577" builtinId="8" hidden="1"/>
    <cellStyle name="Hyperlink" xfId="4579" builtinId="8" hidden="1"/>
    <cellStyle name="Hyperlink" xfId="4581" builtinId="8" hidden="1"/>
    <cellStyle name="Hyperlink" xfId="4583" builtinId="8" hidden="1"/>
    <cellStyle name="Hyperlink" xfId="4585" builtinId="8" hidden="1"/>
    <cellStyle name="Hyperlink" xfId="4587" builtinId="8" hidden="1"/>
    <cellStyle name="Hyperlink" xfId="4589" builtinId="8" hidden="1"/>
    <cellStyle name="Hyperlink" xfId="4591" builtinId="8" hidden="1"/>
    <cellStyle name="Hyperlink" xfId="4593" builtinId="8" hidden="1"/>
    <cellStyle name="Hyperlink" xfId="4595" builtinId="8" hidden="1"/>
    <cellStyle name="Hyperlink" xfId="4597" builtinId="8" hidden="1"/>
    <cellStyle name="Hyperlink" xfId="4599" builtinId="8" hidden="1"/>
    <cellStyle name="Hyperlink" xfId="4601" builtinId="8" hidden="1"/>
    <cellStyle name="Hyperlink" xfId="4603" builtinId="8" hidden="1"/>
    <cellStyle name="Hyperlink" xfId="4605" builtinId="8" hidden="1"/>
    <cellStyle name="Hyperlink" xfId="4607" builtinId="8" hidden="1"/>
    <cellStyle name="Hyperlink" xfId="4609" builtinId="8" hidden="1"/>
    <cellStyle name="Hyperlink" xfId="4611" builtinId="8" hidden="1"/>
    <cellStyle name="Hyperlink" xfId="4613" builtinId="8" hidden="1"/>
    <cellStyle name="Hyperlink" xfId="4615" builtinId="8" hidden="1"/>
    <cellStyle name="Hyperlink" xfId="4617" builtinId="8" hidden="1"/>
    <cellStyle name="Hyperlink" xfId="4619" builtinId="8" hidden="1"/>
    <cellStyle name="Hyperlink" xfId="4621" builtinId="8" hidden="1"/>
    <cellStyle name="Hyperlink" xfId="4623" builtinId="8" hidden="1"/>
    <cellStyle name="Hyperlink" xfId="4625" builtinId="8" hidden="1"/>
    <cellStyle name="Hyperlink" xfId="4627" builtinId="8" hidden="1"/>
    <cellStyle name="Hyperlink" xfId="4629" builtinId="8" hidden="1"/>
    <cellStyle name="Hyperlink" xfId="4631" builtinId="8" hidden="1"/>
    <cellStyle name="Hyperlink" xfId="4633" builtinId="8" hidden="1"/>
    <cellStyle name="Hyperlink" xfId="4635" builtinId="8" hidden="1"/>
    <cellStyle name="Hyperlink" xfId="4637" builtinId="8" hidden="1"/>
    <cellStyle name="Hyperlink" xfId="4639" builtinId="8" hidden="1"/>
    <cellStyle name="Hyperlink" xfId="4641" builtinId="8" hidden="1"/>
    <cellStyle name="Hyperlink" xfId="4643" builtinId="8" hidden="1"/>
    <cellStyle name="Hyperlink" xfId="4645" builtinId="8" hidden="1"/>
    <cellStyle name="Hyperlink" xfId="4647" builtinId="8" hidden="1"/>
    <cellStyle name="Hyperlink" xfId="4649" builtinId="8" hidden="1"/>
    <cellStyle name="Hyperlink" xfId="4651" builtinId="8" hidden="1"/>
    <cellStyle name="Hyperlink" xfId="4653" builtinId="8" hidden="1"/>
    <cellStyle name="Hyperlink" xfId="4655" builtinId="8" hidden="1"/>
    <cellStyle name="Hyperlink" xfId="4657" builtinId="8" hidden="1"/>
    <cellStyle name="Hyperlink" xfId="4659" builtinId="8" hidden="1"/>
    <cellStyle name="Hyperlink" xfId="4661" builtinId="8" hidden="1"/>
    <cellStyle name="Hyperlink" xfId="4663" builtinId="8" hidden="1"/>
    <cellStyle name="Hyperlink" xfId="4665" builtinId="8" hidden="1"/>
    <cellStyle name="Hyperlink" xfId="4667" builtinId="8" hidden="1"/>
    <cellStyle name="Hyperlink" xfId="4669" builtinId="8" hidden="1"/>
    <cellStyle name="Hyperlink" xfId="4671" builtinId="8" hidden="1"/>
    <cellStyle name="Hyperlink" xfId="4673" builtinId="8" hidden="1"/>
    <cellStyle name="Hyperlink" xfId="4675" builtinId="8" hidden="1"/>
    <cellStyle name="Hyperlink" xfId="4677" builtinId="8" hidden="1"/>
    <cellStyle name="Hyperlink" xfId="4679" builtinId="8" hidden="1"/>
    <cellStyle name="Hyperlink" xfId="4681" builtinId="8" hidden="1"/>
    <cellStyle name="Hyperlink" xfId="4683" builtinId="8" hidden="1"/>
    <cellStyle name="Hyperlink" xfId="4685" builtinId="8" hidden="1"/>
    <cellStyle name="Hyperlink" xfId="4687" builtinId="8" hidden="1"/>
    <cellStyle name="Hyperlink" xfId="4689" builtinId="8" hidden="1"/>
    <cellStyle name="Hyperlink" xfId="4691" builtinId="8" hidden="1"/>
    <cellStyle name="Hyperlink" xfId="4693" builtinId="8" hidden="1"/>
    <cellStyle name="Hyperlink" xfId="4695" builtinId="8" hidden="1"/>
    <cellStyle name="Hyperlink" xfId="4697" builtinId="8" hidden="1"/>
    <cellStyle name="Hyperlink" xfId="4699" builtinId="8" hidden="1"/>
    <cellStyle name="Hyperlink" xfId="4701" builtinId="8" hidden="1"/>
    <cellStyle name="Hyperlink" xfId="4703" builtinId="8" hidden="1"/>
    <cellStyle name="Hyperlink" xfId="4705" builtinId="8" hidden="1"/>
    <cellStyle name="Hyperlink" xfId="4707" builtinId="8" hidden="1"/>
    <cellStyle name="Hyperlink" xfId="4709" builtinId="8" hidden="1"/>
    <cellStyle name="Hyperlink" xfId="4711" builtinId="8" hidden="1"/>
    <cellStyle name="Hyperlink" xfId="4713" builtinId="8" hidden="1"/>
    <cellStyle name="Hyperlink" xfId="4715" builtinId="8" hidden="1"/>
    <cellStyle name="Hyperlink" xfId="4717" builtinId="8" hidden="1"/>
    <cellStyle name="Hyperlink" xfId="4719" builtinId="8" hidden="1"/>
    <cellStyle name="Hyperlink" xfId="4721" builtinId="8" hidden="1"/>
    <cellStyle name="Hyperlink" xfId="4723" builtinId="8" hidden="1"/>
    <cellStyle name="Hyperlink" xfId="4725" builtinId="8" hidden="1"/>
    <cellStyle name="Hyperlink" xfId="4727" builtinId="8" hidden="1"/>
    <cellStyle name="Hyperlink" xfId="4729" builtinId="8" hidden="1"/>
    <cellStyle name="Hyperlink" xfId="4731" builtinId="8" hidden="1"/>
    <cellStyle name="Hyperlink" xfId="4733" builtinId="8" hidden="1"/>
    <cellStyle name="Hyperlink" xfId="4735" builtinId="8" hidden="1"/>
    <cellStyle name="Hyperlink" xfId="4737" builtinId="8" hidden="1"/>
    <cellStyle name="Hyperlink" xfId="4739" builtinId="8" hidden="1"/>
    <cellStyle name="Hyperlink" xfId="4741" builtinId="8" hidden="1"/>
    <cellStyle name="Hyperlink" xfId="4743" builtinId="8" hidden="1"/>
    <cellStyle name="Hyperlink" xfId="4745" builtinId="8" hidden="1"/>
    <cellStyle name="Hyperlink" xfId="4747" builtinId="8" hidden="1"/>
    <cellStyle name="Hyperlink" xfId="4749" builtinId="8" hidden="1"/>
    <cellStyle name="Hyperlink" xfId="4751" builtinId="8" hidden="1"/>
    <cellStyle name="Hyperlink" xfId="4753" builtinId="8" hidden="1"/>
    <cellStyle name="Hyperlink" xfId="4755" builtinId="8" hidden="1"/>
    <cellStyle name="Hyperlink" xfId="4757" builtinId="8" hidden="1"/>
    <cellStyle name="Hyperlink" xfId="4759" builtinId="8" hidden="1"/>
    <cellStyle name="Hyperlink" xfId="4761" builtinId="8" hidden="1"/>
    <cellStyle name="Hyperlink" xfId="4763" builtinId="8" hidden="1"/>
    <cellStyle name="Hyperlink" xfId="4765" builtinId="8" hidden="1"/>
    <cellStyle name="Hyperlink" xfId="4767" builtinId="8" hidden="1"/>
    <cellStyle name="Hyperlink" xfId="4769" builtinId="8" hidden="1"/>
    <cellStyle name="Hyperlink" xfId="4771" builtinId="8" hidden="1"/>
    <cellStyle name="Hyperlink" xfId="4773" builtinId="8" hidden="1"/>
    <cellStyle name="Hyperlink" xfId="4775" builtinId="8" hidden="1"/>
    <cellStyle name="Hyperlink" xfId="4777" builtinId="8" hidden="1"/>
    <cellStyle name="Hyperlink" xfId="4779" builtinId="8" hidden="1"/>
    <cellStyle name="Hyperlink" xfId="4781" builtinId="8" hidden="1"/>
    <cellStyle name="Hyperlink" xfId="4783" builtinId="8" hidden="1"/>
    <cellStyle name="Hyperlink" xfId="4785" builtinId="8" hidden="1"/>
    <cellStyle name="Hyperlink" xfId="4787" builtinId="8" hidden="1"/>
    <cellStyle name="Hyperlink" xfId="4789" builtinId="8" hidden="1"/>
    <cellStyle name="Hyperlink" xfId="4791" builtinId="8" hidden="1"/>
    <cellStyle name="Hyperlink" xfId="4793" builtinId="8" hidden="1"/>
    <cellStyle name="Hyperlink" xfId="4795" builtinId="8" hidden="1"/>
    <cellStyle name="Hyperlink" xfId="4797" builtinId="8" hidden="1"/>
    <cellStyle name="Hyperlink" xfId="4799" builtinId="8" hidden="1"/>
    <cellStyle name="Hyperlink" xfId="4801" builtinId="8" hidden="1"/>
    <cellStyle name="Hyperlink" xfId="4803" builtinId="8" hidden="1"/>
    <cellStyle name="Hyperlink" xfId="4805" builtinId="8" hidden="1"/>
    <cellStyle name="Hyperlink" xfId="4807" builtinId="8" hidden="1"/>
    <cellStyle name="Hyperlink" xfId="4809" builtinId="8" hidden="1"/>
    <cellStyle name="Hyperlink" xfId="4811" builtinId="8" hidden="1"/>
    <cellStyle name="Hyperlink" xfId="4813" builtinId="8" hidden="1"/>
    <cellStyle name="Hyperlink" xfId="4815" builtinId="8" hidden="1"/>
    <cellStyle name="Hyperlink" xfId="4817" builtinId="8" hidden="1"/>
    <cellStyle name="Hyperlink" xfId="4819" builtinId="8" hidden="1"/>
    <cellStyle name="Hyperlink" xfId="4821" builtinId="8" hidden="1"/>
    <cellStyle name="Hyperlink" xfId="4823" builtinId="8" hidden="1"/>
    <cellStyle name="Hyperlink" xfId="4825" builtinId="8" hidden="1"/>
    <cellStyle name="Hyperlink" xfId="4827" builtinId="8" hidden="1"/>
    <cellStyle name="Hyperlink" xfId="4829" builtinId="8" hidden="1"/>
    <cellStyle name="Hyperlink" xfId="4831" builtinId="8" hidden="1"/>
    <cellStyle name="Hyperlink" xfId="4833" builtinId="8" hidden="1"/>
    <cellStyle name="Hyperlink" xfId="4835" builtinId="8" hidden="1"/>
    <cellStyle name="Hyperlink" xfId="4837" builtinId="8" hidden="1"/>
    <cellStyle name="Hyperlink" xfId="4839" builtinId="8" hidden="1"/>
    <cellStyle name="Hyperlink" xfId="4841" builtinId="8" hidden="1"/>
    <cellStyle name="Hyperlink" xfId="4843" builtinId="8" hidden="1"/>
    <cellStyle name="Hyperlink" xfId="4845" builtinId="8" hidden="1"/>
    <cellStyle name="Hyperlink" xfId="4847" builtinId="8" hidden="1"/>
    <cellStyle name="Hyperlink" xfId="4849" builtinId="8" hidden="1"/>
    <cellStyle name="Hyperlink" xfId="4851" builtinId="8" hidden="1"/>
    <cellStyle name="Hyperlink" xfId="4853" builtinId="8" hidden="1"/>
    <cellStyle name="Hyperlink" xfId="4855" builtinId="8" hidden="1"/>
    <cellStyle name="Hyperlink" xfId="4857" builtinId="8" hidden="1"/>
    <cellStyle name="Hyperlink" xfId="4859" builtinId="8" hidden="1"/>
    <cellStyle name="Hyperlink" xfId="4861" builtinId="8" hidden="1"/>
    <cellStyle name="Hyperlink" xfId="4863" builtinId="8" hidden="1"/>
    <cellStyle name="Hyperlink" xfId="4865" builtinId="8" hidden="1"/>
    <cellStyle name="Hyperlink" xfId="4867" builtinId="8" hidden="1"/>
    <cellStyle name="Hyperlink" xfId="4869" builtinId="8" hidden="1"/>
    <cellStyle name="Hyperlink" xfId="4871" builtinId="8" hidden="1"/>
    <cellStyle name="Hyperlink" xfId="4873" builtinId="8" hidden="1"/>
    <cellStyle name="Hyperlink" xfId="4875" builtinId="8" hidden="1"/>
    <cellStyle name="Hyperlink" xfId="4877" builtinId="8" hidden="1"/>
    <cellStyle name="Hyperlink" xfId="4879" builtinId="8" hidden="1"/>
    <cellStyle name="Hyperlink" xfId="4881" builtinId="8" hidden="1"/>
    <cellStyle name="Hyperlink" xfId="4883" builtinId="8" hidden="1"/>
    <cellStyle name="Hyperlink" xfId="4885" builtinId="8" hidden="1"/>
    <cellStyle name="Hyperlink" xfId="4887" builtinId="8" hidden="1"/>
    <cellStyle name="Hyperlink" xfId="4889" builtinId="8" hidden="1"/>
    <cellStyle name="Hyperlink" xfId="4891" builtinId="8" hidden="1"/>
    <cellStyle name="Hyperlink" xfId="4893" builtinId="8" hidden="1"/>
    <cellStyle name="Hyperlink" xfId="4895" builtinId="8" hidden="1"/>
    <cellStyle name="Hyperlink" xfId="4897" builtinId="8" hidden="1"/>
    <cellStyle name="Hyperlink" xfId="4899" builtinId="8" hidden="1"/>
    <cellStyle name="Hyperlink" xfId="4901" builtinId="8" hidden="1"/>
    <cellStyle name="Hyperlink" xfId="4903" builtinId="8" hidden="1"/>
    <cellStyle name="Hyperlink" xfId="4905" builtinId="8" hidden="1"/>
    <cellStyle name="Hyperlink" xfId="4907" builtinId="8" hidden="1"/>
    <cellStyle name="Hyperlink" xfId="4909" builtinId="8" hidden="1"/>
    <cellStyle name="Hyperlink" xfId="4911" builtinId="8" hidden="1"/>
    <cellStyle name="Hyperlink" xfId="4913" builtinId="8" hidden="1"/>
    <cellStyle name="Hyperlink" xfId="4915" builtinId="8" hidden="1"/>
    <cellStyle name="Hyperlink" xfId="4917" builtinId="8" hidden="1"/>
    <cellStyle name="Hyperlink" xfId="4919" builtinId="8" hidden="1"/>
    <cellStyle name="Hyperlink" xfId="4921" builtinId="8" hidden="1"/>
    <cellStyle name="Hyperlink" xfId="4923" builtinId="8" hidden="1"/>
    <cellStyle name="Hyperlink" xfId="4925" builtinId="8" hidden="1"/>
    <cellStyle name="Hyperlink" xfId="4927" builtinId="8" hidden="1"/>
    <cellStyle name="Hyperlink" xfId="4929" builtinId="8" hidden="1"/>
    <cellStyle name="Hyperlink" xfId="4931" builtinId="8" hidden="1"/>
    <cellStyle name="Hyperlink" xfId="4933" builtinId="8" hidden="1"/>
    <cellStyle name="Hyperlink" xfId="4935" builtinId="8" hidden="1"/>
    <cellStyle name="Hyperlink" xfId="4937" builtinId="8" hidden="1"/>
    <cellStyle name="Hyperlink" xfId="4939" builtinId="8" hidden="1"/>
    <cellStyle name="Hyperlink" xfId="4941" builtinId="8" hidden="1"/>
    <cellStyle name="Hyperlink" xfId="4943" builtinId="8" hidden="1"/>
    <cellStyle name="Hyperlink" xfId="4945" builtinId="8" hidden="1"/>
    <cellStyle name="Hyperlink" xfId="4947" builtinId="8" hidden="1"/>
    <cellStyle name="Hyperlink" xfId="4949" builtinId="8" hidden="1"/>
    <cellStyle name="Hyperlink" xfId="4951" builtinId="8" hidden="1"/>
    <cellStyle name="Hyperlink" xfId="4953" builtinId="8" hidden="1"/>
    <cellStyle name="Hyperlink" xfId="4955" builtinId="8" hidden="1"/>
    <cellStyle name="Hyperlink" xfId="4957" builtinId="8" hidden="1"/>
    <cellStyle name="Hyperlink" xfId="4959" builtinId="8" hidden="1"/>
    <cellStyle name="Hyperlink" xfId="4961" builtinId="8" hidden="1"/>
    <cellStyle name="Hyperlink" xfId="4963" builtinId="8" hidden="1"/>
    <cellStyle name="Hyperlink" xfId="4965" builtinId="8" hidden="1"/>
    <cellStyle name="Hyperlink" xfId="4967" builtinId="8" hidden="1"/>
    <cellStyle name="Hyperlink" xfId="4969" builtinId="8" hidden="1"/>
    <cellStyle name="Hyperlink" xfId="4971" builtinId="8" hidden="1"/>
    <cellStyle name="Hyperlink" xfId="4973" builtinId="8" hidden="1"/>
    <cellStyle name="Hyperlink" xfId="4975" builtinId="8" hidden="1"/>
    <cellStyle name="Hyperlink" xfId="4977" builtinId="8" hidden="1"/>
    <cellStyle name="Hyperlink" xfId="4979" builtinId="8" hidden="1"/>
    <cellStyle name="Hyperlink" xfId="4981" builtinId="8" hidden="1"/>
    <cellStyle name="Hyperlink" xfId="4983" builtinId="8" hidden="1"/>
    <cellStyle name="Hyperlink" xfId="4985" builtinId="8" hidden="1"/>
    <cellStyle name="Hyperlink" xfId="4987" builtinId="8" hidden="1"/>
    <cellStyle name="Hyperlink" xfId="4989" builtinId="8" hidden="1"/>
    <cellStyle name="Hyperlink" xfId="4991" builtinId="8" hidden="1"/>
    <cellStyle name="Hyperlink" xfId="4993" builtinId="8" hidden="1"/>
    <cellStyle name="Hyperlink" xfId="4995" builtinId="8" hidden="1"/>
    <cellStyle name="Hyperlink" xfId="4997" builtinId="8" hidden="1"/>
    <cellStyle name="Hyperlink" xfId="4999" builtinId="8" hidden="1"/>
    <cellStyle name="Hyperlink" xfId="5001" builtinId="8" hidden="1"/>
    <cellStyle name="Hyperlink" xfId="5003" builtinId="8" hidden="1"/>
    <cellStyle name="Hyperlink" xfId="5005" builtinId="8" hidden="1"/>
    <cellStyle name="Hyperlink" xfId="5007" builtinId="8" hidden="1"/>
    <cellStyle name="Hyperlink" xfId="5009" builtinId="8" hidden="1"/>
    <cellStyle name="Hyperlink" xfId="5011" builtinId="8" hidden="1"/>
    <cellStyle name="Hyperlink" xfId="5013" builtinId="8" hidden="1"/>
    <cellStyle name="Hyperlink" xfId="5015" builtinId="8" hidden="1"/>
    <cellStyle name="Hyperlink" xfId="5017" builtinId="8" hidden="1"/>
    <cellStyle name="Hyperlink" xfId="5019" builtinId="8" hidden="1"/>
    <cellStyle name="Hyperlink" xfId="5021" builtinId="8" hidden="1"/>
    <cellStyle name="Hyperlink" xfId="5023" builtinId="8" hidden="1"/>
    <cellStyle name="Hyperlink" xfId="5025" builtinId="8" hidden="1"/>
    <cellStyle name="Hyperlink" xfId="5027" builtinId="8" hidden="1"/>
    <cellStyle name="Hyperlink" xfId="5029" builtinId="8" hidden="1"/>
    <cellStyle name="Hyperlink" xfId="5031" builtinId="8" hidden="1"/>
    <cellStyle name="Hyperlink" xfId="5033" builtinId="8" hidden="1"/>
    <cellStyle name="Hyperlink" xfId="5035" builtinId="8" hidden="1"/>
    <cellStyle name="Hyperlink" xfId="5037" builtinId="8" hidden="1"/>
    <cellStyle name="Hyperlink" xfId="5039" builtinId="8" hidden="1"/>
    <cellStyle name="Hyperlink" xfId="5041" builtinId="8" hidden="1"/>
    <cellStyle name="Hyperlink" xfId="5043" builtinId="8" hidden="1"/>
    <cellStyle name="Hyperlink" xfId="5045" builtinId="8" hidden="1"/>
    <cellStyle name="Hyperlink" xfId="5047" builtinId="8" hidden="1"/>
    <cellStyle name="Hyperlink" xfId="5049" builtinId="8" hidden="1"/>
    <cellStyle name="Hyperlink" xfId="5051" builtinId="8" hidden="1"/>
    <cellStyle name="Hyperlink" xfId="5053" builtinId="8" hidden="1"/>
    <cellStyle name="Hyperlink" xfId="5055" builtinId="8" hidden="1"/>
    <cellStyle name="Hyperlink" xfId="5057" builtinId="8" hidden="1"/>
    <cellStyle name="Hyperlink" xfId="5059" builtinId="8" hidden="1"/>
    <cellStyle name="Hyperlink" xfId="5061" builtinId="8" hidden="1"/>
    <cellStyle name="Hyperlink" xfId="5063" builtinId="8" hidden="1"/>
    <cellStyle name="Hyperlink" xfId="5065" builtinId="8" hidden="1"/>
    <cellStyle name="Hyperlink" xfId="5067" builtinId="8" hidden="1"/>
    <cellStyle name="Hyperlink" xfId="5069" builtinId="8" hidden="1"/>
    <cellStyle name="Hyperlink" xfId="5071" builtinId="8" hidden="1"/>
    <cellStyle name="Hyperlink" xfId="5073" builtinId="8" hidden="1"/>
    <cellStyle name="Hyperlink" xfId="5075" builtinId="8" hidden="1"/>
    <cellStyle name="Hyperlink" xfId="5077" builtinId="8" hidden="1"/>
    <cellStyle name="Hyperlink" xfId="5079" builtinId="8" hidden="1"/>
    <cellStyle name="Hyperlink" xfId="5081" builtinId="8" hidden="1"/>
    <cellStyle name="Hyperlink" xfId="5083" builtinId="8" hidden="1"/>
    <cellStyle name="Hyperlink" xfId="5085" builtinId="8" hidden="1"/>
    <cellStyle name="Hyperlink" xfId="5087" builtinId="8" hidden="1"/>
    <cellStyle name="Hyperlink" xfId="5089" builtinId="8" hidden="1"/>
    <cellStyle name="Hyperlink" xfId="5091" builtinId="8" hidden="1"/>
    <cellStyle name="Hyperlink" xfId="5093" builtinId="8" hidden="1"/>
    <cellStyle name="Hyperlink" xfId="5095" builtinId="8" hidden="1"/>
    <cellStyle name="Hyperlink" xfId="5097" builtinId="8" hidden="1"/>
    <cellStyle name="Hyperlink" xfId="5099" builtinId="8" hidden="1"/>
    <cellStyle name="Hyperlink" xfId="5101" builtinId="8" hidden="1"/>
    <cellStyle name="Hyperlink" xfId="5103" builtinId="8" hidden="1"/>
    <cellStyle name="Hyperlink" xfId="5105" builtinId="8" hidden="1"/>
    <cellStyle name="Hyperlink" xfId="5107" builtinId="8" hidden="1"/>
    <cellStyle name="Hyperlink" xfId="5109" builtinId="8" hidden="1"/>
    <cellStyle name="Hyperlink" xfId="5111" builtinId="8" hidden="1"/>
    <cellStyle name="Hyperlink" xfId="5113" builtinId="8" hidden="1"/>
    <cellStyle name="Hyperlink" xfId="5115" builtinId="8" hidden="1"/>
    <cellStyle name="Hyperlink" xfId="5117" builtinId="8" hidden="1"/>
    <cellStyle name="Hyperlink" xfId="5119" builtinId="8" hidden="1"/>
    <cellStyle name="Hyperlink" xfId="5121" builtinId="8" hidden="1"/>
    <cellStyle name="Hyperlink" xfId="5123" builtinId="8" hidden="1"/>
    <cellStyle name="Hyperlink" xfId="5125" builtinId="8" hidden="1"/>
    <cellStyle name="Hyperlink" xfId="5127" builtinId="8" hidden="1"/>
    <cellStyle name="Hyperlink" xfId="5129" builtinId="8" hidden="1"/>
    <cellStyle name="Hyperlink" xfId="5131" builtinId="8" hidden="1"/>
    <cellStyle name="Hyperlink" xfId="5133" builtinId="8" hidden="1"/>
    <cellStyle name="Hyperlink" xfId="5135" builtinId="8" hidden="1"/>
    <cellStyle name="Hyperlink" xfId="5137" builtinId="8" hidden="1"/>
    <cellStyle name="Hyperlink" xfId="5139" builtinId="8" hidden="1"/>
    <cellStyle name="Hyperlink" xfId="5141" builtinId="8" hidden="1"/>
    <cellStyle name="Hyperlink" xfId="5143" builtinId="8" hidden="1"/>
    <cellStyle name="Hyperlink" xfId="5145" builtinId="8" hidden="1"/>
    <cellStyle name="Hyperlink" xfId="5147" builtinId="8" hidden="1"/>
    <cellStyle name="Hyperlink" xfId="5149" builtinId="8" hidden="1"/>
    <cellStyle name="Hyperlink" xfId="5151" builtinId="8" hidden="1"/>
    <cellStyle name="Hyperlink" xfId="5153" builtinId="8" hidden="1"/>
    <cellStyle name="Hyperlink" xfId="5155" builtinId="8" hidden="1"/>
    <cellStyle name="Hyperlink" xfId="5157" builtinId="8" hidden="1"/>
    <cellStyle name="Hyperlink" xfId="5159" builtinId="8" hidden="1"/>
    <cellStyle name="Hyperlink" xfId="5161" builtinId="8" hidden="1"/>
    <cellStyle name="Hyperlink" xfId="5163" builtinId="8" hidden="1"/>
    <cellStyle name="Hyperlink" xfId="5165" builtinId="8" hidden="1"/>
    <cellStyle name="Hyperlink" xfId="5167" builtinId="8" hidden="1"/>
    <cellStyle name="Hyperlink" xfId="5169" builtinId="8" hidden="1"/>
    <cellStyle name="Hyperlink" xfId="5171" builtinId="8" hidden="1"/>
    <cellStyle name="Hyperlink" xfId="5173" builtinId="8" hidden="1"/>
    <cellStyle name="Hyperlink" xfId="5175" builtinId="8" hidden="1"/>
    <cellStyle name="Hyperlink" xfId="5177" builtinId="8" hidden="1"/>
    <cellStyle name="Hyperlink" xfId="5179" builtinId="8" hidden="1"/>
    <cellStyle name="Hyperlink" xfId="5181" builtinId="8" hidden="1"/>
    <cellStyle name="Hyperlink" xfId="5183" builtinId="8" hidden="1"/>
    <cellStyle name="Hyperlink" xfId="5185" builtinId="8" hidden="1"/>
    <cellStyle name="Hyperlink" xfId="5187" builtinId="8" hidden="1"/>
    <cellStyle name="Hyperlink" xfId="5189" builtinId="8" hidden="1"/>
    <cellStyle name="Hyperlink" xfId="5191" builtinId="8" hidden="1"/>
    <cellStyle name="Hyperlink" xfId="5193" builtinId="8" hidden="1"/>
    <cellStyle name="Hyperlink" xfId="5195" builtinId="8" hidden="1"/>
    <cellStyle name="Hyperlink" xfId="5197" builtinId="8" hidden="1"/>
    <cellStyle name="Hyperlink" xfId="5199" builtinId="8" hidden="1"/>
    <cellStyle name="Hyperlink" xfId="5201" builtinId="8" hidden="1"/>
    <cellStyle name="Hyperlink" xfId="5203" builtinId="8" hidden="1"/>
    <cellStyle name="Hyperlink" xfId="5205" builtinId="8" hidden="1"/>
    <cellStyle name="Hyperlink" xfId="5207" builtinId="8" hidden="1"/>
    <cellStyle name="Hyperlink" xfId="5209" builtinId="8" hidden="1"/>
    <cellStyle name="Hyperlink" xfId="5211" builtinId="8" hidden="1"/>
    <cellStyle name="Hyperlink" xfId="5213" builtinId="8" hidden="1"/>
    <cellStyle name="Hyperlink" xfId="5215" builtinId="8" hidden="1"/>
    <cellStyle name="Hyperlink" xfId="5217" builtinId="8" hidden="1"/>
    <cellStyle name="Hyperlink" xfId="5219" builtinId="8" hidden="1"/>
    <cellStyle name="Hyperlink" xfId="5221" builtinId="8" hidden="1"/>
    <cellStyle name="Hyperlink" xfId="5223" builtinId="8" hidden="1"/>
    <cellStyle name="Hyperlink" xfId="5225" builtinId="8" hidden="1"/>
    <cellStyle name="Hyperlink" xfId="5227" builtinId="8" hidden="1"/>
    <cellStyle name="Hyperlink" xfId="5229" builtinId="8" hidden="1"/>
    <cellStyle name="Hyperlink" xfId="5231" builtinId="8" hidden="1"/>
    <cellStyle name="Hyperlink" xfId="5233" builtinId="8" hidden="1"/>
    <cellStyle name="Hyperlink" xfId="5235" builtinId="8" hidden="1"/>
    <cellStyle name="Hyperlink" xfId="5237" builtinId="8" hidden="1"/>
    <cellStyle name="Hyperlink" xfId="5239" builtinId="8" hidden="1"/>
    <cellStyle name="Hyperlink" xfId="5241" builtinId="8" hidden="1"/>
    <cellStyle name="Hyperlink" xfId="5243" builtinId="8" hidden="1"/>
    <cellStyle name="Hyperlink" xfId="5245" builtinId="8" hidden="1"/>
    <cellStyle name="Hyperlink" xfId="5247" builtinId="8" hidden="1"/>
    <cellStyle name="Hyperlink" xfId="5249" builtinId="8" hidden="1"/>
    <cellStyle name="Hyperlink" xfId="5251" builtinId="8" hidden="1"/>
    <cellStyle name="Hyperlink" xfId="5253" builtinId="8" hidden="1"/>
    <cellStyle name="Hyperlink" xfId="5255" builtinId="8" hidden="1"/>
    <cellStyle name="Hyperlink" xfId="5257" builtinId="8" hidden="1"/>
    <cellStyle name="Hyperlink" xfId="5259" builtinId="8" hidden="1"/>
    <cellStyle name="Hyperlink" xfId="5261" builtinId="8" hidden="1"/>
    <cellStyle name="Hyperlink" xfId="5263" builtinId="8" hidden="1"/>
    <cellStyle name="Hyperlink" xfId="5265" builtinId="8" hidden="1"/>
    <cellStyle name="Hyperlink" xfId="5267" builtinId="8" hidden="1"/>
    <cellStyle name="Hyperlink" xfId="5269" builtinId="8" hidden="1"/>
    <cellStyle name="Hyperlink" xfId="5271" builtinId="8" hidden="1"/>
    <cellStyle name="Hyperlink" xfId="5273" builtinId="8" hidden="1"/>
    <cellStyle name="Hyperlink" xfId="5275" builtinId="8" hidden="1"/>
    <cellStyle name="Hyperlink" xfId="5277" builtinId="8" hidden="1"/>
    <cellStyle name="Hyperlink" xfId="5279" builtinId="8" hidden="1"/>
    <cellStyle name="Hyperlink" xfId="5281" builtinId="8" hidden="1"/>
    <cellStyle name="Hyperlink" xfId="5283" builtinId="8" hidden="1"/>
    <cellStyle name="Hyperlink" xfId="5285" builtinId="8" hidden="1"/>
    <cellStyle name="Hyperlink" xfId="5287" builtinId="8" hidden="1"/>
    <cellStyle name="Hyperlink" xfId="5289" builtinId="8" hidden="1"/>
    <cellStyle name="Hyperlink" xfId="5291" builtinId="8" hidden="1"/>
    <cellStyle name="Hyperlink" xfId="5293" builtinId="8" hidden="1"/>
    <cellStyle name="Hyperlink" xfId="5295" builtinId="8" hidden="1"/>
    <cellStyle name="Hyperlink" xfId="5297" builtinId="8" hidden="1"/>
    <cellStyle name="Hyperlink" xfId="5299" builtinId="8" hidden="1"/>
    <cellStyle name="Hyperlink" xfId="5301" builtinId="8" hidden="1"/>
    <cellStyle name="Hyperlink" xfId="5303" builtinId="8" hidden="1"/>
    <cellStyle name="Hyperlink" xfId="5305" builtinId="8" hidden="1"/>
    <cellStyle name="Hyperlink" xfId="5307" builtinId="8" hidden="1"/>
    <cellStyle name="Hyperlink" xfId="5309" builtinId="8" hidden="1"/>
    <cellStyle name="Hyperlink" xfId="5311" builtinId="8" hidden="1"/>
    <cellStyle name="Hyperlink" xfId="5313" builtinId="8" hidden="1"/>
    <cellStyle name="Hyperlink" xfId="5315" builtinId="8" hidden="1"/>
    <cellStyle name="Hyperlink" xfId="5317" builtinId="8" hidden="1"/>
    <cellStyle name="Hyperlink" xfId="5319" builtinId="8" hidden="1"/>
    <cellStyle name="Hyperlink" xfId="5321" builtinId="8" hidden="1"/>
    <cellStyle name="Hyperlink" xfId="5323" builtinId="8" hidden="1"/>
    <cellStyle name="Hyperlink" xfId="5325" builtinId="8" hidden="1"/>
    <cellStyle name="Hyperlink" xfId="5327" builtinId="8" hidden="1"/>
    <cellStyle name="Hyperlink" xfId="5329" builtinId="8" hidden="1"/>
    <cellStyle name="Hyperlink" xfId="5331" builtinId="8" hidden="1"/>
    <cellStyle name="Hyperlink" xfId="5333" builtinId="8" hidden="1"/>
    <cellStyle name="Hyperlink" xfId="5335" builtinId="8" hidden="1"/>
    <cellStyle name="Hyperlink" xfId="5337" builtinId="8" hidden="1"/>
    <cellStyle name="Hyperlink" xfId="5339" builtinId="8" hidden="1"/>
    <cellStyle name="Hyperlink" xfId="5341" builtinId="8" hidden="1"/>
    <cellStyle name="Hyperlink" xfId="5343" builtinId="8" hidden="1"/>
    <cellStyle name="Hyperlink" xfId="5345" builtinId="8" hidden="1"/>
    <cellStyle name="Hyperlink" xfId="5347" builtinId="8" hidden="1"/>
    <cellStyle name="Hyperlink" xfId="5349" builtinId="8" hidden="1"/>
    <cellStyle name="Hyperlink" xfId="5351" builtinId="8" hidden="1"/>
    <cellStyle name="Hyperlink" xfId="5353" builtinId="8" hidden="1"/>
    <cellStyle name="Hyperlink" xfId="5355" builtinId="8" hidden="1"/>
    <cellStyle name="Hyperlink" xfId="5357" builtinId="8" hidden="1"/>
    <cellStyle name="Hyperlink" xfId="5359" builtinId="8" hidden="1"/>
    <cellStyle name="Hyperlink" xfId="5361" builtinId="8" hidden="1"/>
    <cellStyle name="Hyperlink" xfId="5363" builtinId="8" hidden="1"/>
    <cellStyle name="Hyperlink" xfId="5365" builtinId="8" hidden="1"/>
    <cellStyle name="Hyperlink" xfId="5367" builtinId="8" hidden="1"/>
    <cellStyle name="Hyperlink" xfId="5369" builtinId="8" hidden="1"/>
    <cellStyle name="Hyperlink" xfId="5371" builtinId="8" hidden="1"/>
    <cellStyle name="Hyperlink" xfId="5373" builtinId="8" hidden="1"/>
    <cellStyle name="Hyperlink" xfId="5375" builtinId="8" hidden="1"/>
    <cellStyle name="Hyperlink" xfId="5377" builtinId="8" hidden="1"/>
    <cellStyle name="Hyperlink" xfId="5379" builtinId="8" hidden="1"/>
    <cellStyle name="Hyperlink" xfId="5381" builtinId="8" hidden="1"/>
    <cellStyle name="Hyperlink" xfId="5383" builtinId="8" hidden="1"/>
    <cellStyle name="Hyperlink" xfId="5385" builtinId="8" hidden="1"/>
    <cellStyle name="Hyperlink" xfId="5387" builtinId="8" hidden="1"/>
    <cellStyle name="Hyperlink" xfId="5389" builtinId="8" hidden="1"/>
    <cellStyle name="Hyperlink" xfId="5391" builtinId="8" hidden="1"/>
    <cellStyle name="Hyperlink" xfId="5393" builtinId="8" hidden="1"/>
    <cellStyle name="Hyperlink" xfId="5395" builtinId="8" hidden="1"/>
    <cellStyle name="Hyperlink" xfId="5397" builtinId="8" hidden="1"/>
    <cellStyle name="Hyperlink" xfId="5399" builtinId="8" hidden="1"/>
    <cellStyle name="Hyperlink" xfId="5401" builtinId="8" hidden="1"/>
    <cellStyle name="Hyperlink" xfId="5403" builtinId="8" hidden="1"/>
    <cellStyle name="Hyperlink" xfId="5405" builtinId="8" hidden="1"/>
    <cellStyle name="Hyperlink" xfId="5407" builtinId="8" hidden="1"/>
    <cellStyle name="Hyperlink" xfId="5409" builtinId="8" hidden="1"/>
    <cellStyle name="Hyperlink" xfId="5411" builtinId="8" hidden="1"/>
    <cellStyle name="Hyperlink" xfId="5413" builtinId="8" hidden="1"/>
    <cellStyle name="Hyperlink" xfId="5415" builtinId="8" hidden="1"/>
    <cellStyle name="Hyperlink" xfId="5417" builtinId="8" hidden="1"/>
    <cellStyle name="Hyperlink" xfId="5419" builtinId="8" hidden="1"/>
    <cellStyle name="Hyperlink" xfId="5421" builtinId="8" hidden="1"/>
    <cellStyle name="Hyperlink" xfId="5423" builtinId="8" hidden="1"/>
    <cellStyle name="Hyperlink" xfId="5425" builtinId="8" hidden="1"/>
    <cellStyle name="Hyperlink" xfId="5427" builtinId="8" hidden="1"/>
    <cellStyle name="Hyperlink" xfId="5429" builtinId="8" hidden="1"/>
    <cellStyle name="Hyperlink" xfId="5431" builtinId="8" hidden="1"/>
    <cellStyle name="Hyperlink" xfId="5433" builtinId="8" hidden="1"/>
    <cellStyle name="Hyperlink" xfId="5435" builtinId="8" hidden="1"/>
    <cellStyle name="Hyperlink" xfId="5437" builtinId="8" hidden="1"/>
    <cellStyle name="Hyperlink" xfId="5439" builtinId="8" hidden="1"/>
    <cellStyle name="Hyperlink" xfId="5441" builtinId="8" hidden="1"/>
    <cellStyle name="Hyperlink" xfId="5443" builtinId="8" hidden="1"/>
    <cellStyle name="Hyperlink" xfId="5445" builtinId="8" hidden="1"/>
    <cellStyle name="Hyperlink" xfId="5447" builtinId="8" hidden="1"/>
    <cellStyle name="Hyperlink" xfId="5449" builtinId="8" hidden="1"/>
    <cellStyle name="Hyperlink" xfId="5451" builtinId="8" hidden="1"/>
    <cellStyle name="Hyperlink" xfId="5453" builtinId="8" hidden="1"/>
    <cellStyle name="Hyperlink" xfId="5455" builtinId="8" hidden="1"/>
    <cellStyle name="Hyperlink" xfId="5457" builtinId="8" hidden="1"/>
    <cellStyle name="Hyperlink" xfId="5459" builtinId="8" hidden="1"/>
    <cellStyle name="Hyperlink" xfId="5461" builtinId="8" hidden="1"/>
    <cellStyle name="Hyperlink" xfId="5463" builtinId="8" hidden="1"/>
    <cellStyle name="Hyperlink" xfId="5465" builtinId="8" hidden="1"/>
    <cellStyle name="Hyperlink" xfId="5467" builtinId="8" hidden="1"/>
    <cellStyle name="Hyperlink" xfId="5469" builtinId="8" hidden="1"/>
    <cellStyle name="Hyperlink" xfId="5471" builtinId="8" hidden="1"/>
    <cellStyle name="Hyperlink" xfId="5473" builtinId="8" hidden="1"/>
    <cellStyle name="Hyperlink" xfId="5475" builtinId="8" hidden="1"/>
    <cellStyle name="Hyperlink" xfId="5477" builtinId="8" hidden="1"/>
    <cellStyle name="Hyperlink" xfId="5479" builtinId="8" hidden="1"/>
    <cellStyle name="Hyperlink" xfId="5481" builtinId="8" hidden="1"/>
    <cellStyle name="Hyperlink" xfId="5483" builtinId="8" hidden="1"/>
    <cellStyle name="Hyperlink" xfId="5485" builtinId="8" hidden="1"/>
    <cellStyle name="Hyperlink" xfId="5487" builtinId="8" hidden="1"/>
    <cellStyle name="Hyperlink" xfId="5489" builtinId="8" hidden="1"/>
    <cellStyle name="Hyperlink" xfId="5491" builtinId="8" hidden="1"/>
    <cellStyle name="Hyperlink" xfId="5493" builtinId="8" hidden="1"/>
    <cellStyle name="Hyperlink" xfId="5495" builtinId="8" hidden="1"/>
    <cellStyle name="Hyperlink" xfId="5497" builtinId="8" hidden="1"/>
    <cellStyle name="Hyperlink" xfId="5499" builtinId="8" hidden="1"/>
    <cellStyle name="Hyperlink" xfId="5501" builtinId="8" hidden="1"/>
    <cellStyle name="Hyperlink" xfId="5503" builtinId="8" hidden="1"/>
    <cellStyle name="Hyperlink" xfId="5505" builtinId="8" hidden="1"/>
    <cellStyle name="Hyperlink" xfId="5507" builtinId="8" hidden="1"/>
    <cellStyle name="Hyperlink" xfId="5509" builtinId="8" hidden="1"/>
    <cellStyle name="Hyperlink" xfId="5511" builtinId="8" hidden="1"/>
    <cellStyle name="Hyperlink" xfId="5513" builtinId="8" hidden="1"/>
    <cellStyle name="Hyperlink" xfId="5515" builtinId="8" hidden="1"/>
    <cellStyle name="Hyperlink" xfId="5517" builtinId="8" hidden="1"/>
    <cellStyle name="Hyperlink" xfId="5519" builtinId="8" hidden="1"/>
    <cellStyle name="Hyperlink" xfId="5521" builtinId="8" hidden="1"/>
    <cellStyle name="Hyperlink" xfId="5523" builtinId="8" hidden="1"/>
    <cellStyle name="Hyperlink" xfId="5525" builtinId="8" hidden="1"/>
    <cellStyle name="Hyperlink" xfId="5527" builtinId="8" hidden="1"/>
    <cellStyle name="Hyperlink" xfId="5529" builtinId="8" hidden="1"/>
    <cellStyle name="Hyperlink" xfId="5531" builtinId="8" hidden="1"/>
    <cellStyle name="Hyperlink" xfId="5533" builtinId="8" hidden="1"/>
    <cellStyle name="Hyperlink" xfId="5535" builtinId="8" hidden="1"/>
    <cellStyle name="Hyperlink" xfId="5537" builtinId="8" hidden="1"/>
    <cellStyle name="Hyperlink" xfId="5539" builtinId="8" hidden="1"/>
    <cellStyle name="Hyperlink" xfId="5541" builtinId="8" hidden="1"/>
    <cellStyle name="Hyperlink" xfId="5543" builtinId="8" hidden="1"/>
    <cellStyle name="Hyperlink" xfId="5545" builtinId="8" hidden="1"/>
    <cellStyle name="Hyperlink" xfId="5547" builtinId="8" hidden="1"/>
    <cellStyle name="Hyperlink" xfId="5549" builtinId="8" hidden="1"/>
    <cellStyle name="Hyperlink" xfId="5551" builtinId="8" hidden="1"/>
    <cellStyle name="Hyperlink" xfId="5553" builtinId="8" hidden="1"/>
    <cellStyle name="Hyperlink" xfId="5555" builtinId="8" hidden="1"/>
    <cellStyle name="Hyperlink" xfId="5557" builtinId="8" hidden="1"/>
    <cellStyle name="Hyperlink" xfId="5559" builtinId="8" hidden="1"/>
    <cellStyle name="Hyperlink" xfId="5561" builtinId="8" hidden="1"/>
    <cellStyle name="Hyperlink" xfId="5563" builtinId="8" hidden="1"/>
    <cellStyle name="Hyperlink" xfId="5565" builtinId="8" hidden="1"/>
    <cellStyle name="Hyperlink" xfId="5567" builtinId="8" hidden="1"/>
    <cellStyle name="Hyperlink" xfId="5569" builtinId="8" hidden="1"/>
    <cellStyle name="Hyperlink" xfId="5571" builtinId="8" hidden="1"/>
    <cellStyle name="Hyperlink" xfId="5573" builtinId="8" hidden="1"/>
    <cellStyle name="Hyperlink" xfId="5575" builtinId="8" hidden="1"/>
    <cellStyle name="Hyperlink" xfId="5577" builtinId="8" hidden="1"/>
    <cellStyle name="Hyperlink" xfId="5579" builtinId="8" hidden="1"/>
    <cellStyle name="Hyperlink" xfId="5581" builtinId="8" hidden="1"/>
    <cellStyle name="Hyperlink" xfId="5583" builtinId="8" hidden="1"/>
    <cellStyle name="Hyperlink" xfId="5585" builtinId="8" hidden="1"/>
    <cellStyle name="Hyperlink" xfId="5587" builtinId="8" hidden="1"/>
    <cellStyle name="Hyperlink" xfId="5589" builtinId="8" hidden="1"/>
    <cellStyle name="Hyperlink" xfId="5591" builtinId="8" hidden="1"/>
    <cellStyle name="Hyperlink" xfId="5593" builtinId="8" hidden="1"/>
    <cellStyle name="Hyperlink" xfId="5595" builtinId="8" hidden="1"/>
    <cellStyle name="Hyperlink" xfId="5597" builtinId="8" hidden="1"/>
    <cellStyle name="Hyperlink" xfId="5599" builtinId="8" hidden="1"/>
    <cellStyle name="Hyperlink" xfId="5601" builtinId="8" hidden="1"/>
    <cellStyle name="Hyperlink" xfId="5603" builtinId="8" hidden="1"/>
    <cellStyle name="Hyperlink" xfId="5605" builtinId="8" hidden="1"/>
    <cellStyle name="Hyperlink" xfId="5607" builtinId="8" hidden="1"/>
    <cellStyle name="Hyperlink" xfId="5609" builtinId="8" hidden="1"/>
    <cellStyle name="Hyperlink" xfId="5611" builtinId="8" hidden="1"/>
    <cellStyle name="Hyperlink" xfId="5613" builtinId="8" hidden="1"/>
    <cellStyle name="Hyperlink" xfId="5615" builtinId="8" hidden="1"/>
    <cellStyle name="Hyperlink" xfId="5617" builtinId="8" hidden="1"/>
    <cellStyle name="Hyperlink" xfId="5619" builtinId="8" hidden="1"/>
    <cellStyle name="Hyperlink" xfId="5621" builtinId="8" hidden="1"/>
    <cellStyle name="Hyperlink" xfId="5623" builtinId="8" hidden="1"/>
    <cellStyle name="Hyperlink" xfId="5625" builtinId="8" hidden="1"/>
    <cellStyle name="Hyperlink" xfId="5627" builtinId="8" hidden="1"/>
    <cellStyle name="Hyperlink" xfId="5629" builtinId="8" hidden="1"/>
    <cellStyle name="Hyperlink" xfId="5631" builtinId="8" hidden="1"/>
    <cellStyle name="Hyperlink" xfId="5633" builtinId="8" hidden="1"/>
    <cellStyle name="Hyperlink" xfId="5635" builtinId="8" hidden="1"/>
    <cellStyle name="Hyperlink" xfId="5637" builtinId="8" hidden="1"/>
    <cellStyle name="Hyperlink" xfId="5639" builtinId="8" hidden="1"/>
    <cellStyle name="Hyperlink" xfId="5641" builtinId="8" hidden="1"/>
    <cellStyle name="Hyperlink" xfId="5643" builtinId="8" hidden="1"/>
    <cellStyle name="Hyperlink" xfId="5645" builtinId="8" hidden="1"/>
    <cellStyle name="Hyperlink" xfId="5647" builtinId="8" hidden="1"/>
    <cellStyle name="Hyperlink" xfId="5649" builtinId="8" hidden="1"/>
    <cellStyle name="Hyperlink" xfId="5651" builtinId="8" hidden="1"/>
    <cellStyle name="Hyperlink" xfId="5653" builtinId="8" hidden="1"/>
    <cellStyle name="Hyperlink" xfId="5655" builtinId="8" hidden="1"/>
    <cellStyle name="Hyperlink" xfId="5657" builtinId="8" hidden="1"/>
    <cellStyle name="Hyperlink" xfId="5659" builtinId="8" hidden="1"/>
    <cellStyle name="Hyperlink" xfId="5661" builtinId="8" hidden="1"/>
    <cellStyle name="Hyperlink" xfId="5663" builtinId="8" hidden="1"/>
    <cellStyle name="Hyperlink" xfId="5665" builtinId="8" hidden="1"/>
    <cellStyle name="Hyperlink" xfId="5667" builtinId="8" hidden="1"/>
    <cellStyle name="Hyperlink" xfId="5669" builtinId="8" hidden="1"/>
    <cellStyle name="Hyperlink" xfId="5671" builtinId="8" hidden="1"/>
    <cellStyle name="Hyperlink" xfId="5673" builtinId="8" hidden="1"/>
    <cellStyle name="Hyperlink" xfId="5675" builtinId="8" hidden="1"/>
    <cellStyle name="Hyperlink" xfId="5677" builtinId="8" hidden="1"/>
    <cellStyle name="Hyperlink" xfId="5679" builtinId="8" hidden="1"/>
    <cellStyle name="Hyperlink" xfId="5681" builtinId="8" hidden="1"/>
    <cellStyle name="Hyperlink" xfId="5683" builtinId="8" hidden="1"/>
    <cellStyle name="Hyperlink" xfId="5685" builtinId="8" hidden="1"/>
    <cellStyle name="Hyperlink" xfId="5687" builtinId="8" hidden="1"/>
    <cellStyle name="Hyperlink" xfId="5689" builtinId="8" hidden="1"/>
    <cellStyle name="Hyperlink" xfId="5691" builtinId="8" hidden="1"/>
    <cellStyle name="Hyperlink" xfId="5693" builtinId="8" hidden="1"/>
    <cellStyle name="Hyperlink" xfId="5695" builtinId="8" hidden="1"/>
    <cellStyle name="Hyperlink" xfId="5697" builtinId="8" hidden="1"/>
    <cellStyle name="Hyperlink" xfId="5699" builtinId="8" hidden="1"/>
    <cellStyle name="Hyperlink" xfId="5701" builtinId="8" hidden="1"/>
    <cellStyle name="Hyperlink" xfId="5703" builtinId="8" hidden="1"/>
    <cellStyle name="Hyperlink" xfId="5705" builtinId="8" hidden="1"/>
    <cellStyle name="Hyperlink" xfId="5707" builtinId="8" hidden="1"/>
    <cellStyle name="Hyperlink" xfId="5709" builtinId="8" hidden="1"/>
    <cellStyle name="Hyperlink" xfId="5711" builtinId="8" hidden="1"/>
    <cellStyle name="Hyperlink" xfId="5713" builtinId="8" hidden="1"/>
    <cellStyle name="Hyperlink" xfId="5715" builtinId="8" hidden="1"/>
    <cellStyle name="Hyperlink" xfId="5717" builtinId="8" hidden="1"/>
    <cellStyle name="Hyperlink" xfId="5719" builtinId="8" hidden="1"/>
    <cellStyle name="Hyperlink" xfId="5721" builtinId="8" hidden="1"/>
    <cellStyle name="Hyperlink" xfId="5723" builtinId="8" hidden="1"/>
    <cellStyle name="Hyperlink" xfId="5725" builtinId="8" hidden="1"/>
    <cellStyle name="Hyperlink" xfId="5727" builtinId="8" hidden="1"/>
    <cellStyle name="Hyperlink" xfId="5729" builtinId="8" hidden="1"/>
    <cellStyle name="Hyperlink" xfId="5731" builtinId="8" hidden="1"/>
    <cellStyle name="Hyperlink" xfId="5733" builtinId="8" hidden="1"/>
    <cellStyle name="Hyperlink" xfId="5735" builtinId="8" hidden="1"/>
    <cellStyle name="Hyperlink" xfId="5737" builtinId="8" hidden="1"/>
    <cellStyle name="Hyperlink" xfId="5739" builtinId="8" hidden="1"/>
    <cellStyle name="Hyperlink" xfId="5741" builtinId="8" hidden="1"/>
    <cellStyle name="Hyperlink" xfId="5743" builtinId="8" hidden="1"/>
    <cellStyle name="Hyperlink" xfId="5745" builtinId="8" hidden="1"/>
    <cellStyle name="Hyperlink" xfId="5747" builtinId="8" hidden="1"/>
    <cellStyle name="Hyperlink" xfId="5749" builtinId="8" hidden="1"/>
    <cellStyle name="Hyperlink" xfId="5751" builtinId="8" hidden="1"/>
    <cellStyle name="Hyperlink" xfId="5753" builtinId="8" hidden="1"/>
    <cellStyle name="Hyperlink" xfId="5755" builtinId="8" hidden="1"/>
    <cellStyle name="Hyperlink" xfId="5757" builtinId="8" hidden="1"/>
    <cellStyle name="Hyperlink" xfId="5759" builtinId="8" hidden="1"/>
    <cellStyle name="Hyperlink" xfId="5761" builtinId="8" hidden="1"/>
    <cellStyle name="Hyperlink" xfId="5763" builtinId="8" hidden="1"/>
    <cellStyle name="Hyperlink" xfId="5765" builtinId="8" hidden="1"/>
    <cellStyle name="Hyperlink" xfId="5767" builtinId="8" hidden="1"/>
    <cellStyle name="Hyperlink" xfId="5769" builtinId="8" hidden="1"/>
    <cellStyle name="Hyperlink" xfId="5771" builtinId="8" hidden="1"/>
    <cellStyle name="Hyperlink" xfId="5773" builtinId="8" hidden="1"/>
    <cellStyle name="Hyperlink" xfId="5775" builtinId="8" hidden="1"/>
    <cellStyle name="Hyperlink" xfId="5777" builtinId="8" hidden="1"/>
    <cellStyle name="Hyperlink" xfId="5779" builtinId="8" hidden="1"/>
    <cellStyle name="Hyperlink" xfId="5781" builtinId="8" hidden="1"/>
    <cellStyle name="Hyperlink" xfId="5783" builtinId="8" hidden="1"/>
    <cellStyle name="Hyperlink" xfId="5785" builtinId="8" hidden="1"/>
    <cellStyle name="Hyperlink" xfId="5787" builtinId="8" hidden="1"/>
    <cellStyle name="Hyperlink" xfId="5789" builtinId="8" hidden="1"/>
    <cellStyle name="Hyperlink" xfId="5791" builtinId="8" hidden="1"/>
    <cellStyle name="Hyperlink" xfId="5793" builtinId="8" hidden="1"/>
    <cellStyle name="Hyperlink" xfId="5795" builtinId="8" hidden="1"/>
    <cellStyle name="Hyperlink" xfId="5797" builtinId="8" hidden="1"/>
    <cellStyle name="Hyperlink" xfId="5799" builtinId="8" hidden="1"/>
    <cellStyle name="Hyperlink" xfId="5801" builtinId="8" hidden="1"/>
    <cellStyle name="Hyperlink" xfId="5803" builtinId="8" hidden="1"/>
    <cellStyle name="Hyperlink" xfId="5805" builtinId="8" hidden="1"/>
    <cellStyle name="Hyperlink" xfId="5807" builtinId="8" hidden="1"/>
    <cellStyle name="Hyperlink" xfId="5809" builtinId="8" hidden="1"/>
    <cellStyle name="Hyperlink" xfId="5811" builtinId="8" hidden="1"/>
    <cellStyle name="Hyperlink" xfId="5813" builtinId="8" hidden="1"/>
    <cellStyle name="Hyperlink" xfId="5815" builtinId="8" hidden="1"/>
    <cellStyle name="Hyperlink" xfId="5817" builtinId="8" hidden="1"/>
    <cellStyle name="Hyperlink" xfId="5819" builtinId="8" hidden="1"/>
    <cellStyle name="Hyperlink" xfId="5821" builtinId="8" hidden="1"/>
    <cellStyle name="Hyperlink" xfId="5823" builtinId="8" hidden="1"/>
    <cellStyle name="Hyperlink" xfId="5825" builtinId="8" hidden="1"/>
    <cellStyle name="Hyperlink" xfId="5827" builtinId="8" hidden="1"/>
    <cellStyle name="Hyperlink" xfId="5829" builtinId="8" hidden="1"/>
    <cellStyle name="Hyperlink" xfId="5831" builtinId="8" hidden="1"/>
    <cellStyle name="Hyperlink" xfId="5833" builtinId="8" hidden="1"/>
    <cellStyle name="Hyperlink" xfId="5835" builtinId="8" hidden="1"/>
    <cellStyle name="Hyperlink" xfId="5837" builtinId="8" hidden="1"/>
    <cellStyle name="Hyperlink" xfId="5839" builtinId="8" hidden="1"/>
    <cellStyle name="Hyperlink" xfId="5841" builtinId="8" hidden="1"/>
    <cellStyle name="Hyperlink" xfId="5843" builtinId="8" hidden="1"/>
    <cellStyle name="Hyperlink" xfId="5845" builtinId="8" hidden="1"/>
    <cellStyle name="Hyperlink" xfId="5847" builtinId="8" hidden="1"/>
    <cellStyle name="Hyperlink" xfId="5849" builtinId="8" hidden="1"/>
    <cellStyle name="Hyperlink" xfId="5851" builtinId="8" hidden="1"/>
    <cellStyle name="Hyperlink" xfId="5853" builtinId="8" hidden="1"/>
    <cellStyle name="Hyperlink" xfId="5855" builtinId="8" hidden="1"/>
    <cellStyle name="Hyperlink" xfId="5857" builtinId="8" hidden="1"/>
    <cellStyle name="Hyperlink" xfId="5859" builtinId="8" hidden="1"/>
    <cellStyle name="Hyperlink" xfId="5861" builtinId="8" hidden="1"/>
    <cellStyle name="Hyperlink" xfId="5863" builtinId="8" hidden="1"/>
    <cellStyle name="Hyperlink" xfId="5865" builtinId="8" hidden="1"/>
    <cellStyle name="Hyperlink" xfId="5867" builtinId="8" hidden="1"/>
    <cellStyle name="Hyperlink" xfId="5869" builtinId="8" hidden="1"/>
    <cellStyle name="Hyperlink" xfId="5871" builtinId="8" hidden="1"/>
    <cellStyle name="Hyperlink" xfId="5873" builtinId="8" hidden="1"/>
    <cellStyle name="Hyperlink" xfId="5875" builtinId="8" hidden="1"/>
    <cellStyle name="Hyperlink" xfId="5877" builtinId="8" hidden="1"/>
    <cellStyle name="Hyperlink" xfId="5879" builtinId="8" hidden="1"/>
    <cellStyle name="Hyperlink" xfId="5881" builtinId="8" hidden="1"/>
    <cellStyle name="Hyperlink" xfId="5883" builtinId="8" hidden="1"/>
    <cellStyle name="Hyperlink" xfId="5885" builtinId="8" hidden="1"/>
    <cellStyle name="Hyperlink" xfId="5887" builtinId="8" hidden="1"/>
    <cellStyle name="Hyperlink" xfId="5889" builtinId="8" hidden="1"/>
    <cellStyle name="Hyperlink" xfId="5891" builtinId="8" hidden="1"/>
    <cellStyle name="Hyperlink" xfId="5893" builtinId="8" hidden="1"/>
    <cellStyle name="Hyperlink" xfId="5895" builtinId="8" hidden="1"/>
    <cellStyle name="Hyperlink" xfId="5897" builtinId="8" hidden="1"/>
    <cellStyle name="Hyperlink" xfId="5899" builtinId="8" hidden="1"/>
    <cellStyle name="Hyperlink" xfId="5901" builtinId="8" hidden="1"/>
    <cellStyle name="Hyperlink" xfId="5903" builtinId="8" hidden="1"/>
    <cellStyle name="Hyperlink" xfId="5905" builtinId="8" hidden="1"/>
    <cellStyle name="Hyperlink" xfId="5907" builtinId="8" hidden="1"/>
    <cellStyle name="Hyperlink" xfId="5909" builtinId="8" hidden="1"/>
    <cellStyle name="Hyperlink" xfId="5911" builtinId="8" hidden="1"/>
    <cellStyle name="Hyperlink" xfId="5913" builtinId="8" hidden="1"/>
    <cellStyle name="Hyperlink" xfId="5915" builtinId="8" hidden="1"/>
    <cellStyle name="Hyperlink" xfId="5917" builtinId="8" hidden="1"/>
    <cellStyle name="Hyperlink" xfId="5919" builtinId="8" hidden="1"/>
    <cellStyle name="Hyperlink" xfId="5921" builtinId="8" hidden="1"/>
    <cellStyle name="Hyperlink" xfId="5923" builtinId="8" hidden="1"/>
    <cellStyle name="Hyperlink" xfId="5925" builtinId="8" hidden="1"/>
    <cellStyle name="Hyperlink" xfId="5927" builtinId="8" hidden="1"/>
    <cellStyle name="Hyperlink" xfId="5929" builtinId="8" hidden="1"/>
    <cellStyle name="Hyperlink" xfId="5931" builtinId="8" hidden="1"/>
    <cellStyle name="Hyperlink" xfId="5933" builtinId="8" hidden="1"/>
    <cellStyle name="Hyperlink" xfId="5935" builtinId="8" hidden="1"/>
    <cellStyle name="Hyperlink" xfId="5937" builtinId="8" hidden="1"/>
    <cellStyle name="Hyperlink" xfId="5939" builtinId="8" hidden="1"/>
    <cellStyle name="Hyperlink" xfId="5941" builtinId="8" hidden="1"/>
    <cellStyle name="Hyperlink" xfId="5943" builtinId="8" hidden="1"/>
    <cellStyle name="Hyperlink" xfId="5945" builtinId="8" hidden="1"/>
    <cellStyle name="Hyperlink" xfId="5947" builtinId="8" hidden="1"/>
    <cellStyle name="Hyperlink" xfId="5949" builtinId="8" hidden="1"/>
    <cellStyle name="Hyperlink" xfId="5951" builtinId="8" hidden="1"/>
    <cellStyle name="Hyperlink" xfId="5953" builtinId="8" hidden="1"/>
    <cellStyle name="Hyperlink" xfId="5955" builtinId="8" hidden="1"/>
    <cellStyle name="Hyperlink" xfId="5957" builtinId="8" hidden="1"/>
    <cellStyle name="Hyperlink" xfId="5959" builtinId="8" hidden="1"/>
    <cellStyle name="Hyperlink" xfId="5961" builtinId="8" hidden="1"/>
    <cellStyle name="Hyperlink" xfId="5963" builtinId="8" hidden="1"/>
    <cellStyle name="Hyperlink" xfId="5965" builtinId="8" hidden="1"/>
    <cellStyle name="Hyperlink" xfId="5967" builtinId="8" hidden="1"/>
    <cellStyle name="Hyperlink" xfId="5969" builtinId="8" hidden="1"/>
    <cellStyle name="Hyperlink" xfId="5971" builtinId="8" hidden="1"/>
    <cellStyle name="Hyperlink" xfId="5973" builtinId="8" hidden="1"/>
    <cellStyle name="Hyperlink" xfId="5975" builtinId="8" hidden="1"/>
    <cellStyle name="Hyperlink" xfId="5977" builtinId="8" hidden="1"/>
    <cellStyle name="Hyperlink" xfId="5979" builtinId="8" hidden="1"/>
    <cellStyle name="Hyperlink" xfId="5981" builtinId="8" hidden="1"/>
    <cellStyle name="Hyperlink" xfId="5983" builtinId="8" hidden="1"/>
    <cellStyle name="Hyperlink" xfId="5985" builtinId="8" hidden="1"/>
    <cellStyle name="Hyperlink" xfId="5987" builtinId="8" hidden="1"/>
    <cellStyle name="Hyperlink" xfId="5989" builtinId="8" hidden="1"/>
    <cellStyle name="Hyperlink" xfId="5991" builtinId="8" hidden="1"/>
    <cellStyle name="Hyperlink" xfId="5993" builtinId="8" hidden="1"/>
    <cellStyle name="Hyperlink" xfId="5995" builtinId="8" hidden="1"/>
    <cellStyle name="Hyperlink" xfId="5997" builtinId="8" hidden="1"/>
    <cellStyle name="Hyperlink" xfId="5999" builtinId="8" hidden="1"/>
    <cellStyle name="Hyperlink" xfId="6001" builtinId="8" hidden="1"/>
    <cellStyle name="Hyperlink" xfId="6003" builtinId="8" hidden="1"/>
    <cellStyle name="Hyperlink" xfId="6005" builtinId="8" hidden="1"/>
    <cellStyle name="Hyperlink" xfId="6007" builtinId="8" hidden="1"/>
    <cellStyle name="Hyperlink" xfId="6009" builtinId="8" hidden="1"/>
    <cellStyle name="Hyperlink" xfId="6011" builtinId="8" hidden="1"/>
    <cellStyle name="Hyperlink" xfId="6013" builtinId="8" hidden="1"/>
    <cellStyle name="Hyperlink" xfId="6015" builtinId="8" hidden="1"/>
    <cellStyle name="Hyperlink" xfId="6017" builtinId="8" hidden="1"/>
    <cellStyle name="Hyperlink" xfId="6019" builtinId="8" hidden="1"/>
    <cellStyle name="Hyperlink" xfId="6021" builtinId="8" hidden="1"/>
    <cellStyle name="Hyperlink" xfId="6023" builtinId="8" hidden="1"/>
    <cellStyle name="Hyperlink" xfId="6025" builtinId="8" hidden="1"/>
    <cellStyle name="Hyperlink" xfId="6027" builtinId="8" hidden="1"/>
    <cellStyle name="Hyperlink" xfId="6029" builtinId="8" hidden="1"/>
    <cellStyle name="Hyperlink" xfId="6031" builtinId="8" hidden="1"/>
    <cellStyle name="Hyperlink" xfId="6033" builtinId="8" hidden="1"/>
    <cellStyle name="Hyperlink" xfId="6035" builtinId="8" hidden="1"/>
    <cellStyle name="Hyperlink" xfId="6037" builtinId="8" hidden="1"/>
    <cellStyle name="Hyperlink" xfId="6039" builtinId="8" hidden="1"/>
    <cellStyle name="Hyperlink" xfId="6041" builtinId="8" hidden="1"/>
    <cellStyle name="Hyperlink" xfId="6043" builtinId="8" hidden="1"/>
    <cellStyle name="Hyperlink" xfId="6045" builtinId="8" hidden="1"/>
    <cellStyle name="Hyperlink" xfId="6047" builtinId="8" hidden="1"/>
    <cellStyle name="Hyperlink" xfId="6049" builtinId="8" hidden="1"/>
    <cellStyle name="Hyperlink" xfId="6051" builtinId="8" hidden="1"/>
    <cellStyle name="Hyperlink" xfId="6053" builtinId="8" hidden="1"/>
    <cellStyle name="Hyperlink" xfId="6055" builtinId="8" hidden="1"/>
    <cellStyle name="Hyperlink" xfId="6057" builtinId="8" hidden="1"/>
    <cellStyle name="Hyperlink" xfId="6059" builtinId="8" hidden="1"/>
    <cellStyle name="Hyperlink" xfId="6061" builtinId="8" hidden="1"/>
    <cellStyle name="Hyperlink" xfId="6063" builtinId="8" hidden="1"/>
    <cellStyle name="Hyperlink" xfId="6065" builtinId="8" hidden="1"/>
    <cellStyle name="Hyperlink" xfId="6067" builtinId="8" hidden="1"/>
    <cellStyle name="Hyperlink" xfId="6069" builtinId="8" hidden="1"/>
    <cellStyle name="Hyperlink" xfId="6071" builtinId="8" hidden="1"/>
    <cellStyle name="Hyperlink" xfId="6073" builtinId="8" hidden="1"/>
    <cellStyle name="Hyperlink" xfId="6075" builtinId="8" hidden="1"/>
    <cellStyle name="Hyperlink" xfId="6077" builtinId="8" hidden="1"/>
    <cellStyle name="Hyperlink" xfId="6079" builtinId="8" hidden="1"/>
    <cellStyle name="Hyperlink" xfId="6081" builtinId="8" hidden="1"/>
    <cellStyle name="Hyperlink" xfId="6083" builtinId="8" hidden="1"/>
    <cellStyle name="Hyperlink" xfId="6085" builtinId="8" hidden="1"/>
    <cellStyle name="Hyperlink" xfId="6087" builtinId="8" hidden="1"/>
    <cellStyle name="Hyperlink" xfId="6089" builtinId="8" hidden="1"/>
    <cellStyle name="Hyperlink" xfId="6091" builtinId="8" hidden="1"/>
    <cellStyle name="Hyperlink" xfId="6093" builtinId="8" hidden="1"/>
    <cellStyle name="Hyperlink" xfId="6095" builtinId="8" hidden="1"/>
    <cellStyle name="Hyperlink" xfId="6097" builtinId="8" hidden="1"/>
    <cellStyle name="Hyperlink" xfId="6099" builtinId="8" hidden="1"/>
    <cellStyle name="Hyperlink" xfId="6101" builtinId="8" hidden="1"/>
    <cellStyle name="Hyperlink" xfId="6103" builtinId="8" hidden="1"/>
    <cellStyle name="Hyperlink" xfId="6105" builtinId="8" hidden="1"/>
    <cellStyle name="Hyperlink" xfId="6107" builtinId="8" hidden="1"/>
    <cellStyle name="Hyperlink" xfId="6109" builtinId="8" hidden="1"/>
    <cellStyle name="Hyperlink" xfId="6111" builtinId="8" hidden="1"/>
    <cellStyle name="Hyperlink" xfId="6113" builtinId="8" hidden="1"/>
    <cellStyle name="Hyperlink" xfId="6115" builtinId="8" hidden="1"/>
    <cellStyle name="Hyperlink" xfId="6117" builtinId="8" hidden="1"/>
    <cellStyle name="Hyperlink" xfId="6119" builtinId="8" hidden="1"/>
    <cellStyle name="Hyperlink" xfId="6121" builtinId="8" hidden="1"/>
    <cellStyle name="Hyperlink" xfId="6123" builtinId="8" hidden="1"/>
    <cellStyle name="Hyperlink" xfId="6125" builtinId="8" hidden="1"/>
    <cellStyle name="Hyperlink" xfId="6127" builtinId="8" hidden="1"/>
    <cellStyle name="Hyperlink" xfId="6129" builtinId="8" hidden="1"/>
    <cellStyle name="Hyperlink" xfId="6131" builtinId="8" hidden="1"/>
    <cellStyle name="Hyperlink" xfId="6133" builtinId="8" hidden="1"/>
    <cellStyle name="Hyperlink" xfId="6135" builtinId="8" hidden="1"/>
    <cellStyle name="Hyperlink" xfId="6137" builtinId="8" hidden="1"/>
    <cellStyle name="Hyperlink" xfId="6139" builtinId="8" hidden="1"/>
    <cellStyle name="Hyperlink" xfId="6141" builtinId="8" hidden="1"/>
    <cellStyle name="Hyperlink" xfId="6143" builtinId="8" hidden="1"/>
    <cellStyle name="Hyperlink" xfId="6145" builtinId="8" hidden="1"/>
    <cellStyle name="Hyperlink" xfId="6147" builtinId="8" hidden="1"/>
    <cellStyle name="Hyperlink" xfId="6149" builtinId="8" hidden="1"/>
    <cellStyle name="Hyperlink" xfId="6151" builtinId="8" hidden="1"/>
    <cellStyle name="Hyperlink" xfId="6153" builtinId="8" hidden="1"/>
    <cellStyle name="Hyperlink" xfId="6155" builtinId="8" hidden="1"/>
    <cellStyle name="Hyperlink" xfId="6157" builtinId="8" hidden="1"/>
    <cellStyle name="Hyperlink" xfId="6159" builtinId="8" hidden="1"/>
    <cellStyle name="Hyperlink" xfId="6161" builtinId="8" hidden="1"/>
    <cellStyle name="Hyperlink" xfId="6163" builtinId="8" hidden="1"/>
    <cellStyle name="Hyperlink" xfId="6165" builtinId="8" hidden="1"/>
    <cellStyle name="Hyperlink" xfId="6167" builtinId="8" hidden="1"/>
    <cellStyle name="Hyperlink" xfId="6169" builtinId="8" hidden="1"/>
    <cellStyle name="Hyperlink" xfId="6171" builtinId="8" hidden="1"/>
    <cellStyle name="Hyperlink" xfId="6173" builtinId="8" hidden="1"/>
    <cellStyle name="Hyperlink" xfId="6175" builtinId="8" hidden="1"/>
    <cellStyle name="Hyperlink" xfId="6177" builtinId="8" hidden="1"/>
    <cellStyle name="Hyperlink" xfId="6179" builtinId="8" hidden="1"/>
    <cellStyle name="Hyperlink" xfId="6181" builtinId="8" hidden="1"/>
    <cellStyle name="Hyperlink" xfId="6183" builtinId="8" hidden="1"/>
    <cellStyle name="Hyperlink" xfId="6185" builtinId="8" hidden="1"/>
    <cellStyle name="Hyperlink" xfId="6187" builtinId="8" hidden="1"/>
    <cellStyle name="Hyperlink" xfId="6189" builtinId="8" hidden="1"/>
    <cellStyle name="Hyperlink" xfId="6191" builtinId="8" hidden="1"/>
    <cellStyle name="Hyperlink" xfId="6193" builtinId="8" hidden="1"/>
    <cellStyle name="Hyperlink" xfId="6195" builtinId="8" hidden="1"/>
    <cellStyle name="Hyperlink" xfId="6197" builtinId="8" hidden="1"/>
    <cellStyle name="Hyperlink" xfId="6199" builtinId="8" hidden="1"/>
    <cellStyle name="Hyperlink" xfId="6201" builtinId="8" hidden="1"/>
    <cellStyle name="Hyperlink" xfId="6203" builtinId="8" hidden="1"/>
    <cellStyle name="Hyperlink" xfId="6205" builtinId="8" hidden="1"/>
    <cellStyle name="Hyperlink" xfId="6207" builtinId="8" hidden="1"/>
    <cellStyle name="Hyperlink" xfId="6209" builtinId="8" hidden="1"/>
    <cellStyle name="Hyperlink" xfId="6211" builtinId="8" hidden="1"/>
    <cellStyle name="Hyperlink" xfId="6213" builtinId="8" hidden="1"/>
    <cellStyle name="Hyperlink" xfId="6215" builtinId="8" hidden="1"/>
    <cellStyle name="Hyperlink" xfId="6217" builtinId="8" hidden="1"/>
    <cellStyle name="Hyperlink" xfId="6219" builtinId="8" hidden="1"/>
    <cellStyle name="Hyperlink" xfId="6221" builtinId="8" hidden="1"/>
    <cellStyle name="Hyperlink" xfId="6223" builtinId="8" hidden="1"/>
    <cellStyle name="Hyperlink" xfId="6225" builtinId="8" hidden="1"/>
    <cellStyle name="Hyperlink" xfId="6227" builtinId="8" hidden="1"/>
    <cellStyle name="Hyperlink" xfId="6229" builtinId="8" hidden="1"/>
    <cellStyle name="Hyperlink" xfId="6231" builtinId="8" hidden="1"/>
    <cellStyle name="Hyperlink" xfId="6233" builtinId="8" hidden="1"/>
    <cellStyle name="Hyperlink" xfId="6235" builtinId="8" hidden="1"/>
    <cellStyle name="Hyperlink" xfId="6237" builtinId="8" hidden="1"/>
    <cellStyle name="Hyperlink" xfId="6239" builtinId="8" hidden="1"/>
    <cellStyle name="Hyperlink" xfId="6241" builtinId="8" hidden="1"/>
    <cellStyle name="Hyperlink" xfId="6243" builtinId="8" hidden="1"/>
    <cellStyle name="Hyperlink" xfId="6245" builtinId="8" hidden="1"/>
    <cellStyle name="Hyperlink" xfId="6247" builtinId="8" hidden="1"/>
    <cellStyle name="Hyperlink" xfId="6249" builtinId="8" hidden="1"/>
    <cellStyle name="Hyperlink" xfId="6251" builtinId="8" hidden="1"/>
    <cellStyle name="Hyperlink" xfId="6253" builtinId="8" hidden="1"/>
    <cellStyle name="Hyperlink" xfId="6255" builtinId="8" hidden="1"/>
    <cellStyle name="Hyperlink" xfId="6257" builtinId="8" hidden="1"/>
    <cellStyle name="Hyperlink" xfId="6259" builtinId="8" hidden="1"/>
    <cellStyle name="Hyperlink" xfId="6261" builtinId="8" hidden="1"/>
    <cellStyle name="Hyperlink" xfId="6263" builtinId="8" hidden="1"/>
    <cellStyle name="Hyperlink" xfId="6265" builtinId="8" hidden="1"/>
    <cellStyle name="Hyperlink" xfId="6267" builtinId="8" hidden="1"/>
    <cellStyle name="Hyperlink" xfId="6269" builtinId="8" hidden="1"/>
    <cellStyle name="Hyperlink" xfId="6271" builtinId="8" hidden="1"/>
    <cellStyle name="Hyperlink" xfId="6273" builtinId="8" hidden="1"/>
    <cellStyle name="Hyperlink" xfId="6275" builtinId="8" hidden="1"/>
    <cellStyle name="Hyperlink" xfId="6277" builtinId="8" hidden="1"/>
    <cellStyle name="Hyperlink" xfId="6279" builtinId="8" hidden="1"/>
    <cellStyle name="Hyperlink" xfId="6281" builtinId="8" hidden="1"/>
    <cellStyle name="Hyperlink" xfId="6283" builtinId="8" hidden="1"/>
    <cellStyle name="Hyperlink" xfId="6285" builtinId="8" hidden="1"/>
    <cellStyle name="Hyperlink" xfId="6287" builtinId="8" hidden="1"/>
    <cellStyle name="Hyperlink" xfId="6289" builtinId="8" hidden="1"/>
    <cellStyle name="Hyperlink" xfId="6291" builtinId="8" hidden="1"/>
    <cellStyle name="Hyperlink" xfId="6293" builtinId="8" hidden="1"/>
    <cellStyle name="Hyperlink" xfId="6295" builtinId="8" hidden="1"/>
    <cellStyle name="Hyperlink" xfId="6297" builtinId="8" hidden="1"/>
    <cellStyle name="Hyperlink" xfId="6299" builtinId="8" hidden="1"/>
    <cellStyle name="Hyperlink" xfId="6301" builtinId="8" hidden="1"/>
    <cellStyle name="Hyperlink" xfId="6303" builtinId="8" hidden="1"/>
    <cellStyle name="Hyperlink" xfId="6305" builtinId="8" hidden="1"/>
    <cellStyle name="Hyperlink" xfId="6307" builtinId="8" hidden="1"/>
    <cellStyle name="Hyperlink" xfId="6309" builtinId="8" hidden="1"/>
    <cellStyle name="Hyperlink" xfId="6311" builtinId="8" hidden="1"/>
    <cellStyle name="Hyperlink" xfId="6313" builtinId="8" hidden="1"/>
    <cellStyle name="Hyperlink" xfId="6315" builtinId="8" hidden="1"/>
    <cellStyle name="Hyperlink" xfId="6317" builtinId="8" hidden="1"/>
    <cellStyle name="Hyperlink" xfId="6319" builtinId="8" hidden="1"/>
    <cellStyle name="Hyperlink" xfId="6321" builtinId="8" hidden="1"/>
    <cellStyle name="Hyperlink" xfId="6323" builtinId="8" hidden="1"/>
    <cellStyle name="Hyperlink" xfId="6325" builtinId="8" hidden="1"/>
    <cellStyle name="Hyperlink" xfId="6327" builtinId="8" hidden="1"/>
    <cellStyle name="Hyperlink" xfId="6329" builtinId="8" hidden="1"/>
    <cellStyle name="Hyperlink" xfId="6331" builtinId="8" hidden="1"/>
    <cellStyle name="Hyperlink" xfId="6333" builtinId="8" hidden="1"/>
    <cellStyle name="Hyperlink" xfId="6335" builtinId="8" hidden="1"/>
    <cellStyle name="Hyperlink" xfId="6337" builtinId="8" hidden="1"/>
    <cellStyle name="Hyperlink" xfId="6339" builtinId="8" hidden="1"/>
    <cellStyle name="Hyperlink" xfId="6341" builtinId="8" hidden="1"/>
    <cellStyle name="Hyperlink" xfId="6343" builtinId="8" hidden="1"/>
    <cellStyle name="Hyperlink" xfId="6345" builtinId="8" hidden="1"/>
    <cellStyle name="Hyperlink" xfId="6347" builtinId="8" hidden="1"/>
    <cellStyle name="Hyperlink" xfId="6349" builtinId="8" hidden="1"/>
    <cellStyle name="Hyperlink" xfId="6351" builtinId="8" hidden="1"/>
    <cellStyle name="Hyperlink" xfId="6353" builtinId="8" hidden="1"/>
    <cellStyle name="Hyperlink" xfId="6355" builtinId="8" hidden="1"/>
    <cellStyle name="Hyperlink" xfId="6357" builtinId="8" hidden="1"/>
    <cellStyle name="Hyperlink" xfId="6359" builtinId="8" hidden="1"/>
    <cellStyle name="Hyperlink" xfId="6361" builtinId="8" hidden="1"/>
    <cellStyle name="Hyperlink" xfId="6363" builtinId="8" hidden="1"/>
    <cellStyle name="Hyperlink" xfId="6365" builtinId="8" hidden="1"/>
    <cellStyle name="Hyperlink" xfId="6367" builtinId="8" hidden="1"/>
    <cellStyle name="Hyperlink" xfId="6369" builtinId="8" hidden="1"/>
    <cellStyle name="Hyperlink" xfId="6371" builtinId="8" hidden="1"/>
    <cellStyle name="Hyperlink" xfId="6373" builtinId="8" hidden="1"/>
    <cellStyle name="Hyperlink" xfId="6375" builtinId="8" hidden="1"/>
    <cellStyle name="Hyperlink" xfId="6377" builtinId="8" hidden="1"/>
    <cellStyle name="Hyperlink" xfId="6379" builtinId="8" hidden="1"/>
    <cellStyle name="Hyperlink" xfId="6381" builtinId="8" hidden="1"/>
    <cellStyle name="Hyperlink" xfId="6383" builtinId="8" hidden="1"/>
    <cellStyle name="Hyperlink" xfId="6385" builtinId="8" hidden="1"/>
    <cellStyle name="Hyperlink" xfId="6387" builtinId="8" hidden="1"/>
    <cellStyle name="Hyperlink" xfId="6389" builtinId="8" hidden="1"/>
    <cellStyle name="Hyperlink" xfId="6391" builtinId="8" hidden="1"/>
    <cellStyle name="Hyperlink" xfId="6393" builtinId="8" hidden="1"/>
    <cellStyle name="Hyperlink" xfId="6395" builtinId="8" hidden="1"/>
    <cellStyle name="Hyperlink" xfId="6397" builtinId="8" hidden="1"/>
    <cellStyle name="Hyperlink" xfId="6399" builtinId="8" hidden="1"/>
    <cellStyle name="Hyperlink" xfId="6401" builtinId="8" hidden="1"/>
    <cellStyle name="Hyperlink" xfId="6403" builtinId="8" hidden="1"/>
    <cellStyle name="Hyperlink" xfId="6405" builtinId="8" hidden="1"/>
    <cellStyle name="Hyperlink" xfId="6407" builtinId="8" hidden="1"/>
    <cellStyle name="Hyperlink" xfId="6409" builtinId="8" hidden="1"/>
    <cellStyle name="Hyperlink" xfId="6411" builtinId="8" hidden="1"/>
    <cellStyle name="Hyperlink" xfId="6413" builtinId="8" hidden="1"/>
    <cellStyle name="Hyperlink" xfId="6415" builtinId="8" hidden="1"/>
    <cellStyle name="Hyperlink" xfId="6417" builtinId="8" hidden="1"/>
    <cellStyle name="Hyperlink" xfId="6419" builtinId="8" hidden="1"/>
    <cellStyle name="Hyperlink" xfId="6421" builtinId="8" hidden="1"/>
    <cellStyle name="Hyperlink" xfId="6423" builtinId="8" hidden="1"/>
    <cellStyle name="Hyperlink" xfId="6425" builtinId="8" hidden="1"/>
    <cellStyle name="Hyperlink" xfId="6427" builtinId="8" hidden="1"/>
    <cellStyle name="Hyperlink" xfId="6429" builtinId="8" hidden="1"/>
    <cellStyle name="Hyperlink" xfId="6431" builtinId="8" hidden="1"/>
    <cellStyle name="Hyperlink" xfId="6433" builtinId="8" hidden="1"/>
    <cellStyle name="Hyperlink" xfId="6435" builtinId="8" hidden="1"/>
    <cellStyle name="Hyperlink" xfId="6437" builtinId="8" hidden="1"/>
    <cellStyle name="Hyperlink" xfId="6439" builtinId="8" hidden="1"/>
    <cellStyle name="Hyperlink" xfId="6441" builtinId="8" hidden="1"/>
    <cellStyle name="Hyperlink" xfId="6443" builtinId="8" hidden="1"/>
    <cellStyle name="Hyperlink" xfId="6445" builtinId="8" hidden="1"/>
    <cellStyle name="Hyperlink" xfId="6447" builtinId="8" hidden="1"/>
    <cellStyle name="Hyperlink" xfId="6449" builtinId="8" hidden="1"/>
    <cellStyle name="Hyperlink" xfId="6451" builtinId="8" hidden="1"/>
    <cellStyle name="Hyperlink" xfId="6453" builtinId="8" hidden="1"/>
    <cellStyle name="Hyperlink" xfId="6455" builtinId="8" hidden="1"/>
    <cellStyle name="Hyperlink" xfId="6457" builtinId="8" hidden="1"/>
    <cellStyle name="Hyperlink" xfId="6459" builtinId="8" hidden="1"/>
    <cellStyle name="Hyperlink" xfId="6461" builtinId="8" hidden="1"/>
    <cellStyle name="Hyperlink" xfId="6463" builtinId="8" hidden="1"/>
    <cellStyle name="Hyperlink" xfId="6465" builtinId="8" hidden="1"/>
    <cellStyle name="Hyperlink" xfId="6467" builtinId="8" hidden="1"/>
    <cellStyle name="Hyperlink" xfId="6469" builtinId="8" hidden="1"/>
    <cellStyle name="Hyperlink" xfId="6471" builtinId="8" hidden="1"/>
    <cellStyle name="Hyperlink" xfId="6473" builtinId="8" hidden="1"/>
    <cellStyle name="Hyperlink" xfId="6475" builtinId="8" hidden="1"/>
    <cellStyle name="Hyperlink" xfId="6477" builtinId="8" hidden="1"/>
    <cellStyle name="Hyperlink" xfId="6479" builtinId="8" hidden="1"/>
    <cellStyle name="Hyperlink" xfId="6481" builtinId="8" hidden="1"/>
    <cellStyle name="Hyperlink" xfId="6483" builtinId="8" hidden="1"/>
    <cellStyle name="Hyperlink" xfId="6485" builtinId="8" hidden="1"/>
    <cellStyle name="Hyperlink" xfId="6487" builtinId="8" hidden="1"/>
    <cellStyle name="Hyperlink" xfId="6489" builtinId="8" hidden="1"/>
    <cellStyle name="Hyperlink" xfId="6491" builtinId="8" hidden="1"/>
    <cellStyle name="Hyperlink" xfId="6493" builtinId="8" hidden="1"/>
    <cellStyle name="Hyperlink" xfId="6495" builtinId="8" hidden="1"/>
    <cellStyle name="Hyperlink" xfId="6497" builtinId="8" hidden="1"/>
    <cellStyle name="Hyperlink" xfId="6499" builtinId="8" hidden="1"/>
    <cellStyle name="Hyperlink" xfId="6501" builtinId="8" hidden="1"/>
    <cellStyle name="Hyperlink" xfId="6503" builtinId="8" hidden="1"/>
    <cellStyle name="Hyperlink" xfId="6505" builtinId="8" hidden="1"/>
    <cellStyle name="Hyperlink" xfId="6507" builtinId="8" hidden="1"/>
    <cellStyle name="Hyperlink" xfId="6509" builtinId="8" hidden="1"/>
    <cellStyle name="Hyperlink" xfId="6511" builtinId="8" hidden="1"/>
    <cellStyle name="Hyperlink" xfId="6513" builtinId="8" hidden="1"/>
    <cellStyle name="Hyperlink" xfId="6515" builtinId="8" hidden="1"/>
    <cellStyle name="Hyperlink" xfId="6517" builtinId="8" hidden="1"/>
    <cellStyle name="Hyperlink" xfId="6519" builtinId="8" hidden="1"/>
    <cellStyle name="Hyperlink" xfId="6521" builtinId="8" hidden="1"/>
    <cellStyle name="Hyperlink" xfId="6523" builtinId="8" hidden="1"/>
    <cellStyle name="Hyperlink" xfId="6525" builtinId="8" hidden="1"/>
    <cellStyle name="Hyperlink" xfId="6527" builtinId="8" hidden="1"/>
    <cellStyle name="Hyperlink" xfId="6529" builtinId="8" hidden="1"/>
    <cellStyle name="Hyperlink" xfId="6531" builtinId="8" hidden="1"/>
    <cellStyle name="Hyperlink" xfId="6533" builtinId="8" hidden="1"/>
    <cellStyle name="Hyperlink" xfId="6535" builtinId="8" hidden="1"/>
    <cellStyle name="Hyperlink" xfId="6537" builtinId="8" hidden="1"/>
    <cellStyle name="Hyperlink" xfId="6539" builtinId="8" hidden="1"/>
    <cellStyle name="Hyperlink" xfId="6541" builtinId="8" hidden="1"/>
    <cellStyle name="Hyperlink" xfId="6543" builtinId="8" hidden="1"/>
    <cellStyle name="Hyperlink" xfId="6545" builtinId="8" hidden="1"/>
    <cellStyle name="Hyperlink" xfId="6547" builtinId="8" hidden="1"/>
    <cellStyle name="Hyperlink" xfId="6549" builtinId="8" hidden="1"/>
    <cellStyle name="Hyperlink" xfId="6551" builtinId="8" hidden="1"/>
    <cellStyle name="Hyperlink" xfId="6553" builtinId="8" hidden="1"/>
    <cellStyle name="Hyperlink" xfId="6555" builtinId="8" hidden="1"/>
    <cellStyle name="Hyperlink" xfId="6557" builtinId="8" hidden="1"/>
    <cellStyle name="Hyperlink" xfId="6559" builtinId="8" hidden="1"/>
    <cellStyle name="Hyperlink" xfId="6561" builtinId="8" hidden="1"/>
    <cellStyle name="Hyperlink" xfId="6563" builtinId="8" hidden="1"/>
    <cellStyle name="Hyperlink" xfId="6565" builtinId="8" hidden="1"/>
    <cellStyle name="Hyperlink" xfId="6567" builtinId="8" hidden="1"/>
    <cellStyle name="Hyperlink" xfId="6569" builtinId="8" hidden="1"/>
    <cellStyle name="Hyperlink" xfId="6571" builtinId="8" hidden="1"/>
    <cellStyle name="Hyperlink" xfId="6573" builtinId="8" hidden="1"/>
    <cellStyle name="Hyperlink" xfId="6575" builtinId="8" hidden="1"/>
    <cellStyle name="Hyperlink" xfId="6577" builtinId="8" hidden="1"/>
    <cellStyle name="Hyperlink" xfId="6579" builtinId="8" hidden="1"/>
    <cellStyle name="Hyperlink" xfId="6581" builtinId="8" hidden="1"/>
    <cellStyle name="Hyperlink" xfId="6583" builtinId="8" hidden="1"/>
    <cellStyle name="Hyperlink" xfId="6585" builtinId="8" hidden="1"/>
    <cellStyle name="Hyperlink" xfId="6587" builtinId="8" hidden="1"/>
    <cellStyle name="Hyperlink" xfId="6589" builtinId="8" hidden="1"/>
    <cellStyle name="Hyperlink" xfId="6591" builtinId="8" hidden="1"/>
    <cellStyle name="Hyperlink" xfId="6593" builtinId="8" hidden="1"/>
    <cellStyle name="Hyperlink" xfId="6595" builtinId="8" hidden="1"/>
    <cellStyle name="Hyperlink" xfId="6597" builtinId="8" hidden="1"/>
    <cellStyle name="Hyperlink" xfId="6599" builtinId="8" hidden="1"/>
    <cellStyle name="Hyperlink" xfId="6601" builtinId="8" hidden="1"/>
    <cellStyle name="Hyperlink" xfId="6603" builtinId="8" hidden="1"/>
    <cellStyle name="Hyperlink" xfId="6605" builtinId="8" hidden="1"/>
    <cellStyle name="Hyperlink" xfId="6607" builtinId="8" hidden="1"/>
    <cellStyle name="Hyperlink" xfId="6609" builtinId="8" hidden="1"/>
    <cellStyle name="Hyperlink" xfId="6611" builtinId="8" hidden="1"/>
    <cellStyle name="Hyperlink" xfId="6613" builtinId="8" hidden="1"/>
    <cellStyle name="Hyperlink" xfId="6615" builtinId="8" hidden="1"/>
    <cellStyle name="Hyperlink" xfId="6617" builtinId="8" hidden="1"/>
    <cellStyle name="Hyperlink" xfId="6619" builtinId="8" hidden="1"/>
    <cellStyle name="Hyperlink" xfId="6621" builtinId="8" hidden="1"/>
    <cellStyle name="Hyperlink" xfId="6623" builtinId="8" hidden="1"/>
    <cellStyle name="Hyperlink" xfId="6625" builtinId="8" hidden="1"/>
    <cellStyle name="Hyperlink" xfId="6627" builtinId="8" hidden="1"/>
    <cellStyle name="Hyperlink" xfId="6629" builtinId="8" hidden="1"/>
    <cellStyle name="Hyperlink" xfId="6631" builtinId="8" hidden="1"/>
    <cellStyle name="Hyperlink" xfId="6633" builtinId="8" hidden="1"/>
    <cellStyle name="Hyperlink" xfId="6635" builtinId="8" hidden="1"/>
    <cellStyle name="Hyperlink" xfId="6637" builtinId="8" hidden="1"/>
    <cellStyle name="Hyperlink" xfId="6639" builtinId="8" hidden="1"/>
    <cellStyle name="Hyperlink" xfId="6641" builtinId="8" hidden="1"/>
    <cellStyle name="Hyperlink" xfId="6643" builtinId="8" hidden="1"/>
    <cellStyle name="Hyperlink" xfId="6645" builtinId="8" hidden="1"/>
    <cellStyle name="Hyperlink" xfId="6647" builtinId="8" hidden="1"/>
    <cellStyle name="Hyperlink" xfId="6649" builtinId="8" hidden="1"/>
    <cellStyle name="Hyperlink" xfId="6651" builtinId="8" hidden="1"/>
    <cellStyle name="Hyperlink" xfId="6653" builtinId="8" hidden="1"/>
    <cellStyle name="Hyperlink" xfId="6655" builtinId="8" hidden="1"/>
    <cellStyle name="Hyperlink" xfId="6657" builtinId="8" hidden="1"/>
    <cellStyle name="Hyperlink" xfId="6659" builtinId="8" hidden="1"/>
    <cellStyle name="Hyperlink" xfId="6661" builtinId="8" hidden="1"/>
    <cellStyle name="Hyperlink" xfId="6663" builtinId="8" hidden="1"/>
    <cellStyle name="Hyperlink" xfId="6665" builtinId="8" hidden="1"/>
    <cellStyle name="Hyperlink" xfId="6667" builtinId="8" hidden="1"/>
    <cellStyle name="Hyperlink" xfId="6669" builtinId="8" hidden="1"/>
    <cellStyle name="Hyperlink" xfId="6671" builtinId="8" hidden="1"/>
    <cellStyle name="Hyperlink" xfId="6673" builtinId="8" hidden="1"/>
    <cellStyle name="Hyperlink" xfId="6675" builtinId="8" hidden="1"/>
    <cellStyle name="Hyperlink" xfId="6677" builtinId="8" hidden="1"/>
    <cellStyle name="Hyperlink" xfId="6679" builtinId="8" hidden="1"/>
    <cellStyle name="Hyperlink" xfId="6681" builtinId="8" hidden="1"/>
    <cellStyle name="Hyperlink" xfId="6683" builtinId="8" hidden="1"/>
    <cellStyle name="Hyperlink" xfId="6685" builtinId="8" hidden="1"/>
    <cellStyle name="Hyperlink" xfId="6687" builtinId="8" hidden="1"/>
    <cellStyle name="Hyperlink" xfId="6689" builtinId="8" hidden="1"/>
    <cellStyle name="Hyperlink" xfId="6691" builtinId="8" hidden="1"/>
    <cellStyle name="Hyperlink" xfId="6693" builtinId="8" hidden="1"/>
    <cellStyle name="Hyperlink" xfId="6695" builtinId="8" hidden="1"/>
    <cellStyle name="Hyperlink" xfId="6697" builtinId="8" hidden="1"/>
    <cellStyle name="Hyperlink" xfId="6699" builtinId="8" hidden="1"/>
    <cellStyle name="Hyperlink" xfId="6701" builtinId="8" hidden="1"/>
    <cellStyle name="Hyperlink" xfId="6703" builtinId="8" hidden="1"/>
    <cellStyle name="Hyperlink" xfId="6705" builtinId="8" hidden="1"/>
    <cellStyle name="Hyperlink" xfId="6707" builtinId="8" hidden="1"/>
    <cellStyle name="Hyperlink" xfId="6709" builtinId="8" hidden="1"/>
    <cellStyle name="Hyperlink" xfId="6711" builtinId="8" hidden="1"/>
    <cellStyle name="Hyperlink" xfId="6713" builtinId="8" hidden="1"/>
    <cellStyle name="Hyperlink" xfId="6715" builtinId="8" hidden="1"/>
    <cellStyle name="Hyperlink" xfId="6717" builtinId="8" hidden="1"/>
    <cellStyle name="Hyperlink" xfId="6719" builtinId="8" hidden="1"/>
    <cellStyle name="Hyperlink" xfId="6721" builtinId="8" hidden="1"/>
    <cellStyle name="Hyperlink" xfId="6723" builtinId="8" hidden="1"/>
    <cellStyle name="Hyperlink" xfId="6725" builtinId="8" hidden="1"/>
    <cellStyle name="Hyperlink" xfId="6727" builtinId="8" hidden="1"/>
    <cellStyle name="Hyperlink" xfId="6729" builtinId="8" hidden="1"/>
    <cellStyle name="Hyperlink" xfId="6731" builtinId="8" hidden="1"/>
    <cellStyle name="Hyperlink" xfId="6733" builtinId="8" hidden="1"/>
    <cellStyle name="Hyperlink" xfId="6735" builtinId="8" hidden="1"/>
    <cellStyle name="Hyperlink" xfId="6737" builtinId="8" hidden="1"/>
    <cellStyle name="Hyperlink" xfId="6739" builtinId="8" hidden="1"/>
    <cellStyle name="Hyperlink" xfId="6741" builtinId="8" hidden="1"/>
    <cellStyle name="Hyperlink" xfId="6743" builtinId="8" hidden="1"/>
    <cellStyle name="Hyperlink" xfId="6745" builtinId="8" hidden="1"/>
    <cellStyle name="Hyperlink" xfId="6747" builtinId="8" hidden="1"/>
    <cellStyle name="Hyperlink" xfId="6749" builtinId="8" hidden="1"/>
    <cellStyle name="Hyperlink" xfId="6751" builtinId="8" hidden="1"/>
    <cellStyle name="Hyperlink" xfId="6753" builtinId="8" hidden="1"/>
    <cellStyle name="Hyperlink" xfId="6755" builtinId="8" hidden="1"/>
    <cellStyle name="Hyperlink" xfId="6757" builtinId="8" hidden="1"/>
    <cellStyle name="Hyperlink" xfId="6759" builtinId="8" hidden="1"/>
    <cellStyle name="Hyperlink" xfId="6761" builtinId="8" hidden="1"/>
    <cellStyle name="Hyperlink" xfId="6763" builtinId="8" hidden="1"/>
    <cellStyle name="Hyperlink" xfId="6765" builtinId="8" hidden="1"/>
    <cellStyle name="Hyperlink" xfId="6767" builtinId="8" hidden="1"/>
    <cellStyle name="Hyperlink" xfId="6769" builtinId="8" hidden="1"/>
    <cellStyle name="Hyperlink" xfId="6771" builtinId="8" hidden="1"/>
    <cellStyle name="Hyperlink" xfId="6773" builtinId="8" hidden="1"/>
    <cellStyle name="Hyperlink" xfId="6775" builtinId="8" hidden="1"/>
    <cellStyle name="Hyperlink" xfId="6777" builtinId="8" hidden="1"/>
    <cellStyle name="Hyperlink" xfId="6779" builtinId="8" hidden="1"/>
    <cellStyle name="Hyperlink" xfId="6781" builtinId="8" hidden="1"/>
    <cellStyle name="Hyperlink" xfId="6783" builtinId="8" hidden="1"/>
    <cellStyle name="Hyperlink" xfId="6785" builtinId="8" hidden="1"/>
    <cellStyle name="Hyperlink" xfId="6787" builtinId="8" hidden="1"/>
    <cellStyle name="Hyperlink" xfId="6789" builtinId="8" hidden="1"/>
    <cellStyle name="Hyperlink" xfId="6791" builtinId="8" hidden="1"/>
    <cellStyle name="Hyperlink" xfId="6793" builtinId="8" hidden="1"/>
    <cellStyle name="Hyperlink" xfId="6795" builtinId="8" hidden="1"/>
    <cellStyle name="Hyperlink" xfId="6797" builtinId="8" hidden="1"/>
    <cellStyle name="Hyperlink" xfId="6799" builtinId="8" hidden="1"/>
    <cellStyle name="Hyperlink" xfId="6801" builtinId="8" hidden="1"/>
    <cellStyle name="Hyperlink" xfId="6803" builtinId="8" hidden="1"/>
    <cellStyle name="Hyperlink" xfId="6805" builtinId="8" hidden="1"/>
    <cellStyle name="Hyperlink" xfId="6807" builtinId="8" hidden="1"/>
    <cellStyle name="Hyperlink" xfId="6809" builtinId="8" hidden="1"/>
    <cellStyle name="Hyperlink" xfId="6811" builtinId="8" hidden="1"/>
    <cellStyle name="Hyperlink" xfId="6813" builtinId="8" hidden="1"/>
    <cellStyle name="Hyperlink" xfId="6815" builtinId="8" hidden="1"/>
    <cellStyle name="Hyperlink" xfId="6817" builtinId="8" hidden="1"/>
    <cellStyle name="Hyperlink" xfId="6819" builtinId="8" hidden="1"/>
    <cellStyle name="Hyperlink" xfId="6821" builtinId="8" hidden="1"/>
    <cellStyle name="Hyperlink" xfId="6823" builtinId="8" hidden="1"/>
    <cellStyle name="Hyperlink" xfId="6825" builtinId="8" hidden="1"/>
    <cellStyle name="Hyperlink" xfId="6827" builtinId="8" hidden="1"/>
    <cellStyle name="Hyperlink" xfId="6829" builtinId="8" hidden="1"/>
    <cellStyle name="Hyperlink" xfId="6831" builtinId="8" hidden="1"/>
    <cellStyle name="Hyperlink" xfId="6833" builtinId="8" hidden="1"/>
    <cellStyle name="Hyperlink" xfId="6835" builtinId="8" hidden="1"/>
    <cellStyle name="Hyperlink" xfId="6837" builtinId="8" hidden="1"/>
    <cellStyle name="Hyperlink" xfId="6839" builtinId="8" hidden="1"/>
    <cellStyle name="Hyperlink" xfId="6841" builtinId="8" hidden="1"/>
    <cellStyle name="Hyperlink" xfId="6843" builtinId="8" hidden="1"/>
    <cellStyle name="Hyperlink" xfId="6845" builtinId="8" hidden="1"/>
    <cellStyle name="Hyperlink" xfId="6847" builtinId="8" hidden="1"/>
    <cellStyle name="Hyperlink" xfId="6849" builtinId="8" hidden="1"/>
    <cellStyle name="Hyperlink" xfId="6851" builtinId="8" hidden="1"/>
    <cellStyle name="Hyperlink" xfId="6853" builtinId="8" hidden="1"/>
    <cellStyle name="Hyperlink" xfId="6855" builtinId="8" hidden="1"/>
    <cellStyle name="Hyperlink" xfId="6857" builtinId="8" hidden="1"/>
    <cellStyle name="Hyperlink" xfId="6859" builtinId="8" hidden="1"/>
    <cellStyle name="Hyperlink" xfId="6861" builtinId="8" hidden="1"/>
    <cellStyle name="Hyperlink" xfId="6863" builtinId="8" hidden="1"/>
    <cellStyle name="Hyperlink" xfId="6865" builtinId="8" hidden="1"/>
    <cellStyle name="Hyperlink" xfId="6867" builtinId="8" hidden="1"/>
    <cellStyle name="Hyperlink" xfId="6869" builtinId="8" hidden="1"/>
    <cellStyle name="Hyperlink" xfId="6871" builtinId="8" hidden="1"/>
    <cellStyle name="Hyperlink" xfId="6873" builtinId="8" hidden="1"/>
    <cellStyle name="Hyperlink" xfId="6875" builtinId="8" hidden="1"/>
    <cellStyle name="Hyperlink" xfId="6877" builtinId="8" hidden="1"/>
    <cellStyle name="Hyperlink" xfId="6879" builtinId="8" hidden="1"/>
    <cellStyle name="Hyperlink" xfId="6881" builtinId="8" hidden="1"/>
    <cellStyle name="Hyperlink" xfId="6883" builtinId="8" hidden="1"/>
    <cellStyle name="Hyperlink" xfId="6885" builtinId="8" hidden="1"/>
    <cellStyle name="Hyperlink" xfId="6887" builtinId="8" hidden="1"/>
    <cellStyle name="Hyperlink" xfId="6889" builtinId="8" hidden="1"/>
    <cellStyle name="Hyperlink" xfId="6891" builtinId="8" hidden="1"/>
    <cellStyle name="Hyperlink" xfId="6893" builtinId="8" hidden="1"/>
    <cellStyle name="Hyperlink" xfId="6895" builtinId="8" hidden="1"/>
    <cellStyle name="Hyperlink" xfId="6897" builtinId="8" hidden="1"/>
    <cellStyle name="Hyperlink" xfId="6899" builtinId="8" hidden="1"/>
    <cellStyle name="Hyperlink" xfId="6901" builtinId="8" hidden="1"/>
    <cellStyle name="Hyperlink" xfId="6903" builtinId="8" hidden="1"/>
    <cellStyle name="Hyperlink" xfId="6905" builtinId="8" hidden="1"/>
    <cellStyle name="Hyperlink" xfId="6907" builtinId="8" hidden="1"/>
    <cellStyle name="Hyperlink" xfId="6909" builtinId="8" hidden="1"/>
    <cellStyle name="Hyperlink" xfId="6911" builtinId="8" hidden="1"/>
    <cellStyle name="Hyperlink" xfId="6913" builtinId="8" hidden="1"/>
    <cellStyle name="Hyperlink" xfId="6915" builtinId="8" hidden="1"/>
    <cellStyle name="Hyperlink" xfId="6917" builtinId="8" hidden="1"/>
    <cellStyle name="Hyperlink" xfId="6919" builtinId="8" hidden="1"/>
    <cellStyle name="Hyperlink" xfId="6921" builtinId="8" hidden="1"/>
    <cellStyle name="Hyperlink" xfId="6923" builtinId="8" hidden="1"/>
    <cellStyle name="Hyperlink" xfId="6925" builtinId="8" hidden="1"/>
    <cellStyle name="Hyperlink" xfId="6927" builtinId="8" hidden="1"/>
    <cellStyle name="Hyperlink" xfId="6929" builtinId="8" hidden="1"/>
    <cellStyle name="Hyperlink" xfId="6931" builtinId="8" hidden="1"/>
    <cellStyle name="Hyperlink" xfId="6933" builtinId="8" hidden="1"/>
    <cellStyle name="Hyperlink" xfId="6935" builtinId="8" hidden="1"/>
    <cellStyle name="Hyperlink" xfId="6937" builtinId="8" hidden="1"/>
    <cellStyle name="Hyperlink" xfId="6939" builtinId="8" hidden="1"/>
    <cellStyle name="Hyperlink" xfId="6941" builtinId="8" hidden="1"/>
    <cellStyle name="Hyperlink" xfId="6943" builtinId="8" hidden="1"/>
    <cellStyle name="Hyperlink" xfId="6945" builtinId="8" hidden="1"/>
    <cellStyle name="Hyperlink" xfId="6947" builtinId="8" hidden="1"/>
    <cellStyle name="Hyperlink" xfId="6949" builtinId="8" hidden="1"/>
    <cellStyle name="Hyperlink" xfId="6951" builtinId="8" hidden="1"/>
    <cellStyle name="Hyperlink" xfId="6953" builtinId="8" hidden="1"/>
    <cellStyle name="Hyperlink" xfId="6955" builtinId="8" hidden="1"/>
    <cellStyle name="Hyperlink" xfId="6957" builtinId="8" hidden="1"/>
    <cellStyle name="Hyperlink" xfId="6959" builtinId="8" hidden="1"/>
    <cellStyle name="Hyperlink" xfId="6961" builtinId="8" hidden="1"/>
    <cellStyle name="Hyperlink" xfId="6963" builtinId="8" hidden="1"/>
    <cellStyle name="Hyperlink" xfId="6965" builtinId="8" hidden="1"/>
    <cellStyle name="Hyperlink" xfId="6967" builtinId="8" hidden="1"/>
    <cellStyle name="Hyperlink" xfId="6969" builtinId="8" hidden="1"/>
    <cellStyle name="Hyperlink" xfId="6971" builtinId="8" hidden="1"/>
    <cellStyle name="Hyperlink" xfId="6973" builtinId="8" hidden="1"/>
    <cellStyle name="Hyperlink" xfId="6975" builtinId="8" hidden="1"/>
    <cellStyle name="Hyperlink" xfId="6977" builtinId="8" hidden="1"/>
    <cellStyle name="Hyperlink" xfId="6979" builtinId="8" hidden="1"/>
    <cellStyle name="Hyperlink" xfId="6981" builtinId="8" hidden="1"/>
    <cellStyle name="Hyperlink" xfId="6983" builtinId="8" hidden="1"/>
    <cellStyle name="Hyperlink" xfId="6985" builtinId="8" hidden="1"/>
    <cellStyle name="Hyperlink" xfId="6987" builtinId="8" hidden="1"/>
    <cellStyle name="Hyperlink" xfId="6989" builtinId="8" hidden="1"/>
    <cellStyle name="Hyperlink" xfId="6991" builtinId="8" hidden="1"/>
    <cellStyle name="Hyperlink" xfId="6993" builtinId="8" hidden="1"/>
    <cellStyle name="Hyperlink" xfId="6995" builtinId="8" hidden="1"/>
    <cellStyle name="Hyperlink" xfId="6997" builtinId="8" hidden="1"/>
    <cellStyle name="Hyperlink" xfId="6999" builtinId="8" hidden="1"/>
    <cellStyle name="Hyperlink" xfId="7001" builtinId="8" hidden="1"/>
    <cellStyle name="Hyperlink" xfId="7003" builtinId="8" hidden="1"/>
    <cellStyle name="Hyperlink" xfId="7005" builtinId="8" hidden="1"/>
    <cellStyle name="Hyperlink" xfId="7007" builtinId="8" hidden="1"/>
    <cellStyle name="Hyperlink" xfId="7009" builtinId="8" hidden="1"/>
    <cellStyle name="Hyperlink" xfId="7011" builtinId="8" hidden="1"/>
    <cellStyle name="Hyperlink" xfId="7013" builtinId="8" hidden="1"/>
    <cellStyle name="Hyperlink" xfId="7015" builtinId="8" hidden="1"/>
    <cellStyle name="Hyperlink" xfId="7017" builtinId="8" hidden="1"/>
    <cellStyle name="Hyperlink" xfId="7019" builtinId="8" hidden="1"/>
    <cellStyle name="Hyperlink" xfId="7021" builtinId="8" hidden="1"/>
    <cellStyle name="Hyperlink" xfId="7023" builtinId="8" hidden="1"/>
    <cellStyle name="Hyperlink" xfId="7025" builtinId="8" hidden="1"/>
    <cellStyle name="Hyperlink" xfId="7027" builtinId="8" hidden="1"/>
    <cellStyle name="Hyperlink" xfId="7029" builtinId="8" hidden="1"/>
    <cellStyle name="Hyperlink" xfId="7031" builtinId="8" hidden="1"/>
    <cellStyle name="Hyperlink" xfId="7033" builtinId="8" hidden="1"/>
    <cellStyle name="Hyperlink" xfId="7035" builtinId="8" hidden="1"/>
    <cellStyle name="Hyperlink" xfId="7037" builtinId="8" hidden="1"/>
    <cellStyle name="Hyperlink" xfId="7039" builtinId="8" hidden="1"/>
    <cellStyle name="Hyperlink" xfId="7041" builtinId="8" hidden="1"/>
    <cellStyle name="Hyperlink" xfId="7043" builtinId="8" hidden="1"/>
    <cellStyle name="Hyperlink" xfId="7045" builtinId="8" hidden="1"/>
    <cellStyle name="Hyperlink" xfId="7047" builtinId="8" hidden="1"/>
    <cellStyle name="Hyperlink" xfId="7049" builtinId="8" hidden="1"/>
    <cellStyle name="Hyperlink" xfId="7051" builtinId="8" hidden="1"/>
    <cellStyle name="Hyperlink" xfId="7053" builtinId="8" hidden="1"/>
    <cellStyle name="Hyperlink" xfId="7055" builtinId="8" hidden="1"/>
    <cellStyle name="Hyperlink" xfId="7057" builtinId="8" hidden="1"/>
    <cellStyle name="Hyperlink" xfId="7059" builtinId="8" hidden="1"/>
    <cellStyle name="Hyperlink" xfId="7061" builtinId="8" hidden="1"/>
    <cellStyle name="Hyperlink" xfId="7063" builtinId="8" hidden="1"/>
    <cellStyle name="Hyperlink" xfId="7065" builtinId="8" hidden="1"/>
    <cellStyle name="Hyperlink" xfId="7067" builtinId="8" hidden="1"/>
    <cellStyle name="Hyperlink" xfId="7069" builtinId="8" hidden="1"/>
    <cellStyle name="Hyperlink" xfId="7071" builtinId="8" hidden="1"/>
    <cellStyle name="Hyperlink" xfId="7073" builtinId="8" hidden="1"/>
    <cellStyle name="Hyperlink" xfId="7075" builtinId="8" hidden="1"/>
    <cellStyle name="Hyperlink" xfId="7077" builtinId="8" hidden="1"/>
    <cellStyle name="Hyperlink" xfId="7079" builtinId="8" hidden="1"/>
    <cellStyle name="Hyperlink" xfId="7081" builtinId="8" hidden="1"/>
    <cellStyle name="Hyperlink" xfId="7083" builtinId="8" hidden="1"/>
    <cellStyle name="Hyperlink" xfId="7085" builtinId="8" hidden="1"/>
    <cellStyle name="Hyperlink" xfId="7087" builtinId="8" hidden="1"/>
    <cellStyle name="Hyperlink" xfId="7089" builtinId="8" hidden="1"/>
    <cellStyle name="Hyperlink" xfId="7091" builtinId="8" hidden="1"/>
    <cellStyle name="Hyperlink" xfId="7093" builtinId="8" hidden="1"/>
    <cellStyle name="Hyperlink" xfId="7095" builtinId="8" hidden="1"/>
    <cellStyle name="Hyperlink" xfId="7097" builtinId="8" hidden="1"/>
    <cellStyle name="Hyperlink" xfId="7099" builtinId="8" hidden="1"/>
    <cellStyle name="Hyperlink" xfId="7101" builtinId="8" hidden="1"/>
    <cellStyle name="Hyperlink" xfId="7103" builtinId="8" hidden="1"/>
    <cellStyle name="Hyperlink" xfId="7105" builtinId="8" hidden="1"/>
    <cellStyle name="Hyperlink" xfId="7107" builtinId="8" hidden="1"/>
    <cellStyle name="Hyperlink" xfId="7109" builtinId="8" hidden="1"/>
    <cellStyle name="Hyperlink" xfId="7111" builtinId="8" hidden="1"/>
    <cellStyle name="Hyperlink" xfId="7113" builtinId="8" hidden="1"/>
    <cellStyle name="Hyperlink" xfId="7115" builtinId="8" hidden="1"/>
    <cellStyle name="Hyperlink" xfId="7117" builtinId="8" hidden="1"/>
    <cellStyle name="Hyperlink" xfId="7119" builtinId="8" hidden="1"/>
    <cellStyle name="Hyperlink" xfId="7121" builtinId="8" hidden="1"/>
    <cellStyle name="Hyperlink" xfId="7123" builtinId="8" hidden="1"/>
    <cellStyle name="Hyperlink" xfId="7125" builtinId="8" hidden="1"/>
    <cellStyle name="Hyperlink" xfId="7127" builtinId="8" hidden="1"/>
    <cellStyle name="Hyperlink" xfId="7129" builtinId="8" hidden="1"/>
    <cellStyle name="Hyperlink" xfId="7131" builtinId="8" hidden="1"/>
    <cellStyle name="Hyperlink" xfId="7133" builtinId="8" hidden="1"/>
    <cellStyle name="Hyperlink" xfId="7135" builtinId="8" hidden="1"/>
    <cellStyle name="Hyperlink" xfId="7137" builtinId="8" hidden="1"/>
    <cellStyle name="Hyperlink" xfId="7139" builtinId="8" hidden="1"/>
    <cellStyle name="Hyperlink" xfId="7141" builtinId="8" hidden="1"/>
    <cellStyle name="Hyperlink" xfId="7143" builtinId="8" hidden="1"/>
    <cellStyle name="Hyperlink" xfId="7145" builtinId="8" hidden="1"/>
    <cellStyle name="Hyperlink" xfId="7147" builtinId="8" hidden="1"/>
    <cellStyle name="Hyperlink" xfId="7149" builtinId="8" hidden="1"/>
    <cellStyle name="Hyperlink" xfId="7151" builtinId="8" hidden="1"/>
    <cellStyle name="Hyperlink" xfId="7153" builtinId="8" hidden="1"/>
    <cellStyle name="Hyperlink" xfId="7155" builtinId="8" hidden="1"/>
    <cellStyle name="Hyperlink" xfId="7157" builtinId="8" hidden="1"/>
    <cellStyle name="Hyperlink" xfId="7159" builtinId="8" hidden="1"/>
    <cellStyle name="Hyperlink" xfId="7161" builtinId="8" hidden="1"/>
    <cellStyle name="Hyperlink" xfId="7163" builtinId="8" hidden="1"/>
    <cellStyle name="Hyperlink" xfId="7165" builtinId="8" hidden="1"/>
    <cellStyle name="Hyperlink" xfId="7167" builtinId="8" hidden="1"/>
    <cellStyle name="Hyperlink" xfId="7169" builtinId="8" hidden="1"/>
    <cellStyle name="Hyperlink" xfId="7171" builtinId="8" hidden="1"/>
    <cellStyle name="Hyperlink" xfId="7173" builtinId="8" hidden="1"/>
    <cellStyle name="Hyperlink" xfId="7175" builtinId="8" hidden="1"/>
    <cellStyle name="Hyperlink" xfId="7177" builtinId="8" hidden="1"/>
    <cellStyle name="Hyperlink" xfId="7179" builtinId="8" hidden="1"/>
    <cellStyle name="Hyperlink" xfId="7181" builtinId="8" hidden="1"/>
    <cellStyle name="Hyperlink" xfId="7183" builtinId="8" hidden="1"/>
    <cellStyle name="Hyperlink" xfId="7185" builtinId="8" hidden="1"/>
    <cellStyle name="Hyperlink" xfId="7187" builtinId="8" hidden="1"/>
    <cellStyle name="Hyperlink" xfId="7189" builtinId="8" hidden="1"/>
    <cellStyle name="Hyperlink" xfId="7191" builtinId="8" hidden="1"/>
    <cellStyle name="Hyperlink" xfId="7193" builtinId="8" hidden="1"/>
    <cellStyle name="Hyperlink" xfId="7195" builtinId="8" hidden="1"/>
    <cellStyle name="Hyperlink" xfId="7197" builtinId="8" hidden="1"/>
    <cellStyle name="Hyperlink" xfId="7199" builtinId="8" hidden="1"/>
    <cellStyle name="Hyperlink" xfId="7201" builtinId="8" hidden="1"/>
    <cellStyle name="Hyperlink" xfId="7203" builtinId="8" hidden="1"/>
    <cellStyle name="Hyperlink" xfId="7205" builtinId="8" hidden="1"/>
    <cellStyle name="Hyperlink" xfId="7207" builtinId="8" hidden="1"/>
    <cellStyle name="Hyperlink" xfId="7209" builtinId="8" hidden="1"/>
    <cellStyle name="Hyperlink" xfId="7211" builtinId="8" hidden="1"/>
    <cellStyle name="Hyperlink" xfId="7213" builtinId="8" hidden="1"/>
    <cellStyle name="Hyperlink" xfId="7215" builtinId="8" hidden="1"/>
    <cellStyle name="Hyperlink" xfId="7217" builtinId="8" hidden="1"/>
    <cellStyle name="Hyperlink" xfId="7219" builtinId="8" hidden="1"/>
    <cellStyle name="Hyperlink" xfId="7221" builtinId="8" hidden="1"/>
    <cellStyle name="Hyperlink" xfId="7223" builtinId="8" hidden="1"/>
    <cellStyle name="Hyperlink" xfId="7225" builtinId="8" hidden="1"/>
    <cellStyle name="Hyperlink" xfId="7227" builtinId="8" hidden="1"/>
    <cellStyle name="Hyperlink" xfId="7229" builtinId="8" hidden="1"/>
    <cellStyle name="Hyperlink" xfId="7231" builtinId="8" hidden="1"/>
    <cellStyle name="Hyperlink" xfId="7233" builtinId="8" hidden="1"/>
    <cellStyle name="Hyperlink" xfId="7235" builtinId="8" hidden="1"/>
    <cellStyle name="Hyperlink" xfId="7237" builtinId="8" hidden="1"/>
    <cellStyle name="Hyperlink" xfId="7239" builtinId="8" hidden="1"/>
    <cellStyle name="Hyperlink" xfId="7241" builtinId="8" hidden="1"/>
    <cellStyle name="Hyperlink" xfId="7243" builtinId="8" hidden="1"/>
    <cellStyle name="Hyperlink" xfId="7245" builtinId="8" hidden="1"/>
    <cellStyle name="Hyperlink" xfId="7247" builtinId="8" hidden="1"/>
    <cellStyle name="Hyperlink" xfId="7249" builtinId="8" hidden="1"/>
    <cellStyle name="Hyperlink" xfId="7251" builtinId="8" hidden="1"/>
    <cellStyle name="Hyperlink" xfId="7253" builtinId="8" hidden="1"/>
    <cellStyle name="Hyperlink" xfId="7255" builtinId="8" hidden="1"/>
    <cellStyle name="Hyperlink" xfId="7257" builtinId="8" hidden="1"/>
    <cellStyle name="Hyperlink" xfId="7259" builtinId="8" hidden="1"/>
    <cellStyle name="Hyperlink" xfId="7261" builtinId="8" hidden="1"/>
    <cellStyle name="Hyperlink" xfId="7263" builtinId="8" hidden="1"/>
    <cellStyle name="Hyperlink" xfId="7265" builtinId="8" hidden="1"/>
    <cellStyle name="Hyperlink" xfId="7267" builtinId="8" hidden="1"/>
    <cellStyle name="Hyperlink" xfId="7269" builtinId="8" hidden="1"/>
    <cellStyle name="Hyperlink" xfId="7271" builtinId="8" hidden="1"/>
    <cellStyle name="Hyperlink" xfId="7273" builtinId="8" hidden="1"/>
    <cellStyle name="Hyperlink" xfId="7275" builtinId="8" hidden="1"/>
    <cellStyle name="Hyperlink" xfId="7277" builtinId="8" hidden="1"/>
    <cellStyle name="Hyperlink" xfId="7279" builtinId="8" hidden="1"/>
    <cellStyle name="Hyperlink" xfId="7281" builtinId="8" hidden="1"/>
    <cellStyle name="Hyperlink" xfId="7283" builtinId="8" hidden="1"/>
    <cellStyle name="Hyperlink" xfId="7285" builtinId="8" hidden="1"/>
    <cellStyle name="Hyperlink" xfId="7287" builtinId="8" hidden="1"/>
    <cellStyle name="Hyperlink" xfId="7289" builtinId="8" hidden="1"/>
    <cellStyle name="Hyperlink" xfId="7291" builtinId="8" hidden="1"/>
    <cellStyle name="Hyperlink" xfId="7293" builtinId="8" hidden="1"/>
    <cellStyle name="Hyperlink" xfId="7295" builtinId="8" hidden="1"/>
    <cellStyle name="Hyperlink" xfId="7297" builtinId="8" hidden="1"/>
    <cellStyle name="Hyperlink" xfId="7299" builtinId="8" hidden="1"/>
    <cellStyle name="Hyperlink" xfId="7301" builtinId="8" hidden="1"/>
    <cellStyle name="Hyperlink" xfId="7303" builtinId="8" hidden="1"/>
    <cellStyle name="Hyperlink" xfId="7305" builtinId="8" hidden="1"/>
    <cellStyle name="Hyperlink" xfId="7307" builtinId="8" hidden="1"/>
    <cellStyle name="Hyperlink" xfId="7309" builtinId="8" hidden="1"/>
    <cellStyle name="Hyperlink" xfId="7311" builtinId="8" hidden="1"/>
    <cellStyle name="Hyperlink" xfId="7313" builtinId="8" hidden="1"/>
    <cellStyle name="Hyperlink" xfId="7315" builtinId="8" hidden="1"/>
    <cellStyle name="Hyperlink" xfId="7317" builtinId="8" hidden="1"/>
    <cellStyle name="Hyperlink" xfId="7319" builtinId="8" hidden="1"/>
    <cellStyle name="Hyperlink" xfId="7321" builtinId="8" hidden="1"/>
    <cellStyle name="Hyperlink" xfId="7323" builtinId="8" hidden="1"/>
    <cellStyle name="Hyperlink" xfId="7325" builtinId="8" hidden="1"/>
    <cellStyle name="Hyperlink" xfId="7327" builtinId="8" hidden="1"/>
    <cellStyle name="Hyperlink" xfId="7329" builtinId="8" hidden="1"/>
    <cellStyle name="Hyperlink" xfId="7331" builtinId="8" hidden="1"/>
    <cellStyle name="Hyperlink" xfId="7333" builtinId="8" hidden="1"/>
    <cellStyle name="Hyperlink" xfId="7335" builtinId="8" hidden="1"/>
    <cellStyle name="Hyperlink" xfId="7337" builtinId="8" hidden="1"/>
    <cellStyle name="Hyperlink" xfId="7339" builtinId="8" hidden="1"/>
    <cellStyle name="Hyperlink" xfId="7341" builtinId="8" hidden="1"/>
    <cellStyle name="Hyperlink" xfId="7343" builtinId="8" hidden="1"/>
    <cellStyle name="Hyperlink" xfId="7345" builtinId="8" hidden="1"/>
    <cellStyle name="Hyperlink" xfId="7347" builtinId="8" hidden="1"/>
    <cellStyle name="Hyperlink" xfId="7349" builtinId="8" hidden="1"/>
    <cellStyle name="Hyperlink" xfId="7351" builtinId="8" hidden="1"/>
    <cellStyle name="Hyperlink" xfId="7353" builtinId="8" hidden="1"/>
    <cellStyle name="Hyperlink" xfId="7355" builtinId="8" hidden="1"/>
    <cellStyle name="Hyperlink" xfId="7357" builtinId="8" hidden="1"/>
    <cellStyle name="Hyperlink" xfId="7359" builtinId="8" hidden="1"/>
    <cellStyle name="Hyperlink" xfId="7361" builtinId="8" hidden="1"/>
    <cellStyle name="Hyperlink" xfId="7363" builtinId="8" hidden="1"/>
    <cellStyle name="Hyperlink" xfId="7365" builtinId="8" hidden="1"/>
    <cellStyle name="Hyperlink" xfId="7367" builtinId="8" hidden="1"/>
    <cellStyle name="Hyperlink" xfId="7369" builtinId="8" hidden="1"/>
    <cellStyle name="Hyperlink" xfId="7371" builtinId="8" hidden="1"/>
    <cellStyle name="Hyperlink" xfId="7373" builtinId="8" hidden="1"/>
    <cellStyle name="Hyperlink" xfId="7375" builtinId="8" hidden="1"/>
    <cellStyle name="Hyperlink" xfId="7377" builtinId="8" hidden="1"/>
    <cellStyle name="Hyperlink" xfId="7379" builtinId="8" hidden="1"/>
    <cellStyle name="Hyperlink" xfId="7381" builtinId="8" hidden="1"/>
    <cellStyle name="Hyperlink" xfId="7383" builtinId="8" hidden="1"/>
    <cellStyle name="Hyperlink" xfId="7385" builtinId="8" hidden="1"/>
    <cellStyle name="Hyperlink" xfId="7387" builtinId="8" hidden="1"/>
    <cellStyle name="Hyperlink" xfId="7389" builtinId="8" hidden="1"/>
    <cellStyle name="Hyperlink" xfId="7391" builtinId="8" hidden="1"/>
    <cellStyle name="Hyperlink" xfId="7393" builtinId="8" hidden="1"/>
    <cellStyle name="Hyperlink" xfId="7395" builtinId="8" hidden="1"/>
    <cellStyle name="Hyperlink" xfId="7397" builtinId="8" hidden="1"/>
    <cellStyle name="Hyperlink" xfId="7399" builtinId="8" hidden="1"/>
    <cellStyle name="Hyperlink" xfId="7401" builtinId="8" hidden="1"/>
    <cellStyle name="Hyperlink" xfId="7403" builtinId="8" hidden="1"/>
    <cellStyle name="Hyperlink" xfId="7405" builtinId="8" hidden="1"/>
    <cellStyle name="Hyperlink" xfId="7407" builtinId="8" hidden="1"/>
    <cellStyle name="Hyperlink" xfId="7409" builtinId="8" hidden="1"/>
    <cellStyle name="Hyperlink" xfId="7411" builtinId="8" hidden="1"/>
    <cellStyle name="Hyperlink" xfId="7413" builtinId="8" hidden="1"/>
    <cellStyle name="Hyperlink" xfId="7415" builtinId="8" hidden="1"/>
    <cellStyle name="Hyperlink" xfId="7417" builtinId="8" hidden="1"/>
    <cellStyle name="Hyperlink" xfId="7419" builtinId="8" hidden="1"/>
    <cellStyle name="Hyperlink" xfId="7421" builtinId="8" hidden="1"/>
    <cellStyle name="Hyperlink" xfId="7423" builtinId="8" hidden="1"/>
    <cellStyle name="Hyperlink" xfId="7425" builtinId="8" hidden="1"/>
    <cellStyle name="Hyperlink" xfId="7427" builtinId="8" hidden="1"/>
    <cellStyle name="Hyperlink" xfId="7429" builtinId="8" hidden="1"/>
    <cellStyle name="Hyperlink" xfId="7431" builtinId="8" hidden="1"/>
    <cellStyle name="Hyperlink" xfId="7433" builtinId="8" hidden="1"/>
    <cellStyle name="Hyperlink" xfId="7435" builtinId="8" hidden="1"/>
    <cellStyle name="Hyperlink" xfId="7437" builtinId="8" hidden="1"/>
    <cellStyle name="Hyperlink" xfId="7439" builtinId="8" hidden="1"/>
    <cellStyle name="Hyperlink" xfId="7441" builtinId="8" hidden="1"/>
    <cellStyle name="Hyperlink" xfId="7443" builtinId="8" hidden="1"/>
    <cellStyle name="Hyperlink" xfId="7445" builtinId="8" hidden="1"/>
    <cellStyle name="Hyperlink" xfId="7447" builtinId="8" hidden="1"/>
    <cellStyle name="Hyperlink" xfId="7449" builtinId="8" hidden="1"/>
    <cellStyle name="Hyperlink" xfId="7451" builtinId="8" hidden="1"/>
    <cellStyle name="Hyperlink" xfId="7453" builtinId="8" hidden="1"/>
    <cellStyle name="Hyperlink" xfId="7455" builtinId="8" hidden="1"/>
    <cellStyle name="Hyperlink" xfId="7457" builtinId="8" hidden="1"/>
    <cellStyle name="Hyperlink" xfId="7459" builtinId="8" hidden="1"/>
    <cellStyle name="Hyperlink" xfId="7461" builtinId="8" hidden="1"/>
    <cellStyle name="Hyperlink" xfId="7463" builtinId="8" hidden="1"/>
    <cellStyle name="Hyperlink" xfId="7465" builtinId="8" hidden="1"/>
    <cellStyle name="Hyperlink" xfId="7467" builtinId="8" hidden="1"/>
    <cellStyle name="Hyperlink" xfId="7469" builtinId="8" hidden="1"/>
    <cellStyle name="Hyperlink" xfId="7471" builtinId="8" hidden="1"/>
    <cellStyle name="Hyperlink" xfId="7473" builtinId="8" hidden="1"/>
    <cellStyle name="Hyperlink" xfId="7475" builtinId="8" hidden="1"/>
    <cellStyle name="Hyperlink" xfId="7477" builtinId="8" hidden="1"/>
    <cellStyle name="Hyperlink" xfId="7479" builtinId="8" hidden="1"/>
    <cellStyle name="Hyperlink" xfId="7481" builtinId="8" hidden="1"/>
    <cellStyle name="Hyperlink" xfId="7483" builtinId="8" hidden="1"/>
    <cellStyle name="Hyperlink" xfId="7485" builtinId="8" hidden="1"/>
    <cellStyle name="Hyperlink" xfId="7487" builtinId="8" hidden="1"/>
    <cellStyle name="Hyperlink" xfId="7489" builtinId="8" hidden="1"/>
    <cellStyle name="Hyperlink" xfId="7491" builtinId="8" hidden="1"/>
    <cellStyle name="Hyperlink" xfId="7493" builtinId="8" hidden="1"/>
    <cellStyle name="Hyperlink" xfId="7495" builtinId="8" hidden="1"/>
    <cellStyle name="Hyperlink" xfId="7497" builtinId="8" hidden="1"/>
    <cellStyle name="Hyperlink" xfId="7499" builtinId="8" hidden="1"/>
    <cellStyle name="Hyperlink" xfId="7501" builtinId="8" hidden="1"/>
    <cellStyle name="Hyperlink" xfId="7503" builtinId="8" hidden="1"/>
    <cellStyle name="Hyperlink" xfId="7505" builtinId="8" hidden="1"/>
    <cellStyle name="Hyperlink" xfId="7507" builtinId="8" hidden="1"/>
    <cellStyle name="Hyperlink" xfId="7509" builtinId="8" hidden="1"/>
    <cellStyle name="Hyperlink" xfId="7511" builtinId="8" hidden="1"/>
    <cellStyle name="Hyperlink" xfId="7513" builtinId="8" hidden="1"/>
    <cellStyle name="Hyperlink" xfId="7515" builtinId="8" hidden="1"/>
    <cellStyle name="Hyperlink" xfId="7517" builtinId="8" hidden="1"/>
    <cellStyle name="Hyperlink" xfId="7519" builtinId="8" hidden="1"/>
    <cellStyle name="Hyperlink" xfId="7521" builtinId="8" hidden="1"/>
    <cellStyle name="Hyperlink" xfId="7523" builtinId="8" hidden="1"/>
    <cellStyle name="Hyperlink" xfId="7525" builtinId="8" hidden="1"/>
    <cellStyle name="Hyperlink" xfId="7527" builtinId="8" hidden="1"/>
    <cellStyle name="Hyperlink" xfId="7529" builtinId="8" hidden="1"/>
    <cellStyle name="Hyperlink" xfId="7531" builtinId="8" hidden="1"/>
    <cellStyle name="Hyperlink" xfId="7533" builtinId="8" hidden="1"/>
    <cellStyle name="Hyperlink" xfId="7535" builtinId="8" hidden="1"/>
    <cellStyle name="Hyperlink" xfId="7537" builtinId="8" hidden="1"/>
    <cellStyle name="Hyperlink" xfId="7539" builtinId="8" hidden="1"/>
    <cellStyle name="Hyperlink" xfId="7541" builtinId="8" hidden="1"/>
    <cellStyle name="Hyperlink" xfId="7543" builtinId="8" hidden="1"/>
    <cellStyle name="Hyperlink" xfId="7545" builtinId="8" hidden="1"/>
    <cellStyle name="Hyperlink" xfId="7547" builtinId="8" hidden="1"/>
    <cellStyle name="Hyperlink" xfId="7549" builtinId="8" hidden="1"/>
    <cellStyle name="Hyperlink" xfId="7551" builtinId="8" hidden="1"/>
    <cellStyle name="Hyperlink" xfId="7553" builtinId="8" hidden="1"/>
    <cellStyle name="Hyperlink" xfId="7555" builtinId="8" hidden="1"/>
    <cellStyle name="Hyperlink" xfId="7557" builtinId="8" hidden="1"/>
    <cellStyle name="Hyperlink" xfId="7559" builtinId="8" hidden="1"/>
    <cellStyle name="Hyperlink" xfId="7561" builtinId="8" hidden="1"/>
    <cellStyle name="Hyperlink" xfId="7563" builtinId="8" hidden="1"/>
    <cellStyle name="Hyperlink" xfId="7565" builtinId="8" hidden="1"/>
    <cellStyle name="Hyperlink" xfId="7567" builtinId="8" hidden="1"/>
    <cellStyle name="Hyperlink" xfId="7569" builtinId="8" hidden="1"/>
    <cellStyle name="Item Descriptions" xfId="1515" xr:uid="{00000000-0005-0000-0000-0000231D0000}"/>
    <cellStyle name="Item Descriptions - Bold" xfId="1516" xr:uid="{00000000-0005-0000-0000-0000241D0000}"/>
    <cellStyle name="Lable8Left" xfId="1517" xr:uid="{00000000-0005-0000-0000-0000251D0000}"/>
    <cellStyle name="Line" xfId="1518" xr:uid="{00000000-0005-0000-0000-0000261D0000}"/>
    <cellStyle name="mult" xfId="1519" xr:uid="{00000000-0005-0000-0000-0000271D0000}"/>
    <cellStyle name="Multiple" xfId="1520" xr:uid="{00000000-0005-0000-0000-0000281D0000}"/>
    <cellStyle name="Multiple [0]" xfId="1521" xr:uid="{00000000-0005-0000-0000-0000291D0000}"/>
    <cellStyle name="Multiple [1]" xfId="1522" xr:uid="{00000000-0005-0000-0000-00002A1D0000}"/>
    <cellStyle name="Multiple_Copy of IB_Pics v1.9 (DCF)" xfId="1523" xr:uid="{00000000-0005-0000-0000-00002B1D0000}"/>
    <cellStyle name="Normal" xfId="0" builtinId="0"/>
    <cellStyle name="Normal - Style1" xfId="1524" xr:uid="{00000000-0005-0000-0000-00002D1D0000}"/>
    <cellStyle name="Normal 13" xfId="2" xr:uid="{00000000-0005-0000-0000-00002E1D0000}"/>
    <cellStyle name="Normal 2" xfId="280" xr:uid="{00000000-0005-0000-0000-00002F1D0000}"/>
    <cellStyle name="Normal 2 2" xfId="283" xr:uid="{00000000-0005-0000-0000-0000301D0000}"/>
    <cellStyle name="Normal 3" xfId="1525" xr:uid="{00000000-0005-0000-0000-0000311D0000}"/>
    <cellStyle name="Normal 4" xfId="1526" xr:uid="{00000000-0005-0000-0000-0000321D0000}"/>
    <cellStyle name="Num1" xfId="1527" xr:uid="{00000000-0005-0000-0000-0000331D0000}"/>
    <cellStyle name="Num1Blue" xfId="1528" xr:uid="{00000000-0005-0000-0000-0000341D0000}"/>
    <cellStyle name="num1Style" xfId="1529" xr:uid="{00000000-0005-0000-0000-0000351D0000}"/>
    <cellStyle name="Num2" xfId="1530" xr:uid="{00000000-0005-0000-0000-0000361D0000}"/>
    <cellStyle name="num4Style" xfId="1531" xr:uid="{00000000-0005-0000-0000-0000371D0000}"/>
    <cellStyle name="Numbers" xfId="1532" xr:uid="{00000000-0005-0000-0000-0000381D0000}"/>
    <cellStyle name="Numbers - Bold" xfId="1533" xr:uid="{00000000-0005-0000-0000-0000391D0000}"/>
    <cellStyle name="Numbers - Bold - Italic" xfId="1534" xr:uid="{00000000-0005-0000-0000-00003A1D0000}"/>
    <cellStyle name="Numbers - Bold_WACC2" xfId="1535" xr:uid="{00000000-0005-0000-0000-00003B1D0000}"/>
    <cellStyle name="Numbers - Large" xfId="1536" xr:uid="{00000000-0005-0000-0000-00003C1D0000}"/>
    <cellStyle name="Numbers_Comps" xfId="1537" xr:uid="{00000000-0005-0000-0000-00003D1D0000}"/>
    <cellStyle name="Page Heading Large" xfId="1538" xr:uid="{00000000-0005-0000-0000-00003E1D0000}"/>
    <cellStyle name="Page Heading Small" xfId="1539" xr:uid="{00000000-0005-0000-0000-00003F1D0000}"/>
    <cellStyle name="Page Number" xfId="1540" xr:uid="{00000000-0005-0000-0000-0000401D0000}"/>
    <cellStyle name="pct_sub" xfId="1541" xr:uid="{00000000-0005-0000-0000-0000411D0000}"/>
    <cellStyle name="Pctg" xfId="285" xr:uid="{00000000-0005-0000-0000-0000421D0000}"/>
    <cellStyle name="Percent" xfId="1" builtinId="5"/>
    <cellStyle name="Percent [0]" xfId="1542" xr:uid="{00000000-0005-0000-0000-0000441D0000}"/>
    <cellStyle name="Percent [1]" xfId="1543" xr:uid="{00000000-0005-0000-0000-0000451D0000}"/>
    <cellStyle name="Percent 2" xfId="286" xr:uid="{00000000-0005-0000-0000-0000461D0000}"/>
    <cellStyle name="Percent Hard" xfId="1544" xr:uid="{00000000-0005-0000-0000-0000471D0000}"/>
    <cellStyle name="Percent1" xfId="1545" xr:uid="{00000000-0005-0000-0000-0000481D0000}"/>
    <cellStyle name="Percent1Blue" xfId="1546" xr:uid="{00000000-0005-0000-0000-0000491D0000}"/>
    <cellStyle name="Percent2" xfId="1547" xr:uid="{00000000-0005-0000-0000-00004A1D0000}"/>
    <cellStyle name="Percent2Blue" xfId="1548" xr:uid="{00000000-0005-0000-0000-00004B1D0000}"/>
    <cellStyle name="Shaded" xfId="1549" xr:uid="{00000000-0005-0000-0000-00004C1D0000}"/>
    <cellStyle name="Single Accounting" xfId="1550" xr:uid="{00000000-0005-0000-0000-00004D1D0000}"/>
    <cellStyle name="Style 1" xfId="1551" xr:uid="{00000000-0005-0000-0000-00004E1D0000}"/>
    <cellStyle name="Style 10" xfId="1552" xr:uid="{00000000-0005-0000-0000-00004F1D0000}"/>
    <cellStyle name="Style 2" xfId="1553" xr:uid="{00000000-0005-0000-0000-0000501D0000}"/>
    <cellStyle name="Style 21" xfId="1554" xr:uid="{00000000-0005-0000-0000-0000511D0000}"/>
    <cellStyle name="Style 22" xfId="1555" xr:uid="{00000000-0005-0000-0000-0000521D0000}"/>
    <cellStyle name="Style 23" xfId="1556" xr:uid="{00000000-0005-0000-0000-0000531D0000}"/>
    <cellStyle name="Style 24" xfId="1557" xr:uid="{00000000-0005-0000-0000-0000541D0000}"/>
    <cellStyle name="Style 25" xfId="1558" xr:uid="{00000000-0005-0000-0000-0000551D0000}"/>
    <cellStyle name="Style 26" xfId="1559" xr:uid="{00000000-0005-0000-0000-0000561D0000}"/>
    <cellStyle name="Style 27" xfId="1560" xr:uid="{00000000-0005-0000-0000-0000571D0000}"/>
    <cellStyle name="Style 28" xfId="1561" xr:uid="{00000000-0005-0000-0000-0000581D0000}"/>
    <cellStyle name="Style 29" xfId="1562" xr:uid="{00000000-0005-0000-0000-0000591D0000}"/>
    <cellStyle name="Style 3" xfId="1563" xr:uid="{00000000-0005-0000-0000-00005A1D0000}"/>
    <cellStyle name="Style 30" xfId="1564" xr:uid="{00000000-0005-0000-0000-00005B1D0000}"/>
    <cellStyle name="Style 31" xfId="1565" xr:uid="{00000000-0005-0000-0000-00005C1D0000}"/>
    <cellStyle name="Style 32" xfId="1566" xr:uid="{00000000-0005-0000-0000-00005D1D0000}"/>
    <cellStyle name="Style 33" xfId="1567" xr:uid="{00000000-0005-0000-0000-00005E1D0000}"/>
    <cellStyle name="Style 34" xfId="1568" xr:uid="{00000000-0005-0000-0000-00005F1D0000}"/>
    <cellStyle name="Style 35" xfId="1569" xr:uid="{00000000-0005-0000-0000-0000601D0000}"/>
    <cellStyle name="Style 36" xfId="1570" xr:uid="{00000000-0005-0000-0000-0000611D0000}"/>
    <cellStyle name="Style 37" xfId="1571" xr:uid="{00000000-0005-0000-0000-0000621D0000}"/>
    <cellStyle name="Style 38" xfId="1572" xr:uid="{00000000-0005-0000-0000-0000631D0000}"/>
    <cellStyle name="Style 39" xfId="1573" xr:uid="{00000000-0005-0000-0000-0000641D0000}"/>
    <cellStyle name="Style 4" xfId="1574" xr:uid="{00000000-0005-0000-0000-0000651D0000}"/>
    <cellStyle name="Style 40" xfId="1575" xr:uid="{00000000-0005-0000-0000-0000661D0000}"/>
    <cellStyle name="Style 41" xfId="1576" xr:uid="{00000000-0005-0000-0000-0000671D0000}"/>
    <cellStyle name="Style 42" xfId="1577" xr:uid="{00000000-0005-0000-0000-0000681D0000}"/>
    <cellStyle name="Style 43" xfId="1578" xr:uid="{00000000-0005-0000-0000-0000691D0000}"/>
    <cellStyle name="Style 44" xfId="1579" xr:uid="{00000000-0005-0000-0000-00006A1D0000}"/>
    <cellStyle name="Style 45" xfId="1580" xr:uid="{00000000-0005-0000-0000-00006B1D0000}"/>
    <cellStyle name="Style 46" xfId="1581" xr:uid="{00000000-0005-0000-0000-00006C1D0000}"/>
    <cellStyle name="Style 47" xfId="1582" xr:uid="{00000000-0005-0000-0000-00006D1D0000}"/>
    <cellStyle name="Style 5" xfId="1583" xr:uid="{00000000-0005-0000-0000-00006E1D0000}"/>
    <cellStyle name="Style 6" xfId="1584" xr:uid="{00000000-0005-0000-0000-00006F1D0000}"/>
    <cellStyle name="Style 7" xfId="1585" xr:uid="{00000000-0005-0000-0000-0000701D0000}"/>
    <cellStyle name="Style 70" xfId="1586" xr:uid="{00000000-0005-0000-0000-0000711D0000}"/>
    <cellStyle name="Style 8" xfId="1587" xr:uid="{00000000-0005-0000-0000-0000721D0000}"/>
    <cellStyle name="Style 80" xfId="1588" xr:uid="{00000000-0005-0000-0000-0000731D0000}"/>
    <cellStyle name="Style 86" xfId="1589" xr:uid="{00000000-0005-0000-0000-0000741D0000}"/>
    <cellStyle name="Style 9" xfId="1590" xr:uid="{00000000-0005-0000-0000-0000751D0000}"/>
    <cellStyle name="Style 92" xfId="1591" xr:uid="{00000000-0005-0000-0000-0000761D0000}"/>
    <cellStyle name="Table Col Head" xfId="1592" xr:uid="{00000000-0005-0000-0000-0000771D0000}"/>
    <cellStyle name="Table Head" xfId="1593" xr:uid="{00000000-0005-0000-0000-0000781D0000}"/>
    <cellStyle name="Table Head Aligned" xfId="1594" xr:uid="{00000000-0005-0000-0000-0000791D0000}"/>
    <cellStyle name="Table Head Blue" xfId="1595" xr:uid="{00000000-0005-0000-0000-00007A1D0000}"/>
    <cellStyle name="Table Head Green" xfId="1596" xr:uid="{00000000-0005-0000-0000-00007B1D0000}"/>
    <cellStyle name="Table Sub Head" xfId="1597" xr:uid="{00000000-0005-0000-0000-00007C1D0000}"/>
    <cellStyle name="Table Title" xfId="1598" xr:uid="{00000000-0005-0000-0000-00007D1D0000}"/>
    <cellStyle name="Table Units" xfId="1599" xr:uid="{00000000-0005-0000-0000-00007E1D0000}"/>
    <cellStyle name="TableBody" xfId="1600" xr:uid="{00000000-0005-0000-0000-00007F1D0000}"/>
    <cellStyle name="TableBodyR" xfId="1601" xr:uid="{00000000-0005-0000-0000-0000801D0000}"/>
    <cellStyle name="TableColHeads" xfId="1602" xr:uid="{00000000-0005-0000-0000-0000811D0000}"/>
    <cellStyle name="TableHead" xfId="1603" xr:uid="{00000000-0005-0000-0000-0000821D0000}"/>
    <cellStyle name="Times 10" xfId="1604" xr:uid="{00000000-0005-0000-0000-0000831D0000}"/>
    <cellStyle name="Times 12" xfId="1605" xr:uid="{00000000-0005-0000-0000-0000841D0000}"/>
    <cellStyle name="Title - PROJECT" xfId="1606" xr:uid="{00000000-0005-0000-0000-0000851D0000}"/>
    <cellStyle name="Title - Underline" xfId="1607" xr:uid="{00000000-0005-0000-0000-0000861D0000}"/>
    <cellStyle name="title1" xfId="1608" xr:uid="{00000000-0005-0000-0000-0000871D0000}"/>
    <cellStyle name="Title10" xfId="1609" xr:uid="{00000000-0005-0000-0000-0000881D0000}"/>
    <cellStyle name="Title2" xfId="1610" xr:uid="{00000000-0005-0000-0000-0000891D0000}"/>
    <cellStyle name="Title8" xfId="1611" xr:uid="{00000000-0005-0000-0000-00008A1D0000}"/>
    <cellStyle name="Title8Left" xfId="1612" xr:uid="{00000000-0005-0000-0000-00008B1D0000}"/>
    <cellStyle name="Titles - Col. Headings" xfId="1613" xr:uid="{00000000-0005-0000-0000-00008C1D0000}"/>
    <cellStyle name="Titles - Other" xfId="1614" xr:uid="{00000000-0005-0000-0000-00008D1D0000}"/>
    <cellStyle name="ubordinated Debt" xfId="1615" xr:uid="{00000000-0005-0000-0000-00008E1D0000}"/>
    <cellStyle name="X" xfId="1616" xr:uid="{00000000-0005-0000-0000-00008F1D0000}"/>
    <cellStyle name="X - None" xfId="1617" xr:uid="{00000000-0005-0000-0000-0000901D0000}"/>
    <cellStyle name="Year" xfId="1618" xr:uid="{00000000-0005-0000-0000-0000911D0000}"/>
    <cellStyle name="Yen" xfId="1619" xr:uid="{00000000-0005-0000-0000-0000921D000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F0000"/>
  </sheetPr>
  <dimension ref="A1:AH52"/>
  <sheetViews>
    <sheetView showGridLines="0" tabSelected="1" zoomScale="130" zoomScaleNormal="130" zoomScalePageLayoutView="130" workbookViewId="0">
      <selection activeCell="C21" sqref="C21"/>
    </sheetView>
  </sheetViews>
  <sheetFormatPr baseColWidth="10" defaultColWidth="8.83203125" defaultRowHeight="15" customHeight="1"/>
  <cols>
    <col min="1" max="1" width="3.6640625" style="1" customWidth="1"/>
    <col min="2" max="2" width="92.83203125" style="1" bestFit="1" customWidth="1"/>
    <col min="3" max="16384" width="8.83203125" style="1"/>
  </cols>
  <sheetData>
    <row r="1" spans="1:34" ht="15" customHeight="1">
      <c r="A1" s="49">
        <v>1</v>
      </c>
      <c r="B1" s="42" t="s">
        <v>12</v>
      </c>
      <c r="C1" s="45"/>
      <c r="D1" s="44"/>
      <c r="E1" s="44"/>
      <c r="F1" s="44"/>
      <c r="G1" s="44"/>
      <c r="H1" s="44"/>
      <c r="I1" s="44"/>
      <c r="J1" s="44"/>
      <c r="K1" s="44"/>
      <c r="L1" s="44"/>
      <c r="M1" s="40"/>
      <c r="N1" s="40"/>
      <c r="O1" s="40"/>
      <c r="P1" s="40"/>
      <c r="Q1" s="40"/>
      <c r="R1" s="40"/>
      <c r="S1" s="40"/>
      <c r="T1" s="40"/>
      <c r="U1" s="40"/>
      <c r="V1" s="40"/>
      <c r="W1" s="40"/>
      <c r="X1" s="40"/>
      <c r="Y1" s="40"/>
      <c r="Z1" s="40"/>
      <c r="AA1" s="40"/>
      <c r="AB1" s="40"/>
      <c r="AC1" s="40"/>
      <c r="AD1" s="40"/>
      <c r="AE1" s="40"/>
      <c r="AF1" s="40"/>
      <c r="AG1" s="40"/>
      <c r="AH1" s="40"/>
    </row>
    <row r="2" spans="1:34" ht="15" customHeight="1">
      <c r="A2" s="49">
        <f>+A1+1</f>
        <v>2</v>
      </c>
      <c r="B2" s="56">
        <v>1</v>
      </c>
      <c r="C2" s="204" t="str">
        <f>IF(D$3="","",IF(+D$3+1&gt;=$B$2,"",+D$3+1))</f>
        <v/>
      </c>
      <c r="M2" s="40"/>
      <c r="N2" s="40"/>
      <c r="O2" s="40"/>
      <c r="P2" s="40"/>
      <c r="Q2" s="40"/>
      <c r="R2" s="40"/>
      <c r="S2" s="40"/>
      <c r="T2" s="40"/>
      <c r="U2" s="40"/>
      <c r="V2" s="40"/>
      <c r="W2" s="40"/>
      <c r="X2" s="40"/>
      <c r="Y2" s="40"/>
      <c r="Z2" s="40"/>
      <c r="AA2" s="40"/>
      <c r="AB2" s="40"/>
      <c r="AC2" s="40"/>
      <c r="AD2" s="40"/>
      <c r="AE2" s="40"/>
      <c r="AF2" s="40"/>
      <c r="AG2" s="40"/>
      <c r="AH2" s="40"/>
    </row>
    <row r="3" spans="1:34" ht="15" customHeight="1">
      <c r="A3" s="49">
        <f t="shared" ref="A3:A51" si="0">+A2+1</f>
        <v>3</v>
      </c>
      <c r="B3" s="40"/>
      <c r="C3" s="90">
        <v>0</v>
      </c>
      <c r="D3" s="49"/>
      <c r="E3" s="49"/>
      <c r="F3" s="49"/>
      <c r="G3" s="49"/>
      <c r="H3" s="49"/>
      <c r="I3" s="49"/>
      <c r="J3" s="49"/>
      <c r="K3" s="49"/>
      <c r="L3" s="49"/>
      <c r="M3" s="40"/>
      <c r="N3" s="40"/>
      <c r="O3" s="40"/>
      <c r="P3" s="40"/>
      <c r="Q3" s="40"/>
      <c r="R3" s="40"/>
      <c r="S3" s="40"/>
      <c r="T3" s="40"/>
      <c r="U3" s="40"/>
      <c r="V3" s="40"/>
      <c r="W3" s="40"/>
      <c r="X3" s="40"/>
      <c r="Y3" s="40"/>
      <c r="Z3" s="40"/>
      <c r="AA3" s="40"/>
      <c r="AB3" s="40"/>
      <c r="AC3" s="40"/>
      <c r="AD3" s="40"/>
      <c r="AE3" s="40"/>
      <c r="AF3" s="40"/>
      <c r="AG3" s="40"/>
      <c r="AH3" s="40"/>
    </row>
    <row r="4" spans="1:34" ht="15" customHeight="1">
      <c r="A4" s="49">
        <f t="shared" si="0"/>
        <v>4</v>
      </c>
      <c r="B4" s="70" t="s">
        <v>13</v>
      </c>
      <c r="C4" s="71">
        <v>44926</v>
      </c>
      <c r="D4" s="72"/>
      <c r="E4" s="72"/>
      <c r="F4" s="72"/>
      <c r="G4" s="72"/>
      <c r="H4" s="72"/>
      <c r="I4" s="72"/>
      <c r="J4" s="72"/>
      <c r="K4" s="72"/>
      <c r="L4" s="72"/>
      <c r="M4" s="40"/>
      <c r="N4" s="40"/>
      <c r="O4" s="40"/>
      <c r="P4" s="40"/>
      <c r="Q4" s="40"/>
      <c r="R4" s="40"/>
      <c r="S4" s="40"/>
      <c r="T4" s="40"/>
      <c r="U4" s="40"/>
      <c r="V4" s="40"/>
      <c r="W4" s="40"/>
      <c r="X4" s="40"/>
      <c r="Y4" s="40"/>
      <c r="Z4" s="40"/>
      <c r="AA4" s="40"/>
      <c r="AB4" s="40"/>
      <c r="AC4" s="40"/>
      <c r="AD4" s="40"/>
      <c r="AE4" s="40"/>
      <c r="AF4" s="40"/>
      <c r="AG4" s="40"/>
      <c r="AH4" s="40"/>
    </row>
    <row r="5" spans="1:34" ht="15" customHeight="1">
      <c r="A5" s="49">
        <f t="shared" si="0"/>
        <v>5</v>
      </c>
      <c r="B5" s="73" t="s">
        <v>34</v>
      </c>
      <c r="C5" s="74">
        <v>1</v>
      </c>
      <c r="D5" s="75"/>
      <c r="E5" s="75"/>
      <c r="F5" s="75"/>
      <c r="G5" s="75"/>
      <c r="H5" s="75"/>
      <c r="I5" s="75"/>
      <c r="J5" s="75"/>
      <c r="K5" s="75"/>
      <c r="L5" s="75"/>
      <c r="M5" s="40"/>
      <c r="N5" s="50"/>
      <c r="O5" s="50"/>
      <c r="P5" s="50"/>
      <c r="Q5" s="50"/>
      <c r="R5" s="50"/>
      <c r="S5" s="50"/>
      <c r="T5" s="50"/>
      <c r="U5" s="50"/>
      <c r="V5" s="50"/>
      <c r="W5" s="50"/>
      <c r="X5" s="40"/>
      <c r="Y5" s="40"/>
      <c r="Z5" s="40"/>
      <c r="AA5" s="40"/>
      <c r="AB5" s="40"/>
      <c r="AC5" s="40"/>
      <c r="AD5" s="40"/>
      <c r="AE5" s="40"/>
      <c r="AF5" s="40"/>
      <c r="AG5" s="40"/>
      <c r="AH5" s="40"/>
    </row>
    <row r="6" spans="1:34" ht="15" customHeight="1">
      <c r="A6" s="49">
        <f t="shared" si="0"/>
        <v>6</v>
      </c>
      <c r="B6" s="197"/>
      <c r="C6" s="198"/>
      <c r="D6" s="110"/>
      <c r="E6" s="110"/>
      <c r="F6" s="110"/>
      <c r="G6" s="110"/>
      <c r="H6" s="110"/>
      <c r="I6" s="110"/>
      <c r="J6" s="110"/>
      <c r="K6" s="110"/>
      <c r="L6" s="110"/>
      <c r="M6" s="40"/>
      <c r="N6" s="199"/>
      <c r="O6" s="199"/>
      <c r="P6" s="199"/>
      <c r="Q6" s="199"/>
      <c r="R6" s="199"/>
      <c r="S6" s="199"/>
      <c r="T6" s="199"/>
      <c r="U6" s="199"/>
      <c r="V6" s="199"/>
      <c r="W6" s="199"/>
      <c r="X6" s="40"/>
      <c r="Y6" s="40"/>
      <c r="Z6" s="40"/>
      <c r="AA6" s="40"/>
      <c r="AB6" s="40"/>
      <c r="AC6" s="40"/>
      <c r="AD6" s="40"/>
      <c r="AE6" s="40"/>
      <c r="AF6" s="40"/>
      <c r="AG6" s="40"/>
      <c r="AH6" s="40"/>
    </row>
    <row r="7" spans="1:34" ht="15" customHeight="1">
      <c r="A7" s="49">
        <f t="shared" si="0"/>
        <v>7</v>
      </c>
      <c r="B7" s="89" t="s">
        <v>37</v>
      </c>
      <c r="C7" s="91">
        <v>440.8</v>
      </c>
      <c r="D7" s="92"/>
      <c r="E7" s="92"/>
      <c r="F7" s="92"/>
      <c r="G7" s="92"/>
      <c r="H7" s="92"/>
      <c r="I7" s="92"/>
      <c r="J7" s="92"/>
      <c r="K7" s="92"/>
      <c r="L7" s="92"/>
      <c r="M7" s="40"/>
      <c r="N7" s="50"/>
      <c r="O7" s="50"/>
      <c r="P7" s="50"/>
      <c r="Q7" s="50"/>
      <c r="R7" s="50"/>
      <c r="S7" s="50"/>
      <c r="T7" s="50"/>
      <c r="U7" s="50"/>
      <c r="V7" s="50"/>
      <c r="W7" s="50"/>
      <c r="X7" s="40"/>
      <c r="Y7" s="40"/>
      <c r="Z7" s="40"/>
      <c r="AA7" s="40"/>
      <c r="AB7" s="40"/>
      <c r="AC7" s="40"/>
      <c r="AD7" s="40"/>
      <c r="AE7" s="40"/>
      <c r="AF7" s="40"/>
      <c r="AG7" s="40"/>
      <c r="AH7" s="40"/>
    </row>
    <row r="8" spans="1:34" ht="15" customHeight="1">
      <c r="A8" s="49">
        <f t="shared" si="0"/>
        <v>8</v>
      </c>
      <c r="B8" s="89" t="s">
        <v>38</v>
      </c>
      <c r="C8" s="91">
        <v>234.4</v>
      </c>
      <c r="D8" s="92"/>
      <c r="E8" s="92"/>
      <c r="F8" s="92"/>
      <c r="G8" s="92"/>
      <c r="H8" s="92"/>
      <c r="I8" s="92"/>
      <c r="J8" s="92"/>
      <c r="K8" s="92"/>
      <c r="L8" s="92"/>
      <c r="M8" s="40"/>
      <c r="N8" s="50"/>
      <c r="O8" s="50"/>
      <c r="P8" s="50"/>
      <c r="Q8" s="50"/>
      <c r="R8" s="50"/>
      <c r="S8" s="50"/>
      <c r="T8" s="50"/>
      <c r="U8" s="50"/>
      <c r="V8" s="50"/>
      <c r="W8" s="50"/>
      <c r="X8" s="40"/>
      <c r="Y8" s="40"/>
      <c r="Z8" s="40"/>
      <c r="AA8" s="40"/>
      <c r="AB8" s="40"/>
      <c r="AC8" s="40"/>
      <c r="AD8" s="40"/>
      <c r="AE8" s="40"/>
      <c r="AF8" s="40"/>
      <c r="AG8" s="40"/>
      <c r="AH8" s="40"/>
    </row>
    <row r="9" spans="1:34" ht="15" customHeight="1">
      <c r="A9" s="49">
        <f t="shared" si="0"/>
        <v>9</v>
      </c>
      <c r="B9" s="89" t="s">
        <v>39</v>
      </c>
      <c r="C9" s="91">
        <v>79.599999999999994</v>
      </c>
      <c r="D9" s="92"/>
      <c r="E9" s="92"/>
      <c r="F9" s="92"/>
      <c r="G9" s="92"/>
      <c r="H9" s="92"/>
      <c r="I9" s="92"/>
      <c r="J9" s="92"/>
      <c r="K9" s="92"/>
      <c r="L9" s="92"/>
      <c r="M9" s="40"/>
      <c r="N9" s="50"/>
      <c r="O9" s="50"/>
      <c r="P9" s="50"/>
      <c r="Q9" s="50"/>
      <c r="R9" s="50"/>
      <c r="S9" s="50"/>
      <c r="T9" s="50"/>
      <c r="U9" s="50"/>
      <c r="V9" s="50"/>
      <c r="W9" s="50"/>
      <c r="X9" s="40"/>
      <c r="Y9" s="40"/>
      <c r="Z9" s="40"/>
      <c r="AA9" s="40"/>
      <c r="AB9" s="40"/>
      <c r="AC9" s="40"/>
      <c r="AD9" s="40"/>
      <c r="AE9" s="40"/>
      <c r="AF9" s="40"/>
      <c r="AG9" s="40"/>
      <c r="AH9" s="40"/>
    </row>
    <row r="10" spans="1:34" ht="15" customHeight="1">
      <c r="A10" s="49">
        <f t="shared" si="0"/>
        <v>10</v>
      </c>
      <c r="B10" s="89" t="s">
        <v>0</v>
      </c>
      <c r="C10" s="91">
        <v>14</v>
      </c>
      <c r="D10" s="92"/>
      <c r="E10" s="92"/>
      <c r="F10" s="92"/>
      <c r="G10" s="92"/>
      <c r="H10" s="92"/>
      <c r="I10" s="92"/>
      <c r="J10" s="92"/>
      <c r="K10" s="92"/>
      <c r="L10" s="92"/>
      <c r="M10" s="40"/>
      <c r="N10" s="50"/>
      <c r="O10" s="50"/>
      <c r="P10" s="50"/>
      <c r="Q10" s="50"/>
      <c r="R10" s="50"/>
      <c r="S10" s="50"/>
      <c r="T10" s="50"/>
      <c r="U10" s="50"/>
      <c r="V10" s="50"/>
      <c r="W10" s="50"/>
      <c r="X10" s="40"/>
      <c r="Y10" s="40"/>
      <c r="Z10" s="40"/>
      <c r="AA10" s="40"/>
      <c r="AB10" s="40"/>
      <c r="AC10" s="40"/>
      <c r="AD10" s="40"/>
      <c r="AE10" s="40"/>
      <c r="AF10" s="40"/>
      <c r="AG10" s="40"/>
      <c r="AH10" s="40"/>
    </row>
    <row r="11" spans="1:34" ht="15" customHeight="1">
      <c r="A11" s="49">
        <f t="shared" si="0"/>
        <v>11</v>
      </c>
      <c r="B11" s="89" t="s">
        <v>40</v>
      </c>
      <c r="C11" s="91">
        <v>11.6</v>
      </c>
      <c r="D11" s="92"/>
      <c r="E11" s="92"/>
      <c r="F11" s="92"/>
      <c r="G11" s="92"/>
      <c r="H11" s="92"/>
      <c r="I11" s="92"/>
      <c r="J11" s="92"/>
      <c r="K11" s="92"/>
      <c r="L11" s="92"/>
      <c r="M11" s="40"/>
      <c r="N11" s="50"/>
      <c r="O11" s="50"/>
      <c r="P11" s="50"/>
      <c r="Q11" s="50"/>
      <c r="R11" s="50"/>
      <c r="S11" s="50"/>
      <c r="T11" s="50"/>
      <c r="U11" s="50"/>
      <c r="V11" s="50"/>
      <c r="W11" s="50"/>
      <c r="X11" s="40"/>
      <c r="Y11" s="40"/>
      <c r="Z11" s="40"/>
      <c r="AA11" s="40"/>
      <c r="AB11" s="40"/>
      <c r="AC11" s="40"/>
      <c r="AD11" s="40"/>
      <c r="AE11" s="40"/>
      <c r="AF11" s="40"/>
      <c r="AG11" s="40"/>
      <c r="AH11" s="40"/>
    </row>
    <row r="12" spans="1:34" s="6" customFormat="1" ht="15" customHeight="1">
      <c r="A12" s="49">
        <f t="shared" si="0"/>
        <v>12</v>
      </c>
      <c r="B12" s="89" t="s">
        <v>35</v>
      </c>
      <c r="C12" s="91">
        <v>10.8</v>
      </c>
      <c r="D12" s="92"/>
      <c r="E12" s="92"/>
      <c r="F12" s="92"/>
      <c r="G12" s="92"/>
      <c r="H12" s="92"/>
      <c r="I12" s="92"/>
      <c r="J12" s="92"/>
      <c r="K12" s="92"/>
      <c r="L12" s="92"/>
      <c r="M12" s="48"/>
      <c r="N12" s="88"/>
      <c r="O12" s="88"/>
      <c r="P12" s="88"/>
      <c r="Q12" s="88"/>
      <c r="R12" s="88"/>
      <c r="S12" s="88"/>
      <c r="T12" s="88"/>
      <c r="U12" s="88"/>
      <c r="V12" s="88"/>
      <c r="W12" s="88"/>
      <c r="X12" s="48"/>
      <c r="Y12" s="48"/>
      <c r="Z12" s="48"/>
      <c r="AA12" s="48"/>
      <c r="AB12" s="48"/>
      <c r="AC12" s="48"/>
      <c r="AD12" s="48"/>
      <c r="AE12" s="48"/>
      <c r="AF12" s="48"/>
      <c r="AG12" s="48"/>
      <c r="AH12" s="48"/>
    </row>
    <row r="13" spans="1:34" ht="15" customHeight="1">
      <c r="A13" s="49">
        <f t="shared" si="0"/>
        <v>13</v>
      </c>
      <c r="B13" s="47" t="s">
        <v>36</v>
      </c>
      <c r="C13" s="91">
        <v>28.3</v>
      </c>
      <c r="D13" s="92"/>
      <c r="E13" s="92"/>
      <c r="F13" s="92"/>
      <c r="G13" s="92"/>
      <c r="H13" s="92"/>
      <c r="I13" s="92"/>
      <c r="J13" s="92"/>
      <c r="K13" s="92"/>
      <c r="L13" s="92"/>
      <c r="M13" s="40"/>
      <c r="N13" s="50"/>
      <c r="O13" s="50"/>
      <c r="P13" s="50"/>
      <c r="Q13" s="50"/>
      <c r="R13" s="50"/>
      <c r="S13" s="50"/>
      <c r="T13" s="50"/>
      <c r="U13" s="50"/>
      <c r="V13" s="50"/>
      <c r="W13" s="50"/>
      <c r="X13" s="40"/>
      <c r="Y13" s="40"/>
      <c r="Z13" s="40"/>
      <c r="AA13" s="40"/>
      <c r="AB13" s="40"/>
      <c r="AC13" s="40"/>
      <c r="AD13" s="40"/>
      <c r="AE13" s="40"/>
      <c r="AF13" s="40"/>
      <c r="AG13" s="40"/>
      <c r="AH13" s="40"/>
    </row>
    <row r="14" spans="1:34" ht="15" customHeight="1">
      <c r="A14" s="49">
        <f t="shared" si="0"/>
        <v>14</v>
      </c>
      <c r="B14" s="89" t="s">
        <v>41</v>
      </c>
      <c r="C14" s="91">
        <v>5</v>
      </c>
      <c r="D14" s="92"/>
      <c r="E14" s="92"/>
      <c r="F14" s="92"/>
      <c r="G14" s="92"/>
      <c r="H14" s="92"/>
      <c r="I14" s="92"/>
      <c r="J14" s="92"/>
      <c r="K14" s="92"/>
      <c r="L14" s="92"/>
      <c r="M14" s="40"/>
      <c r="N14" s="50"/>
      <c r="O14" s="50"/>
      <c r="P14" s="50"/>
      <c r="Q14" s="50"/>
      <c r="R14" s="50"/>
      <c r="S14" s="50"/>
      <c r="T14" s="50"/>
      <c r="U14" s="50"/>
      <c r="V14" s="50"/>
      <c r="W14" s="50"/>
      <c r="X14" s="40"/>
      <c r="Y14" s="40"/>
      <c r="Z14" s="40"/>
      <c r="AA14" s="40"/>
      <c r="AB14" s="40"/>
      <c r="AC14" s="40"/>
      <c r="AD14" s="40"/>
      <c r="AE14" s="40"/>
      <c r="AF14" s="40"/>
      <c r="AG14" s="40"/>
      <c r="AH14" s="40"/>
    </row>
    <row r="15" spans="1:34" ht="15" customHeight="1">
      <c r="A15" s="49">
        <f t="shared" si="0"/>
        <v>15</v>
      </c>
      <c r="B15" s="89" t="s">
        <v>42</v>
      </c>
      <c r="C15" s="91">
        <v>1</v>
      </c>
      <c r="D15" s="92"/>
      <c r="E15" s="92"/>
      <c r="F15" s="92"/>
      <c r="G15" s="92"/>
      <c r="H15" s="92"/>
      <c r="I15" s="92"/>
      <c r="J15" s="92"/>
      <c r="K15" s="92"/>
      <c r="L15" s="92"/>
      <c r="M15" s="40"/>
      <c r="N15" s="50"/>
      <c r="O15" s="50"/>
      <c r="P15" s="50"/>
      <c r="Q15" s="50"/>
      <c r="R15" s="50"/>
      <c r="S15" s="50"/>
      <c r="T15" s="50"/>
      <c r="U15" s="50"/>
      <c r="V15" s="50"/>
      <c r="W15" s="50"/>
      <c r="X15" s="40"/>
      <c r="Y15" s="40"/>
      <c r="Z15" s="40"/>
      <c r="AA15" s="40"/>
      <c r="AB15" s="40"/>
      <c r="AC15" s="40"/>
      <c r="AD15" s="40"/>
      <c r="AE15" s="40"/>
      <c r="AF15" s="40"/>
      <c r="AG15" s="40"/>
      <c r="AH15" s="40"/>
    </row>
    <row r="16" spans="1:34" ht="15" customHeight="1">
      <c r="A16" s="49">
        <f t="shared" si="0"/>
        <v>16</v>
      </c>
      <c r="B16" s="89" t="s">
        <v>43</v>
      </c>
      <c r="C16" s="91">
        <v>28.4</v>
      </c>
      <c r="D16" s="92"/>
      <c r="E16" s="92"/>
      <c r="F16" s="92"/>
      <c r="G16" s="92"/>
      <c r="H16" s="92"/>
      <c r="I16" s="92"/>
      <c r="J16" s="92"/>
      <c r="K16" s="92"/>
      <c r="L16" s="92"/>
      <c r="M16" s="40"/>
      <c r="N16" s="50"/>
      <c r="O16" s="50"/>
      <c r="P16" s="50"/>
      <c r="Q16" s="50"/>
      <c r="R16" s="50"/>
      <c r="S16" s="50"/>
      <c r="T16" s="50"/>
      <c r="U16" s="50"/>
      <c r="V16" s="50"/>
      <c r="W16" s="50"/>
      <c r="X16" s="40"/>
      <c r="Y16" s="40"/>
      <c r="Z16" s="40"/>
      <c r="AA16" s="40"/>
      <c r="AB16" s="40"/>
      <c r="AC16" s="40"/>
      <c r="AD16" s="40"/>
      <c r="AE16" s="40"/>
      <c r="AF16" s="40"/>
      <c r="AG16" s="40"/>
      <c r="AH16" s="40"/>
    </row>
    <row r="17" spans="1:34" ht="15" customHeight="1">
      <c r="A17" s="49">
        <f t="shared" si="0"/>
        <v>17</v>
      </c>
      <c r="B17" s="89" t="s">
        <v>44</v>
      </c>
      <c r="C17" s="91">
        <v>2</v>
      </c>
      <c r="D17" s="92"/>
      <c r="E17" s="92"/>
      <c r="F17" s="92"/>
      <c r="G17" s="92"/>
      <c r="H17" s="92"/>
      <c r="I17" s="92"/>
      <c r="J17" s="92"/>
      <c r="K17" s="92"/>
      <c r="L17" s="92"/>
      <c r="M17" s="40"/>
      <c r="N17" s="50"/>
      <c r="O17" s="50"/>
      <c r="P17" s="50"/>
      <c r="Q17" s="50"/>
      <c r="R17" s="50"/>
      <c r="S17" s="50"/>
      <c r="T17" s="50"/>
      <c r="U17" s="50"/>
      <c r="V17" s="50"/>
      <c r="W17" s="50"/>
      <c r="X17" s="40"/>
      <c r="Y17" s="40"/>
      <c r="Z17" s="40"/>
      <c r="AA17" s="40"/>
      <c r="AB17" s="40"/>
      <c r="AC17" s="40"/>
      <c r="AD17" s="40"/>
      <c r="AE17" s="40"/>
      <c r="AF17" s="40"/>
      <c r="AG17" s="40"/>
      <c r="AH17" s="40"/>
    </row>
    <row r="18" spans="1:34" ht="15" customHeight="1">
      <c r="A18" s="49">
        <f t="shared" si="0"/>
        <v>18</v>
      </c>
      <c r="B18" s="89" t="s">
        <v>27</v>
      </c>
      <c r="C18" s="91">
        <v>10.25</v>
      </c>
      <c r="D18" s="92"/>
      <c r="E18" s="92"/>
      <c r="F18" s="92"/>
      <c r="G18" s="92"/>
      <c r="H18" s="92"/>
      <c r="I18" s="92"/>
      <c r="J18" s="92"/>
      <c r="K18" s="92"/>
      <c r="L18" s="92"/>
      <c r="M18" s="40"/>
      <c r="N18" s="50"/>
      <c r="O18" s="50"/>
      <c r="P18" s="50"/>
      <c r="Q18" s="50"/>
      <c r="R18" s="50"/>
      <c r="S18" s="50"/>
      <c r="T18" s="50"/>
      <c r="U18" s="50"/>
      <c r="V18" s="50"/>
      <c r="W18" s="50"/>
      <c r="X18" s="40"/>
      <c r="Y18" s="40"/>
      <c r="Z18" s="40"/>
      <c r="AA18" s="40"/>
      <c r="AB18" s="40"/>
      <c r="AC18" s="40"/>
      <c r="AD18" s="40"/>
      <c r="AE18" s="40"/>
      <c r="AF18" s="40"/>
      <c r="AG18" s="40"/>
      <c r="AH18" s="40"/>
    </row>
    <row r="19" spans="1:34" ht="15" customHeight="1">
      <c r="A19" s="49">
        <f t="shared" si="0"/>
        <v>19</v>
      </c>
      <c r="B19" s="89" t="s">
        <v>45</v>
      </c>
      <c r="C19" s="91">
        <v>3</v>
      </c>
      <c r="D19" s="92"/>
      <c r="E19" s="92"/>
      <c r="F19" s="92"/>
      <c r="G19" s="92"/>
      <c r="H19" s="92"/>
      <c r="I19" s="92"/>
      <c r="J19" s="92"/>
      <c r="K19" s="92"/>
      <c r="L19" s="92"/>
      <c r="M19" s="40"/>
      <c r="N19" s="50"/>
      <c r="O19" s="50"/>
      <c r="P19" s="50"/>
      <c r="Q19" s="50"/>
      <c r="R19" s="50"/>
      <c r="S19" s="50"/>
      <c r="T19" s="50"/>
      <c r="U19" s="50"/>
      <c r="V19" s="50"/>
      <c r="W19" s="50"/>
      <c r="X19" s="40"/>
      <c r="Y19" s="40"/>
      <c r="Z19" s="40"/>
      <c r="AA19" s="40"/>
      <c r="AB19" s="40"/>
      <c r="AC19" s="40"/>
      <c r="AD19" s="40"/>
      <c r="AE19" s="40"/>
      <c r="AF19" s="40"/>
      <c r="AG19" s="40"/>
      <c r="AH19" s="40"/>
    </row>
    <row r="20" spans="1:34" ht="15" customHeight="1">
      <c r="A20" s="49">
        <f t="shared" si="0"/>
        <v>20</v>
      </c>
      <c r="B20" s="89" t="s">
        <v>46</v>
      </c>
      <c r="C20" s="91">
        <v>15.2</v>
      </c>
      <c r="D20" s="92"/>
      <c r="E20" s="92"/>
      <c r="F20" s="92"/>
      <c r="G20" s="92"/>
      <c r="H20" s="92"/>
      <c r="I20" s="92"/>
      <c r="J20" s="92"/>
      <c r="K20" s="92"/>
      <c r="L20" s="92"/>
      <c r="M20" s="40"/>
      <c r="N20" s="50"/>
      <c r="O20" s="50"/>
      <c r="P20" s="50"/>
      <c r="Q20" s="50"/>
      <c r="R20" s="50"/>
      <c r="S20" s="50"/>
      <c r="T20" s="50"/>
      <c r="U20" s="50"/>
      <c r="V20" s="50"/>
      <c r="W20" s="50"/>
      <c r="X20" s="40"/>
      <c r="Y20" s="40"/>
      <c r="Z20" s="40"/>
      <c r="AA20" s="40"/>
      <c r="AB20" s="40"/>
      <c r="AC20" s="40"/>
      <c r="AD20" s="40"/>
      <c r="AE20" s="40"/>
      <c r="AF20" s="40"/>
      <c r="AG20" s="40"/>
      <c r="AH20" s="40"/>
    </row>
    <row r="21" spans="1:34" ht="15" customHeight="1">
      <c r="A21" s="49">
        <f t="shared" si="0"/>
        <v>21</v>
      </c>
      <c r="B21" s="89" t="s">
        <v>47</v>
      </c>
      <c r="C21" s="91">
        <v>0.01</v>
      </c>
      <c r="D21" s="92"/>
      <c r="E21" s="92"/>
      <c r="F21" s="92"/>
      <c r="G21" s="92"/>
      <c r="H21" s="92"/>
      <c r="I21" s="92"/>
      <c r="J21" s="92"/>
      <c r="K21" s="92"/>
      <c r="L21" s="92"/>
      <c r="M21" s="40"/>
      <c r="N21" s="50"/>
      <c r="O21" s="50"/>
      <c r="P21" s="50"/>
      <c r="Q21" s="50"/>
      <c r="R21" s="50"/>
      <c r="S21" s="50"/>
      <c r="T21" s="50"/>
      <c r="U21" s="50"/>
      <c r="V21" s="50"/>
      <c r="W21" s="50"/>
      <c r="X21" s="40"/>
      <c r="Y21" s="40"/>
      <c r="Z21" s="40"/>
      <c r="AA21" s="40"/>
      <c r="AB21" s="40"/>
      <c r="AC21" s="40"/>
      <c r="AD21" s="40"/>
      <c r="AE21" s="40"/>
      <c r="AF21" s="40"/>
      <c r="AG21" s="40"/>
      <c r="AH21" s="40"/>
    </row>
    <row r="22" spans="1:34" ht="15" customHeight="1">
      <c r="A22" s="49">
        <f t="shared" si="0"/>
        <v>22</v>
      </c>
      <c r="B22" s="40"/>
      <c r="C22" s="41"/>
      <c r="D22" s="40"/>
      <c r="E22" s="40"/>
      <c r="F22" s="40"/>
      <c r="G22" s="40"/>
      <c r="H22" s="40"/>
      <c r="I22" s="40"/>
      <c r="J22" s="40"/>
      <c r="K22" s="40"/>
      <c r="L22" s="40"/>
      <c r="M22" s="40"/>
      <c r="N22" s="40"/>
      <c r="O22" s="40"/>
      <c r="P22" s="40"/>
      <c r="Q22" s="40"/>
      <c r="R22" s="40"/>
      <c r="S22" s="40"/>
      <c r="T22" s="40"/>
      <c r="U22" s="40"/>
      <c r="V22" s="40"/>
      <c r="W22" s="40"/>
      <c r="X22" s="40"/>
      <c r="Y22" s="40"/>
      <c r="Z22" s="40"/>
      <c r="AA22" s="40"/>
      <c r="AB22" s="40"/>
      <c r="AC22" s="40"/>
      <c r="AD22" s="40"/>
      <c r="AE22" s="40"/>
      <c r="AF22" s="40"/>
      <c r="AG22" s="40"/>
      <c r="AH22" s="40"/>
    </row>
    <row r="23" spans="1:34" ht="15" customHeight="1">
      <c r="A23" s="49">
        <f t="shared" si="0"/>
        <v>23</v>
      </c>
      <c r="B23" s="53" t="s">
        <v>14</v>
      </c>
      <c r="C23" s="54">
        <f t="shared" ref="C23:L23" si="1">IF(C$4="","",C$4)</f>
        <v>44926</v>
      </c>
      <c r="D23" s="55" t="str">
        <f t="shared" si="1"/>
        <v/>
      </c>
      <c r="E23" s="55" t="str">
        <f t="shared" si="1"/>
        <v/>
      </c>
      <c r="F23" s="55" t="str">
        <f t="shared" si="1"/>
        <v/>
      </c>
      <c r="G23" s="55" t="str">
        <f t="shared" si="1"/>
        <v/>
      </c>
      <c r="H23" s="55" t="str">
        <f t="shared" si="1"/>
        <v/>
      </c>
      <c r="I23" s="55" t="str">
        <f t="shared" si="1"/>
        <v/>
      </c>
      <c r="J23" s="55" t="str">
        <f t="shared" si="1"/>
        <v/>
      </c>
      <c r="K23" s="55" t="str">
        <f t="shared" si="1"/>
        <v/>
      </c>
      <c r="L23" s="55" t="str">
        <f t="shared" si="1"/>
        <v/>
      </c>
      <c r="M23" s="40"/>
      <c r="N23" s="40"/>
      <c r="O23" s="40"/>
      <c r="P23" s="40"/>
      <c r="Q23" s="40"/>
      <c r="R23" s="40"/>
      <c r="S23" s="40"/>
      <c r="T23" s="40"/>
      <c r="U23" s="40"/>
      <c r="V23" s="40"/>
      <c r="W23" s="40"/>
      <c r="X23" s="40"/>
      <c r="Y23" s="40"/>
      <c r="Z23" s="40"/>
      <c r="AA23" s="40"/>
      <c r="AB23" s="40"/>
      <c r="AC23" s="40"/>
      <c r="AD23" s="40"/>
      <c r="AE23" s="40"/>
      <c r="AF23" s="40"/>
      <c r="AG23" s="40"/>
      <c r="AH23" s="40"/>
    </row>
    <row r="24" spans="1:34" ht="15" customHeight="1">
      <c r="A24" s="49">
        <f t="shared" si="0"/>
        <v>24</v>
      </c>
      <c r="B24" s="46"/>
      <c r="C24" s="41"/>
      <c r="D24" s="40"/>
      <c r="E24" s="40"/>
      <c r="F24" s="40"/>
      <c r="G24" s="40"/>
      <c r="H24" s="40"/>
      <c r="I24" s="40"/>
      <c r="J24" s="40"/>
      <c r="K24" s="40"/>
      <c r="L24" s="40"/>
      <c r="M24" s="40"/>
      <c r="N24" s="40"/>
      <c r="O24" s="40"/>
      <c r="P24" s="40"/>
      <c r="Q24" s="40"/>
      <c r="R24" s="40"/>
      <c r="S24" s="40"/>
      <c r="T24" s="40"/>
      <c r="U24" s="40"/>
      <c r="V24" s="40"/>
      <c r="W24" s="40"/>
      <c r="X24" s="40"/>
      <c r="Y24" s="40"/>
      <c r="Z24" s="40"/>
      <c r="AA24" s="40"/>
      <c r="AB24" s="40"/>
      <c r="AC24" s="40"/>
      <c r="AD24" s="40"/>
      <c r="AE24" s="40"/>
      <c r="AF24" s="40"/>
      <c r="AG24" s="40"/>
      <c r="AH24" s="40"/>
    </row>
    <row r="25" spans="1:34" ht="15" customHeight="1">
      <c r="A25" s="49">
        <f t="shared" si="0"/>
        <v>25</v>
      </c>
      <c r="B25" s="47" t="s">
        <v>16</v>
      </c>
      <c r="C25" s="91">
        <f>157.106</f>
        <v>157.10599999999999</v>
      </c>
      <c r="D25" s="92"/>
      <c r="E25" s="92"/>
      <c r="F25" s="92"/>
      <c r="G25" s="92"/>
      <c r="H25" s="92"/>
      <c r="I25" s="92"/>
      <c r="J25" s="92"/>
      <c r="K25" s="92"/>
      <c r="L25" s="92"/>
      <c r="M25" s="40"/>
      <c r="N25" s="50"/>
      <c r="O25" s="50"/>
      <c r="P25" s="50"/>
      <c r="Q25" s="50"/>
      <c r="R25" s="50"/>
      <c r="S25" s="50"/>
      <c r="T25" s="50"/>
      <c r="U25" s="50"/>
      <c r="V25" s="50"/>
      <c r="W25" s="50"/>
      <c r="X25" s="40"/>
      <c r="Y25" s="40"/>
      <c r="Z25" s="40"/>
      <c r="AA25" s="40"/>
      <c r="AB25" s="40"/>
      <c r="AC25" s="40"/>
      <c r="AD25" s="40"/>
      <c r="AE25" s="40"/>
      <c r="AF25" s="40"/>
      <c r="AG25" s="40"/>
      <c r="AH25" s="40"/>
    </row>
    <row r="26" spans="1:34" ht="15" customHeight="1">
      <c r="A26" s="49">
        <f t="shared" si="0"/>
        <v>26</v>
      </c>
      <c r="B26" s="47" t="s">
        <v>17</v>
      </c>
      <c r="C26" s="91">
        <f>136.443</f>
        <v>136.44300000000001</v>
      </c>
      <c r="D26" s="92"/>
      <c r="E26" s="92"/>
      <c r="F26" s="92"/>
      <c r="G26" s="92"/>
      <c r="H26" s="92"/>
      <c r="I26" s="92"/>
      <c r="J26" s="92"/>
      <c r="K26" s="92"/>
      <c r="L26" s="92"/>
      <c r="M26" s="40"/>
      <c r="N26" s="50"/>
      <c r="O26" s="50"/>
      <c r="P26" s="50"/>
      <c r="Q26" s="50"/>
      <c r="R26" s="50"/>
      <c r="S26" s="50"/>
      <c r="T26" s="50"/>
      <c r="U26" s="50"/>
      <c r="V26" s="50"/>
      <c r="W26" s="50"/>
      <c r="X26" s="40"/>
      <c r="Y26" s="40"/>
      <c r="Z26" s="40"/>
      <c r="AA26" s="40"/>
      <c r="AB26" s="40"/>
      <c r="AC26" s="40"/>
      <c r="AD26" s="40"/>
      <c r="AE26" s="40"/>
      <c r="AF26" s="40"/>
      <c r="AG26" s="40"/>
      <c r="AH26" s="40"/>
    </row>
    <row r="27" spans="1:34" ht="15" customHeight="1">
      <c r="A27" s="49">
        <f t="shared" si="0"/>
        <v>27</v>
      </c>
      <c r="B27" s="47" t="s">
        <v>30</v>
      </c>
      <c r="C27" s="91">
        <v>5</v>
      </c>
      <c r="D27" s="92"/>
      <c r="E27" s="92"/>
      <c r="F27" s="92"/>
      <c r="G27" s="92"/>
      <c r="H27" s="92"/>
      <c r="I27" s="92"/>
      <c r="J27" s="92"/>
      <c r="K27" s="92"/>
      <c r="L27" s="92"/>
      <c r="M27" s="40"/>
      <c r="N27" s="50"/>
      <c r="O27" s="50"/>
      <c r="P27" s="50"/>
      <c r="Q27" s="50"/>
      <c r="R27" s="50"/>
      <c r="S27" s="50"/>
      <c r="T27" s="50"/>
      <c r="U27" s="50"/>
      <c r="V27" s="50"/>
      <c r="W27" s="50"/>
      <c r="X27" s="40"/>
      <c r="Y27" s="40"/>
      <c r="Z27" s="40"/>
      <c r="AA27" s="40"/>
      <c r="AB27" s="40"/>
      <c r="AC27" s="40"/>
      <c r="AD27" s="40"/>
      <c r="AE27" s="40"/>
      <c r="AF27" s="40"/>
      <c r="AG27" s="40"/>
      <c r="AH27" s="40"/>
    </row>
    <row r="28" spans="1:34" ht="15" customHeight="1">
      <c r="A28" s="49">
        <f t="shared" si="0"/>
        <v>28</v>
      </c>
      <c r="B28" s="47" t="s">
        <v>48</v>
      </c>
      <c r="C28" s="91">
        <v>8.8279999999999994</v>
      </c>
      <c r="D28" s="92"/>
      <c r="E28" s="92"/>
      <c r="F28" s="92"/>
      <c r="G28" s="92"/>
      <c r="H28" s="92"/>
      <c r="I28" s="92"/>
      <c r="J28" s="92"/>
      <c r="K28" s="92"/>
      <c r="L28" s="92"/>
      <c r="M28" s="40"/>
      <c r="N28" s="50"/>
      <c r="O28" s="50"/>
      <c r="P28" s="50"/>
      <c r="Q28" s="50"/>
      <c r="R28" s="50"/>
      <c r="S28" s="50"/>
      <c r="T28" s="50"/>
      <c r="U28" s="50"/>
      <c r="V28" s="50"/>
      <c r="W28" s="50"/>
      <c r="X28" s="40"/>
      <c r="Y28" s="40"/>
      <c r="Z28" s="40"/>
      <c r="AA28" s="40"/>
      <c r="AB28" s="40"/>
      <c r="AC28" s="40"/>
      <c r="AD28" s="40"/>
      <c r="AE28" s="40"/>
      <c r="AF28" s="40"/>
      <c r="AG28" s="40"/>
      <c r="AH28" s="40"/>
    </row>
    <row r="29" spans="1:34" ht="15" customHeight="1">
      <c r="A29" s="49">
        <f t="shared" si="0"/>
        <v>29</v>
      </c>
      <c r="B29" s="47" t="s">
        <v>49</v>
      </c>
      <c r="C29" s="91">
        <v>8.2230000000000008</v>
      </c>
      <c r="D29" s="92"/>
      <c r="E29" s="92"/>
      <c r="F29" s="92"/>
      <c r="G29" s="92"/>
      <c r="H29" s="92"/>
      <c r="I29" s="92"/>
      <c r="J29" s="92"/>
      <c r="K29" s="92"/>
      <c r="L29" s="92"/>
      <c r="M29" s="40"/>
      <c r="N29" s="50"/>
      <c r="O29" s="50"/>
      <c r="P29" s="50"/>
      <c r="Q29" s="50"/>
      <c r="R29" s="50"/>
      <c r="S29" s="50"/>
      <c r="T29" s="50"/>
      <c r="U29" s="50"/>
      <c r="V29" s="50"/>
      <c r="W29" s="50"/>
      <c r="X29" s="40"/>
      <c r="Y29" s="40"/>
      <c r="Z29" s="40"/>
      <c r="AA29" s="40"/>
      <c r="AB29" s="40"/>
      <c r="AC29" s="40"/>
      <c r="AD29" s="40"/>
      <c r="AE29" s="40"/>
      <c r="AF29" s="40"/>
      <c r="AG29" s="40"/>
      <c r="AH29" s="40"/>
    </row>
    <row r="30" spans="1:34" ht="15" customHeight="1">
      <c r="A30" s="49">
        <f>+A29+1</f>
        <v>30</v>
      </c>
      <c r="B30" s="47" t="s">
        <v>50</v>
      </c>
      <c r="C30" s="91">
        <v>44</v>
      </c>
      <c r="D30" s="92"/>
      <c r="E30" s="92"/>
      <c r="F30" s="92"/>
      <c r="G30" s="92"/>
      <c r="H30" s="92"/>
      <c r="I30" s="92"/>
      <c r="J30" s="92"/>
      <c r="K30" s="92"/>
      <c r="L30" s="92"/>
      <c r="M30" s="40"/>
      <c r="N30" s="50"/>
      <c r="O30" s="50"/>
      <c r="P30" s="50"/>
      <c r="Q30" s="50"/>
      <c r="R30" s="50"/>
      <c r="S30" s="50"/>
      <c r="T30" s="50"/>
      <c r="U30" s="50"/>
      <c r="V30" s="50"/>
      <c r="W30" s="50"/>
      <c r="X30" s="40"/>
      <c r="Y30" s="40"/>
      <c r="Z30" s="40"/>
      <c r="AA30" s="40"/>
      <c r="AB30" s="40"/>
      <c r="AC30" s="40"/>
      <c r="AD30" s="40"/>
      <c r="AE30" s="40"/>
      <c r="AF30" s="40"/>
      <c r="AG30" s="40"/>
      <c r="AH30" s="40"/>
    </row>
    <row r="31" spans="1:34" ht="15" customHeight="1">
      <c r="A31" s="49">
        <f t="shared" si="0"/>
        <v>31</v>
      </c>
      <c r="B31" s="47" t="s">
        <v>51</v>
      </c>
      <c r="C31" s="91">
        <v>37.97</v>
      </c>
      <c r="D31" s="92"/>
      <c r="E31" s="92"/>
      <c r="F31" s="92"/>
      <c r="G31" s="92"/>
      <c r="H31" s="92"/>
      <c r="I31" s="92"/>
      <c r="J31" s="92"/>
      <c r="K31" s="92"/>
      <c r="L31" s="92"/>
      <c r="M31" s="40"/>
      <c r="N31" s="50"/>
      <c r="O31" s="50"/>
      <c r="P31" s="50"/>
      <c r="Q31" s="50"/>
      <c r="R31" s="50"/>
      <c r="S31" s="50"/>
      <c r="T31" s="50"/>
      <c r="U31" s="50"/>
      <c r="V31" s="50"/>
      <c r="W31" s="50"/>
      <c r="X31" s="40"/>
      <c r="Y31" s="40"/>
      <c r="Z31" s="40"/>
      <c r="AA31" s="40"/>
      <c r="AB31" s="40"/>
      <c r="AC31" s="40"/>
      <c r="AD31" s="40"/>
      <c r="AE31" s="40"/>
      <c r="AF31" s="40"/>
      <c r="AG31" s="40"/>
      <c r="AH31" s="40"/>
    </row>
    <row r="32" spans="1:34" ht="15" customHeight="1">
      <c r="A32" s="49">
        <f t="shared" si="0"/>
        <v>32</v>
      </c>
      <c r="B32" s="47" t="s">
        <v>52</v>
      </c>
      <c r="C32" s="91">
        <v>61.094000000000001</v>
      </c>
      <c r="D32" s="92"/>
      <c r="E32" s="92"/>
      <c r="F32" s="92"/>
      <c r="G32" s="92"/>
      <c r="H32" s="92"/>
      <c r="I32" s="92"/>
      <c r="J32" s="92"/>
      <c r="K32" s="92"/>
      <c r="L32" s="92"/>
      <c r="M32" s="40"/>
      <c r="N32" s="50"/>
      <c r="O32" s="50"/>
      <c r="P32" s="50"/>
      <c r="Q32" s="50"/>
      <c r="R32" s="50"/>
      <c r="S32" s="50"/>
      <c r="T32" s="50"/>
      <c r="U32" s="50"/>
      <c r="V32" s="50"/>
      <c r="W32" s="50"/>
      <c r="X32" s="40"/>
      <c r="Y32" s="40"/>
      <c r="Z32" s="40"/>
      <c r="AA32" s="40"/>
      <c r="AB32" s="40"/>
      <c r="AC32" s="40"/>
      <c r="AD32" s="40"/>
      <c r="AE32" s="40"/>
      <c r="AF32" s="40"/>
      <c r="AG32" s="40"/>
      <c r="AH32" s="40"/>
    </row>
    <row r="33" spans="1:34" ht="15" customHeight="1">
      <c r="A33" s="49">
        <f t="shared" si="0"/>
        <v>33</v>
      </c>
      <c r="B33" s="47" t="s">
        <v>53</v>
      </c>
      <c r="C33" s="91">
        <v>37.491</v>
      </c>
      <c r="D33" s="92"/>
      <c r="E33" s="92"/>
      <c r="F33" s="92"/>
      <c r="G33" s="92"/>
      <c r="H33" s="92"/>
      <c r="I33" s="92"/>
      <c r="J33" s="92"/>
      <c r="K33" s="92"/>
      <c r="L33" s="92"/>
      <c r="M33" s="40"/>
      <c r="N33" s="50"/>
      <c r="O33" s="50"/>
      <c r="P33" s="50"/>
      <c r="Q33" s="50"/>
      <c r="R33" s="50"/>
      <c r="S33" s="50"/>
      <c r="T33" s="50"/>
      <c r="U33" s="50"/>
      <c r="V33" s="50"/>
      <c r="W33" s="50"/>
      <c r="X33" s="40"/>
      <c r="Y33" s="40"/>
      <c r="Z33" s="40"/>
      <c r="AA33" s="40"/>
      <c r="AB33" s="40"/>
      <c r="AC33" s="40"/>
      <c r="AD33" s="40"/>
      <c r="AE33" s="40"/>
      <c r="AF33" s="40"/>
      <c r="AG33" s="40"/>
      <c r="AH33" s="40"/>
    </row>
    <row r="34" spans="1:34" ht="15" customHeight="1">
      <c r="A34" s="49">
        <f t="shared" si="0"/>
        <v>34</v>
      </c>
      <c r="B34" s="47" t="s">
        <v>54</v>
      </c>
      <c r="C34" s="91">
        <v>195</v>
      </c>
      <c r="D34" s="92"/>
      <c r="E34" s="92"/>
      <c r="F34" s="92"/>
      <c r="G34" s="92"/>
      <c r="H34" s="92"/>
      <c r="I34" s="92"/>
      <c r="J34" s="92"/>
      <c r="K34" s="92"/>
      <c r="L34" s="92"/>
      <c r="M34" s="40"/>
      <c r="N34" s="50"/>
      <c r="O34" s="50"/>
      <c r="P34" s="50"/>
      <c r="Q34" s="50"/>
      <c r="R34" s="50"/>
      <c r="S34" s="50"/>
      <c r="T34" s="50"/>
      <c r="U34" s="50"/>
      <c r="V34" s="50"/>
      <c r="W34" s="50"/>
      <c r="X34" s="40"/>
      <c r="Y34" s="40"/>
      <c r="Z34" s="40"/>
      <c r="AA34" s="40"/>
      <c r="AB34" s="40"/>
      <c r="AC34" s="40"/>
      <c r="AD34" s="40"/>
      <c r="AE34" s="40"/>
      <c r="AF34" s="40"/>
      <c r="AG34" s="40"/>
      <c r="AH34" s="40"/>
    </row>
    <row r="35" spans="1:34" ht="15" customHeight="1">
      <c r="A35" s="49">
        <f t="shared" si="0"/>
        <v>35</v>
      </c>
      <c r="B35" s="47" t="s">
        <v>55</v>
      </c>
      <c r="C35" s="91">
        <v>114.29</v>
      </c>
      <c r="D35" s="92"/>
      <c r="E35" s="92"/>
      <c r="F35" s="92"/>
      <c r="G35" s="92"/>
      <c r="H35" s="92"/>
      <c r="I35" s="92"/>
      <c r="J35" s="92"/>
      <c r="K35" s="92"/>
      <c r="L35" s="92"/>
      <c r="M35" s="40"/>
      <c r="N35" s="50"/>
      <c r="O35" s="50"/>
      <c r="P35" s="50"/>
      <c r="Q35" s="50"/>
      <c r="R35" s="50"/>
      <c r="S35" s="50"/>
      <c r="T35" s="50"/>
      <c r="U35" s="50"/>
      <c r="V35" s="50"/>
      <c r="W35" s="50"/>
      <c r="X35" s="40"/>
      <c r="Y35" s="40"/>
      <c r="Z35" s="40"/>
      <c r="AA35" s="40"/>
      <c r="AB35" s="40"/>
      <c r="AC35" s="40"/>
      <c r="AD35" s="40"/>
      <c r="AE35" s="40"/>
      <c r="AF35" s="40"/>
      <c r="AG35" s="40"/>
      <c r="AH35" s="40"/>
    </row>
    <row r="36" spans="1:34" ht="15" customHeight="1">
      <c r="A36" s="49">
        <f t="shared" si="0"/>
        <v>36</v>
      </c>
      <c r="B36" s="47" t="s">
        <v>20</v>
      </c>
      <c r="C36" s="91">
        <v>25.661999999999999</v>
      </c>
      <c r="D36" s="92"/>
      <c r="E36" s="92"/>
      <c r="F36" s="92"/>
      <c r="G36" s="92"/>
      <c r="H36" s="92"/>
      <c r="I36" s="92"/>
      <c r="J36" s="92"/>
      <c r="K36" s="92"/>
      <c r="L36" s="92"/>
      <c r="M36" s="40"/>
      <c r="N36" s="50"/>
      <c r="O36" s="50"/>
      <c r="P36" s="50"/>
      <c r="Q36" s="50"/>
      <c r="R36" s="50"/>
      <c r="S36" s="50"/>
      <c r="T36" s="50"/>
      <c r="U36" s="50"/>
      <c r="V36" s="50"/>
      <c r="W36" s="50"/>
      <c r="X36" s="40"/>
      <c r="Y36" s="40"/>
      <c r="Z36" s="40"/>
      <c r="AA36" s="40"/>
      <c r="AB36" s="40"/>
      <c r="AC36" s="40"/>
      <c r="AD36" s="40"/>
      <c r="AE36" s="40"/>
      <c r="AF36" s="40"/>
      <c r="AG36" s="40"/>
      <c r="AH36" s="40"/>
    </row>
    <row r="37" spans="1:34" ht="15" customHeight="1">
      <c r="A37" s="49">
        <f t="shared" si="0"/>
        <v>37</v>
      </c>
      <c r="B37" s="47" t="s">
        <v>56</v>
      </c>
      <c r="C37" s="91">
        <v>15.38</v>
      </c>
      <c r="D37" s="92"/>
      <c r="E37" s="92"/>
      <c r="F37" s="92"/>
      <c r="G37" s="92"/>
      <c r="H37" s="92"/>
      <c r="I37" s="92"/>
      <c r="J37" s="92"/>
      <c r="K37" s="92"/>
      <c r="L37" s="92"/>
      <c r="M37" s="40"/>
      <c r="N37" s="50"/>
      <c r="O37" s="50"/>
      <c r="P37" s="50"/>
      <c r="Q37" s="50"/>
      <c r="R37" s="50"/>
      <c r="S37" s="50"/>
      <c r="T37" s="50"/>
      <c r="U37" s="50"/>
      <c r="V37" s="50"/>
      <c r="W37" s="50"/>
      <c r="X37" s="40"/>
      <c r="Y37" s="40"/>
      <c r="Z37" s="40"/>
      <c r="AA37" s="40"/>
      <c r="AB37" s="40"/>
      <c r="AC37" s="40"/>
      <c r="AD37" s="40"/>
      <c r="AE37" s="40"/>
      <c r="AF37" s="40"/>
      <c r="AG37" s="40"/>
      <c r="AH37" s="40"/>
    </row>
    <row r="38" spans="1:34" ht="15" customHeight="1">
      <c r="A38" s="49">
        <f t="shared" si="0"/>
        <v>38</v>
      </c>
      <c r="B38" s="47" t="s">
        <v>57</v>
      </c>
      <c r="C38" s="91">
        <v>0</v>
      </c>
      <c r="D38" s="92"/>
      <c r="E38" s="92"/>
      <c r="F38" s="92"/>
      <c r="G38" s="92"/>
      <c r="H38" s="92"/>
      <c r="I38" s="92"/>
      <c r="J38" s="92"/>
      <c r="K38" s="92"/>
      <c r="L38" s="92"/>
      <c r="M38" s="40"/>
      <c r="N38" s="50"/>
      <c r="O38" s="50"/>
      <c r="P38" s="50"/>
      <c r="Q38" s="50"/>
      <c r="R38" s="50"/>
      <c r="S38" s="50"/>
      <c r="T38" s="50"/>
      <c r="U38" s="50"/>
      <c r="V38" s="50"/>
      <c r="W38" s="50"/>
      <c r="X38" s="40"/>
      <c r="Y38" s="40"/>
      <c r="Z38" s="40"/>
      <c r="AA38" s="40"/>
      <c r="AB38" s="40"/>
      <c r="AC38" s="40"/>
      <c r="AD38" s="40"/>
      <c r="AE38" s="40"/>
      <c r="AF38" s="40"/>
      <c r="AG38" s="40"/>
      <c r="AH38" s="40"/>
    </row>
    <row r="39" spans="1:34" ht="15" customHeight="1">
      <c r="A39" s="49">
        <f t="shared" si="0"/>
        <v>39</v>
      </c>
      <c r="B39" s="47" t="s">
        <v>58</v>
      </c>
      <c r="C39" s="91">
        <v>2.9359999999999999</v>
      </c>
      <c r="D39" s="92"/>
      <c r="E39" s="92"/>
      <c r="F39" s="92"/>
      <c r="G39" s="92"/>
      <c r="H39" s="92"/>
      <c r="I39" s="92"/>
      <c r="J39" s="92"/>
      <c r="K39" s="92"/>
      <c r="L39" s="92"/>
      <c r="M39" s="40"/>
      <c r="N39" s="50"/>
      <c r="O39" s="50"/>
      <c r="P39" s="50"/>
      <c r="Q39" s="50"/>
      <c r="R39" s="50"/>
      <c r="S39" s="50"/>
      <c r="T39" s="50"/>
      <c r="U39" s="50"/>
      <c r="V39" s="50"/>
      <c r="W39" s="50"/>
      <c r="X39" s="40"/>
      <c r="Y39" s="40"/>
      <c r="Z39" s="40"/>
      <c r="AA39" s="40"/>
      <c r="AB39" s="40"/>
      <c r="AC39" s="40"/>
      <c r="AD39" s="40"/>
      <c r="AE39" s="40"/>
      <c r="AF39" s="40"/>
      <c r="AG39" s="40"/>
      <c r="AH39" s="40"/>
    </row>
    <row r="40" spans="1:34" ht="15" customHeight="1">
      <c r="A40" s="49">
        <f t="shared" si="0"/>
        <v>40</v>
      </c>
      <c r="B40" s="47" t="s">
        <v>59</v>
      </c>
      <c r="C40" s="91">
        <v>20.013000000000002</v>
      </c>
      <c r="D40" s="92"/>
      <c r="E40" s="92"/>
      <c r="F40" s="92"/>
      <c r="G40" s="92"/>
      <c r="H40" s="92"/>
      <c r="I40" s="92"/>
      <c r="J40" s="92"/>
      <c r="K40" s="92"/>
      <c r="L40" s="92"/>
      <c r="M40" s="40"/>
      <c r="N40" s="50"/>
      <c r="O40" s="50"/>
      <c r="P40" s="50"/>
      <c r="Q40" s="50"/>
      <c r="R40" s="50"/>
      <c r="S40" s="50"/>
      <c r="T40" s="50"/>
      <c r="U40" s="50"/>
      <c r="V40" s="50"/>
      <c r="W40" s="50"/>
      <c r="X40" s="40"/>
      <c r="Y40" s="40"/>
      <c r="Z40" s="40"/>
      <c r="AA40" s="40"/>
      <c r="AB40" s="40"/>
      <c r="AC40" s="40"/>
      <c r="AD40" s="40"/>
      <c r="AE40" s="40"/>
      <c r="AF40" s="40"/>
      <c r="AG40" s="40"/>
      <c r="AH40" s="40"/>
    </row>
    <row r="41" spans="1:34" ht="15" customHeight="1">
      <c r="A41" s="49">
        <f t="shared" si="0"/>
        <v>41</v>
      </c>
      <c r="B41" s="47" t="s">
        <v>60</v>
      </c>
      <c r="C41" s="91">
        <v>36.183999999999997</v>
      </c>
      <c r="D41" s="92"/>
      <c r="E41" s="92"/>
      <c r="F41" s="92"/>
      <c r="G41" s="92"/>
      <c r="H41" s="92"/>
      <c r="I41" s="92"/>
      <c r="J41" s="92"/>
      <c r="K41" s="92"/>
      <c r="L41" s="92"/>
      <c r="M41" s="40"/>
      <c r="N41" s="50"/>
      <c r="O41" s="50"/>
      <c r="P41" s="50"/>
      <c r="Q41" s="50"/>
      <c r="R41" s="50"/>
      <c r="S41" s="50"/>
      <c r="T41" s="50"/>
      <c r="U41" s="50"/>
      <c r="V41" s="50"/>
      <c r="W41" s="50"/>
      <c r="X41" s="40"/>
      <c r="Y41" s="40"/>
      <c r="Z41" s="40"/>
      <c r="AA41" s="40"/>
      <c r="AB41" s="40"/>
      <c r="AC41" s="40"/>
      <c r="AD41" s="40"/>
      <c r="AE41" s="40"/>
      <c r="AF41" s="40"/>
      <c r="AG41" s="40"/>
      <c r="AH41" s="40"/>
    </row>
    <row r="42" spans="1:34" ht="15" customHeight="1">
      <c r="A42" s="49">
        <f t="shared" si="0"/>
        <v>42</v>
      </c>
      <c r="B42" s="47" t="s">
        <v>19</v>
      </c>
      <c r="C42" s="91">
        <v>0</v>
      </c>
      <c r="D42" s="92"/>
      <c r="E42" s="92"/>
      <c r="F42" s="92"/>
      <c r="G42" s="92"/>
      <c r="H42" s="92"/>
      <c r="I42" s="92"/>
      <c r="J42" s="92"/>
      <c r="K42" s="92"/>
      <c r="L42" s="92"/>
      <c r="M42" s="40"/>
      <c r="N42" s="50"/>
      <c r="O42" s="50"/>
      <c r="P42" s="50"/>
      <c r="Q42" s="50"/>
      <c r="R42" s="50"/>
      <c r="S42" s="50"/>
      <c r="T42" s="50"/>
      <c r="U42" s="50"/>
      <c r="V42" s="50"/>
      <c r="W42" s="50"/>
      <c r="X42" s="40"/>
      <c r="Y42" s="40"/>
      <c r="Z42" s="40"/>
      <c r="AA42" s="40"/>
      <c r="AB42" s="40"/>
      <c r="AC42" s="40"/>
      <c r="AD42" s="40"/>
      <c r="AE42" s="40"/>
      <c r="AF42" s="40"/>
      <c r="AG42" s="40"/>
      <c r="AH42" s="40"/>
    </row>
    <row r="43" spans="1:34" ht="15" customHeight="1">
      <c r="A43" s="49">
        <f t="shared" si="0"/>
        <v>43</v>
      </c>
      <c r="B43" s="47" t="s">
        <v>61</v>
      </c>
      <c r="C43" s="91">
        <v>200</v>
      </c>
      <c r="D43" s="92"/>
      <c r="E43" s="92"/>
      <c r="F43" s="92"/>
      <c r="G43" s="92"/>
      <c r="H43" s="92"/>
      <c r="I43" s="92"/>
      <c r="J43" s="92"/>
      <c r="K43" s="92"/>
      <c r="L43" s="92"/>
      <c r="M43" s="40"/>
      <c r="N43" s="50"/>
      <c r="O43" s="50"/>
      <c r="P43" s="50"/>
      <c r="Q43" s="50"/>
      <c r="R43" s="50"/>
      <c r="S43" s="50"/>
      <c r="T43" s="50"/>
      <c r="U43" s="50"/>
      <c r="V43" s="50"/>
      <c r="W43" s="50"/>
      <c r="X43" s="40"/>
      <c r="Y43" s="40"/>
      <c r="Z43" s="40"/>
      <c r="AA43" s="40"/>
      <c r="AB43" s="40"/>
      <c r="AC43" s="40"/>
      <c r="AD43" s="40"/>
      <c r="AE43" s="40"/>
      <c r="AF43" s="40"/>
      <c r="AG43" s="40"/>
      <c r="AH43" s="40"/>
    </row>
    <row r="44" spans="1:34" ht="15" customHeight="1">
      <c r="A44" s="49">
        <f t="shared" si="0"/>
        <v>44</v>
      </c>
      <c r="B44" s="47" t="s">
        <v>62</v>
      </c>
      <c r="C44" s="91">
        <v>10</v>
      </c>
      <c r="D44" s="92"/>
      <c r="E44" s="92"/>
      <c r="F44" s="92"/>
      <c r="G44" s="92"/>
      <c r="H44" s="92"/>
      <c r="I44" s="92"/>
      <c r="J44" s="92"/>
      <c r="K44" s="92"/>
      <c r="L44" s="92"/>
      <c r="M44" s="40"/>
      <c r="N44" s="50"/>
      <c r="O44" s="50"/>
      <c r="P44" s="50"/>
      <c r="Q44" s="50"/>
      <c r="R44" s="50"/>
      <c r="S44" s="50"/>
      <c r="T44" s="50"/>
      <c r="U44" s="50"/>
      <c r="V44" s="50"/>
      <c r="W44" s="50"/>
      <c r="X44" s="40"/>
      <c r="Y44" s="40"/>
      <c r="Z44" s="40"/>
      <c r="AA44" s="40"/>
      <c r="AB44" s="40"/>
      <c r="AC44" s="40"/>
      <c r="AD44" s="40"/>
      <c r="AE44" s="40"/>
      <c r="AF44" s="40"/>
      <c r="AG44" s="40"/>
      <c r="AH44" s="40"/>
    </row>
    <row r="45" spans="1:34" ht="15" customHeight="1">
      <c r="A45" s="49">
        <f t="shared" si="0"/>
        <v>45</v>
      </c>
      <c r="B45" s="47" t="s">
        <v>63</v>
      </c>
      <c r="C45" s="91">
        <v>45.5</v>
      </c>
      <c r="D45" s="92"/>
      <c r="E45" s="92"/>
      <c r="F45" s="92"/>
      <c r="G45" s="92"/>
      <c r="H45" s="92"/>
      <c r="I45" s="92"/>
      <c r="J45" s="92"/>
      <c r="K45" s="92"/>
      <c r="L45" s="92"/>
      <c r="M45" s="40"/>
      <c r="N45" s="50"/>
      <c r="O45" s="50"/>
      <c r="P45" s="50"/>
      <c r="Q45" s="50"/>
      <c r="R45" s="50"/>
      <c r="S45" s="50"/>
      <c r="T45" s="50"/>
      <c r="U45" s="50"/>
      <c r="V45" s="50"/>
      <c r="W45" s="50"/>
      <c r="X45" s="40"/>
      <c r="Y45" s="40"/>
      <c r="Z45" s="40"/>
      <c r="AA45" s="40"/>
      <c r="AB45" s="40"/>
      <c r="AC45" s="40"/>
      <c r="AD45" s="40"/>
      <c r="AE45" s="40"/>
      <c r="AF45" s="40"/>
      <c r="AG45" s="40"/>
      <c r="AH45" s="40"/>
    </row>
    <row r="46" spans="1:34" ht="15" customHeight="1">
      <c r="A46" s="49">
        <f t="shared" si="0"/>
        <v>46</v>
      </c>
      <c r="B46" s="47" t="s">
        <v>64</v>
      </c>
      <c r="C46" s="91">
        <v>190</v>
      </c>
      <c r="D46" s="92"/>
      <c r="E46" s="92"/>
      <c r="F46" s="92"/>
      <c r="G46" s="92"/>
      <c r="H46" s="92"/>
      <c r="I46" s="92"/>
      <c r="J46" s="92"/>
      <c r="K46" s="92"/>
      <c r="L46" s="92"/>
      <c r="M46" s="40"/>
      <c r="N46" s="50"/>
      <c r="O46" s="50"/>
      <c r="P46" s="50"/>
      <c r="Q46" s="50"/>
      <c r="R46" s="50"/>
      <c r="S46" s="50"/>
      <c r="T46" s="50"/>
      <c r="U46" s="50"/>
      <c r="V46" s="50"/>
      <c r="W46" s="50"/>
      <c r="X46" s="40"/>
      <c r="Y46" s="40"/>
      <c r="Z46" s="40"/>
      <c r="AA46" s="40"/>
      <c r="AB46" s="40"/>
      <c r="AC46" s="40"/>
      <c r="AD46" s="40"/>
      <c r="AE46" s="40"/>
      <c r="AF46" s="40"/>
      <c r="AG46" s="40"/>
      <c r="AH46" s="40"/>
    </row>
    <row r="47" spans="1:34" ht="15" customHeight="1">
      <c r="A47" s="49">
        <f t="shared" si="0"/>
        <v>47</v>
      </c>
      <c r="B47" s="47" t="s">
        <v>65</v>
      </c>
      <c r="C47" s="91">
        <v>-15.4</v>
      </c>
      <c r="D47" s="92"/>
      <c r="E47" s="92"/>
      <c r="F47" s="92"/>
      <c r="G47" s="92"/>
      <c r="H47" s="92"/>
      <c r="I47" s="92"/>
      <c r="J47" s="92"/>
      <c r="K47" s="92"/>
      <c r="L47" s="92"/>
      <c r="M47" s="40"/>
      <c r="N47" s="50"/>
      <c r="O47" s="50"/>
      <c r="P47" s="50"/>
      <c r="Q47" s="50"/>
      <c r="R47" s="50"/>
      <c r="S47" s="50"/>
      <c r="T47" s="50"/>
      <c r="U47" s="50"/>
      <c r="V47" s="50"/>
      <c r="W47" s="50"/>
      <c r="X47" s="40"/>
      <c r="Y47" s="40"/>
      <c r="Z47" s="40"/>
      <c r="AA47" s="40"/>
      <c r="AB47" s="40"/>
      <c r="AC47" s="40"/>
      <c r="AD47" s="40"/>
      <c r="AE47" s="40"/>
      <c r="AF47" s="40"/>
      <c r="AG47" s="40"/>
      <c r="AH47" s="40"/>
    </row>
    <row r="48" spans="1:34" ht="15" customHeight="1">
      <c r="A48" s="49">
        <f t="shared" si="0"/>
        <v>48</v>
      </c>
      <c r="B48" s="47" t="s">
        <v>21</v>
      </c>
      <c r="C48" s="91">
        <v>17.917000000000002</v>
      </c>
      <c r="D48" s="92"/>
      <c r="E48" s="92"/>
      <c r="F48" s="92"/>
      <c r="G48" s="92"/>
      <c r="H48" s="92"/>
      <c r="I48" s="92"/>
      <c r="J48" s="92"/>
      <c r="K48" s="92"/>
      <c r="L48" s="92"/>
      <c r="M48" s="40"/>
      <c r="N48" s="50"/>
      <c r="O48" s="50"/>
      <c r="P48" s="50"/>
      <c r="Q48" s="50"/>
      <c r="R48" s="50"/>
      <c r="S48" s="50"/>
      <c r="T48" s="50"/>
      <c r="U48" s="50"/>
      <c r="V48" s="50"/>
      <c r="W48" s="50"/>
      <c r="X48" s="40"/>
      <c r="Y48" s="40"/>
      <c r="Z48" s="40"/>
      <c r="AA48" s="40"/>
      <c r="AB48" s="40"/>
      <c r="AC48" s="40"/>
      <c r="AD48" s="40"/>
      <c r="AE48" s="40"/>
      <c r="AF48" s="40"/>
      <c r="AG48" s="40"/>
      <c r="AH48" s="40"/>
    </row>
    <row r="49" spans="1:34" ht="15" customHeight="1">
      <c r="A49" s="49">
        <f t="shared" si="0"/>
        <v>49</v>
      </c>
      <c r="B49" s="47" t="s">
        <v>66</v>
      </c>
      <c r="C49" s="91">
        <v>0</v>
      </c>
      <c r="D49" s="92"/>
      <c r="E49" s="92"/>
      <c r="F49" s="92"/>
      <c r="G49" s="92"/>
      <c r="H49" s="92"/>
      <c r="I49" s="92"/>
      <c r="J49" s="92"/>
      <c r="K49" s="92"/>
      <c r="L49" s="92"/>
      <c r="M49" s="40"/>
      <c r="N49" s="50"/>
      <c r="O49" s="50"/>
      <c r="P49" s="50"/>
      <c r="Q49" s="50"/>
      <c r="R49" s="50"/>
      <c r="S49" s="50"/>
      <c r="T49" s="50"/>
      <c r="U49" s="50"/>
      <c r="V49" s="50"/>
      <c r="W49" s="50"/>
      <c r="X49" s="40"/>
      <c r="Y49" s="40"/>
      <c r="Z49" s="40"/>
      <c r="AA49" s="40"/>
      <c r="AB49" s="40"/>
      <c r="AC49" s="40"/>
      <c r="AD49" s="40"/>
      <c r="AE49" s="40"/>
      <c r="AF49" s="40"/>
      <c r="AG49" s="40"/>
      <c r="AH49" s="40"/>
    </row>
    <row r="50" spans="1:34" ht="15" customHeight="1">
      <c r="A50" s="49">
        <f t="shared" si="0"/>
        <v>50</v>
      </c>
      <c r="B50" s="47" t="s">
        <v>22</v>
      </c>
      <c r="C50" s="91">
        <v>100</v>
      </c>
      <c r="D50" s="92"/>
      <c r="E50" s="92"/>
      <c r="F50" s="92"/>
      <c r="G50" s="92"/>
      <c r="H50" s="92"/>
      <c r="I50" s="92"/>
      <c r="J50" s="92"/>
      <c r="K50" s="92"/>
      <c r="L50" s="92"/>
      <c r="M50" s="40"/>
      <c r="N50" s="50"/>
      <c r="O50" s="50"/>
      <c r="P50" s="50"/>
      <c r="Q50" s="50"/>
      <c r="R50" s="50"/>
      <c r="S50" s="50"/>
      <c r="T50" s="50"/>
      <c r="U50" s="50"/>
      <c r="V50" s="50"/>
      <c r="W50" s="50"/>
      <c r="X50" s="40"/>
      <c r="Y50" s="40"/>
      <c r="Z50" s="40"/>
      <c r="AA50" s="40"/>
      <c r="AB50" s="40"/>
      <c r="AC50" s="40"/>
      <c r="AD50" s="40"/>
      <c r="AE50" s="40"/>
      <c r="AF50" s="40"/>
      <c r="AG50" s="40"/>
      <c r="AH50" s="40"/>
    </row>
    <row r="51" spans="1:34" ht="15" customHeight="1">
      <c r="A51" s="49">
        <f t="shared" si="0"/>
        <v>51</v>
      </c>
      <c r="B51" s="47" t="s">
        <v>67</v>
      </c>
      <c r="C51" s="91">
        <v>113.25299999999993</v>
      </c>
      <c r="D51" s="92"/>
      <c r="E51" s="92"/>
      <c r="F51" s="92"/>
      <c r="G51" s="92"/>
      <c r="H51" s="92"/>
      <c r="I51" s="92"/>
      <c r="J51" s="92"/>
      <c r="K51" s="92"/>
      <c r="L51" s="92"/>
      <c r="M51" s="40"/>
      <c r="N51" s="50"/>
      <c r="O51" s="50"/>
      <c r="P51" s="50"/>
      <c r="Q51" s="50"/>
      <c r="R51" s="50"/>
      <c r="S51" s="50"/>
      <c r="T51" s="50"/>
      <c r="U51" s="50"/>
      <c r="V51" s="50"/>
      <c r="W51" s="50"/>
      <c r="X51" s="40"/>
      <c r="Y51" s="40"/>
      <c r="Z51" s="40"/>
      <c r="AA51" s="40"/>
      <c r="AB51" s="40"/>
      <c r="AC51" s="40"/>
      <c r="AD51" s="40"/>
      <c r="AE51" s="40"/>
      <c r="AF51" s="40"/>
      <c r="AG51" s="40"/>
      <c r="AH51" s="40"/>
    </row>
    <row r="52" spans="1:34" ht="15" customHeight="1">
      <c r="C52" s="205"/>
    </row>
  </sheetData>
  <pageMargins left="0.7" right="0.7" top="0.75" bottom="0.75" header="0.3" footer="0.3"/>
  <pageSetup orientation="portrait"/>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rgb="FF92D050"/>
  </sheetPr>
  <dimension ref="A1:BQ489"/>
  <sheetViews>
    <sheetView showGridLines="0" topLeftCell="P1" zoomScale="130" zoomScaleNormal="130" zoomScalePageLayoutView="130" workbookViewId="0">
      <selection activeCell="W5" sqref="W5"/>
    </sheetView>
  </sheetViews>
  <sheetFormatPr baseColWidth="10" defaultColWidth="10.6640625" defaultRowHeight="15" customHeight="1" outlineLevelRow="1" outlineLevelCol="1"/>
  <cols>
    <col min="1" max="1" width="3.6640625" style="1" hidden="1" customWidth="1" outlineLevel="1"/>
    <col min="2" max="13" width="5.6640625" style="1" hidden="1" customWidth="1" outlineLevel="1"/>
    <col min="14" max="14" width="3.6640625" style="1" hidden="1" customWidth="1" outlineLevel="1"/>
    <col min="15" max="15" width="10.6640625" style="1" hidden="1" customWidth="1" outlineLevel="1"/>
    <col min="16" max="16" width="3.6640625" style="1" customWidth="1" collapsed="1"/>
    <col min="17" max="21" width="10.83203125" style="1" customWidth="1"/>
    <col min="22" max="22" width="3.6640625" style="1" customWidth="1"/>
    <col min="23" max="28" width="11" style="1" customWidth="1" outlineLevel="1"/>
    <col min="29" max="29" width="3.6640625" style="1" customWidth="1" outlineLevel="1"/>
    <col min="30" max="30" width="10.83203125" style="1" customWidth="1" outlineLevel="1"/>
    <col min="31" max="31" width="10.6640625" style="1" customWidth="1" outlineLevel="1"/>
    <col min="32" max="32" width="11.1640625" style="10" bestFit="1" customWidth="1"/>
    <col min="33" max="37" width="10.83203125" style="1" bestFit="1" customWidth="1"/>
    <col min="38" max="38" width="11.1640625" style="1" customWidth="1" outlineLevel="1"/>
    <col min="39" max="60" width="10.83203125" style="1" customWidth="1" outlineLevel="1"/>
    <col min="61" max="61" width="10.83203125" style="1" bestFit="1" customWidth="1"/>
    <col min="62" max="62" width="3.6640625" style="1" customWidth="1"/>
    <col min="63" max="64" width="11.6640625" style="1" bestFit="1" customWidth="1"/>
    <col min="65" max="68" width="10.83203125" style="1" bestFit="1" customWidth="1"/>
    <col min="69" max="16384" width="10.6640625" style="1"/>
  </cols>
  <sheetData>
    <row r="1" spans="1:68" ht="15" customHeight="1" outlineLevel="1"/>
    <row r="2" spans="1:68" ht="15" customHeight="1" outlineLevel="1">
      <c r="B2" s="12" t="s">
        <v>3</v>
      </c>
      <c r="C2" s="83"/>
      <c r="D2" s="9" t="b">
        <v>1</v>
      </c>
      <c r="X2" s="296"/>
      <c r="AF2" s="2"/>
      <c r="AG2" s="3"/>
      <c r="AH2" s="3"/>
      <c r="AI2" s="3"/>
      <c r="AJ2" s="3"/>
      <c r="AK2" s="3"/>
      <c r="AL2" s="3"/>
      <c r="AM2" s="3"/>
      <c r="AN2" s="3"/>
      <c r="AO2" s="3"/>
      <c r="AP2" s="3"/>
      <c r="AQ2" s="3"/>
      <c r="AR2" s="3"/>
      <c r="AS2" s="3"/>
      <c r="AT2" s="3"/>
      <c r="AU2" s="3"/>
      <c r="AV2" s="3"/>
      <c r="AW2" s="3"/>
      <c r="AX2" s="3"/>
      <c r="AY2" s="3"/>
      <c r="AZ2" s="3"/>
      <c r="BA2" s="3"/>
      <c r="BB2" s="3"/>
      <c r="BC2" s="3"/>
      <c r="BD2" s="3"/>
      <c r="BE2" s="3"/>
      <c r="BF2" s="3"/>
      <c r="BG2" s="3"/>
      <c r="BH2" s="3"/>
      <c r="BI2" s="3"/>
    </row>
    <row r="3" spans="1:68" ht="15" customHeight="1" outlineLevel="1">
      <c r="B3" s="12" t="s">
        <v>4</v>
      </c>
      <c r="C3" s="83" t="s">
        <v>1</v>
      </c>
      <c r="D3" s="52" t="s">
        <v>262</v>
      </c>
      <c r="E3" s="1" t="s">
        <v>1</v>
      </c>
      <c r="H3" s="3"/>
      <c r="I3" s="3"/>
      <c r="J3" s="3"/>
      <c r="K3" s="3"/>
      <c r="AF3" s="66">
        <f>IF($D$2=FALSE,"-",0)</f>
        <v>0</v>
      </c>
      <c r="AG3" s="67">
        <f t="shared" ref="AG3:BI3" ca="1" si="0">IF($D$2=FALSE,"-",IF(AF$3&lt;$E$6-1,AF$3+1,""))</f>
        <v>1</v>
      </c>
      <c r="AH3" s="4">
        <f t="shared" ca="1" si="0"/>
        <v>2</v>
      </c>
      <c r="AI3" s="4">
        <f t="shared" ca="1" si="0"/>
        <v>3</v>
      </c>
      <c r="AJ3" s="4">
        <f t="shared" ca="1" si="0"/>
        <v>4</v>
      </c>
      <c r="AK3" s="4">
        <f t="shared" ca="1" si="0"/>
        <v>5</v>
      </c>
      <c r="AL3" s="4" t="str">
        <f t="shared" ca="1" si="0"/>
        <v/>
      </c>
      <c r="AM3" s="4" t="str">
        <f t="shared" ca="1" si="0"/>
        <v/>
      </c>
      <c r="AN3" s="4" t="str">
        <f t="shared" ca="1" si="0"/>
        <v/>
      </c>
      <c r="AO3" s="4" t="str">
        <f t="shared" ca="1" si="0"/>
        <v/>
      </c>
      <c r="AP3" s="4" t="str">
        <f t="shared" ca="1" si="0"/>
        <v/>
      </c>
      <c r="AQ3" s="4" t="str">
        <f t="shared" ca="1" si="0"/>
        <v/>
      </c>
      <c r="AR3" s="4" t="str">
        <f t="shared" ca="1" si="0"/>
        <v/>
      </c>
      <c r="AS3" s="4" t="str">
        <f t="shared" ca="1" si="0"/>
        <v/>
      </c>
      <c r="AT3" s="4" t="str">
        <f t="shared" ca="1" si="0"/>
        <v/>
      </c>
      <c r="AU3" s="4" t="str">
        <f t="shared" ca="1" si="0"/>
        <v/>
      </c>
      <c r="AV3" s="4" t="str">
        <f t="shared" ca="1" si="0"/>
        <v/>
      </c>
      <c r="AW3" s="4" t="str">
        <f t="shared" ca="1" si="0"/>
        <v/>
      </c>
      <c r="AX3" s="4" t="str">
        <f t="shared" ca="1" si="0"/>
        <v/>
      </c>
      <c r="AY3" s="4" t="str">
        <f t="shared" ca="1" si="0"/>
        <v/>
      </c>
      <c r="AZ3" s="4" t="str">
        <f t="shared" ca="1" si="0"/>
        <v/>
      </c>
      <c r="BA3" s="4" t="str">
        <f t="shared" ca="1" si="0"/>
        <v/>
      </c>
      <c r="BB3" s="4" t="str">
        <f t="shared" ca="1" si="0"/>
        <v/>
      </c>
      <c r="BC3" s="4" t="str">
        <f t="shared" ca="1" si="0"/>
        <v/>
      </c>
      <c r="BD3" s="4" t="str">
        <f t="shared" ca="1" si="0"/>
        <v/>
      </c>
      <c r="BE3" s="4" t="str">
        <f t="shared" ca="1" si="0"/>
        <v/>
      </c>
      <c r="BF3" s="4" t="str">
        <f t="shared" ca="1" si="0"/>
        <v/>
      </c>
      <c r="BG3" s="4" t="str">
        <f t="shared" ca="1" si="0"/>
        <v/>
      </c>
      <c r="BH3" s="4" t="str">
        <f t="shared" ca="1" si="0"/>
        <v/>
      </c>
      <c r="BI3" s="4" t="str">
        <f t="shared" ca="1" si="0"/>
        <v/>
      </c>
    </row>
    <row r="4" spans="1:68" ht="15" customHeight="1" outlineLevel="1">
      <c r="B4" s="12" t="s">
        <v>5</v>
      </c>
      <c r="C4" s="83"/>
      <c r="D4" s="14">
        <f>DATA_INPUTS!$C$4</f>
        <v>44926</v>
      </c>
      <c r="E4" s="11">
        <f ca="1">IF($D$2=FALSE,"-",MATCH($D$4,OFFSET(INDIRECT($D$3),$D$9-1,$D$10-1,1,$G$4),0))</f>
        <v>1</v>
      </c>
      <c r="F4" s="5">
        <f ca="1">IF($D$2=FALSE,"-",$G$4-$E$4+1)</f>
        <v>1</v>
      </c>
      <c r="G4" s="11">
        <f ca="1">IF($D$2=FALSE,"-",COUNT(OFFSET(INDIRECT($D$3),$D$9-1,$D$10-1,1,100)))</f>
        <v>1</v>
      </c>
      <c r="H4" s="80">
        <f ca="1">IF($D$2=FALSE,"-",OFFSET($AF$13,0,$F$4-1))</f>
        <v>44926</v>
      </c>
      <c r="I4" s="3"/>
      <c r="J4" s="3"/>
      <c r="K4" s="3"/>
      <c r="O4" s="5">
        <f>IF($D$2=FALSE,"-",$D$9-1)</f>
        <v>3</v>
      </c>
      <c r="AF4" s="67">
        <f t="shared" ref="AF4:BI4" ca="1" si="1">IF($D$2=FALSE,"-",IF(AF$3="","",IF(OFFSET(INDIRECT($D$3),$O4-1,$E10-1+AF$3)="",AE$4+1,-OFFSET(INDIRECT($D$3),$O4-1,$E10-1+AF$3))))</f>
        <v>0</v>
      </c>
      <c r="AG4" s="67">
        <f t="shared" ca="1" si="1"/>
        <v>1</v>
      </c>
      <c r="AH4" s="4">
        <f t="shared" ca="1" si="1"/>
        <v>2</v>
      </c>
      <c r="AI4" s="4">
        <f t="shared" ca="1" si="1"/>
        <v>3</v>
      </c>
      <c r="AJ4" s="4">
        <f t="shared" ca="1" si="1"/>
        <v>4</v>
      </c>
      <c r="AK4" s="4">
        <f t="shared" ca="1" si="1"/>
        <v>5</v>
      </c>
      <c r="AL4" s="4" t="str">
        <f t="shared" ca="1" si="1"/>
        <v/>
      </c>
      <c r="AM4" s="4" t="str">
        <f t="shared" ca="1" si="1"/>
        <v/>
      </c>
      <c r="AN4" s="4" t="str">
        <f t="shared" ca="1" si="1"/>
        <v/>
      </c>
      <c r="AO4" s="4" t="str">
        <f t="shared" ca="1" si="1"/>
        <v/>
      </c>
      <c r="AP4" s="4" t="str">
        <f t="shared" ca="1" si="1"/>
        <v/>
      </c>
      <c r="AQ4" s="4" t="str">
        <f t="shared" ca="1" si="1"/>
        <v/>
      </c>
      <c r="AR4" s="4" t="str">
        <f t="shared" ca="1" si="1"/>
        <v/>
      </c>
      <c r="AS4" s="4" t="str">
        <f t="shared" ca="1" si="1"/>
        <v/>
      </c>
      <c r="AT4" s="4" t="str">
        <f t="shared" ca="1" si="1"/>
        <v/>
      </c>
      <c r="AU4" s="4" t="str">
        <f t="shared" ca="1" si="1"/>
        <v/>
      </c>
      <c r="AV4" s="4" t="str">
        <f t="shared" ca="1" si="1"/>
        <v/>
      </c>
      <c r="AW4" s="4" t="str">
        <f t="shared" ca="1" si="1"/>
        <v/>
      </c>
      <c r="AX4" s="4" t="str">
        <f t="shared" ca="1" si="1"/>
        <v/>
      </c>
      <c r="AY4" s="4" t="str">
        <f t="shared" ca="1" si="1"/>
        <v/>
      </c>
      <c r="AZ4" s="4" t="str">
        <f t="shared" ca="1" si="1"/>
        <v/>
      </c>
      <c r="BA4" s="4" t="str">
        <f t="shared" ca="1" si="1"/>
        <v/>
      </c>
      <c r="BB4" s="4" t="str">
        <f t="shared" ca="1" si="1"/>
        <v/>
      </c>
      <c r="BC4" s="4" t="str">
        <f t="shared" ca="1" si="1"/>
        <v/>
      </c>
      <c r="BD4" s="4" t="str">
        <f t="shared" ca="1" si="1"/>
        <v/>
      </c>
      <c r="BE4" s="4" t="str">
        <f t="shared" ca="1" si="1"/>
        <v/>
      </c>
      <c r="BF4" s="4" t="str">
        <f t="shared" ca="1" si="1"/>
        <v/>
      </c>
      <c r="BG4" s="4" t="str">
        <f t="shared" ca="1" si="1"/>
        <v/>
      </c>
      <c r="BH4" s="4" t="str">
        <f t="shared" ca="1" si="1"/>
        <v/>
      </c>
      <c r="BI4" s="4" t="str">
        <f t="shared" ca="1" si="1"/>
        <v/>
      </c>
    </row>
    <row r="5" spans="1:68" ht="15" customHeight="1" outlineLevel="1">
      <c r="B5" s="12" t="s">
        <v>6</v>
      </c>
      <c r="C5" s="83"/>
      <c r="D5" s="9">
        <v>12</v>
      </c>
      <c r="E5" s="5">
        <f>IF($D$2=FALSE,"-",12/$D$5)</f>
        <v>1</v>
      </c>
      <c r="H5" s="3"/>
      <c r="I5" s="3"/>
      <c r="J5" s="3"/>
      <c r="K5" s="3"/>
      <c r="O5" s="5">
        <f>IF($D$2=FALSE,"-",+O8+1)</f>
        <v>5</v>
      </c>
      <c r="AF5" s="67">
        <f t="shared" ref="AF5:BI5" ca="1" si="2">IF($D$2=FALSE,"-",IF(AF$3="","",IF(AF$4&lt;=0,OFFSET(INDIRECT($D$3),$O5-1,$E$10-1+AF$3),IF(AE$5&lt;$E$5,SUM(AE$5)+1,1))))</f>
        <v>1</v>
      </c>
      <c r="AG5" s="67">
        <f t="shared" ca="1" si="2"/>
        <v>1</v>
      </c>
      <c r="AH5" s="4">
        <f t="shared" ca="1" si="2"/>
        <v>1</v>
      </c>
      <c r="AI5" s="4">
        <f t="shared" ca="1" si="2"/>
        <v>1</v>
      </c>
      <c r="AJ5" s="4">
        <f t="shared" ca="1" si="2"/>
        <v>1</v>
      </c>
      <c r="AK5" s="4">
        <f t="shared" ca="1" si="2"/>
        <v>1</v>
      </c>
      <c r="AL5" s="4" t="str">
        <f t="shared" ca="1" si="2"/>
        <v/>
      </c>
      <c r="AM5" s="4" t="str">
        <f t="shared" ca="1" si="2"/>
        <v/>
      </c>
      <c r="AN5" s="4" t="str">
        <f t="shared" ca="1" si="2"/>
        <v/>
      </c>
      <c r="AO5" s="4" t="str">
        <f t="shared" ca="1" si="2"/>
        <v/>
      </c>
      <c r="AP5" s="4" t="str">
        <f t="shared" ca="1" si="2"/>
        <v/>
      </c>
      <c r="AQ5" s="4" t="str">
        <f t="shared" ca="1" si="2"/>
        <v/>
      </c>
      <c r="AR5" s="4" t="str">
        <f t="shared" ca="1" si="2"/>
        <v/>
      </c>
      <c r="AS5" s="4" t="str">
        <f t="shared" ca="1" si="2"/>
        <v/>
      </c>
      <c r="AT5" s="4" t="str">
        <f t="shared" ca="1" si="2"/>
        <v/>
      </c>
      <c r="AU5" s="4" t="str">
        <f t="shared" ca="1" si="2"/>
        <v/>
      </c>
      <c r="AV5" s="4" t="str">
        <f t="shared" ca="1" si="2"/>
        <v/>
      </c>
      <c r="AW5" s="4" t="str">
        <f t="shared" ca="1" si="2"/>
        <v/>
      </c>
      <c r="AX5" s="4" t="str">
        <f t="shared" ca="1" si="2"/>
        <v/>
      </c>
      <c r="AY5" s="4" t="str">
        <f t="shared" ca="1" si="2"/>
        <v/>
      </c>
      <c r="AZ5" s="4" t="str">
        <f t="shared" ca="1" si="2"/>
        <v/>
      </c>
      <c r="BA5" s="4" t="str">
        <f t="shared" ca="1" si="2"/>
        <v/>
      </c>
      <c r="BB5" s="4" t="str">
        <f t="shared" ca="1" si="2"/>
        <v/>
      </c>
      <c r="BC5" s="4" t="str">
        <f t="shared" ca="1" si="2"/>
        <v/>
      </c>
      <c r="BD5" s="4" t="str">
        <f t="shared" ca="1" si="2"/>
        <v/>
      </c>
      <c r="BE5" s="4" t="str">
        <f t="shared" ca="1" si="2"/>
        <v/>
      </c>
      <c r="BF5" s="4" t="str">
        <f t="shared" ca="1" si="2"/>
        <v/>
      </c>
      <c r="BG5" s="4" t="str">
        <f t="shared" ca="1" si="2"/>
        <v/>
      </c>
      <c r="BH5" s="4" t="str">
        <f t="shared" ca="1" si="2"/>
        <v/>
      </c>
      <c r="BI5" s="4" t="str">
        <f t="shared" ca="1" si="2"/>
        <v/>
      </c>
    </row>
    <row r="6" spans="1:68" ht="15" customHeight="1" outlineLevel="1">
      <c r="B6" s="12" t="s">
        <v>7</v>
      </c>
      <c r="C6" s="83"/>
      <c r="D6" s="9">
        <v>5</v>
      </c>
      <c r="E6" s="5">
        <f ca="1">IF($D$2=FALSE,"-",$F$4+$D$6)</f>
        <v>6</v>
      </c>
      <c r="F6" s="5">
        <f ca="1">IF($D$2=FALSE,"-",$G$6-$F$4)</f>
        <v>29</v>
      </c>
      <c r="G6" s="11">
        <f>IF($D$2=FALSE,"-",30)</f>
        <v>30</v>
      </c>
      <c r="H6" s="80">
        <f ca="1">IF($D$2=FALSE,"-",OFFSET($AF$13,0,$E$6-1))</f>
        <v>46752</v>
      </c>
      <c r="I6" s="3"/>
      <c r="J6" s="3"/>
      <c r="K6" s="3"/>
      <c r="O6" s="3"/>
      <c r="AF6" s="67">
        <f t="shared" ref="AF6:BI6" ca="1" si="3">IF($D$2=FALSE,"-",IF(AF$5="","",AF$5/$E$5))</f>
        <v>1</v>
      </c>
      <c r="AG6" s="67">
        <f t="shared" ca="1" si="3"/>
        <v>1</v>
      </c>
      <c r="AH6" s="67">
        <f t="shared" ca="1" si="3"/>
        <v>1</v>
      </c>
      <c r="AI6" s="67">
        <f t="shared" ca="1" si="3"/>
        <v>1</v>
      </c>
      <c r="AJ6" s="67">
        <f t="shared" ca="1" si="3"/>
        <v>1</v>
      </c>
      <c r="AK6" s="67">
        <f t="shared" ca="1" si="3"/>
        <v>1</v>
      </c>
      <c r="AL6" s="67" t="str">
        <f t="shared" ca="1" si="3"/>
        <v/>
      </c>
      <c r="AM6" s="67" t="str">
        <f t="shared" ca="1" si="3"/>
        <v/>
      </c>
      <c r="AN6" s="67" t="str">
        <f t="shared" ca="1" si="3"/>
        <v/>
      </c>
      <c r="AO6" s="67" t="str">
        <f t="shared" ca="1" si="3"/>
        <v/>
      </c>
      <c r="AP6" s="67" t="str">
        <f t="shared" ca="1" si="3"/>
        <v/>
      </c>
      <c r="AQ6" s="67" t="str">
        <f t="shared" ca="1" si="3"/>
        <v/>
      </c>
      <c r="AR6" s="67" t="str">
        <f t="shared" ca="1" si="3"/>
        <v/>
      </c>
      <c r="AS6" s="67" t="str">
        <f t="shared" ca="1" si="3"/>
        <v/>
      </c>
      <c r="AT6" s="67" t="str">
        <f t="shared" ca="1" si="3"/>
        <v/>
      </c>
      <c r="AU6" s="67" t="str">
        <f t="shared" ca="1" si="3"/>
        <v/>
      </c>
      <c r="AV6" s="67" t="str">
        <f t="shared" ca="1" si="3"/>
        <v/>
      </c>
      <c r="AW6" s="67" t="str">
        <f t="shared" ca="1" si="3"/>
        <v/>
      </c>
      <c r="AX6" s="67" t="str">
        <f t="shared" ca="1" si="3"/>
        <v/>
      </c>
      <c r="AY6" s="67" t="str">
        <f t="shared" ca="1" si="3"/>
        <v/>
      </c>
      <c r="AZ6" s="67" t="str">
        <f t="shared" ca="1" si="3"/>
        <v/>
      </c>
      <c r="BA6" s="67" t="str">
        <f t="shared" ca="1" si="3"/>
        <v/>
      </c>
      <c r="BB6" s="67" t="str">
        <f t="shared" ca="1" si="3"/>
        <v/>
      </c>
      <c r="BC6" s="67" t="str">
        <f t="shared" ca="1" si="3"/>
        <v/>
      </c>
      <c r="BD6" s="67" t="str">
        <f t="shared" ca="1" si="3"/>
        <v/>
      </c>
      <c r="BE6" s="67" t="str">
        <f t="shared" ca="1" si="3"/>
        <v/>
      </c>
      <c r="BF6" s="67" t="str">
        <f t="shared" ca="1" si="3"/>
        <v/>
      </c>
      <c r="BG6" s="67" t="str">
        <f t="shared" ca="1" si="3"/>
        <v/>
      </c>
      <c r="BH6" s="67" t="str">
        <f t="shared" ca="1" si="3"/>
        <v/>
      </c>
      <c r="BI6" s="67" t="str">
        <f t="shared" ca="1" si="3"/>
        <v/>
      </c>
    </row>
    <row r="7" spans="1:68" ht="15" customHeight="1" outlineLevel="1">
      <c r="B7" s="12" t="s">
        <v>217</v>
      </c>
      <c r="C7" s="83"/>
      <c r="D7" s="172">
        <v>0</v>
      </c>
      <c r="I7" s="3"/>
      <c r="J7" s="3"/>
      <c r="K7" s="3"/>
      <c r="AD7" s="4" t="e">
        <f ca="1">IF($D$2=FALSE,"-",IF(OFFSET($AF7,0,$F$4-1)="","",IF($F$4-OFFSET($AF7,0,$F$4-1)-$E$5&lt;0,#N/A,OFFSET($AF7,0,$F$4-1))))</f>
        <v>#N/A</v>
      </c>
      <c r="AF7" s="67" t="e">
        <f t="shared" ref="AF7:BI7" ca="1" si="4">IF($D$2=FALSE,"-",IF(AF$5="","",IF(AF$5&gt;AF$3,#N/A,AF$5)))</f>
        <v>#N/A</v>
      </c>
      <c r="AG7" s="67">
        <f t="shared" ca="1" si="4"/>
        <v>1</v>
      </c>
      <c r="AH7" s="4">
        <f t="shared" ca="1" si="4"/>
        <v>1</v>
      </c>
      <c r="AI7" s="4">
        <f t="shared" ca="1" si="4"/>
        <v>1</v>
      </c>
      <c r="AJ7" s="4">
        <f t="shared" ca="1" si="4"/>
        <v>1</v>
      </c>
      <c r="AK7" s="4">
        <f t="shared" ca="1" si="4"/>
        <v>1</v>
      </c>
      <c r="AL7" s="4" t="str">
        <f t="shared" ca="1" si="4"/>
        <v/>
      </c>
      <c r="AM7" s="4" t="str">
        <f t="shared" ca="1" si="4"/>
        <v/>
      </c>
      <c r="AN7" s="4" t="str">
        <f t="shared" ca="1" si="4"/>
        <v/>
      </c>
      <c r="AO7" s="4" t="str">
        <f t="shared" ca="1" si="4"/>
        <v/>
      </c>
      <c r="AP7" s="4" t="str">
        <f t="shared" ca="1" si="4"/>
        <v/>
      </c>
      <c r="AQ7" s="4" t="str">
        <f t="shared" ca="1" si="4"/>
        <v/>
      </c>
      <c r="AR7" s="4" t="str">
        <f t="shared" ca="1" si="4"/>
        <v/>
      </c>
      <c r="AS7" s="4" t="str">
        <f t="shared" ca="1" si="4"/>
        <v/>
      </c>
      <c r="AT7" s="4" t="str">
        <f t="shared" ca="1" si="4"/>
        <v/>
      </c>
      <c r="AU7" s="4" t="str">
        <f t="shared" ca="1" si="4"/>
        <v/>
      </c>
      <c r="AV7" s="4" t="str">
        <f t="shared" ca="1" si="4"/>
        <v/>
      </c>
      <c r="AW7" s="4" t="str">
        <f t="shared" ca="1" si="4"/>
        <v/>
      </c>
      <c r="AX7" s="4" t="str">
        <f t="shared" ca="1" si="4"/>
        <v/>
      </c>
      <c r="AY7" s="4" t="str">
        <f t="shared" ca="1" si="4"/>
        <v/>
      </c>
      <c r="AZ7" s="4" t="str">
        <f t="shared" ca="1" si="4"/>
        <v/>
      </c>
      <c r="BA7" s="4" t="str">
        <f t="shared" ca="1" si="4"/>
        <v/>
      </c>
      <c r="BB7" s="4" t="str">
        <f t="shared" ca="1" si="4"/>
        <v/>
      </c>
      <c r="BC7" s="4" t="str">
        <f t="shared" ca="1" si="4"/>
        <v/>
      </c>
      <c r="BD7" s="4" t="str">
        <f t="shared" ca="1" si="4"/>
        <v/>
      </c>
      <c r="BE7" s="4" t="str">
        <f t="shared" ca="1" si="4"/>
        <v/>
      </c>
      <c r="BF7" s="4" t="str">
        <f t="shared" ca="1" si="4"/>
        <v/>
      </c>
      <c r="BG7" s="4" t="str">
        <f t="shared" ca="1" si="4"/>
        <v/>
      </c>
      <c r="BH7" s="4" t="str">
        <f t="shared" ca="1" si="4"/>
        <v/>
      </c>
      <c r="BI7" s="4" t="str">
        <f t="shared" ca="1" si="4"/>
        <v/>
      </c>
    </row>
    <row r="8" spans="1:68" ht="15" customHeight="1" outlineLevel="1">
      <c r="A8" s="3"/>
      <c r="B8" s="12" t="s">
        <v>9</v>
      </c>
      <c r="C8" s="83"/>
      <c r="D8" s="11">
        <f>IF($D$2=FALSE,"-",2)</f>
        <v>2</v>
      </c>
      <c r="I8" s="3"/>
      <c r="J8" s="3"/>
      <c r="K8" s="3"/>
      <c r="N8" s="3"/>
      <c r="O8" s="5">
        <f>IF($D$2=FALSE,"-",O4+1)</f>
        <v>4</v>
      </c>
      <c r="P8" s="3"/>
      <c r="V8" s="3"/>
      <c r="W8" s="4">
        <f ca="1">IF($D$2=FALSE,"-",IF(X$8="","",IF((X$8-2*$E$5+1)&lt;0,#N/A,X$8-$E$5)))</f>
        <v>0</v>
      </c>
      <c r="X8" s="4">
        <f ca="1">IF($D$2=FALSE,"-",IF(Y$8="","",IF((Y$8-2*$E$5+1)&lt;0,#N/A,Y$8-$E$5)))</f>
        <v>1</v>
      </c>
      <c r="Y8" s="4">
        <f ca="1">IF($D$2=FALSE,"-",IF(Z$8="","",IF((Z$8-2*$E$5+1)&lt;0,#N/A,Z$8-$E$5)))</f>
        <v>2</v>
      </c>
      <c r="Z8" s="4">
        <f ca="1">IF($D$2=FALSE,"-",IF(AA$8="","",IF((AA$8-2*$E$5+1)&lt;0,#N/A,AA$8-$E$5)))</f>
        <v>3</v>
      </c>
      <c r="AA8" s="4">
        <f ca="1">IF($D$2=FALSE,"-",IF(AB$8="","",IF((AB$8-2*$E$5+1)&lt;0,#N/A,AB$8-$E$5)))</f>
        <v>4</v>
      </c>
      <c r="AB8" s="4">
        <f ca="1">IF($D$2=FALSE,"-",IF(MAX(OFFSET($AF$8,0,0,1,$G$6))&lt;0,"",MAX(OFFSET($AF$8,0,0,1,$G$6))))</f>
        <v>5</v>
      </c>
      <c r="AC8" s="3"/>
      <c r="AE8" s="3"/>
      <c r="AF8" s="67" t="str">
        <f t="shared" ref="AF8:BI8" ca="1" si="5">IF($D$2=FALSE,"-",IF(AF$5="","",IF(ISNA(AF$7),"",IF(AF$7=$E$5,AF$3,""))))</f>
        <v/>
      </c>
      <c r="AG8" s="67">
        <f t="shared" ca="1" si="5"/>
        <v>1</v>
      </c>
      <c r="AH8" s="4">
        <f t="shared" ca="1" si="5"/>
        <v>2</v>
      </c>
      <c r="AI8" s="4">
        <f t="shared" ca="1" si="5"/>
        <v>3</v>
      </c>
      <c r="AJ8" s="4">
        <f t="shared" ca="1" si="5"/>
        <v>4</v>
      </c>
      <c r="AK8" s="4">
        <f t="shared" ca="1" si="5"/>
        <v>5</v>
      </c>
      <c r="AL8" s="4" t="str">
        <f t="shared" ca="1" si="5"/>
        <v/>
      </c>
      <c r="AM8" s="4" t="str">
        <f t="shared" ca="1" si="5"/>
        <v/>
      </c>
      <c r="AN8" s="4" t="str">
        <f t="shared" ca="1" si="5"/>
        <v/>
      </c>
      <c r="AO8" s="4" t="str">
        <f t="shared" ca="1" si="5"/>
        <v/>
      </c>
      <c r="AP8" s="4" t="str">
        <f t="shared" ca="1" si="5"/>
        <v/>
      </c>
      <c r="AQ8" s="4" t="str">
        <f t="shared" ca="1" si="5"/>
        <v/>
      </c>
      <c r="AR8" s="4" t="str">
        <f t="shared" ca="1" si="5"/>
        <v/>
      </c>
      <c r="AS8" s="4" t="str">
        <f t="shared" ca="1" si="5"/>
        <v/>
      </c>
      <c r="AT8" s="4" t="str">
        <f t="shared" ca="1" si="5"/>
        <v/>
      </c>
      <c r="AU8" s="4" t="str">
        <f t="shared" ca="1" si="5"/>
        <v/>
      </c>
      <c r="AV8" s="4" t="str">
        <f t="shared" ca="1" si="5"/>
        <v/>
      </c>
      <c r="AW8" s="4" t="str">
        <f t="shared" ca="1" si="5"/>
        <v/>
      </c>
      <c r="AX8" s="4" t="str">
        <f t="shared" ca="1" si="5"/>
        <v/>
      </c>
      <c r="AY8" s="4" t="str">
        <f t="shared" ca="1" si="5"/>
        <v/>
      </c>
      <c r="AZ8" s="4" t="str">
        <f t="shared" ca="1" si="5"/>
        <v/>
      </c>
      <c r="BA8" s="4" t="str">
        <f t="shared" ca="1" si="5"/>
        <v/>
      </c>
      <c r="BB8" s="4" t="str">
        <f t="shared" ca="1" si="5"/>
        <v/>
      </c>
      <c r="BC8" s="4" t="str">
        <f t="shared" ca="1" si="5"/>
        <v/>
      </c>
      <c r="BD8" s="4" t="str">
        <f t="shared" ca="1" si="5"/>
        <v/>
      </c>
      <c r="BE8" s="4" t="str">
        <f t="shared" ca="1" si="5"/>
        <v/>
      </c>
      <c r="BF8" s="4" t="str">
        <f t="shared" ca="1" si="5"/>
        <v/>
      </c>
      <c r="BG8" s="4" t="str">
        <f t="shared" ca="1" si="5"/>
        <v/>
      </c>
      <c r="BH8" s="4" t="str">
        <f t="shared" ca="1" si="5"/>
        <v/>
      </c>
      <c r="BI8" s="4" t="str">
        <f t="shared" ca="1" si="5"/>
        <v/>
      </c>
    </row>
    <row r="9" spans="1:68" ht="15" customHeight="1" outlineLevel="1">
      <c r="B9" s="12" t="s">
        <v>10</v>
      </c>
      <c r="C9" s="83"/>
      <c r="D9" s="11">
        <v>4</v>
      </c>
      <c r="I9" s="3"/>
      <c r="J9" s="3"/>
      <c r="K9" s="3"/>
      <c r="AF9" s="2"/>
      <c r="AG9" s="3"/>
      <c r="AH9" s="3"/>
      <c r="AI9" s="3"/>
      <c r="AJ9" s="3"/>
      <c r="AK9" s="3"/>
      <c r="AL9" s="3"/>
      <c r="AM9" s="3"/>
      <c r="AN9" s="3"/>
      <c r="AO9" s="3"/>
      <c r="AP9" s="3"/>
      <c r="AQ9" s="3"/>
      <c r="AR9" s="3"/>
      <c r="AS9" s="3"/>
      <c r="AT9" s="3"/>
      <c r="AU9" s="3"/>
      <c r="AV9" s="3"/>
      <c r="AW9" s="3"/>
      <c r="AX9" s="3"/>
      <c r="AY9" s="3"/>
      <c r="AZ9" s="3"/>
      <c r="BA9" s="3"/>
      <c r="BB9" s="3"/>
      <c r="BC9" s="3"/>
      <c r="BD9" s="3"/>
      <c r="BE9" s="3"/>
      <c r="BF9" s="3"/>
      <c r="BG9" s="3"/>
      <c r="BH9" s="3"/>
      <c r="BI9" s="3"/>
    </row>
    <row r="10" spans="1:68" ht="15" customHeight="1">
      <c r="B10" s="12" t="s">
        <v>11</v>
      </c>
      <c r="C10" s="83"/>
      <c r="D10" s="11">
        <v>3</v>
      </c>
      <c r="E10" s="5">
        <f ca="1">IF($D$2=FALSE,"-",+$D$10+$E$4-1)</f>
        <v>3</v>
      </c>
      <c r="I10" s="3"/>
      <c r="J10" s="3"/>
      <c r="K10" s="3"/>
      <c r="AF10" s="2"/>
      <c r="AG10" s="3"/>
      <c r="AH10" s="76"/>
      <c r="AI10" s="77"/>
      <c r="AJ10" s="78"/>
      <c r="AK10" s="3"/>
      <c r="AL10" s="3"/>
      <c r="AM10" s="3"/>
      <c r="AO10" s="3"/>
      <c r="AP10" s="3"/>
      <c r="AQ10" s="3"/>
      <c r="AR10" s="3"/>
      <c r="AS10" s="3"/>
      <c r="AT10" s="3"/>
      <c r="AU10" s="3"/>
      <c r="AV10" s="3"/>
      <c r="AW10" s="3"/>
      <c r="AX10" s="3"/>
      <c r="AY10" s="3"/>
      <c r="AZ10" s="3"/>
      <c r="BA10" s="3"/>
      <c r="BB10" s="3"/>
      <c r="BC10" s="3"/>
      <c r="BD10" s="3"/>
      <c r="BE10" s="3"/>
      <c r="BF10" s="3"/>
      <c r="BG10" s="3"/>
      <c r="BH10" s="3"/>
      <c r="BI10" s="3"/>
    </row>
    <row r="11" spans="1:68" ht="15" customHeight="1">
      <c r="I11" s="3"/>
      <c r="J11" s="3"/>
      <c r="K11" s="3"/>
      <c r="W11" s="7" t="str">
        <f t="shared" ref="W11:AB11" ca="1" si="6">IF($D$2=FALSE,"-",IF(W$8="","",OFFSET($AF11,0,W$8)))</f>
        <v>ACT.</v>
      </c>
      <c r="X11" s="7" t="str">
        <f t="shared" ca="1" si="6"/>
        <v>EST.</v>
      </c>
      <c r="Y11" s="7" t="str">
        <f t="shared" ca="1" si="6"/>
        <v>EST.</v>
      </c>
      <c r="Z11" s="7" t="str">
        <f t="shared" ca="1" si="6"/>
        <v>EST.</v>
      </c>
      <c r="AA11" s="7" t="str">
        <f t="shared" ca="1" si="6"/>
        <v>EST.</v>
      </c>
      <c r="AB11" s="7" t="str">
        <f t="shared" ca="1" si="6"/>
        <v>EST.</v>
      </c>
      <c r="AD11" s="7" t="e">
        <f ca="1">IF($D$2=FALSE,"-",IF(AD$7="","","LTM"))</f>
        <v>#N/A</v>
      </c>
      <c r="AF11" s="8" t="str">
        <f t="shared" ref="AF11:BI11" ca="1" si="7">IF($D$2=FALSE,"-",IF(AF$4="","",IF(AF$4&lt;=0,"ACT.",IF($D$6=0,"","EST."))))</f>
        <v>ACT.</v>
      </c>
      <c r="AG11" s="7" t="str">
        <f t="shared" ca="1" si="7"/>
        <v>EST.</v>
      </c>
      <c r="AH11" s="7" t="str">
        <f t="shared" ca="1" si="7"/>
        <v>EST.</v>
      </c>
      <c r="AI11" s="7" t="str">
        <f t="shared" ca="1" si="7"/>
        <v>EST.</v>
      </c>
      <c r="AJ11" s="7" t="str">
        <f t="shared" ca="1" si="7"/>
        <v>EST.</v>
      </c>
      <c r="AK11" s="7" t="str">
        <f t="shared" ca="1" si="7"/>
        <v>EST.</v>
      </c>
      <c r="AL11" s="7" t="str">
        <f t="shared" ca="1" si="7"/>
        <v/>
      </c>
      <c r="AM11" s="7" t="str">
        <f t="shared" ca="1" si="7"/>
        <v/>
      </c>
      <c r="AN11" s="7" t="str">
        <f t="shared" ca="1" si="7"/>
        <v/>
      </c>
      <c r="AO11" s="7" t="str">
        <f t="shared" ca="1" si="7"/>
        <v/>
      </c>
      <c r="AP11" s="7" t="str">
        <f t="shared" ca="1" si="7"/>
        <v/>
      </c>
      <c r="AQ11" s="7" t="str">
        <f t="shared" ca="1" si="7"/>
        <v/>
      </c>
      <c r="AR11" s="7" t="str">
        <f t="shared" ca="1" si="7"/>
        <v/>
      </c>
      <c r="AS11" s="7" t="str">
        <f t="shared" ca="1" si="7"/>
        <v/>
      </c>
      <c r="AT11" s="7" t="str">
        <f t="shared" ca="1" si="7"/>
        <v/>
      </c>
      <c r="AU11" s="7" t="str">
        <f t="shared" ca="1" si="7"/>
        <v/>
      </c>
      <c r="AV11" s="7" t="str">
        <f t="shared" ca="1" si="7"/>
        <v/>
      </c>
      <c r="AW11" s="7" t="str">
        <f t="shared" ca="1" si="7"/>
        <v/>
      </c>
      <c r="AX11" s="7" t="str">
        <f t="shared" ca="1" si="7"/>
        <v/>
      </c>
      <c r="AY11" s="7" t="str">
        <f t="shared" ca="1" si="7"/>
        <v/>
      </c>
      <c r="AZ11" s="7" t="str">
        <f t="shared" ca="1" si="7"/>
        <v/>
      </c>
      <c r="BA11" s="7" t="str">
        <f t="shared" ca="1" si="7"/>
        <v/>
      </c>
      <c r="BB11" s="7" t="str">
        <f t="shared" ca="1" si="7"/>
        <v/>
      </c>
      <c r="BC11" s="7" t="str">
        <f t="shared" ca="1" si="7"/>
        <v/>
      </c>
      <c r="BD11" s="7" t="str">
        <f t="shared" ca="1" si="7"/>
        <v/>
      </c>
      <c r="BE11" s="7" t="str">
        <f t="shared" ca="1" si="7"/>
        <v/>
      </c>
      <c r="BF11" s="7" t="str">
        <f t="shared" ca="1" si="7"/>
        <v/>
      </c>
      <c r="BG11" s="7" t="str">
        <f t="shared" ca="1" si="7"/>
        <v/>
      </c>
      <c r="BH11" s="7" t="str">
        <f t="shared" ca="1" si="7"/>
        <v/>
      </c>
      <c r="BI11" s="7" t="str">
        <f t="shared" ca="1" si="7"/>
        <v/>
      </c>
    </row>
    <row r="12" spans="1:68" ht="5" customHeight="1">
      <c r="I12" s="3"/>
      <c r="J12" s="3"/>
      <c r="K12" s="3"/>
      <c r="AD12" s="62"/>
      <c r="AG12" s="3"/>
      <c r="AH12" s="3"/>
      <c r="AI12" s="3"/>
      <c r="AJ12" s="3"/>
      <c r="AK12" s="3"/>
      <c r="AL12" s="3"/>
      <c r="AM12" s="3"/>
      <c r="AN12" s="3"/>
      <c r="AO12" s="3"/>
      <c r="AP12" s="3"/>
      <c r="AQ12" s="3"/>
      <c r="AR12" s="3"/>
      <c r="AS12" s="3"/>
      <c r="AT12" s="3"/>
      <c r="AU12" s="3"/>
      <c r="AV12" s="3"/>
      <c r="AW12" s="3"/>
      <c r="AX12" s="3"/>
      <c r="AY12" s="3"/>
      <c r="AZ12" s="3"/>
      <c r="BA12" s="3"/>
      <c r="BB12" s="3"/>
      <c r="BC12" s="3"/>
      <c r="BD12" s="3"/>
      <c r="BE12" s="3"/>
      <c r="BF12" s="3"/>
      <c r="BG12" s="3"/>
      <c r="BH12" s="3"/>
      <c r="BI12" s="3"/>
    </row>
    <row r="13" spans="1:68" ht="15" customHeight="1">
      <c r="A13" s="13"/>
      <c r="H13" s="3"/>
      <c r="I13" s="3"/>
      <c r="J13" s="3"/>
      <c r="K13" s="3"/>
      <c r="N13" s="13"/>
      <c r="P13" s="295" t="s">
        <v>219</v>
      </c>
      <c r="Q13" s="340" t="s">
        <v>13</v>
      </c>
      <c r="R13" s="43"/>
      <c r="S13" s="43"/>
      <c r="T13" s="43"/>
      <c r="U13" s="43"/>
      <c r="V13" s="13"/>
      <c r="W13" s="7">
        <f t="shared" ref="W13:AB13" ca="1" si="8">IF($D$2=FALSE,"-",IF(W$8="","",OFFSET($AF13,0,W$8)))</f>
        <v>44926</v>
      </c>
      <c r="X13" s="7">
        <f t="shared" ca="1" si="8"/>
        <v>45291</v>
      </c>
      <c r="Y13" s="7">
        <f t="shared" ca="1" si="8"/>
        <v>45657</v>
      </c>
      <c r="Z13" s="7">
        <f t="shared" ca="1" si="8"/>
        <v>46022</v>
      </c>
      <c r="AA13" s="7">
        <f t="shared" ca="1" si="8"/>
        <v>46387</v>
      </c>
      <c r="AB13" s="7">
        <f t="shared" ca="1" si="8"/>
        <v>46752</v>
      </c>
      <c r="AC13" s="13"/>
      <c r="AD13" s="7" t="e">
        <f ca="1">IF($D$2=FALSE,"-",IF(AD$11="","",$H$4))</f>
        <v>#N/A</v>
      </c>
      <c r="AE13" s="13"/>
      <c r="AF13" s="8">
        <f ca="1">IF($D$2=FALSE,"-",IF(AF$11="","",IF(AF$4&lt;=0,OFFSET(INDIRECT($D$3),$O8-1,$E$10-1+AF$3),EOMONTH(Q$13,$D$5))))</f>
        <v>44926</v>
      </c>
      <c r="AG13" s="7">
        <f t="shared" ref="AG13:BI13" ca="1" si="9">IF($D$2=FALSE,"-",IF(AG$11="","",IF(AG$11="ACT.",OFFSET(INDIRECT($D$3),$O8-1,$E$10-1+AG$3),EOMONTH(AF$13,$D$5))))</f>
        <v>45291</v>
      </c>
      <c r="AH13" s="7">
        <f t="shared" ca="1" si="9"/>
        <v>45657</v>
      </c>
      <c r="AI13" s="7">
        <f t="shared" ca="1" si="9"/>
        <v>46022</v>
      </c>
      <c r="AJ13" s="7">
        <f t="shared" ca="1" si="9"/>
        <v>46387</v>
      </c>
      <c r="AK13" s="7">
        <f t="shared" ca="1" si="9"/>
        <v>46752</v>
      </c>
      <c r="AL13" s="7" t="str">
        <f t="shared" ca="1" si="9"/>
        <v/>
      </c>
      <c r="AM13" s="7" t="str">
        <f t="shared" ca="1" si="9"/>
        <v/>
      </c>
      <c r="AN13" s="7" t="str">
        <f t="shared" ca="1" si="9"/>
        <v/>
      </c>
      <c r="AO13" s="7" t="str">
        <f t="shared" ca="1" si="9"/>
        <v/>
      </c>
      <c r="AP13" s="7" t="str">
        <f t="shared" ca="1" si="9"/>
        <v/>
      </c>
      <c r="AQ13" s="7" t="str">
        <f t="shared" ca="1" si="9"/>
        <v/>
      </c>
      <c r="AR13" s="7" t="str">
        <f t="shared" ca="1" si="9"/>
        <v/>
      </c>
      <c r="AS13" s="7" t="str">
        <f t="shared" ca="1" si="9"/>
        <v/>
      </c>
      <c r="AT13" s="7" t="str">
        <f t="shared" ca="1" si="9"/>
        <v/>
      </c>
      <c r="AU13" s="7" t="str">
        <f t="shared" ca="1" si="9"/>
        <v/>
      </c>
      <c r="AV13" s="7" t="str">
        <f t="shared" ca="1" si="9"/>
        <v/>
      </c>
      <c r="AW13" s="7" t="str">
        <f t="shared" ca="1" si="9"/>
        <v/>
      </c>
      <c r="AX13" s="7" t="str">
        <f t="shared" ca="1" si="9"/>
        <v/>
      </c>
      <c r="AY13" s="7" t="str">
        <f t="shared" ca="1" si="9"/>
        <v/>
      </c>
      <c r="AZ13" s="7" t="str">
        <f t="shared" ca="1" si="9"/>
        <v/>
      </c>
      <c r="BA13" s="7" t="str">
        <f t="shared" ca="1" si="9"/>
        <v/>
      </c>
      <c r="BB13" s="7" t="str">
        <f t="shared" ca="1" si="9"/>
        <v/>
      </c>
      <c r="BC13" s="7" t="str">
        <f t="shared" ca="1" si="9"/>
        <v/>
      </c>
      <c r="BD13" s="7" t="str">
        <f t="shared" ca="1" si="9"/>
        <v/>
      </c>
      <c r="BE13" s="7" t="str">
        <f t="shared" ca="1" si="9"/>
        <v/>
      </c>
      <c r="BF13" s="7" t="str">
        <f t="shared" ca="1" si="9"/>
        <v/>
      </c>
      <c r="BG13" s="7" t="str">
        <f t="shared" ca="1" si="9"/>
        <v/>
      </c>
      <c r="BH13" s="7" t="str">
        <f t="shared" ca="1" si="9"/>
        <v/>
      </c>
      <c r="BI13" s="7" t="str">
        <f t="shared" ca="1" si="9"/>
        <v/>
      </c>
    </row>
    <row r="14" spans="1:68" ht="15" customHeight="1" outlineLevel="1">
      <c r="I14" s="3"/>
      <c r="J14" s="3"/>
      <c r="K14" s="3"/>
      <c r="AG14" s="3"/>
      <c r="AH14" s="3"/>
      <c r="AI14" s="3"/>
      <c r="AJ14" s="3"/>
      <c r="AK14" s="3"/>
      <c r="AL14" s="3"/>
      <c r="AM14" s="3"/>
      <c r="AN14" s="3"/>
      <c r="AO14" s="3"/>
      <c r="AP14" s="3"/>
      <c r="AQ14" s="3"/>
      <c r="AR14" s="3"/>
      <c r="AS14" s="3"/>
      <c r="AT14" s="3"/>
      <c r="AU14" s="3"/>
      <c r="AV14" s="3"/>
      <c r="AW14" s="3"/>
      <c r="AX14" s="3"/>
      <c r="AY14" s="3"/>
      <c r="AZ14" s="3"/>
      <c r="BA14" s="3"/>
      <c r="BB14" s="3"/>
      <c r="BC14" s="3"/>
      <c r="BD14" s="3"/>
      <c r="BE14" s="3"/>
      <c r="BF14" s="3"/>
      <c r="BG14" s="3"/>
      <c r="BH14" s="3"/>
      <c r="BI14" s="3"/>
    </row>
    <row r="15" spans="1:68" ht="15" customHeight="1" outlineLevel="1">
      <c r="A15" s="6"/>
      <c r="I15" s="3"/>
      <c r="J15" s="3"/>
      <c r="K15" s="3"/>
      <c r="N15" s="3"/>
      <c r="O15" s="11">
        <f>DATA_INPUTS!A7</f>
        <v>7</v>
      </c>
      <c r="P15" s="222"/>
      <c r="Q15" s="94" t="s">
        <v>175</v>
      </c>
      <c r="R15" s="94"/>
      <c r="S15" s="94"/>
      <c r="T15" s="94"/>
      <c r="U15" s="94"/>
      <c r="V15" s="6"/>
      <c r="W15" s="113">
        <f t="shared" ref="W15:AB24" ca="1" si="10">IF($D$2=FALSE,"-",IF(W$13="","",SUM(OFFSET($AF15,0,W$8,1,-$E$5))))</f>
        <v>440.8</v>
      </c>
      <c r="X15" s="113">
        <f t="shared" ca="1" si="10"/>
        <v>462.84000000000003</v>
      </c>
      <c r="Y15" s="113">
        <f t="shared" ca="1" si="10"/>
        <v>485.98200000000003</v>
      </c>
      <c r="Z15" s="113">
        <f t="shared" ca="1" si="10"/>
        <v>510.28110000000004</v>
      </c>
      <c r="AA15" s="113">
        <f t="shared" ca="1" si="10"/>
        <v>535.79515500000002</v>
      </c>
      <c r="AB15" s="113">
        <f t="shared" ca="1" si="10"/>
        <v>562.58491275000006</v>
      </c>
      <c r="AC15" s="257"/>
      <c r="AD15" s="113" t="e">
        <f t="shared" ref="AD15:AD24" ca="1" si="11">IF($D$2=FALSE,"-",IF(AD$13="","",SUM(OFFSET($AF15,0,$F$4-AD$7-1,1,-$E$5))+SUM(OFFSET($AF15,0,$F$4-1,1,-AD$7))-SUM(OFFSET($AF15,0,$F$4-$E$5-1,1,-AD$7))))</f>
        <v>#N/A</v>
      </c>
      <c r="AE15" s="114"/>
      <c r="AF15" s="115">
        <f t="shared" ref="AF15:BI15" ca="1" si="12">IF($D$2=FALSE,"-",IF(AF$13="","",IF(AF$4&lt;=0,OFFSET(INDIRECT($D$3),$O15-1,$E$10-1+AF$3),OFFSET(AF15,0,-AF$7)*(1+AF57*AF$6))))</f>
        <v>440.8</v>
      </c>
      <c r="AG15" s="113">
        <f t="shared" ca="1" si="12"/>
        <v>462.84000000000003</v>
      </c>
      <c r="AH15" s="113">
        <f t="shared" ca="1" si="12"/>
        <v>485.98200000000003</v>
      </c>
      <c r="AI15" s="113">
        <f t="shared" ca="1" si="12"/>
        <v>510.28110000000004</v>
      </c>
      <c r="AJ15" s="113">
        <f t="shared" ca="1" si="12"/>
        <v>535.79515500000002</v>
      </c>
      <c r="AK15" s="113">
        <f t="shared" ca="1" si="12"/>
        <v>562.58491275000006</v>
      </c>
      <c r="AL15" s="113" t="str">
        <f t="shared" ca="1" si="12"/>
        <v/>
      </c>
      <c r="AM15" s="113" t="str">
        <f t="shared" ca="1" si="12"/>
        <v/>
      </c>
      <c r="AN15" s="113" t="str">
        <f t="shared" ca="1" si="12"/>
        <v/>
      </c>
      <c r="AO15" s="113" t="str">
        <f t="shared" ca="1" si="12"/>
        <v/>
      </c>
      <c r="AP15" s="113" t="str">
        <f t="shared" ca="1" si="12"/>
        <v/>
      </c>
      <c r="AQ15" s="113" t="str">
        <f t="shared" ca="1" si="12"/>
        <v/>
      </c>
      <c r="AR15" s="113" t="str">
        <f t="shared" ca="1" si="12"/>
        <v/>
      </c>
      <c r="AS15" s="113" t="str">
        <f t="shared" ca="1" si="12"/>
        <v/>
      </c>
      <c r="AT15" s="113" t="str">
        <f t="shared" ca="1" si="12"/>
        <v/>
      </c>
      <c r="AU15" s="113" t="str">
        <f t="shared" ca="1" si="12"/>
        <v/>
      </c>
      <c r="AV15" s="113" t="str">
        <f t="shared" ca="1" si="12"/>
        <v/>
      </c>
      <c r="AW15" s="113" t="str">
        <f t="shared" ca="1" si="12"/>
        <v/>
      </c>
      <c r="AX15" s="113" t="str">
        <f t="shared" ca="1" si="12"/>
        <v/>
      </c>
      <c r="AY15" s="113" t="str">
        <f t="shared" ca="1" si="12"/>
        <v/>
      </c>
      <c r="AZ15" s="113" t="str">
        <f t="shared" ca="1" si="12"/>
        <v/>
      </c>
      <c r="BA15" s="113" t="str">
        <f t="shared" ca="1" si="12"/>
        <v/>
      </c>
      <c r="BB15" s="113" t="str">
        <f t="shared" ca="1" si="12"/>
        <v/>
      </c>
      <c r="BC15" s="113" t="str">
        <f t="shared" ca="1" si="12"/>
        <v/>
      </c>
      <c r="BD15" s="113" t="str">
        <f t="shared" ca="1" si="12"/>
        <v/>
      </c>
      <c r="BE15" s="113" t="str">
        <f t="shared" ca="1" si="12"/>
        <v/>
      </c>
      <c r="BF15" s="113" t="str">
        <f t="shared" ca="1" si="12"/>
        <v/>
      </c>
      <c r="BG15" s="113" t="str">
        <f t="shared" ca="1" si="12"/>
        <v/>
      </c>
      <c r="BH15" s="113" t="str">
        <f t="shared" ca="1" si="12"/>
        <v/>
      </c>
      <c r="BI15" s="113" t="str">
        <f t="shared" ca="1" si="12"/>
        <v/>
      </c>
      <c r="BK15" s="84"/>
      <c r="BL15" s="84"/>
      <c r="BM15" s="84"/>
      <c r="BN15" s="84"/>
      <c r="BO15" s="84"/>
      <c r="BP15" s="84"/>
    </row>
    <row r="16" spans="1:68" ht="15" customHeight="1" outlineLevel="1">
      <c r="A16" s="6"/>
      <c r="I16" s="3"/>
      <c r="J16" s="3"/>
      <c r="K16" s="3"/>
      <c r="N16" s="3"/>
      <c r="O16" s="11">
        <f>O15+1</f>
        <v>8</v>
      </c>
      <c r="P16" s="222"/>
      <c r="Q16" s="6" t="s">
        <v>38</v>
      </c>
      <c r="R16" s="6"/>
      <c r="S16" s="6"/>
      <c r="T16" s="6"/>
      <c r="U16" s="6"/>
      <c r="V16" s="6"/>
      <c r="W16" s="116">
        <f t="shared" ca="1" si="10"/>
        <v>234.4</v>
      </c>
      <c r="X16" s="116">
        <f t="shared" ca="1" si="10"/>
        <v>246.12</v>
      </c>
      <c r="Y16" s="116">
        <f t="shared" ca="1" si="10"/>
        <v>258.42599999999999</v>
      </c>
      <c r="Z16" s="116">
        <f t="shared" ca="1" si="10"/>
        <v>271.34730000000002</v>
      </c>
      <c r="AA16" s="116">
        <f t="shared" ca="1" si="10"/>
        <v>284.91466500000001</v>
      </c>
      <c r="AB16" s="116">
        <f t="shared" ca="1" si="10"/>
        <v>299.16039825000001</v>
      </c>
      <c r="AC16" s="257"/>
      <c r="AD16" s="116" t="e">
        <f t="shared" ca="1" si="11"/>
        <v>#N/A</v>
      </c>
      <c r="AE16" s="117"/>
      <c r="AF16" s="118">
        <f t="shared" ref="AF16:BI16" ca="1" si="13">IF($D$2=FALSE,"-",IF(AF$13="","",IF(AF$4&lt;=0,OFFSET(INDIRECT($D$3),$O16-1,$E$10-1+AF$3),AF15*AF61)))</f>
        <v>234.4</v>
      </c>
      <c r="AG16" s="116">
        <f t="shared" ca="1" si="13"/>
        <v>246.12</v>
      </c>
      <c r="AH16" s="116">
        <f t="shared" ca="1" si="13"/>
        <v>258.42599999999999</v>
      </c>
      <c r="AI16" s="116">
        <f t="shared" ca="1" si="13"/>
        <v>271.34730000000002</v>
      </c>
      <c r="AJ16" s="116">
        <f t="shared" ca="1" si="13"/>
        <v>284.91466500000001</v>
      </c>
      <c r="AK16" s="116">
        <f t="shared" ca="1" si="13"/>
        <v>299.16039825000001</v>
      </c>
      <c r="AL16" s="116" t="str">
        <f t="shared" ca="1" si="13"/>
        <v/>
      </c>
      <c r="AM16" s="116" t="str">
        <f t="shared" ca="1" si="13"/>
        <v/>
      </c>
      <c r="AN16" s="116" t="str">
        <f t="shared" ca="1" si="13"/>
        <v/>
      </c>
      <c r="AO16" s="116" t="str">
        <f t="shared" ca="1" si="13"/>
        <v/>
      </c>
      <c r="AP16" s="116" t="str">
        <f t="shared" ca="1" si="13"/>
        <v/>
      </c>
      <c r="AQ16" s="116" t="str">
        <f t="shared" ca="1" si="13"/>
        <v/>
      </c>
      <c r="AR16" s="116" t="str">
        <f t="shared" ca="1" si="13"/>
        <v/>
      </c>
      <c r="AS16" s="116" t="str">
        <f t="shared" ca="1" si="13"/>
        <v/>
      </c>
      <c r="AT16" s="116" t="str">
        <f t="shared" ca="1" si="13"/>
        <v/>
      </c>
      <c r="AU16" s="116" t="str">
        <f t="shared" ca="1" si="13"/>
        <v/>
      </c>
      <c r="AV16" s="116" t="str">
        <f t="shared" ca="1" si="13"/>
        <v/>
      </c>
      <c r="AW16" s="116" t="str">
        <f t="shared" ca="1" si="13"/>
        <v/>
      </c>
      <c r="AX16" s="116" t="str">
        <f t="shared" ca="1" si="13"/>
        <v/>
      </c>
      <c r="AY16" s="116" t="str">
        <f t="shared" ca="1" si="13"/>
        <v/>
      </c>
      <c r="AZ16" s="116" t="str">
        <f t="shared" ca="1" si="13"/>
        <v/>
      </c>
      <c r="BA16" s="116" t="str">
        <f t="shared" ca="1" si="13"/>
        <v/>
      </c>
      <c r="BB16" s="116" t="str">
        <f t="shared" ca="1" si="13"/>
        <v/>
      </c>
      <c r="BC16" s="116" t="str">
        <f t="shared" ca="1" si="13"/>
        <v/>
      </c>
      <c r="BD16" s="116" t="str">
        <f t="shared" ca="1" si="13"/>
        <v/>
      </c>
      <c r="BE16" s="116" t="str">
        <f t="shared" ca="1" si="13"/>
        <v/>
      </c>
      <c r="BF16" s="116" t="str">
        <f t="shared" ca="1" si="13"/>
        <v/>
      </c>
      <c r="BG16" s="116" t="str">
        <f t="shared" ca="1" si="13"/>
        <v/>
      </c>
      <c r="BH16" s="116" t="str">
        <f t="shared" ca="1" si="13"/>
        <v/>
      </c>
      <c r="BI16" s="116" t="str">
        <f t="shared" ca="1" si="13"/>
        <v/>
      </c>
      <c r="BK16" s="84"/>
      <c r="BL16" s="84"/>
      <c r="BM16" s="84"/>
      <c r="BN16" s="84"/>
      <c r="BO16" s="84"/>
      <c r="BP16" s="84"/>
    </row>
    <row r="17" spans="1:68" ht="15" customHeight="1" outlineLevel="1">
      <c r="A17" s="6"/>
      <c r="I17" s="3"/>
      <c r="J17" s="3"/>
      <c r="K17" s="3"/>
      <c r="N17" s="3"/>
      <c r="P17" s="222"/>
      <c r="Q17" s="16" t="s">
        <v>8</v>
      </c>
      <c r="R17" s="16"/>
      <c r="S17" s="16"/>
      <c r="T17" s="16"/>
      <c r="U17" s="16"/>
      <c r="V17" s="6"/>
      <c r="W17" s="119">
        <f t="shared" ca="1" si="10"/>
        <v>206.4</v>
      </c>
      <c r="X17" s="119">
        <f t="shared" ca="1" si="10"/>
        <v>216.72000000000003</v>
      </c>
      <c r="Y17" s="119">
        <f t="shared" ca="1" si="10"/>
        <v>227.55600000000004</v>
      </c>
      <c r="Z17" s="119">
        <f t="shared" ca="1" si="10"/>
        <v>238.93380000000002</v>
      </c>
      <c r="AA17" s="119">
        <f t="shared" ca="1" si="10"/>
        <v>250.88049000000001</v>
      </c>
      <c r="AB17" s="119">
        <f t="shared" ca="1" si="10"/>
        <v>263.42451450000004</v>
      </c>
      <c r="AC17" s="257"/>
      <c r="AD17" s="119" t="e">
        <f t="shared" ca="1" si="11"/>
        <v>#N/A</v>
      </c>
      <c r="AE17" s="114"/>
      <c r="AF17" s="120">
        <f t="shared" ref="AF17:BI17" ca="1" si="14">IF($D$2=FALSE,"-",IF(AF$13="","",+AF15-AF16))</f>
        <v>206.4</v>
      </c>
      <c r="AG17" s="119">
        <f t="shared" ca="1" si="14"/>
        <v>216.72000000000003</v>
      </c>
      <c r="AH17" s="119">
        <f t="shared" ca="1" si="14"/>
        <v>227.55600000000004</v>
      </c>
      <c r="AI17" s="119">
        <f t="shared" ca="1" si="14"/>
        <v>238.93380000000002</v>
      </c>
      <c r="AJ17" s="119">
        <f t="shared" ca="1" si="14"/>
        <v>250.88049000000001</v>
      </c>
      <c r="AK17" s="119">
        <f t="shared" ca="1" si="14"/>
        <v>263.42451450000004</v>
      </c>
      <c r="AL17" s="119" t="str">
        <f t="shared" ca="1" si="14"/>
        <v/>
      </c>
      <c r="AM17" s="119" t="str">
        <f t="shared" ca="1" si="14"/>
        <v/>
      </c>
      <c r="AN17" s="119" t="str">
        <f t="shared" ca="1" si="14"/>
        <v/>
      </c>
      <c r="AO17" s="119" t="str">
        <f t="shared" ca="1" si="14"/>
        <v/>
      </c>
      <c r="AP17" s="119" t="str">
        <f t="shared" ca="1" si="14"/>
        <v/>
      </c>
      <c r="AQ17" s="119" t="str">
        <f t="shared" ca="1" si="14"/>
        <v/>
      </c>
      <c r="AR17" s="119" t="str">
        <f t="shared" ca="1" si="14"/>
        <v/>
      </c>
      <c r="AS17" s="119" t="str">
        <f t="shared" ca="1" si="14"/>
        <v/>
      </c>
      <c r="AT17" s="119" t="str">
        <f t="shared" ca="1" si="14"/>
        <v/>
      </c>
      <c r="AU17" s="119" t="str">
        <f t="shared" ca="1" si="14"/>
        <v/>
      </c>
      <c r="AV17" s="119" t="str">
        <f t="shared" ca="1" si="14"/>
        <v/>
      </c>
      <c r="AW17" s="119" t="str">
        <f t="shared" ca="1" si="14"/>
        <v/>
      </c>
      <c r="AX17" s="119" t="str">
        <f t="shared" ca="1" si="14"/>
        <v/>
      </c>
      <c r="AY17" s="119" t="str">
        <f t="shared" ca="1" si="14"/>
        <v/>
      </c>
      <c r="AZ17" s="119" t="str">
        <f t="shared" ca="1" si="14"/>
        <v/>
      </c>
      <c r="BA17" s="119" t="str">
        <f t="shared" ca="1" si="14"/>
        <v/>
      </c>
      <c r="BB17" s="119" t="str">
        <f t="shared" ca="1" si="14"/>
        <v/>
      </c>
      <c r="BC17" s="119" t="str">
        <f t="shared" ca="1" si="14"/>
        <v/>
      </c>
      <c r="BD17" s="119" t="str">
        <f t="shared" ca="1" si="14"/>
        <v/>
      </c>
      <c r="BE17" s="119" t="str">
        <f t="shared" ca="1" si="14"/>
        <v/>
      </c>
      <c r="BF17" s="119" t="str">
        <f t="shared" ca="1" si="14"/>
        <v/>
      </c>
      <c r="BG17" s="119" t="str">
        <f t="shared" ca="1" si="14"/>
        <v/>
      </c>
      <c r="BH17" s="119" t="str">
        <f t="shared" ca="1" si="14"/>
        <v/>
      </c>
      <c r="BI17" s="119" t="str">
        <f t="shared" ca="1" si="14"/>
        <v/>
      </c>
      <c r="BK17" s="84"/>
      <c r="BL17" s="84"/>
      <c r="BM17" s="84"/>
      <c r="BN17" s="84"/>
      <c r="BO17" s="84"/>
      <c r="BP17" s="84"/>
    </row>
    <row r="18" spans="1:68" ht="15" customHeight="1" outlineLevel="1">
      <c r="A18" s="6"/>
      <c r="I18" s="3"/>
      <c r="J18" s="3"/>
      <c r="K18" s="3"/>
      <c r="N18" s="3"/>
      <c r="O18" s="11">
        <f>O16+1</f>
        <v>9</v>
      </c>
      <c r="P18" s="222"/>
      <c r="Q18" s="6" t="s">
        <v>39</v>
      </c>
      <c r="R18" s="6"/>
      <c r="S18" s="6"/>
      <c r="T18" s="6"/>
      <c r="U18" s="6"/>
      <c r="V18" s="6"/>
      <c r="W18" s="116">
        <f t="shared" ca="1" si="10"/>
        <v>79.599999999999994</v>
      </c>
      <c r="X18" s="116">
        <f t="shared" ca="1" si="10"/>
        <v>83.58</v>
      </c>
      <c r="Y18" s="116">
        <f t="shared" ca="1" si="10"/>
        <v>87.758999999999986</v>
      </c>
      <c r="Z18" s="116">
        <f t="shared" ca="1" si="10"/>
        <v>92.14694999999999</v>
      </c>
      <c r="AA18" s="116">
        <f t="shared" ca="1" si="10"/>
        <v>96.754297499999993</v>
      </c>
      <c r="AB18" s="116">
        <f t="shared" ca="1" si="10"/>
        <v>101.592012375</v>
      </c>
      <c r="AC18" s="257"/>
      <c r="AD18" s="116" t="e">
        <f t="shared" ca="1" si="11"/>
        <v>#N/A</v>
      </c>
      <c r="AE18" s="117"/>
      <c r="AF18" s="118">
        <f t="shared" ref="AF18:BI18" ca="1" si="15">IF($D$2=FALSE,"-",IF(AF$13="","",IF(AF$4&lt;=0,OFFSET(INDIRECT($D$3),$O18-1,$E$10-1+AF$3),AF15*AF62)))</f>
        <v>79.599999999999994</v>
      </c>
      <c r="AG18" s="116">
        <f t="shared" ca="1" si="15"/>
        <v>83.58</v>
      </c>
      <c r="AH18" s="116">
        <f t="shared" ca="1" si="15"/>
        <v>87.758999999999986</v>
      </c>
      <c r="AI18" s="116">
        <f t="shared" ca="1" si="15"/>
        <v>92.14694999999999</v>
      </c>
      <c r="AJ18" s="116">
        <f t="shared" ca="1" si="15"/>
        <v>96.754297499999993</v>
      </c>
      <c r="AK18" s="116">
        <f t="shared" ca="1" si="15"/>
        <v>101.592012375</v>
      </c>
      <c r="AL18" s="116" t="str">
        <f t="shared" ca="1" si="15"/>
        <v/>
      </c>
      <c r="AM18" s="116" t="str">
        <f t="shared" ca="1" si="15"/>
        <v/>
      </c>
      <c r="AN18" s="116" t="str">
        <f t="shared" ca="1" si="15"/>
        <v/>
      </c>
      <c r="AO18" s="116" t="str">
        <f t="shared" ca="1" si="15"/>
        <v/>
      </c>
      <c r="AP18" s="116" t="str">
        <f t="shared" ca="1" si="15"/>
        <v/>
      </c>
      <c r="AQ18" s="116" t="str">
        <f t="shared" ca="1" si="15"/>
        <v/>
      </c>
      <c r="AR18" s="116" t="str">
        <f t="shared" ca="1" si="15"/>
        <v/>
      </c>
      <c r="AS18" s="116" t="str">
        <f t="shared" ca="1" si="15"/>
        <v/>
      </c>
      <c r="AT18" s="116" t="str">
        <f t="shared" ca="1" si="15"/>
        <v/>
      </c>
      <c r="AU18" s="116" t="str">
        <f t="shared" ca="1" si="15"/>
        <v/>
      </c>
      <c r="AV18" s="116" t="str">
        <f t="shared" ca="1" si="15"/>
        <v/>
      </c>
      <c r="AW18" s="116" t="str">
        <f t="shared" ca="1" si="15"/>
        <v/>
      </c>
      <c r="AX18" s="116" t="str">
        <f t="shared" ca="1" si="15"/>
        <v/>
      </c>
      <c r="AY18" s="116" t="str">
        <f t="shared" ca="1" si="15"/>
        <v/>
      </c>
      <c r="AZ18" s="116" t="str">
        <f t="shared" ca="1" si="15"/>
        <v/>
      </c>
      <c r="BA18" s="116" t="str">
        <f t="shared" ca="1" si="15"/>
        <v/>
      </c>
      <c r="BB18" s="116" t="str">
        <f t="shared" ca="1" si="15"/>
        <v/>
      </c>
      <c r="BC18" s="116" t="str">
        <f t="shared" ca="1" si="15"/>
        <v/>
      </c>
      <c r="BD18" s="116" t="str">
        <f t="shared" ca="1" si="15"/>
        <v/>
      </c>
      <c r="BE18" s="116" t="str">
        <f t="shared" ca="1" si="15"/>
        <v/>
      </c>
      <c r="BF18" s="116" t="str">
        <f t="shared" ca="1" si="15"/>
        <v/>
      </c>
      <c r="BG18" s="116" t="str">
        <f t="shared" ca="1" si="15"/>
        <v/>
      </c>
      <c r="BH18" s="116" t="str">
        <f t="shared" ca="1" si="15"/>
        <v/>
      </c>
      <c r="BI18" s="116" t="str">
        <f t="shared" ca="1" si="15"/>
        <v/>
      </c>
      <c r="BK18" s="84"/>
      <c r="BL18" s="84"/>
      <c r="BM18" s="84"/>
      <c r="BN18" s="84"/>
      <c r="BO18" s="84"/>
      <c r="BP18" s="84"/>
    </row>
    <row r="19" spans="1:68" ht="15" customHeight="1" outlineLevel="1">
      <c r="A19" s="6"/>
      <c r="I19" s="3"/>
      <c r="J19" s="3"/>
      <c r="K19" s="3"/>
      <c r="N19" s="3"/>
      <c r="P19" s="222"/>
      <c r="Q19" s="93" t="s">
        <v>80</v>
      </c>
      <c r="R19" s="93"/>
      <c r="S19" s="93"/>
      <c r="T19" s="93"/>
      <c r="U19" s="93"/>
      <c r="V19" s="6"/>
      <c r="W19" s="119">
        <f t="shared" ca="1" si="10"/>
        <v>126.80000000000001</v>
      </c>
      <c r="X19" s="119">
        <f t="shared" ca="1" si="10"/>
        <v>133.14000000000004</v>
      </c>
      <c r="Y19" s="119">
        <f t="shared" ca="1" si="10"/>
        <v>139.79700000000005</v>
      </c>
      <c r="Z19" s="119">
        <f t="shared" ca="1" si="10"/>
        <v>146.78685000000002</v>
      </c>
      <c r="AA19" s="119">
        <f t="shared" ca="1" si="10"/>
        <v>154.1261925</v>
      </c>
      <c r="AB19" s="119">
        <f t="shared" ca="1" si="10"/>
        <v>161.83250212500005</v>
      </c>
      <c r="AC19" s="257"/>
      <c r="AD19" s="119" t="e">
        <f t="shared" ca="1" si="11"/>
        <v>#N/A</v>
      </c>
      <c r="AE19" s="114"/>
      <c r="AF19" s="120">
        <f t="shared" ref="AF19:BI19" ca="1" si="16">IF($D$2=FALSE,"-",IF(AF$13="","",+AF17-AF18))</f>
        <v>126.80000000000001</v>
      </c>
      <c r="AG19" s="119">
        <f t="shared" ca="1" si="16"/>
        <v>133.14000000000004</v>
      </c>
      <c r="AH19" s="119">
        <f t="shared" ca="1" si="16"/>
        <v>139.79700000000005</v>
      </c>
      <c r="AI19" s="119">
        <f t="shared" ca="1" si="16"/>
        <v>146.78685000000002</v>
      </c>
      <c r="AJ19" s="119">
        <f t="shared" ca="1" si="16"/>
        <v>154.1261925</v>
      </c>
      <c r="AK19" s="119">
        <f t="shared" ca="1" si="16"/>
        <v>161.83250212500005</v>
      </c>
      <c r="AL19" s="119" t="str">
        <f t="shared" ca="1" si="16"/>
        <v/>
      </c>
      <c r="AM19" s="119" t="str">
        <f t="shared" ca="1" si="16"/>
        <v/>
      </c>
      <c r="AN19" s="119" t="str">
        <f t="shared" ca="1" si="16"/>
        <v/>
      </c>
      <c r="AO19" s="119" t="str">
        <f t="shared" ca="1" si="16"/>
        <v/>
      </c>
      <c r="AP19" s="119" t="str">
        <f t="shared" ca="1" si="16"/>
        <v/>
      </c>
      <c r="AQ19" s="119" t="str">
        <f t="shared" ca="1" si="16"/>
        <v/>
      </c>
      <c r="AR19" s="119" t="str">
        <f t="shared" ca="1" si="16"/>
        <v/>
      </c>
      <c r="AS19" s="119" t="str">
        <f t="shared" ca="1" si="16"/>
        <v/>
      </c>
      <c r="AT19" s="119" t="str">
        <f t="shared" ca="1" si="16"/>
        <v/>
      </c>
      <c r="AU19" s="119" t="str">
        <f t="shared" ca="1" si="16"/>
        <v/>
      </c>
      <c r="AV19" s="119" t="str">
        <f t="shared" ca="1" si="16"/>
        <v/>
      </c>
      <c r="AW19" s="119" t="str">
        <f t="shared" ca="1" si="16"/>
        <v/>
      </c>
      <c r="AX19" s="119" t="str">
        <f t="shared" ca="1" si="16"/>
        <v/>
      </c>
      <c r="AY19" s="119" t="str">
        <f t="shared" ca="1" si="16"/>
        <v/>
      </c>
      <c r="AZ19" s="119" t="str">
        <f t="shared" ca="1" si="16"/>
        <v/>
      </c>
      <c r="BA19" s="119" t="str">
        <f t="shared" ca="1" si="16"/>
        <v/>
      </c>
      <c r="BB19" s="119" t="str">
        <f t="shared" ca="1" si="16"/>
        <v/>
      </c>
      <c r="BC19" s="119" t="str">
        <f t="shared" ca="1" si="16"/>
        <v/>
      </c>
      <c r="BD19" s="119" t="str">
        <f t="shared" ca="1" si="16"/>
        <v/>
      </c>
      <c r="BE19" s="119" t="str">
        <f t="shared" ca="1" si="16"/>
        <v/>
      </c>
      <c r="BF19" s="119" t="str">
        <f t="shared" ca="1" si="16"/>
        <v/>
      </c>
      <c r="BG19" s="119" t="str">
        <f t="shared" ca="1" si="16"/>
        <v/>
      </c>
      <c r="BH19" s="119" t="str">
        <f t="shared" ca="1" si="16"/>
        <v/>
      </c>
      <c r="BI19" s="119" t="str">
        <f t="shared" ca="1" si="16"/>
        <v/>
      </c>
      <c r="BK19" s="84"/>
      <c r="BL19" s="84"/>
      <c r="BM19" s="84"/>
      <c r="BN19" s="84"/>
      <c r="BO19" s="84"/>
      <c r="BP19" s="84"/>
    </row>
    <row r="20" spans="1:68" ht="15" customHeight="1" outlineLevel="1">
      <c r="A20" s="6"/>
      <c r="I20" s="3"/>
      <c r="J20" s="3"/>
      <c r="K20" s="3"/>
      <c r="N20" s="3"/>
      <c r="O20" s="11">
        <f>O18+1</f>
        <v>10</v>
      </c>
      <c r="P20" s="222"/>
      <c r="Q20" s="6" t="s">
        <v>0</v>
      </c>
      <c r="R20" s="6"/>
      <c r="S20" s="6"/>
      <c r="T20" s="6"/>
      <c r="U20" s="6"/>
      <c r="V20" s="6"/>
      <c r="W20" s="116">
        <f t="shared" ca="1" si="10"/>
        <v>14</v>
      </c>
      <c r="X20" s="116">
        <f t="shared" ca="1" si="10"/>
        <v>14.700000000000001</v>
      </c>
      <c r="Y20" s="116">
        <f t="shared" ca="1" si="10"/>
        <v>15.435</v>
      </c>
      <c r="Z20" s="116">
        <f t="shared" ca="1" si="10"/>
        <v>16.20675</v>
      </c>
      <c r="AA20" s="116">
        <f t="shared" ca="1" si="10"/>
        <v>17.017087499999999</v>
      </c>
      <c r="AB20" s="116">
        <f t="shared" ca="1" si="10"/>
        <v>17.867941875</v>
      </c>
      <c r="AC20" s="257"/>
      <c r="AD20" s="116" t="e">
        <f t="shared" ca="1" si="11"/>
        <v>#N/A</v>
      </c>
      <c r="AE20" s="114"/>
      <c r="AF20" s="118">
        <f t="shared" ref="AF20:BI20" ca="1" si="17">IF($D$2=FALSE,"-",IF(AF$13="","",IF(AF$4&lt;=0,OFFSET(INDIRECT($D$3),$O20-1,$E$10-1+AF$3),AF15*AF63)))</f>
        <v>14</v>
      </c>
      <c r="AG20" s="116">
        <f t="shared" ca="1" si="17"/>
        <v>14.700000000000001</v>
      </c>
      <c r="AH20" s="116">
        <f t="shared" ca="1" si="17"/>
        <v>15.435</v>
      </c>
      <c r="AI20" s="116">
        <f t="shared" ca="1" si="17"/>
        <v>16.20675</v>
      </c>
      <c r="AJ20" s="116">
        <f t="shared" ca="1" si="17"/>
        <v>17.017087499999999</v>
      </c>
      <c r="AK20" s="116">
        <f t="shared" ca="1" si="17"/>
        <v>17.867941875</v>
      </c>
      <c r="AL20" s="116" t="str">
        <f t="shared" ca="1" si="17"/>
        <v/>
      </c>
      <c r="AM20" s="116" t="str">
        <f t="shared" ca="1" si="17"/>
        <v/>
      </c>
      <c r="AN20" s="116" t="str">
        <f t="shared" ca="1" si="17"/>
        <v/>
      </c>
      <c r="AO20" s="116" t="str">
        <f t="shared" ca="1" si="17"/>
        <v/>
      </c>
      <c r="AP20" s="116" t="str">
        <f t="shared" ca="1" si="17"/>
        <v/>
      </c>
      <c r="AQ20" s="116" t="str">
        <f t="shared" ca="1" si="17"/>
        <v/>
      </c>
      <c r="AR20" s="116" t="str">
        <f t="shared" ca="1" si="17"/>
        <v/>
      </c>
      <c r="AS20" s="116" t="str">
        <f t="shared" ca="1" si="17"/>
        <v/>
      </c>
      <c r="AT20" s="116" t="str">
        <f t="shared" ca="1" si="17"/>
        <v/>
      </c>
      <c r="AU20" s="116" t="str">
        <f t="shared" ca="1" si="17"/>
        <v/>
      </c>
      <c r="AV20" s="116" t="str">
        <f t="shared" ca="1" si="17"/>
        <v/>
      </c>
      <c r="AW20" s="116" t="str">
        <f t="shared" ca="1" si="17"/>
        <v/>
      </c>
      <c r="AX20" s="116" t="str">
        <f t="shared" ca="1" si="17"/>
        <v/>
      </c>
      <c r="AY20" s="116" t="str">
        <f t="shared" ca="1" si="17"/>
        <v/>
      </c>
      <c r="AZ20" s="116" t="str">
        <f t="shared" ca="1" si="17"/>
        <v/>
      </c>
      <c r="BA20" s="116" t="str">
        <f t="shared" ca="1" si="17"/>
        <v/>
      </c>
      <c r="BB20" s="116" t="str">
        <f t="shared" ca="1" si="17"/>
        <v/>
      </c>
      <c r="BC20" s="116" t="str">
        <f t="shared" ca="1" si="17"/>
        <v/>
      </c>
      <c r="BD20" s="116" t="str">
        <f t="shared" ca="1" si="17"/>
        <v/>
      </c>
      <c r="BE20" s="116" t="str">
        <f t="shared" ca="1" si="17"/>
        <v/>
      </c>
      <c r="BF20" s="116" t="str">
        <f t="shared" ca="1" si="17"/>
        <v/>
      </c>
      <c r="BG20" s="116" t="str">
        <f t="shared" ca="1" si="17"/>
        <v/>
      </c>
      <c r="BH20" s="116" t="str">
        <f t="shared" ca="1" si="17"/>
        <v/>
      </c>
      <c r="BI20" s="116" t="str">
        <f t="shared" ca="1" si="17"/>
        <v/>
      </c>
      <c r="BK20" s="84"/>
      <c r="BL20" s="84"/>
      <c r="BM20" s="84"/>
      <c r="BN20" s="84"/>
      <c r="BO20" s="84"/>
      <c r="BP20" s="84"/>
    </row>
    <row r="21" spans="1:68" ht="15" customHeight="1" outlineLevel="1">
      <c r="A21" s="6"/>
      <c r="I21" s="3"/>
      <c r="J21" s="3"/>
      <c r="K21" s="3"/>
      <c r="N21" s="3"/>
      <c r="O21" s="11">
        <f>O20+1</f>
        <v>11</v>
      </c>
      <c r="P21" s="222"/>
      <c r="Q21" s="6" t="s">
        <v>40</v>
      </c>
      <c r="R21" s="6"/>
      <c r="S21" s="6"/>
      <c r="T21" s="6"/>
      <c r="U21" s="6"/>
      <c r="V21" s="6"/>
      <c r="W21" s="116">
        <f t="shared" ca="1" si="10"/>
        <v>11.6</v>
      </c>
      <c r="X21" s="116">
        <f t="shared" ca="1" si="10"/>
        <v>11.6</v>
      </c>
      <c r="Y21" s="116">
        <f t="shared" ca="1" si="10"/>
        <v>11.6</v>
      </c>
      <c r="Z21" s="116">
        <f t="shared" ca="1" si="10"/>
        <v>11.6</v>
      </c>
      <c r="AA21" s="116">
        <f t="shared" ca="1" si="10"/>
        <v>2.6909999999999989</v>
      </c>
      <c r="AB21" s="116">
        <f t="shared" ca="1" si="10"/>
        <v>0</v>
      </c>
      <c r="AC21" s="257"/>
      <c r="AD21" s="116" t="e">
        <f t="shared" ca="1" si="11"/>
        <v>#N/A</v>
      </c>
      <c r="AE21" s="114"/>
      <c r="AF21" s="118">
        <f t="shared" ref="AF21:BI21" ca="1" si="18">IF($D$2=FALSE,"-",IF(AF$13="","",IF(AF$4&lt;=0,OFFSET(INDIRECT($D$3),$O21-1,$E$10-1+AF$3),MIN(OFFSET(AF21,0,-1),OFFSET(AF206,0,-1)))))</f>
        <v>11.6</v>
      </c>
      <c r="AG21" s="116">
        <f t="shared" ca="1" si="18"/>
        <v>11.6</v>
      </c>
      <c r="AH21" s="116">
        <f t="shared" ca="1" si="18"/>
        <v>11.6</v>
      </c>
      <c r="AI21" s="116">
        <f t="shared" ca="1" si="18"/>
        <v>11.6</v>
      </c>
      <c r="AJ21" s="116">
        <f t="shared" ca="1" si="18"/>
        <v>2.6909999999999989</v>
      </c>
      <c r="AK21" s="116">
        <f t="shared" ca="1" si="18"/>
        <v>0</v>
      </c>
      <c r="AL21" s="116" t="str">
        <f t="shared" ca="1" si="18"/>
        <v/>
      </c>
      <c r="AM21" s="116" t="str">
        <f t="shared" ca="1" si="18"/>
        <v/>
      </c>
      <c r="AN21" s="116" t="str">
        <f t="shared" ca="1" si="18"/>
        <v/>
      </c>
      <c r="AO21" s="116" t="str">
        <f t="shared" ca="1" si="18"/>
        <v/>
      </c>
      <c r="AP21" s="116" t="str">
        <f t="shared" ca="1" si="18"/>
        <v/>
      </c>
      <c r="AQ21" s="116" t="str">
        <f t="shared" ca="1" si="18"/>
        <v/>
      </c>
      <c r="AR21" s="116" t="str">
        <f t="shared" ca="1" si="18"/>
        <v/>
      </c>
      <c r="AS21" s="116" t="str">
        <f t="shared" ca="1" si="18"/>
        <v/>
      </c>
      <c r="AT21" s="116" t="str">
        <f t="shared" ca="1" si="18"/>
        <v/>
      </c>
      <c r="AU21" s="116" t="str">
        <f t="shared" ca="1" si="18"/>
        <v/>
      </c>
      <c r="AV21" s="116" t="str">
        <f t="shared" ca="1" si="18"/>
        <v/>
      </c>
      <c r="AW21" s="116" t="str">
        <f t="shared" ca="1" si="18"/>
        <v/>
      </c>
      <c r="AX21" s="116" t="str">
        <f t="shared" ca="1" si="18"/>
        <v/>
      </c>
      <c r="AY21" s="116" t="str">
        <f t="shared" ca="1" si="18"/>
        <v/>
      </c>
      <c r="AZ21" s="116" t="str">
        <f t="shared" ca="1" si="18"/>
        <v/>
      </c>
      <c r="BA21" s="116" t="str">
        <f t="shared" ca="1" si="18"/>
        <v/>
      </c>
      <c r="BB21" s="116" t="str">
        <f t="shared" ca="1" si="18"/>
        <v/>
      </c>
      <c r="BC21" s="116" t="str">
        <f t="shared" ca="1" si="18"/>
        <v/>
      </c>
      <c r="BD21" s="116" t="str">
        <f t="shared" ca="1" si="18"/>
        <v/>
      </c>
      <c r="BE21" s="116" t="str">
        <f t="shared" ca="1" si="18"/>
        <v/>
      </c>
      <c r="BF21" s="116" t="str">
        <f t="shared" ca="1" si="18"/>
        <v/>
      </c>
      <c r="BG21" s="116" t="str">
        <f t="shared" ca="1" si="18"/>
        <v/>
      </c>
      <c r="BH21" s="116" t="str">
        <f t="shared" ca="1" si="18"/>
        <v/>
      </c>
      <c r="BI21" s="116" t="str">
        <f t="shared" ca="1" si="18"/>
        <v/>
      </c>
      <c r="BK21" s="84"/>
      <c r="BL21" s="84"/>
      <c r="BM21" s="84"/>
      <c r="BN21" s="84"/>
      <c r="BO21" s="84"/>
      <c r="BP21" s="84"/>
    </row>
    <row r="22" spans="1:68" ht="15" customHeight="1" outlineLevel="1">
      <c r="A22" s="6"/>
      <c r="I22" s="3"/>
      <c r="J22" s="3"/>
      <c r="K22" s="3"/>
      <c r="N22" s="3"/>
      <c r="O22" s="11">
        <f>O21+1</f>
        <v>12</v>
      </c>
      <c r="P22" s="222"/>
      <c r="Q22" s="6" t="s">
        <v>35</v>
      </c>
      <c r="R22" s="6"/>
      <c r="S22" s="6"/>
      <c r="T22" s="6"/>
      <c r="U22" s="6"/>
      <c r="V22" s="6"/>
      <c r="W22" s="116">
        <f t="shared" ca="1" si="10"/>
        <v>10.8</v>
      </c>
      <c r="X22" s="116">
        <f t="shared" ca="1" si="10"/>
        <v>11.34</v>
      </c>
      <c r="Y22" s="116">
        <f t="shared" ca="1" si="10"/>
        <v>11.907</v>
      </c>
      <c r="Z22" s="116">
        <f t="shared" ca="1" si="10"/>
        <v>12.50235</v>
      </c>
      <c r="AA22" s="116">
        <f t="shared" ca="1" si="10"/>
        <v>13.1274675</v>
      </c>
      <c r="AB22" s="116">
        <f t="shared" ca="1" si="10"/>
        <v>13.783840875000001</v>
      </c>
      <c r="AC22" s="257"/>
      <c r="AD22" s="116" t="e">
        <f t="shared" ca="1" si="11"/>
        <v>#N/A</v>
      </c>
      <c r="AE22" s="114"/>
      <c r="AF22" s="118">
        <f t="shared" ref="AF22:BI22" ca="1" si="19">IF($D$2=FALSE,"-",IF(AF$13="","",IF(AF$4&lt;=0,OFFSET(INDIRECT($D$3),$O22-1,$E$10-1+AF$3),AF15*AF65)))</f>
        <v>10.8</v>
      </c>
      <c r="AG22" s="116">
        <f t="shared" ca="1" si="19"/>
        <v>11.34</v>
      </c>
      <c r="AH22" s="116">
        <f t="shared" ca="1" si="19"/>
        <v>11.907</v>
      </c>
      <c r="AI22" s="116">
        <f t="shared" ca="1" si="19"/>
        <v>12.50235</v>
      </c>
      <c r="AJ22" s="116">
        <f t="shared" ca="1" si="19"/>
        <v>13.1274675</v>
      </c>
      <c r="AK22" s="116">
        <f t="shared" ca="1" si="19"/>
        <v>13.783840875000001</v>
      </c>
      <c r="AL22" s="116" t="str">
        <f t="shared" ca="1" si="19"/>
        <v/>
      </c>
      <c r="AM22" s="116" t="str">
        <f t="shared" ca="1" si="19"/>
        <v/>
      </c>
      <c r="AN22" s="116" t="str">
        <f t="shared" ca="1" si="19"/>
        <v/>
      </c>
      <c r="AO22" s="116" t="str">
        <f t="shared" ca="1" si="19"/>
        <v/>
      </c>
      <c r="AP22" s="116" t="str">
        <f t="shared" ca="1" si="19"/>
        <v/>
      </c>
      <c r="AQ22" s="116" t="str">
        <f t="shared" ca="1" si="19"/>
        <v/>
      </c>
      <c r="AR22" s="116" t="str">
        <f t="shared" ca="1" si="19"/>
        <v/>
      </c>
      <c r="AS22" s="116" t="str">
        <f t="shared" ca="1" si="19"/>
        <v/>
      </c>
      <c r="AT22" s="116" t="str">
        <f t="shared" ca="1" si="19"/>
        <v/>
      </c>
      <c r="AU22" s="116" t="str">
        <f t="shared" ca="1" si="19"/>
        <v/>
      </c>
      <c r="AV22" s="116" t="str">
        <f t="shared" ca="1" si="19"/>
        <v/>
      </c>
      <c r="AW22" s="116" t="str">
        <f t="shared" ca="1" si="19"/>
        <v/>
      </c>
      <c r="AX22" s="116" t="str">
        <f t="shared" ca="1" si="19"/>
        <v/>
      </c>
      <c r="AY22" s="116" t="str">
        <f t="shared" ca="1" si="19"/>
        <v/>
      </c>
      <c r="AZ22" s="116" t="str">
        <f t="shared" ca="1" si="19"/>
        <v/>
      </c>
      <c r="BA22" s="116" t="str">
        <f t="shared" ca="1" si="19"/>
        <v/>
      </c>
      <c r="BB22" s="116" t="str">
        <f t="shared" ca="1" si="19"/>
        <v/>
      </c>
      <c r="BC22" s="116" t="str">
        <f t="shared" ca="1" si="19"/>
        <v/>
      </c>
      <c r="BD22" s="116" t="str">
        <f t="shared" ca="1" si="19"/>
        <v/>
      </c>
      <c r="BE22" s="116" t="str">
        <f t="shared" ca="1" si="19"/>
        <v/>
      </c>
      <c r="BF22" s="116" t="str">
        <f t="shared" ca="1" si="19"/>
        <v/>
      </c>
      <c r="BG22" s="116" t="str">
        <f t="shared" ca="1" si="19"/>
        <v/>
      </c>
      <c r="BH22" s="116" t="str">
        <f t="shared" ca="1" si="19"/>
        <v/>
      </c>
      <c r="BI22" s="116" t="str">
        <f t="shared" ca="1" si="19"/>
        <v/>
      </c>
      <c r="BK22" s="84"/>
      <c r="BL22" s="84"/>
      <c r="BM22" s="84"/>
      <c r="BN22" s="84"/>
      <c r="BO22" s="84"/>
      <c r="BP22" s="84"/>
    </row>
    <row r="23" spans="1:68" ht="15" customHeight="1" outlineLevel="1">
      <c r="A23" s="6"/>
      <c r="I23" s="3"/>
      <c r="J23" s="3"/>
      <c r="K23" s="3"/>
      <c r="N23" s="3"/>
      <c r="P23" s="222"/>
      <c r="Q23" s="93" t="s">
        <v>81</v>
      </c>
      <c r="R23" s="93"/>
      <c r="S23" s="93"/>
      <c r="T23" s="93"/>
      <c r="U23" s="93"/>
      <c r="V23" s="6"/>
      <c r="W23" s="119">
        <f t="shared" ca="1" si="10"/>
        <v>90.40000000000002</v>
      </c>
      <c r="X23" s="119">
        <f t="shared" ca="1" si="10"/>
        <v>95.500000000000043</v>
      </c>
      <c r="Y23" s="119">
        <f t="shared" ca="1" si="10"/>
        <v>100.85500000000006</v>
      </c>
      <c r="Z23" s="119">
        <f t="shared" ca="1" si="10"/>
        <v>106.47775000000001</v>
      </c>
      <c r="AA23" s="119">
        <f t="shared" ca="1" si="10"/>
        <v>121.2906375</v>
      </c>
      <c r="AB23" s="119">
        <f t="shared" ca="1" si="10"/>
        <v>130.18071937500002</v>
      </c>
      <c r="AC23" s="257"/>
      <c r="AD23" s="119" t="e">
        <f t="shared" ca="1" si="11"/>
        <v>#N/A</v>
      </c>
      <c r="AE23" s="114"/>
      <c r="AF23" s="120">
        <f t="shared" ref="AF23:BI23" ca="1" si="20">IF($D$2=FALSE,"-",IF(AF$13="","",+AF19-AF20-AF21-AF22))</f>
        <v>90.40000000000002</v>
      </c>
      <c r="AG23" s="119">
        <f t="shared" ca="1" si="20"/>
        <v>95.500000000000043</v>
      </c>
      <c r="AH23" s="119">
        <f t="shared" ca="1" si="20"/>
        <v>100.85500000000006</v>
      </c>
      <c r="AI23" s="119">
        <f t="shared" ca="1" si="20"/>
        <v>106.47775000000001</v>
      </c>
      <c r="AJ23" s="119">
        <f t="shared" ca="1" si="20"/>
        <v>121.2906375</v>
      </c>
      <c r="AK23" s="119">
        <f t="shared" ca="1" si="20"/>
        <v>130.18071937500002</v>
      </c>
      <c r="AL23" s="119" t="str">
        <f t="shared" ca="1" si="20"/>
        <v/>
      </c>
      <c r="AM23" s="119" t="str">
        <f t="shared" ca="1" si="20"/>
        <v/>
      </c>
      <c r="AN23" s="119" t="str">
        <f t="shared" ca="1" si="20"/>
        <v/>
      </c>
      <c r="AO23" s="119" t="str">
        <f t="shared" ca="1" si="20"/>
        <v/>
      </c>
      <c r="AP23" s="119" t="str">
        <f t="shared" ca="1" si="20"/>
        <v/>
      </c>
      <c r="AQ23" s="119" t="str">
        <f t="shared" ca="1" si="20"/>
        <v/>
      </c>
      <c r="AR23" s="119" t="str">
        <f t="shared" ca="1" si="20"/>
        <v/>
      </c>
      <c r="AS23" s="119" t="str">
        <f t="shared" ca="1" si="20"/>
        <v/>
      </c>
      <c r="AT23" s="119" t="str">
        <f t="shared" ca="1" si="20"/>
        <v/>
      </c>
      <c r="AU23" s="119" t="str">
        <f t="shared" ca="1" si="20"/>
        <v/>
      </c>
      <c r="AV23" s="119" t="str">
        <f t="shared" ca="1" si="20"/>
        <v/>
      </c>
      <c r="AW23" s="119" t="str">
        <f t="shared" ca="1" si="20"/>
        <v/>
      </c>
      <c r="AX23" s="119" t="str">
        <f t="shared" ca="1" si="20"/>
        <v/>
      </c>
      <c r="AY23" s="119" t="str">
        <f t="shared" ca="1" si="20"/>
        <v/>
      </c>
      <c r="AZ23" s="119" t="str">
        <f t="shared" ca="1" si="20"/>
        <v/>
      </c>
      <c r="BA23" s="119" t="str">
        <f t="shared" ca="1" si="20"/>
        <v/>
      </c>
      <c r="BB23" s="119" t="str">
        <f t="shared" ca="1" si="20"/>
        <v/>
      </c>
      <c r="BC23" s="119" t="str">
        <f t="shared" ca="1" si="20"/>
        <v/>
      </c>
      <c r="BD23" s="119" t="str">
        <f t="shared" ca="1" si="20"/>
        <v/>
      </c>
      <c r="BE23" s="119" t="str">
        <f t="shared" ca="1" si="20"/>
        <v/>
      </c>
      <c r="BF23" s="119" t="str">
        <f t="shared" ca="1" si="20"/>
        <v/>
      </c>
      <c r="BG23" s="119" t="str">
        <f t="shared" ca="1" si="20"/>
        <v/>
      </c>
      <c r="BH23" s="119" t="str">
        <f t="shared" ca="1" si="20"/>
        <v/>
      </c>
      <c r="BI23" s="119" t="str">
        <f t="shared" ca="1" si="20"/>
        <v/>
      </c>
      <c r="BK23" s="84"/>
      <c r="BL23" s="84"/>
      <c r="BM23" s="84"/>
      <c r="BN23" s="84"/>
      <c r="BO23" s="84"/>
      <c r="BP23" s="84"/>
    </row>
    <row r="24" spans="1:68" ht="15" customHeight="1" outlineLevel="1">
      <c r="A24" s="6"/>
      <c r="I24" s="3"/>
      <c r="J24" s="3"/>
      <c r="K24" s="3"/>
      <c r="N24" s="3"/>
      <c r="P24" s="222"/>
      <c r="Q24" s="31" t="s">
        <v>82</v>
      </c>
      <c r="R24" s="31"/>
      <c r="S24" s="31"/>
      <c r="T24" s="31"/>
      <c r="U24" s="31"/>
      <c r="V24" s="6"/>
      <c r="W24" s="116">
        <f t="shared" ca="1" si="10"/>
        <v>112.80000000000001</v>
      </c>
      <c r="X24" s="116">
        <f t="shared" ca="1" si="10"/>
        <v>118.44000000000004</v>
      </c>
      <c r="Y24" s="116">
        <f t="shared" ca="1" si="10"/>
        <v>124.36200000000005</v>
      </c>
      <c r="Z24" s="116">
        <f t="shared" ca="1" si="10"/>
        <v>130.58010000000002</v>
      </c>
      <c r="AA24" s="116">
        <f t="shared" ca="1" si="10"/>
        <v>137.109105</v>
      </c>
      <c r="AB24" s="116">
        <f t="shared" ca="1" si="10"/>
        <v>143.96456025000003</v>
      </c>
      <c r="AC24" s="257"/>
      <c r="AD24" s="116" t="e">
        <f t="shared" ca="1" si="11"/>
        <v>#N/A</v>
      </c>
      <c r="AE24" s="114"/>
      <c r="AF24" s="118">
        <f t="shared" ref="AF24:BI24" ca="1" si="21">IF($D$2=FALSE,"-",IF(AF$13="","",+AF23+AF22+AF21))</f>
        <v>112.80000000000001</v>
      </c>
      <c r="AG24" s="116">
        <f t="shared" ca="1" si="21"/>
        <v>118.44000000000004</v>
      </c>
      <c r="AH24" s="116">
        <f t="shared" ca="1" si="21"/>
        <v>124.36200000000005</v>
      </c>
      <c r="AI24" s="116">
        <f t="shared" ca="1" si="21"/>
        <v>130.58010000000002</v>
      </c>
      <c r="AJ24" s="116">
        <f t="shared" ca="1" si="21"/>
        <v>137.109105</v>
      </c>
      <c r="AK24" s="116">
        <f t="shared" ca="1" si="21"/>
        <v>143.96456025000003</v>
      </c>
      <c r="AL24" s="116" t="str">
        <f t="shared" ca="1" si="21"/>
        <v/>
      </c>
      <c r="AM24" s="116" t="str">
        <f t="shared" ca="1" si="21"/>
        <v/>
      </c>
      <c r="AN24" s="116" t="str">
        <f t="shared" ca="1" si="21"/>
        <v/>
      </c>
      <c r="AO24" s="116" t="str">
        <f t="shared" ca="1" si="21"/>
        <v/>
      </c>
      <c r="AP24" s="116" t="str">
        <f t="shared" ca="1" si="21"/>
        <v/>
      </c>
      <c r="AQ24" s="116" t="str">
        <f t="shared" ca="1" si="21"/>
        <v/>
      </c>
      <c r="AR24" s="116" t="str">
        <f t="shared" ca="1" si="21"/>
        <v/>
      </c>
      <c r="AS24" s="116" t="str">
        <f t="shared" ca="1" si="21"/>
        <v/>
      </c>
      <c r="AT24" s="116" t="str">
        <f t="shared" ca="1" si="21"/>
        <v/>
      </c>
      <c r="AU24" s="116" t="str">
        <f t="shared" ca="1" si="21"/>
        <v/>
      </c>
      <c r="AV24" s="116" t="str">
        <f t="shared" ca="1" si="21"/>
        <v/>
      </c>
      <c r="AW24" s="116" t="str">
        <f t="shared" ca="1" si="21"/>
        <v/>
      </c>
      <c r="AX24" s="116" t="str">
        <f t="shared" ca="1" si="21"/>
        <v/>
      </c>
      <c r="AY24" s="116" t="str">
        <f t="shared" ca="1" si="21"/>
        <v/>
      </c>
      <c r="AZ24" s="116" t="str">
        <f t="shared" ca="1" si="21"/>
        <v/>
      </c>
      <c r="BA24" s="116" t="str">
        <f t="shared" ca="1" si="21"/>
        <v/>
      </c>
      <c r="BB24" s="116" t="str">
        <f t="shared" ca="1" si="21"/>
        <v/>
      </c>
      <c r="BC24" s="116" t="str">
        <f t="shared" ca="1" si="21"/>
        <v/>
      </c>
      <c r="BD24" s="116" t="str">
        <f t="shared" ca="1" si="21"/>
        <v/>
      </c>
      <c r="BE24" s="116" t="str">
        <f t="shared" ca="1" si="21"/>
        <v/>
      </c>
      <c r="BF24" s="116" t="str">
        <f t="shared" ca="1" si="21"/>
        <v/>
      </c>
      <c r="BG24" s="116" t="str">
        <f t="shared" ca="1" si="21"/>
        <v/>
      </c>
      <c r="BH24" s="116" t="str">
        <f t="shared" ca="1" si="21"/>
        <v/>
      </c>
      <c r="BI24" s="116" t="str">
        <f t="shared" ca="1" si="21"/>
        <v/>
      </c>
      <c r="BK24" s="84"/>
      <c r="BL24" s="84"/>
      <c r="BM24" s="84"/>
      <c r="BN24" s="84"/>
      <c r="BO24" s="84"/>
      <c r="BP24" s="84"/>
    </row>
    <row r="25" spans="1:68" ht="15" customHeight="1" outlineLevel="1">
      <c r="A25" s="6"/>
      <c r="I25" s="3"/>
      <c r="J25" s="3"/>
      <c r="K25" s="3"/>
      <c r="N25" s="3"/>
      <c r="P25" s="3"/>
      <c r="Q25" s="95" t="s">
        <v>36</v>
      </c>
      <c r="R25" s="95"/>
      <c r="S25" s="95"/>
      <c r="T25" s="95"/>
      <c r="U25" s="95"/>
      <c r="V25" s="6"/>
      <c r="W25" s="116"/>
      <c r="X25" s="116"/>
      <c r="Y25" s="116"/>
      <c r="Z25" s="116"/>
      <c r="AA25" s="116"/>
      <c r="AB25" s="116"/>
      <c r="AC25" s="114"/>
      <c r="AD25" s="116"/>
      <c r="AE25" s="114"/>
      <c r="AF25" s="118"/>
      <c r="AG25" s="116"/>
      <c r="AH25" s="116"/>
      <c r="AI25" s="116"/>
      <c r="AJ25" s="116"/>
      <c r="AK25" s="116"/>
      <c r="AL25" s="116"/>
      <c r="AM25" s="116"/>
      <c r="AN25" s="116"/>
      <c r="AO25" s="116"/>
      <c r="AP25" s="116"/>
      <c r="AQ25" s="116"/>
      <c r="AR25" s="116"/>
      <c r="AS25" s="116"/>
      <c r="AT25" s="116"/>
      <c r="AU25" s="116"/>
      <c r="AV25" s="116"/>
      <c r="AW25" s="116"/>
      <c r="AX25" s="116"/>
      <c r="AY25" s="116"/>
      <c r="AZ25" s="116"/>
      <c r="BA25" s="116"/>
      <c r="BB25" s="116"/>
      <c r="BC25" s="116"/>
      <c r="BD25" s="116"/>
      <c r="BE25" s="116"/>
      <c r="BF25" s="116"/>
      <c r="BG25" s="116"/>
      <c r="BH25" s="116"/>
      <c r="BI25" s="116"/>
      <c r="BK25" s="84"/>
      <c r="BL25" s="84"/>
      <c r="BM25" s="84"/>
      <c r="BN25" s="84"/>
      <c r="BO25" s="84"/>
      <c r="BP25" s="84"/>
    </row>
    <row r="26" spans="1:68" ht="15" customHeight="1" outlineLevel="1">
      <c r="A26" s="6"/>
      <c r="I26" s="3"/>
      <c r="J26" s="3"/>
      <c r="K26" s="3"/>
      <c r="N26" s="3"/>
      <c r="P26" s="222"/>
      <c r="Q26" s="87" t="str">
        <f>IF($D$2=FALSE,"-",Q323)</f>
        <v>Cash</v>
      </c>
      <c r="R26" s="87"/>
      <c r="S26" s="87"/>
      <c r="T26" s="87"/>
      <c r="U26" s="87"/>
      <c r="V26" s="6"/>
      <c r="W26" s="116" t="e">
        <f t="shared" ref="W26:AB40" ca="1" si="22">IF($D$2=FALSE,"-",IF(W$13="","",SUM(OFFSET($AF26,0,W$8,1,-$E$5))))</f>
        <v>#N/A</v>
      </c>
      <c r="X26" s="116">
        <f t="shared" ca="1" si="22"/>
        <v>-0.39276499999999998</v>
      </c>
      <c r="Y26" s="116">
        <f t="shared" ca="1" si="22"/>
        <v>-0.24911650000000002</v>
      </c>
      <c r="Z26" s="116">
        <f t="shared" ca="1" si="22"/>
        <v>-0.24911650000000002</v>
      </c>
      <c r="AA26" s="116">
        <f t="shared" ca="1" si="22"/>
        <v>-0.45541872337644473</v>
      </c>
      <c r="AB26" s="116">
        <f t="shared" ca="1" si="22"/>
        <v>-0.68080500002318256</v>
      </c>
      <c r="AC26" s="257"/>
      <c r="AD26" s="116" t="e">
        <f t="shared" ref="AD26:AD40" ca="1" si="23">IF($D$2=FALSE,"-",IF(AD$13="","",SUM(OFFSET($AF26,0,$F$4-AD$7-1,1,-$E$5))+SUM(OFFSET($AF26,0,$F$4-1,1,-AD$7))-SUM(OFFSET($AF26,0,$F$4-$E$5-1,1,-AD$7))))</f>
        <v>#N/A</v>
      </c>
      <c r="AE26" s="114"/>
      <c r="AF26" s="118" t="e">
        <f ca="1">IF($D$2=FALSE,"-",IF(AF$13="","",IF(AF$4&lt;=0,#N/A,-AF383)))</f>
        <v>#N/A</v>
      </c>
      <c r="AG26" s="132">
        <f t="shared" ref="AG26:BI26" ca="1" si="24">IF($D$2=FALSE,"-",IF(AG$13="","",IF(AG$4&lt;=0,#N/A,-AG383)))</f>
        <v>-0.39276499999999998</v>
      </c>
      <c r="AH26" s="116">
        <f t="shared" ca="1" si="24"/>
        <v>-0.24911650000000002</v>
      </c>
      <c r="AI26" s="116">
        <f t="shared" ca="1" si="24"/>
        <v>-0.24911650000000002</v>
      </c>
      <c r="AJ26" s="116">
        <f t="shared" ca="1" si="24"/>
        <v>-0.45541872337644473</v>
      </c>
      <c r="AK26" s="116">
        <f t="shared" ca="1" si="24"/>
        <v>-0.68080500002318256</v>
      </c>
      <c r="AL26" s="116" t="str">
        <f t="shared" ca="1" si="24"/>
        <v/>
      </c>
      <c r="AM26" s="116" t="str">
        <f t="shared" ca="1" si="24"/>
        <v/>
      </c>
      <c r="AN26" s="116" t="str">
        <f t="shared" ca="1" si="24"/>
        <v/>
      </c>
      <c r="AO26" s="116" t="str">
        <f t="shared" ca="1" si="24"/>
        <v/>
      </c>
      <c r="AP26" s="116" t="str">
        <f t="shared" ca="1" si="24"/>
        <v/>
      </c>
      <c r="AQ26" s="116" t="str">
        <f t="shared" ca="1" si="24"/>
        <v/>
      </c>
      <c r="AR26" s="116" t="str">
        <f t="shared" ca="1" si="24"/>
        <v/>
      </c>
      <c r="AS26" s="116" t="str">
        <f t="shared" ca="1" si="24"/>
        <v/>
      </c>
      <c r="AT26" s="116" t="str">
        <f t="shared" ca="1" si="24"/>
        <v/>
      </c>
      <c r="AU26" s="116" t="str">
        <f t="shared" ca="1" si="24"/>
        <v/>
      </c>
      <c r="AV26" s="116" t="str">
        <f t="shared" ca="1" si="24"/>
        <v/>
      </c>
      <c r="AW26" s="116" t="str">
        <f t="shared" ca="1" si="24"/>
        <v/>
      </c>
      <c r="AX26" s="116" t="str">
        <f t="shared" ca="1" si="24"/>
        <v/>
      </c>
      <c r="AY26" s="116" t="str">
        <f t="shared" ca="1" si="24"/>
        <v/>
      </c>
      <c r="AZ26" s="116" t="str">
        <f t="shared" ca="1" si="24"/>
        <v/>
      </c>
      <c r="BA26" s="116" t="str">
        <f t="shared" ca="1" si="24"/>
        <v/>
      </c>
      <c r="BB26" s="116" t="str">
        <f t="shared" ca="1" si="24"/>
        <v/>
      </c>
      <c r="BC26" s="116" t="str">
        <f t="shared" ca="1" si="24"/>
        <v/>
      </c>
      <c r="BD26" s="116" t="str">
        <f t="shared" ca="1" si="24"/>
        <v/>
      </c>
      <c r="BE26" s="116" t="str">
        <f t="shared" ca="1" si="24"/>
        <v/>
      </c>
      <c r="BF26" s="116" t="str">
        <f t="shared" ca="1" si="24"/>
        <v/>
      </c>
      <c r="BG26" s="116" t="str">
        <f t="shared" ca="1" si="24"/>
        <v/>
      </c>
      <c r="BH26" s="116" t="str">
        <f t="shared" ca="1" si="24"/>
        <v/>
      </c>
      <c r="BI26" s="116" t="str">
        <f t="shared" ca="1" si="24"/>
        <v/>
      </c>
      <c r="BK26" s="84"/>
      <c r="BL26" s="84"/>
      <c r="BM26" s="84"/>
      <c r="BN26" s="84"/>
      <c r="BO26" s="84"/>
      <c r="BP26" s="84"/>
    </row>
    <row r="27" spans="1:68" ht="15" customHeight="1" outlineLevel="1">
      <c r="A27" s="6"/>
      <c r="I27" s="3"/>
      <c r="J27" s="3"/>
      <c r="K27" s="3"/>
      <c r="N27" s="3"/>
      <c r="P27" s="222"/>
      <c r="Q27" s="87" t="str">
        <f>IF($D$2=FALSE,"-",Q325&amp;" - "&amp;LOWER(Q333))</f>
        <v>Bank revolver - undrawn commitment fee</v>
      </c>
      <c r="R27" s="87"/>
      <c r="S27" s="87"/>
      <c r="T27" s="87"/>
      <c r="U27" s="87"/>
      <c r="V27" s="6"/>
      <c r="W27" s="116" t="e">
        <f t="shared" ca="1" si="22"/>
        <v>#N/A</v>
      </c>
      <c r="X27" s="116">
        <f t="shared" ca="1" si="22"/>
        <v>0</v>
      </c>
      <c r="Y27" s="116">
        <f t="shared" ca="1" si="22"/>
        <v>0.59215715325000029</v>
      </c>
      <c r="Z27" s="116">
        <f t="shared" ca="1" si="22"/>
        <v>0.96972666588682932</v>
      </c>
      <c r="AA27" s="116">
        <f t="shared" ca="1" si="22"/>
        <v>1</v>
      </c>
      <c r="AB27" s="116">
        <f t="shared" ca="1" si="22"/>
        <v>1</v>
      </c>
      <c r="AC27" s="257"/>
      <c r="AD27" s="116" t="e">
        <f t="shared" ca="1" si="23"/>
        <v>#N/A</v>
      </c>
      <c r="AE27" s="114"/>
      <c r="AF27" s="118" t="e">
        <f ca="1">IF($D$2=FALSE,"-",IF(AF$13="","",IF(AF$4&lt;=0,#N/A,AF385)))</f>
        <v>#N/A</v>
      </c>
      <c r="AG27" s="132">
        <f t="shared" ref="AG27:BI27" ca="1" si="25">IF($D$2=FALSE,"-",IF(AG$13="","",IF(AG$4&lt;=0,#N/A,AG385)))</f>
        <v>0</v>
      </c>
      <c r="AH27" s="116">
        <f t="shared" ca="1" si="25"/>
        <v>0.59215715325000029</v>
      </c>
      <c r="AI27" s="116">
        <f t="shared" ca="1" si="25"/>
        <v>0.96972666588682932</v>
      </c>
      <c r="AJ27" s="116">
        <f t="shared" ca="1" si="25"/>
        <v>1</v>
      </c>
      <c r="AK27" s="116">
        <f t="shared" ca="1" si="25"/>
        <v>1</v>
      </c>
      <c r="AL27" s="116" t="str">
        <f t="shared" ca="1" si="25"/>
        <v/>
      </c>
      <c r="AM27" s="116" t="str">
        <f t="shared" ca="1" si="25"/>
        <v/>
      </c>
      <c r="AN27" s="116" t="str">
        <f t="shared" ca="1" si="25"/>
        <v/>
      </c>
      <c r="AO27" s="116" t="str">
        <f t="shared" ca="1" si="25"/>
        <v/>
      </c>
      <c r="AP27" s="116" t="str">
        <f t="shared" ca="1" si="25"/>
        <v/>
      </c>
      <c r="AQ27" s="116" t="str">
        <f t="shared" ca="1" si="25"/>
        <v/>
      </c>
      <c r="AR27" s="116" t="str">
        <f t="shared" ca="1" si="25"/>
        <v/>
      </c>
      <c r="AS27" s="116" t="str">
        <f t="shared" ca="1" si="25"/>
        <v/>
      </c>
      <c r="AT27" s="116" t="str">
        <f t="shared" ca="1" si="25"/>
        <v/>
      </c>
      <c r="AU27" s="116" t="str">
        <f t="shared" ca="1" si="25"/>
        <v/>
      </c>
      <c r="AV27" s="116" t="str">
        <f t="shared" ca="1" si="25"/>
        <v/>
      </c>
      <c r="AW27" s="116" t="str">
        <f t="shared" ca="1" si="25"/>
        <v/>
      </c>
      <c r="AX27" s="116" t="str">
        <f t="shared" ca="1" si="25"/>
        <v/>
      </c>
      <c r="AY27" s="116" t="str">
        <f t="shared" ca="1" si="25"/>
        <v/>
      </c>
      <c r="AZ27" s="116" t="str">
        <f t="shared" ca="1" si="25"/>
        <v/>
      </c>
      <c r="BA27" s="116" t="str">
        <f t="shared" ca="1" si="25"/>
        <v/>
      </c>
      <c r="BB27" s="116" t="str">
        <f t="shared" ca="1" si="25"/>
        <v/>
      </c>
      <c r="BC27" s="116" t="str">
        <f t="shared" ca="1" si="25"/>
        <v/>
      </c>
      <c r="BD27" s="116" t="str">
        <f t="shared" ca="1" si="25"/>
        <v/>
      </c>
      <c r="BE27" s="116" t="str">
        <f t="shared" ca="1" si="25"/>
        <v/>
      </c>
      <c r="BF27" s="116" t="str">
        <f t="shared" ca="1" si="25"/>
        <v/>
      </c>
      <c r="BG27" s="116" t="str">
        <f t="shared" ca="1" si="25"/>
        <v/>
      </c>
      <c r="BH27" s="116" t="str">
        <f t="shared" ca="1" si="25"/>
        <v/>
      </c>
      <c r="BI27" s="116" t="str">
        <f t="shared" ca="1" si="25"/>
        <v/>
      </c>
      <c r="BK27" s="84"/>
      <c r="BL27" s="84"/>
      <c r="BM27" s="84"/>
      <c r="BN27" s="84"/>
      <c r="BO27" s="84"/>
      <c r="BP27" s="84"/>
    </row>
    <row r="28" spans="1:68" ht="15" customHeight="1" outlineLevel="1">
      <c r="A28" s="6"/>
      <c r="I28" s="3"/>
      <c r="J28" s="3"/>
      <c r="K28" s="3"/>
      <c r="N28" s="3"/>
      <c r="P28" s="222"/>
      <c r="Q28" s="87" t="str">
        <f>IF($D$2=FALSE,"-",Q325)</f>
        <v>Bank revolver</v>
      </c>
      <c r="R28" s="87"/>
      <c r="S28" s="87"/>
      <c r="T28" s="87"/>
      <c r="U28" s="87"/>
      <c r="V28" s="6"/>
      <c r="W28" s="116" t="e">
        <f t="shared" ca="1" si="22"/>
        <v>#N/A</v>
      </c>
      <c r="X28" s="116">
        <f t="shared" ca="1" si="22"/>
        <v>15.97945</v>
      </c>
      <c r="Y28" s="116">
        <f t="shared" ca="1" si="22"/>
        <v>6.5171043774992832</v>
      </c>
      <c r="Z28" s="116">
        <f t="shared" ca="1" si="22"/>
        <v>0.48375122879470722</v>
      </c>
      <c r="AA28" s="116">
        <f t="shared" ca="1" si="22"/>
        <v>0</v>
      </c>
      <c r="AB28" s="116">
        <f t="shared" ca="1" si="22"/>
        <v>0</v>
      </c>
      <c r="AC28" s="257"/>
      <c r="AD28" s="116" t="e">
        <f t="shared" ca="1" si="23"/>
        <v>#N/A</v>
      </c>
      <c r="AE28" s="114"/>
      <c r="AF28" s="118" t="e">
        <f ca="1">IF($D$2=FALSE,"-",IF(AF$13="","",IF(AF$4&lt;=0,#N/A,AF386)))</f>
        <v>#N/A</v>
      </c>
      <c r="AG28" s="132">
        <f t="shared" ref="AG28:BI28" ca="1" si="26">IF($D$2=FALSE,"-",IF(AG$13="","",IF(AG$4&lt;=0,#N/A,AG386)))</f>
        <v>15.97945</v>
      </c>
      <c r="AH28" s="116">
        <f t="shared" ca="1" si="26"/>
        <v>6.5171043774992832</v>
      </c>
      <c r="AI28" s="116">
        <f t="shared" ca="1" si="26"/>
        <v>0.48375122879470722</v>
      </c>
      <c r="AJ28" s="116">
        <f t="shared" ca="1" si="26"/>
        <v>0</v>
      </c>
      <c r="AK28" s="116">
        <f t="shared" ca="1" si="26"/>
        <v>0</v>
      </c>
      <c r="AL28" s="116" t="str">
        <f t="shared" ca="1" si="26"/>
        <v/>
      </c>
      <c r="AM28" s="116" t="str">
        <f t="shared" ca="1" si="26"/>
        <v/>
      </c>
      <c r="AN28" s="116" t="str">
        <f t="shared" ca="1" si="26"/>
        <v/>
      </c>
      <c r="AO28" s="116" t="str">
        <f t="shared" ca="1" si="26"/>
        <v/>
      </c>
      <c r="AP28" s="116" t="str">
        <f t="shared" ca="1" si="26"/>
        <v/>
      </c>
      <c r="AQ28" s="116" t="str">
        <f t="shared" ca="1" si="26"/>
        <v/>
      </c>
      <c r="AR28" s="116" t="str">
        <f t="shared" ca="1" si="26"/>
        <v/>
      </c>
      <c r="AS28" s="116" t="str">
        <f t="shared" ca="1" si="26"/>
        <v/>
      </c>
      <c r="AT28" s="116" t="str">
        <f t="shared" ca="1" si="26"/>
        <v/>
      </c>
      <c r="AU28" s="116" t="str">
        <f t="shared" ca="1" si="26"/>
        <v/>
      </c>
      <c r="AV28" s="116" t="str">
        <f t="shared" ca="1" si="26"/>
        <v/>
      </c>
      <c r="AW28" s="116" t="str">
        <f t="shared" ca="1" si="26"/>
        <v/>
      </c>
      <c r="AX28" s="116" t="str">
        <f t="shared" ca="1" si="26"/>
        <v/>
      </c>
      <c r="AY28" s="116" t="str">
        <f t="shared" ca="1" si="26"/>
        <v/>
      </c>
      <c r="AZ28" s="116" t="str">
        <f t="shared" ca="1" si="26"/>
        <v/>
      </c>
      <c r="BA28" s="116" t="str">
        <f t="shared" ca="1" si="26"/>
        <v/>
      </c>
      <c r="BB28" s="116" t="str">
        <f t="shared" ca="1" si="26"/>
        <v/>
      </c>
      <c r="BC28" s="116" t="str">
        <f t="shared" ca="1" si="26"/>
        <v/>
      </c>
      <c r="BD28" s="116" t="str">
        <f t="shared" ca="1" si="26"/>
        <v/>
      </c>
      <c r="BE28" s="116" t="str">
        <f t="shared" ca="1" si="26"/>
        <v/>
      </c>
      <c r="BF28" s="116" t="str">
        <f t="shared" ca="1" si="26"/>
        <v/>
      </c>
      <c r="BG28" s="116" t="str">
        <f t="shared" ca="1" si="26"/>
        <v/>
      </c>
      <c r="BH28" s="116" t="str">
        <f t="shared" ca="1" si="26"/>
        <v/>
      </c>
      <c r="BI28" s="116" t="str">
        <f t="shared" ca="1" si="26"/>
        <v/>
      </c>
      <c r="BK28" s="84"/>
      <c r="BL28" s="84"/>
      <c r="BM28" s="84"/>
      <c r="BN28" s="84"/>
      <c r="BO28" s="84"/>
      <c r="BP28" s="84"/>
    </row>
    <row r="29" spans="1:68" ht="15" customHeight="1" outlineLevel="1">
      <c r="A29" s="6"/>
      <c r="I29" s="3"/>
      <c r="J29" s="3"/>
      <c r="K29" s="3"/>
      <c r="N29" s="3"/>
      <c r="P29" s="222"/>
      <c r="Q29" s="87" t="str">
        <f>IF($D$2=FALSE,"-",Q335)</f>
        <v>Senior credit facility</v>
      </c>
      <c r="R29" s="87"/>
      <c r="S29" s="87"/>
      <c r="T29" s="87"/>
      <c r="U29" s="87"/>
      <c r="V29" s="6"/>
      <c r="W29" s="116" t="e">
        <f t="shared" ca="1" si="22"/>
        <v>#N/A</v>
      </c>
      <c r="X29" s="116">
        <f t="shared" ca="1" si="22"/>
        <v>0.84897250000000013</v>
      </c>
      <c r="Y29" s="116">
        <f t="shared" ca="1" si="22"/>
        <v>0.72162662500000008</v>
      </c>
      <c r="Z29" s="116">
        <f t="shared" ca="1" si="22"/>
        <v>0.59428075000000002</v>
      </c>
      <c r="AA29" s="116">
        <f t="shared" ca="1" si="22"/>
        <v>0</v>
      </c>
      <c r="AB29" s="116">
        <f t="shared" ca="1" si="22"/>
        <v>0</v>
      </c>
      <c r="AC29" s="257"/>
      <c r="AD29" s="116" t="e">
        <f t="shared" ca="1" si="23"/>
        <v>#N/A</v>
      </c>
      <c r="AE29" s="114"/>
      <c r="AF29" s="118" t="e">
        <f ca="1">IF($D$2=FALSE,"-",IF(AF$13="","",IF(AF$4&lt;=0,#N/A,AF387)))</f>
        <v>#N/A</v>
      </c>
      <c r="AG29" s="132">
        <f t="shared" ref="AG29:BI29" ca="1" si="27">IF($D$2=FALSE,"-",IF(AG$13="","",IF(AG$4&lt;=0,#N/A,AG387)))</f>
        <v>0.84897250000000013</v>
      </c>
      <c r="AH29" s="116">
        <f t="shared" ca="1" si="27"/>
        <v>0.72162662500000008</v>
      </c>
      <c r="AI29" s="116">
        <f t="shared" ca="1" si="27"/>
        <v>0.59428075000000002</v>
      </c>
      <c r="AJ29" s="116">
        <f t="shared" ca="1" si="27"/>
        <v>0</v>
      </c>
      <c r="AK29" s="116">
        <f t="shared" ca="1" si="27"/>
        <v>0</v>
      </c>
      <c r="AL29" s="116" t="str">
        <f t="shared" ca="1" si="27"/>
        <v/>
      </c>
      <c r="AM29" s="116" t="str">
        <f t="shared" ca="1" si="27"/>
        <v/>
      </c>
      <c r="AN29" s="116" t="str">
        <f t="shared" ca="1" si="27"/>
        <v/>
      </c>
      <c r="AO29" s="116" t="str">
        <f t="shared" ca="1" si="27"/>
        <v/>
      </c>
      <c r="AP29" s="116" t="str">
        <f t="shared" ca="1" si="27"/>
        <v/>
      </c>
      <c r="AQ29" s="116" t="str">
        <f t="shared" ca="1" si="27"/>
        <v/>
      </c>
      <c r="AR29" s="116" t="str">
        <f t="shared" ca="1" si="27"/>
        <v/>
      </c>
      <c r="AS29" s="116" t="str">
        <f t="shared" ca="1" si="27"/>
        <v/>
      </c>
      <c r="AT29" s="116" t="str">
        <f t="shared" ca="1" si="27"/>
        <v/>
      </c>
      <c r="AU29" s="116" t="str">
        <f t="shared" ca="1" si="27"/>
        <v/>
      </c>
      <c r="AV29" s="116" t="str">
        <f t="shared" ca="1" si="27"/>
        <v/>
      </c>
      <c r="AW29" s="116" t="str">
        <f t="shared" ca="1" si="27"/>
        <v/>
      </c>
      <c r="AX29" s="116" t="str">
        <f t="shared" ca="1" si="27"/>
        <v/>
      </c>
      <c r="AY29" s="116" t="str">
        <f t="shared" ca="1" si="27"/>
        <v/>
      </c>
      <c r="AZ29" s="116" t="str">
        <f t="shared" ca="1" si="27"/>
        <v/>
      </c>
      <c r="BA29" s="116" t="str">
        <f t="shared" ca="1" si="27"/>
        <v/>
      </c>
      <c r="BB29" s="116" t="str">
        <f t="shared" ca="1" si="27"/>
        <v/>
      </c>
      <c r="BC29" s="116" t="str">
        <f t="shared" ca="1" si="27"/>
        <v/>
      </c>
      <c r="BD29" s="116" t="str">
        <f t="shared" ca="1" si="27"/>
        <v/>
      </c>
      <c r="BE29" s="116" t="str">
        <f t="shared" ca="1" si="27"/>
        <v/>
      </c>
      <c r="BF29" s="116" t="str">
        <f t="shared" ca="1" si="27"/>
        <v/>
      </c>
      <c r="BG29" s="116" t="str">
        <f t="shared" ca="1" si="27"/>
        <v/>
      </c>
      <c r="BH29" s="116" t="str">
        <f t="shared" ca="1" si="27"/>
        <v/>
      </c>
      <c r="BI29" s="116" t="str">
        <f t="shared" ca="1" si="27"/>
        <v/>
      </c>
      <c r="BK29" s="84"/>
      <c r="BL29" s="84"/>
      <c r="BM29" s="84"/>
      <c r="BN29" s="84"/>
      <c r="BO29" s="84"/>
      <c r="BP29" s="84"/>
    </row>
    <row r="30" spans="1:68" ht="15" customHeight="1" outlineLevel="1">
      <c r="A30" s="6"/>
      <c r="I30" s="3"/>
      <c r="J30" s="3"/>
      <c r="K30" s="3"/>
      <c r="N30" s="3"/>
      <c r="P30" s="222"/>
      <c r="Q30" s="87" t="str">
        <f>IF($D$2=FALSE,"-",Q342)</f>
        <v>Subordinated note</v>
      </c>
      <c r="R30" s="87"/>
      <c r="S30" s="87"/>
      <c r="T30" s="87"/>
      <c r="U30" s="87"/>
      <c r="V30" s="6"/>
      <c r="W30" s="116" t="e">
        <f t="shared" ca="1" si="22"/>
        <v>#N/A</v>
      </c>
      <c r="X30" s="116">
        <f t="shared" ca="1" si="22"/>
        <v>3.7537500000000001</v>
      </c>
      <c r="Y30" s="116">
        <f t="shared" ca="1" si="22"/>
        <v>3.1906875000000001</v>
      </c>
      <c r="Z30" s="116">
        <f t="shared" ca="1" si="22"/>
        <v>2.6276250000000001</v>
      </c>
      <c r="AA30" s="116">
        <f t="shared" ca="1" si="22"/>
        <v>2.6276250000000001</v>
      </c>
      <c r="AB30" s="116">
        <f t="shared" ca="1" si="22"/>
        <v>2.6276250000000001</v>
      </c>
      <c r="AC30" s="257"/>
      <c r="AD30" s="116" t="e">
        <f t="shared" ca="1" si="23"/>
        <v>#N/A</v>
      </c>
      <c r="AE30" s="114"/>
      <c r="AF30" s="118" t="e">
        <f ca="1">IF($D$2=FALSE,"-",IF(AF$13="","",IF(AF$4&lt;=0,#N/A,AF388)))</f>
        <v>#N/A</v>
      </c>
      <c r="AG30" s="132">
        <f t="shared" ref="AG30:BI30" ca="1" si="28">IF($D$2=FALSE,"-",IF(AG$13="","",IF(AG$4&lt;=0,#N/A,AG388)))</f>
        <v>3.7537500000000001</v>
      </c>
      <c r="AH30" s="116">
        <f t="shared" ca="1" si="28"/>
        <v>3.1906875000000001</v>
      </c>
      <c r="AI30" s="116">
        <f t="shared" ca="1" si="28"/>
        <v>2.6276250000000001</v>
      </c>
      <c r="AJ30" s="116">
        <f t="shared" ca="1" si="28"/>
        <v>2.6276250000000001</v>
      </c>
      <c r="AK30" s="116">
        <f t="shared" ca="1" si="28"/>
        <v>2.6276250000000001</v>
      </c>
      <c r="AL30" s="116" t="str">
        <f t="shared" ca="1" si="28"/>
        <v/>
      </c>
      <c r="AM30" s="116" t="str">
        <f t="shared" ca="1" si="28"/>
        <v/>
      </c>
      <c r="AN30" s="116" t="str">
        <f t="shared" ca="1" si="28"/>
        <v/>
      </c>
      <c r="AO30" s="116" t="str">
        <f t="shared" ca="1" si="28"/>
        <v/>
      </c>
      <c r="AP30" s="116" t="str">
        <f t="shared" ca="1" si="28"/>
        <v/>
      </c>
      <c r="AQ30" s="116" t="str">
        <f t="shared" ca="1" si="28"/>
        <v/>
      </c>
      <c r="AR30" s="116" t="str">
        <f t="shared" ca="1" si="28"/>
        <v/>
      </c>
      <c r="AS30" s="116" t="str">
        <f t="shared" ca="1" si="28"/>
        <v/>
      </c>
      <c r="AT30" s="116" t="str">
        <f t="shared" ca="1" si="28"/>
        <v/>
      </c>
      <c r="AU30" s="116" t="str">
        <f t="shared" ca="1" si="28"/>
        <v/>
      </c>
      <c r="AV30" s="116" t="str">
        <f t="shared" ca="1" si="28"/>
        <v/>
      </c>
      <c r="AW30" s="116" t="str">
        <f t="shared" ca="1" si="28"/>
        <v/>
      </c>
      <c r="AX30" s="116" t="str">
        <f t="shared" ca="1" si="28"/>
        <v/>
      </c>
      <c r="AY30" s="116" t="str">
        <f t="shared" ca="1" si="28"/>
        <v/>
      </c>
      <c r="AZ30" s="116" t="str">
        <f t="shared" ca="1" si="28"/>
        <v/>
      </c>
      <c r="BA30" s="116" t="str">
        <f t="shared" ca="1" si="28"/>
        <v/>
      </c>
      <c r="BB30" s="116" t="str">
        <f t="shared" ca="1" si="28"/>
        <v/>
      </c>
      <c r="BC30" s="116" t="str">
        <f t="shared" ca="1" si="28"/>
        <v/>
      </c>
      <c r="BD30" s="116" t="str">
        <f t="shared" ca="1" si="28"/>
        <v/>
      </c>
      <c r="BE30" s="116" t="str">
        <f t="shared" ca="1" si="28"/>
        <v/>
      </c>
      <c r="BF30" s="116" t="str">
        <f t="shared" ca="1" si="28"/>
        <v/>
      </c>
      <c r="BG30" s="116" t="str">
        <f t="shared" ca="1" si="28"/>
        <v/>
      </c>
      <c r="BH30" s="116" t="str">
        <f t="shared" ca="1" si="28"/>
        <v/>
      </c>
      <c r="BI30" s="116" t="str">
        <f t="shared" ca="1" si="28"/>
        <v/>
      </c>
      <c r="BK30" s="84"/>
      <c r="BL30" s="84"/>
      <c r="BM30" s="84"/>
      <c r="BN30" s="84"/>
      <c r="BO30" s="84"/>
      <c r="BP30" s="84"/>
    </row>
    <row r="31" spans="1:68" ht="15" customHeight="1" outlineLevel="1">
      <c r="A31" s="6"/>
      <c r="I31" s="3"/>
      <c r="J31" s="3"/>
      <c r="K31" s="3"/>
      <c r="N31" s="3"/>
      <c r="P31" s="222"/>
      <c r="Q31" s="87" t="str">
        <f>IF($D$2=FALSE,"-",Q349)</f>
        <v>Convertible bond</v>
      </c>
      <c r="R31" s="87"/>
      <c r="S31" s="87"/>
      <c r="T31" s="87"/>
      <c r="U31" s="87"/>
      <c r="V31" s="6"/>
      <c r="W31" s="121" t="e">
        <f t="shared" ca="1" si="22"/>
        <v>#N/A</v>
      </c>
      <c r="X31" s="121">
        <f t="shared" ca="1" si="22"/>
        <v>18.05</v>
      </c>
      <c r="Y31" s="121">
        <f t="shared" ca="1" si="22"/>
        <v>18.812374999999999</v>
      </c>
      <c r="Z31" s="121">
        <f t="shared" ca="1" si="22"/>
        <v>19.610962812499999</v>
      </c>
      <c r="AA31" s="121">
        <f t="shared" ca="1" si="22"/>
        <v>20.44748354609375</v>
      </c>
      <c r="AB31" s="121">
        <f t="shared" ca="1" si="22"/>
        <v>20.352483546093751</v>
      </c>
      <c r="AC31" s="257"/>
      <c r="AD31" s="121" t="e">
        <f t="shared" ca="1" si="23"/>
        <v>#N/A</v>
      </c>
      <c r="AE31" s="114"/>
      <c r="AF31" s="178" t="e">
        <f ca="1">IF($D$2=FALSE,"-",IF(AF$13="","",IF(AF$4&lt;=0,#N/A,AF389)))</f>
        <v>#N/A</v>
      </c>
      <c r="AG31" s="200">
        <f t="shared" ref="AG31:BI31" ca="1" si="29">IF($D$2=FALSE,"-",IF(AG$13="","",IF(AG$4&lt;=0,#N/A,AG389)))</f>
        <v>18.05</v>
      </c>
      <c r="AH31" s="121">
        <f t="shared" ca="1" si="29"/>
        <v>18.812374999999999</v>
      </c>
      <c r="AI31" s="121">
        <f t="shared" ca="1" si="29"/>
        <v>19.610962812499999</v>
      </c>
      <c r="AJ31" s="121">
        <f t="shared" ca="1" si="29"/>
        <v>20.44748354609375</v>
      </c>
      <c r="AK31" s="121">
        <f t="shared" ca="1" si="29"/>
        <v>20.352483546093751</v>
      </c>
      <c r="AL31" s="121" t="str">
        <f t="shared" ca="1" si="29"/>
        <v/>
      </c>
      <c r="AM31" s="121" t="str">
        <f t="shared" ca="1" si="29"/>
        <v/>
      </c>
      <c r="AN31" s="121" t="str">
        <f t="shared" ca="1" si="29"/>
        <v/>
      </c>
      <c r="AO31" s="121" t="str">
        <f t="shared" ca="1" si="29"/>
        <v/>
      </c>
      <c r="AP31" s="121" t="str">
        <f t="shared" ca="1" si="29"/>
        <v/>
      </c>
      <c r="AQ31" s="121" t="str">
        <f t="shared" ca="1" si="29"/>
        <v/>
      </c>
      <c r="AR31" s="121" t="str">
        <f t="shared" ca="1" si="29"/>
        <v/>
      </c>
      <c r="AS31" s="121" t="str">
        <f t="shared" ca="1" si="29"/>
        <v/>
      </c>
      <c r="AT31" s="121" t="str">
        <f t="shared" ca="1" si="29"/>
        <v/>
      </c>
      <c r="AU31" s="121" t="str">
        <f t="shared" ca="1" si="29"/>
        <v/>
      </c>
      <c r="AV31" s="121" t="str">
        <f t="shared" ca="1" si="29"/>
        <v/>
      </c>
      <c r="AW31" s="121" t="str">
        <f t="shared" ca="1" si="29"/>
        <v/>
      </c>
      <c r="AX31" s="121" t="str">
        <f t="shared" ca="1" si="29"/>
        <v/>
      </c>
      <c r="AY31" s="121" t="str">
        <f t="shared" ca="1" si="29"/>
        <v/>
      </c>
      <c r="AZ31" s="121" t="str">
        <f t="shared" ca="1" si="29"/>
        <v/>
      </c>
      <c r="BA31" s="121" t="str">
        <f t="shared" ca="1" si="29"/>
        <v/>
      </c>
      <c r="BB31" s="121" t="str">
        <f t="shared" ca="1" si="29"/>
        <v/>
      </c>
      <c r="BC31" s="121" t="str">
        <f t="shared" ca="1" si="29"/>
        <v/>
      </c>
      <c r="BD31" s="121" t="str">
        <f t="shared" ca="1" si="29"/>
        <v/>
      </c>
      <c r="BE31" s="121" t="str">
        <f t="shared" ca="1" si="29"/>
        <v/>
      </c>
      <c r="BF31" s="121" t="str">
        <f t="shared" ca="1" si="29"/>
        <v/>
      </c>
      <c r="BG31" s="121" t="str">
        <f t="shared" ca="1" si="29"/>
        <v/>
      </c>
      <c r="BH31" s="121" t="str">
        <f t="shared" ca="1" si="29"/>
        <v/>
      </c>
      <c r="BI31" s="121" t="str">
        <f t="shared" ca="1" si="29"/>
        <v/>
      </c>
      <c r="BK31" s="84"/>
      <c r="BL31" s="84"/>
      <c r="BM31" s="84"/>
      <c r="BN31" s="84"/>
      <c r="BO31" s="84"/>
      <c r="BP31" s="84"/>
    </row>
    <row r="32" spans="1:68" ht="15" customHeight="1" outlineLevel="1">
      <c r="A32" s="6"/>
      <c r="I32" s="3"/>
      <c r="J32" s="3"/>
      <c r="K32" s="3"/>
      <c r="N32" s="3"/>
      <c r="O32" s="11">
        <f>O22+1</f>
        <v>13</v>
      </c>
      <c r="P32" s="222"/>
      <c r="Q32" s="6" t="s">
        <v>36</v>
      </c>
      <c r="R32" s="6"/>
      <c r="S32" s="6"/>
      <c r="T32" s="6"/>
      <c r="U32" s="6"/>
      <c r="V32" s="6"/>
      <c r="W32" s="116">
        <f t="shared" ca="1" si="22"/>
        <v>28.3</v>
      </c>
      <c r="X32" s="116">
        <f t="shared" ca="1" si="22"/>
        <v>38.239407499999999</v>
      </c>
      <c r="Y32" s="116">
        <f t="shared" ca="1" si="22"/>
        <v>29.584834155749284</v>
      </c>
      <c r="Z32" s="116">
        <f t="shared" ca="1" si="22"/>
        <v>24.037229957181538</v>
      </c>
      <c r="AA32" s="116">
        <f t="shared" ca="1" si="22"/>
        <v>23.619689822717305</v>
      </c>
      <c r="AB32" s="116">
        <f t="shared" ca="1" si="22"/>
        <v>23.299303546070568</v>
      </c>
      <c r="AC32" s="257"/>
      <c r="AD32" s="116" t="e">
        <f t="shared" ca="1" si="23"/>
        <v>#N/A</v>
      </c>
      <c r="AE32" s="114"/>
      <c r="AF32" s="118">
        <f ca="1">IF($D$2=FALSE,"-",IF(AF$13="","",IF(AF$4&lt;=0,OFFSET(INDIRECT($D$3),$O32-1,$E$10-1+AF$3),SUM(AF26:AF31))))</f>
        <v>28.3</v>
      </c>
      <c r="AG32" s="116">
        <f t="shared" ref="AG32:BI32" ca="1" si="30">IF($D$2=FALSE,"-",IF(AG$13="","",IF(AG$4&lt;=0,OFFSET(INDIRECT($D$3),$O32-1,$E$10-1+AG$3),SUM(AG26:AG31))))</f>
        <v>38.239407499999999</v>
      </c>
      <c r="AH32" s="116">
        <f t="shared" ca="1" si="30"/>
        <v>29.584834155749284</v>
      </c>
      <c r="AI32" s="116">
        <f t="shared" ca="1" si="30"/>
        <v>24.037229957181538</v>
      </c>
      <c r="AJ32" s="116">
        <f t="shared" ca="1" si="30"/>
        <v>23.619689822717305</v>
      </c>
      <c r="AK32" s="116">
        <f t="shared" ca="1" si="30"/>
        <v>23.299303546070568</v>
      </c>
      <c r="AL32" s="116" t="str">
        <f t="shared" ca="1" si="30"/>
        <v/>
      </c>
      <c r="AM32" s="116" t="str">
        <f t="shared" ca="1" si="30"/>
        <v/>
      </c>
      <c r="AN32" s="116" t="str">
        <f t="shared" ca="1" si="30"/>
        <v/>
      </c>
      <c r="AO32" s="116" t="str">
        <f t="shared" ca="1" si="30"/>
        <v/>
      </c>
      <c r="AP32" s="116" t="str">
        <f t="shared" ca="1" si="30"/>
        <v/>
      </c>
      <c r="AQ32" s="116" t="str">
        <f t="shared" ca="1" si="30"/>
        <v/>
      </c>
      <c r="AR32" s="116" t="str">
        <f t="shared" ca="1" si="30"/>
        <v/>
      </c>
      <c r="AS32" s="116" t="str">
        <f t="shared" ca="1" si="30"/>
        <v/>
      </c>
      <c r="AT32" s="116" t="str">
        <f t="shared" ca="1" si="30"/>
        <v/>
      </c>
      <c r="AU32" s="116" t="str">
        <f t="shared" ca="1" si="30"/>
        <v/>
      </c>
      <c r="AV32" s="116" t="str">
        <f t="shared" ca="1" si="30"/>
        <v/>
      </c>
      <c r="AW32" s="116" t="str">
        <f t="shared" ca="1" si="30"/>
        <v/>
      </c>
      <c r="AX32" s="116" t="str">
        <f t="shared" ca="1" si="30"/>
        <v/>
      </c>
      <c r="AY32" s="116" t="str">
        <f t="shared" ca="1" si="30"/>
        <v/>
      </c>
      <c r="AZ32" s="116" t="str">
        <f t="shared" ca="1" si="30"/>
        <v/>
      </c>
      <c r="BA32" s="116" t="str">
        <f t="shared" ca="1" si="30"/>
        <v/>
      </c>
      <c r="BB32" s="116" t="str">
        <f t="shared" ca="1" si="30"/>
        <v/>
      </c>
      <c r="BC32" s="116" t="str">
        <f t="shared" ca="1" si="30"/>
        <v/>
      </c>
      <c r="BD32" s="116" t="str">
        <f t="shared" ca="1" si="30"/>
        <v/>
      </c>
      <c r="BE32" s="116" t="str">
        <f t="shared" ca="1" si="30"/>
        <v/>
      </c>
      <c r="BF32" s="116" t="str">
        <f t="shared" ca="1" si="30"/>
        <v/>
      </c>
      <c r="BG32" s="116" t="str">
        <f t="shared" ca="1" si="30"/>
        <v/>
      </c>
      <c r="BH32" s="116" t="str">
        <f t="shared" ca="1" si="30"/>
        <v/>
      </c>
      <c r="BI32" s="116" t="str">
        <f t="shared" ca="1" si="30"/>
        <v/>
      </c>
      <c r="BK32" s="84"/>
      <c r="BL32" s="84"/>
      <c r="BM32" s="84"/>
      <c r="BN32" s="84"/>
      <c r="BO32" s="84"/>
      <c r="BP32" s="84"/>
    </row>
    <row r="33" spans="1:68" ht="15" customHeight="1" outlineLevel="1">
      <c r="A33" s="6"/>
      <c r="B33" s="34">
        <f>$B$57</f>
        <v>44926</v>
      </c>
      <c r="C33" s="34">
        <f ca="1">$C$57</f>
        <v>44926</v>
      </c>
      <c r="D33" s="107">
        <f ca="1">IF($D$2=FALSE,"-",AVERAGE(OFFSET($AF33,0,MATCH(B33,OFFSET($AF$13,0,0,1,$G$4-$E$4+1),0)-1,1,MATCH(C33,OFFSET($AF$13,0,0,1,$G$4-$E$4+1),0)-MATCH(B33,OFFSET($AF$13,0,0,1,$G$4-$E$4+1),0)+1)))</f>
        <v>5</v>
      </c>
      <c r="E33" s="96">
        <v>5</v>
      </c>
      <c r="F33" s="107">
        <f t="shared" ref="F33" si="31">IF($D$2=FALSE,"-",IF(E33="",D33,E33))</f>
        <v>5</v>
      </c>
      <c r="G33" s="34">
        <f>$G$57</f>
        <v>44926</v>
      </c>
      <c r="H33" s="37">
        <f ca="1">$H$57</f>
        <v>44926</v>
      </c>
      <c r="I33" s="107">
        <f ca="1">IF($D$2=FALSE,"-",AVERAGE(OFFSET($AF33,0,MATCH(G33,OFFSET($AF$13,0,0,1,$G$4-$E$4+1),0)-1,1,MATCH(H33,OFFSET($AF$13,0,0,1,$G$4-$E$4+1),0)-MATCH(G33,OFFSET($AF$13,0,0,1,$G$4-$E$4+1),0)+1)))</f>
        <v>5</v>
      </c>
      <c r="J33" s="96">
        <v>5</v>
      </c>
      <c r="K33" s="107">
        <f>IF($D$2=FALSE,"-",IF(J33="",I33,J33))</f>
        <v>5</v>
      </c>
      <c r="L33" s="112">
        <v>5</v>
      </c>
      <c r="M33" s="81">
        <v>0.1</v>
      </c>
      <c r="N33" s="3"/>
      <c r="O33" s="11">
        <f>O32+1</f>
        <v>14</v>
      </c>
      <c r="P33" s="222"/>
      <c r="Q33" s="6" t="s">
        <v>41</v>
      </c>
      <c r="R33" s="6"/>
      <c r="S33" s="6"/>
      <c r="T33" s="6"/>
      <c r="U33" s="6"/>
      <c r="V33" s="6"/>
      <c r="W33" s="116">
        <f t="shared" ca="1" si="22"/>
        <v>5</v>
      </c>
      <c r="X33" s="116">
        <f t="shared" ca="1" si="22"/>
        <v>5</v>
      </c>
      <c r="Y33" s="116">
        <f t="shared" ca="1" si="22"/>
        <v>5</v>
      </c>
      <c r="Z33" s="116">
        <f t="shared" ca="1" si="22"/>
        <v>5</v>
      </c>
      <c r="AA33" s="116">
        <f t="shared" ca="1" si="22"/>
        <v>5</v>
      </c>
      <c r="AB33" s="116">
        <f t="shared" ca="1" si="22"/>
        <v>5</v>
      </c>
      <c r="AC33" s="257"/>
      <c r="AD33" s="116" t="e">
        <f t="shared" ca="1" si="23"/>
        <v>#N/A</v>
      </c>
      <c r="AE33" s="114"/>
      <c r="AF33" s="118">
        <f t="shared" ref="AF33:AO34" ca="1" si="32">IF($D$2=FALSE,"-",IF(AF$13="","",IF(AF$4&lt;=0,OFFSET(INDIRECT($D$3),$O33-1,$E$10-1+AF$3),IF(AF$4&lt;=$L33,IF($M33=0,$F33-((IF($M33=0,($F33-$K33)/$L33,($K33-$F33)/(EXP(-$M33*$L33)-1)))*(AF$4-1)),($F33-(IF($M33=0,($F33-$K33)/$L33,($K33-$F33)/(EXP(-$M33*$L33)-1))))+((IF($M33=0,($F33-$K33)/$L33,($K33-$F33)/(EXP(-$M33*$L33)-1)))*EXP(-$M33*(AF$4-1)))),$K33))))</f>
        <v>5</v>
      </c>
      <c r="AG33" s="116">
        <f t="shared" ca="1" si="32"/>
        <v>5</v>
      </c>
      <c r="AH33" s="116">
        <f t="shared" ca="1" si="32"/>
        <v>5</v>
      </c>
      <c r="AI33" s="116">
        <f t="shared" ca="1" si="32"/>
        <v>5</v>
      </c>
      <c r="AJ33" s="116">
        <f t="shared" ca="1" si="32"/>
        <v>5</v>
      </c>
      <c r="AK33" s="116">
        <f t="shared" ca="1" si="32"/>
        <v>5</v>
      </c>
      <c r="AL33" s="116" t="str">
        <f t="shared" ca="1" si="32"/>
        <v/>
      </c>
      <c r="AM33" s="116" t="str">
        <f t="shared" ca="1" si="32"/>
        <v/>
      </c>
      <c r="AN33" s="116" t="str">
        <f t="shared" ca="1" si="32"/>
        <v/>
      </c>
      <c r="AO33" s="116" t="str">
        <f t="shared" ca="1" si="32"/>
        <v/>
      </c>
      <c r="AP33" s="116" t="str">
        <f t="shared" ref="AP33:AY34" ca="1" si="33">IF($D$2=FALSE,"-",IF(AP$13="","",IF(AP$4&lt;=0,OFFSET(INDIRECT($D$3),$O33-1,$E$10-1+AP$3),IF(AP$4&lt;=$L33,IF($M33=0,$F33-((IF($M33=0,($F33-$K33)/$L33,($K33-$F33)/(EXP(-$M33*$L33)-1)))*(AP$4-1)),($F33-(IF($M33=0,($F33-$K33)/$L33,($K33-$F33)/(EXP(-$M33*$L33)-1))))+((IF($M33=0,($F33-$K33)/$L33,($K33-$F33)/(EXP(-$M33*$L33)-1)))*EXP(-$M33*(AP$4-1)))),$K33))))</f>
        <v/>
      </c>
      <c r="AQ33" s="116" t="str">
        <f t="shared" ca="1" si="33"/>
        <v/>
      </c>
      <c r="AR33" s="116" t="str">
        <f t="shared" ca="1" si="33"/>
        <v/>
      </c>
      <c r="AS33" s="116" t="str">
        <f t="shared" ca="1" si="33"/>
        <v/>
      </c>
      <c r="AT33" s="116" t="str">
        <f t="shared" ca="1" si="33"/>
        <v/>
      </c>
      <c r="AU33" s="116" t="str">
        <f t="shared" ca="1" si="33"/>
        <v/>
      </c>
      <c r="AV33" s="116" t="str">
        <f t="shared" ca="1" si="33"/>
        <v/>
      </c>
      <c r="AW33" s="116" t="str">
        <f t="shared" ca="1" si="33"/>
        <v/>
      </c>
      <c r="AX33" s="116" t="str">
        <f t="shared" ca="1" si="33"/>
        <v/>
      </c>
      <c r="AY33" s="116" t="str">
        <f t="shared" ca="1" si="33"/>
        <v/>
      </c>
      <c r="AZ33" s="116" t="str">
        <f t="shared" ref="AZ33:BI34" ca="1" si="34">IF($D$2=FALSE,"-",IF(AZ$13="","",IF(AZ$4&lt;=0,OFFSET(INDIRECT($D$3),$O33-1,$E$10-1+AZ$3),IF(AZ$4&lt;=$L33,IF($M33=0,$F33-((IF($M33=0,($F33-$K33)/$L33,($K33-$F33)/(EXP(-$M33*$L33)-1)))*(AZ$4-1)),($F33-(IF($M33=0,($F33-$K33)/$L33,($K33-$F33)/(EXP(-$M33*$L33)-1))))+((IF($M33=0,($F33-$K33)/$L33,($K33-$F33)/(EXP(-$M33*$L33)-1)))*EXP(-$M33*(AZ$4-1)))),$K33))))</f>
        <v/>
      </c>
      <c r="BA33" s="116" t="str">
        <f t="shared" ca="1" si="34"/>
        <v/>
      </c>
      <c r="BB33" s="116" t="str">
        <f t="shared" ca="1" si="34"/>
        <v/>
      </c>
      <c r="BC33" s="116" t="str">
        <f t="shared" ca="1" si="34"/>
        <v/>
      </c>
      <c r="BD33" s="116" t="str">
        <f t="shared" ca="1" si="34"/>
        <v/>
      </c>
      <c r="BE33" s="116" t="str">
        <f t="shared" ca="1" si="34"/>
        <v/>
      </c>
      <c r="BF33" s="116" t="str">
        <f t="shared" ca="1" si="34"/>
        <v/>
      </c>
      <c r="BG33" s="116" t="str">
        <f t="shared" ca="1" si="34"/>
        <v/>
      </c>
      <c r="BH33" s="116" t="str">
        <f t="shared" ca="1" si="34"/>
        <v/>
      </c>
      <c r="BI33" s="116" t="str">
        <f t="shared" ca="1" si="34"/>
        <v/>
      </c>
      <c r="BK33" s="84"/>
      <c r="BL33" s="84"/>
      <c r="BM33" s="84"/>
      <c r="BN33" s="84"/>
      <c r="BO33" s="84"/>
      <c r="BP33" s="84"/>
    </row>
    <row r="34" spans="1:68" ht="15" customHeight="1" outlineLevel="1">
      <c r="B34" s="34">
        <f>$B$57</f>
        <v>44926</v>
      </c>
      <c r="C34" s="34">
        <f ca="1">$C$57</f>
        <v>44926</v>
      </c>
      <c r="D34" s="107">
        <f ca="1">IF($D$2=FALSE,"-",AVERAGE(OFFSET($AF34,0,MATCH(B34,OFFSET($AF$13,0,0,1,$G$4-$E$4+1),0)-1,1,MATCH(C34,OFFSET($AF$13,0,0,1,$G$4-$E$4+1),0)-MATCH(B34,OFFSET($AF$13,0,0,1,$G$4-$E$4+1),0)+1)))</f>
        <v>1</v>
      </c>
      <c r="E34" s="96">
        <v>1</v>
      </c>
      <c r="F34" s="107">
        <f t="shared" ref="F34" si="35">IF($D$2=FALSE,"-",IF(E34="",D34,E34))</f>
        <v>1</v>
      </c>
      <c r="G34" s="34">
        <f>$G$57</f>
        <v>44926</v>
      </c>
      <c r="H34" s="37">
        <f ca="1">$H$57</f>
        <v>44926</v>
      </c>
      <c r="I34" s="107">
        <f ca="1">IF($D$2=FALSE,"-",AVERAGE(OFFSET($AF34,0,MATCH(G34,OFFSET($AF$13,0,0,1,$G$4-$E$4+1),0)-1,1,MATCH(H34,OFFSET($AF$13,0,0,1,$G$4-$E$4+1),0)-MATCH(G34,OFFSET($AF$13,0,0,1,$G$4-$E$4+1),0)+1)))</f>
        <v>1</v>
      </c>
      <c r="J34" s="96">
        <v>1</v>
      </c>
      <c r="K34" s="127">
        <f>IF($D$2=FALSE,"-",IF(J34="",I34,J34))</f>
        <v>1</v>
      </c>
      <c r="L34" s="126">
        <v>5</v>
      </c>
      <c r="M34" s="81">
        <v>0.1</v>
      </c>
      <c r="O34" s="11">
        <f>O33+1</f>
        <v>15</v>
      </c>
      <c r="P34" s="222"/>
      <c r="Q34" s="100" t="s">
        <v>42</v>
      </c>
      <c r="R34" s="100"/>
      <c r="S34" s="100"/>
      <c r="T34" s="100"/>
      <c r="U34" s="100"/>
      <c r="W34" s="122">
        <f t="shared" ca="1" si="22"/>
        <v>1</v>
      </c>
      <c r="X34" s="122">
        <f t="shared" ca="1" si="22"/>
        <v>1</v>
      </c>
      <c r="Y34" s="122">
        <f t="shared" ca="1" si="22"/>
        <v>1</v>
      </c>
      <c r="Z34" s="122">
        <f t="shared" ca="1" si="22"/>
        <v>1</v>
      </c>
      <c r="AA34" s="122">
        <f t="shared" ca="1" si="22"/>
        <v>1</v>
      </c>
      <c r="AB34" s="122">
        <f t="shared" ca="1" si="22"/>
        <v>1</v>
      </c>
      <c r="AC34" s="257"/>
      <c r="AD34" s="122" t="e">
        <f t="shared" ca="1" si="23"/>
        <v>#N/A</v>
      </c>
      <c r="AE34" s="123"/>
      <c r="AF34" s="124">
        <f t="shared" ca="1" si="32"/>
        <v>1</v>
      </c>
      <c r="AG34" s="125">
        <f t="shared" ca="1" si="32"/>
        <v>1</v>
      </c>
      <c r="AH34" s="125">
        <f t="shared" ca="1" si="32"/>
        <v>1</v>
      </c>
      <c r="AI34" s="125">
        <f t="shared" ca="1" si="32"/>
        <v>1</v>
      </c>
      <c r="AJ34" s="125">
        <f t="shared" ca="1" si="32"/>
        <v>1</v>
      </c>
      <c r="AK34" s="125">
        <f t="shared" ca="1" si="32"/>
        <v>1</v>
      </c>
      <c r="AL34" s="125" t="str">
        <f t="shared" ca="1" si="32"/>
        <v/>
      </c>
      <c r="AM34" s="125" t="str">
        <f t="shared" ca="1" si="32"/>
        <v/>
      </c>
      <c r="AN34" s="125" t="str">
        <f t="shared" ca="1" si="32"/>
        <v/>
      </c>
      <c r="AO34" s="125" t="str">
        <f t="shared" ca="1" si="32"/>
        <v/>
      </c>
      <c r="AP34" s="125" t="str">
        <f t="shared" ca="1" si="33"/>
        <v/>
      </c>
      <c r="AQ34" s="125" t="str">
        <f t="shared" ca="1" si="33"/>
        <v/>
      </c>
      <c r="AR34" s="125" t="str">
        <f t="shared" ca="1" si="33"/>
        <v/>
      </c>
      <c r="AS34" s="125" t="str">
        <f t="shared" ca="1" si="33"/>
        <v/>
      </c>
      <c r="AT34" s="125" t="str">
        <f t="shared" ca="1" si="33"/>
        <v/>
      </c>
      <c r="AU34" s="125" t="str">
        <f t="shared" ca="1" si="33"/>
        <v/>
      </c>
      <c r="AV34" s="125" t="str">
        <f t="shared" ca="1" si="33"/>
        <v/>
      </c>
      <c r="AW34" s="125" t="str">
        <f t="shared" ca="1" si="33"/>
        <v/>
      </c>
      <c r="AX34" s="125" t="str">
        <f t="shared" ca="1" si="33"/>
        <v/>
      </c>
      <c r="AY34" s="125" t="str">
        <f t="shared" ca="1" si="33"/>
        <v/>
      </c>
      <c r="AZ34" s="125" t="str">
        <f t="shared" ca="1" si="34"/>
        <v/>
      </c>
      <c r="BA34" s="125" t="str">
        <f t="shared" ca="1" si="34"/>
        <v/>
      </c>
      <c r="BB34" s="125" t="str">
        <f t="shared" ca="1" si="34"/>
        <v/>
      </c>
      <c r="BC34" s="125" t="str">
        <f t="shared" ca="1" si="34"/>
        <v/>
      </c>
      <c r="BD34" s="125" t="str">
        <f t="shared" ca="1" si="34"/>
        <v/>
      </c>
      <c r="BE34" s="125" t="str">
        <f t="shared" ca="1" si="34"/>
        <v/>
      </c>
      <c r="BF34" s="125" t="str">
        <f t="shared" ca="1" si="34"/>
        <v/>
      </c>
      <c r="BG34" s="125" t="str">
        <f t="shared" ca="1" si="34"/>
        <v/>
      </c>
      <c r="BH34" s="125" t="str">
        <f t="shared" ca="1" si="34"/>
        <v/>
      </c>
      <c r="BI34" s="125" t="str">
        <f t="shared" ca="1" si="34"/>
        <v/>
      </c>
      <c r="BK34" s="84"/>
      <c r="BL34" s="84"/>
      <c r="BM34" s="84"/>
      <c r="BN34" s="84"/>
      <c r="BO34" s="84"/>
      <c r="BP34" s="84"/>
    </row>
    <row r="35" spans="1:68" ht="15" customHeight="1" outlineLevel="1">
      <c r="A35" s="64"/>
      <c r="N35" s="3"/>
      <c r="P35" s="222"/>
      <c r="Q35" s="6" t="s">
        <v>83</v>
      </c>
      <c r="R35" s="6"/>
      <c r="S35" s="6"/>
      <c r="T35" s="6"/>
      <c r="U35" s="6"/>
      <c r="V35" s="64"/>
      <c r="W35" s="119">
        <f t="shared" ca="1" si="22"/>
        <v>66.100000000000023</v>
      </c>
      <c r="X35" s="119">
        <f t="shared" ca="1" si="22"/>
        <v>61.260592500000044</v>
      </c>
      <c r="Y35" s="119">
        <f t="shared" ca="1" si="22"/>
        <v>75.270165844250783</v>
      </c>
      <c r="Z35" s="119">
        <f t="shared" ca="1" si="22"/>
        <v>86.440520042818477</v>
      </c>
      <c r="AA35" s="119">
        <f t="shared" ca="1" si="22"/>
        <v>101.6709476772827</v>
      </c>
      <c r="AB35" s="119">
        <f t="shared" ca="1" si="22"/>
        <v>110.88141582892945</v>
      </c>
      <c r="AC35" s="257"/>
      <c r="AD35" s="119" t="e">
        <f t="shared" ca="1" si="23"/>
        <v>#N/A</v>
      </c>
      <c r="AE35" s="114"/>
      <c r="AF35" s="120">
        <f t="shared" ref="AF35:BI35" ca="1" si="36">IF($D$2=FALSE,"-",IF(AF$13="","",+AF23-AF32+AF33-AF34))</f>
        <v>66.100000000000023</v>
      </c>
      <c r="AG35" s="119">
        <f t="shared" ca="1" si="36"/>
        <v>61.260592500000044</v>
      </c>
      <c r="AH35" s="119">
        <f t="shared" ca="1" si="36"/>
        <v>75.270165844250783</v>
      </c>
      <c r="AI35" s="119">
        <f t="shared" ca="1" si="36"/>
        <v>86.440520042818477</v>
      </c>
      <c r="AJ35" s="119">
        <f t="shared" ca="1" si="36"/>
        <v>101.6709476772827</v>
      </c>
      <c r="AK35" s="119">
        <f t="shared" ca="1" si="36"/>
        <v>110.88141582892945</v>
      </c>
      <c r="AL35" s="119" t="str">
        <f t="shared" ca="1" si="36"/>
        <v/>
      </c>
      <c r="AM35" s="119" t="str">
        <f t="shared" ca="1" si="36"/>
        <v/>
      </c>
      <c r="AN35" s="119" t="str">
        <f t="shared" ca="1" si="36"/>
        <v/>
      </c>
      <c r="AO35" s="119" t="str">
        <f t="shared" ca="1" si="36"/>
        <v/>
      </c>
      <c r="AP35" s="119" t="str">
        <f t="shared" ca="1" si="36"/>
        <v/>
      </c>
      <c r="AQ35" s="119" t="str">
        <f t="shared" ca="1" si="36"/>
        <v/>
      </c>
      <c r="AR35" s="119" t="str">
        <f t="shared" ca="1" si="36"/>
        <v/>
      </c>
      <c r="AS35" s="119" t="str">
        <f t="shared" ca="1" si="36"/>
        <v/>
      </c>
      <c r="AT35" s="119" t="str">
        <f t="shared" ca="1" si="36"/>
        <v/>
      </c>
      <c r="AU35" s="119" t="str">
        <f t="shared" ca="1" si="36"/>
        <v/>
      </c>
      <c r="AV35" s="119" t="str">
        <f t="shared" ca="1" si="36"/>
        <v/>
      </c>
      <c r="AW35" s="119" t="str">
        <f t="shared" ca="1" si="36"/>
        <v/>
      </c>
      <c r="AX35" s="119" t="str">
        <f t="shared" ca="1" si="36"/>
        <v/>
      </c>
      <c r="AY35" s="119" t="str">
        <f t="shared" ca="1" si="36"/>
        <v/>
      </c>
      <c r="AZ35" s="119" t="str">
        <f t="shared" ca="1" si="36"/>
        <v/>
      </c>
      <c r="BA35" s="119" t="str">
        <f t="shared" ca="1" si="36"/>
        <v/>
      </c>
      <c r="BB35" s="119" t="str">
        <f t="shared" ca="1" si="36"/>
        <v/>
      </c>
      <c r="BC35" s="119" t="str">
        <f t="shared" ca="1" si="36"/>
        <v/>
      </c>
      <c r="BD35" s="119" t="str">
        <f t="shared" ca="1" si="36"/>
        <v/>
      </c>
      <c r="BE35" s="119" t="str">
        <f t="shared" ca="1" si="36"/>
        <v/>
      </c>
      <c r="BF35" s="119" t="str">
        <f t="shared" ca="1" si="36"/>
        <v/>
      </c>
      <c r="BG35" s="119" t="str">
        <f t="shared" ca="1" si="36"/>
        <v/>
      </c>
      <c r="BH35" s="119" t="str">
        <f t="shared" ca="1" si="36"/>
        <v/>
      </c>
      <c r="BI35" s="119" t="str">
        <f t="shared" ca="1" si="36"/>
        <v/>
      </c>
      <c r="BK35" s="84"/>
      <c r="BL35" s="84"/>
      <c r="BM35" s="84"/>
      <c r="BN35" s="84"/>
      <c r="BO35" s="84"/>
      <c r="BP35" s="84"/>
    </row>
    <row r="36" spans="1:68" ht="15" customHeight="1" outlineLevel="1">
      <c r="A36" s="65"/>
      <c r="N36" s="3"/>
      <c r="O36" s="11">
        <f>O34+1</f>
        <v>16</v>
      </c>
      <c r="P36" s="222"/>
      <c r="Q36" s="22" t="s">
        <v>43</v>
      </c>
      <c r="R36" s="22"/>
      <c r="S36" s="22"/>
      <c r="T36" s="22"/>
      <c r="U36" s="22"/>
      <c r="V36" s="65"/>
      <c r="W36" s="121">
        <f t="shared" ca="1" si="22"/>
        <v>28.4</v>
      </c>
      <c r="X36" s="121">
        <f t="shared" ca="1" si="22"/>
        <v>24.184629993851271</v>
      </c>
      <c r="Y36" s="121">
        <f t="shared" ca="1" si="22"/>
        <v>29.788550393778305</v>
      </c>
      <c r="Z36" s="121">
        <f t="shared" ca="1" si="22"/>
        <v>34.256764680507679</v>
      </c>
      <c r="AA36" s="121">
        <f t="shared" ca="1" si="22"/>
        <v>40.349034732072987</v>
      </c>
      <c r="AB36" s="121">
        <f t="shared" ca="1" si="22"/>
        <v>44.033281860774672</v>
      </c>
      <c r="AC36" s="257"/>
      <c r="AD36" s="121" t="e">
        <f t="shared" ca="1" si="23"/>
        <v>#N/A</v>
      </c>
      <c r="AE36" s="114"/>
      <c r="AF36" s="283">
        <f t="shared" ref="AF36:BI36" ca="1" si="37">IF($D$2=FALSE,"-",IF(AF$13="","",IF(AF$4&lt;=0,OFFSET(INDIRECT($D$3),$O36-1,$E$10-1+AF$3),AF35*AF79-AF93)))</f>
        <v>28.4</v>
      </c>
      <c r="AG36" s="284">
        <f t="shared" ca="1" si="37"/>
        <v>24.184629993851271</v>
      </c>
      <c r="AH36" s="284">
        <f t="shared" ca="1" si="37"/>
        <v>29.788550393778305</v>
      </c>
      <c r="AI36" s="284">
        <f t="shared" ca="1" si="37"/>
        <v>34.256764680507679</v>
      </c>
      <c r="AJ36" s="284">
        <f t="shared" ca="1" si="37"/>
        <v>40.349034732072987</v>
      </c>
      <c r="AK36" s="284">
        <f t="shared" ca="1" si="37"/>
        <v>44.033281860774672</v>
      </c>
      <c r="AL36" s="284" t="str">
        <f t="shared" ca="1" si="37"/>
        <v/>
      </c>
      <c r="AM36" s="284" t="str">
        <f t="shared" ca="1" si="37"/>
        <v/>
      </c>
      <c r="AN36" s="284" t="str">
        <f t="shared" ca="1" si="37"/>
        <v/>
      </c>
      <c r="AO36" s="284" t="str">
        <f t="shared" ca="1" si="37"/>
        <v/>
      </c>
      <c r="AP36" s="284" t="str">
        <f t="shared" ca="1" si="37"/>
        <v/>
      </c>
      <c r="AQ36" s="284" t="str">
        <f t="shared" ca="1" si="37"/>
        <v/>
      </c>
      <c r="AR36" s="284" t="str">
        <f t="shared" ca="1" si="37"/>
        <v/>
      </c>
      <c r="AS36" s="284" t="str">
        <f t="shared" ca="1" si="37"/>
        <v/>
      </c>
      <c r="AT36" s="284" t="str">
        <f t="shared" ca="1" si="37"/>
        <v/>
      </c>
      <c r="AU36" s="284" t="str">
        <f t="shared" ca="1" si="37"/>
        <v/>
      </c>
      <c r="AV36" s="284" t="str">
        <f t="shared" ca="1" si="37"/>
        <v/>
      </c>
      <c r="AW36" s="284" t="str">
        <f t="shared" ca="1" si="37"/>
        <v/>
      </c>
      <c r="AX36" s="284" t="str">
        <f t="shared" ca="1" si="37"/>
        <v/>
      </c>
      <c r="AY36" s="284" t="str">
        <f t="shared" ca="1" si="37"/>
        <v/>
      </c>
      <c r="AZ36" s="284" t="str">
        <f t="shared" ca="1" si="37"/>
        <v/>
      </c>
      <c r="BA36" s="284" t="str">
        <f t="shared" ca="1" si="37"/>
        <v/>
      </c>
      <c r="BB36" s="284" t="str">
        <f t="shared" ca="1" si="37"/>
        <v/>
      </c>
      <c r="BC36" s="284" t="str">
        <f t="shared" ca="1" si="37"/>
        <v/>
      </c>
      <c r="BD36" s="284" t="str">
        <f t="shared" ca="1" si="37"/>
        <v/>
      </c>
      <c r="BE36" s="284" t="str">
        <f t="shared" ca="1" si="37"/>
        <v/>
      </c>
      <c r="BF36" s="284" t="str">
        <f t="shared" ca="1" si="37"/>
        <v/>
      </c>
      <c r="BG36" s="284" t="str">
        <f t="shared" ca="1" si="37"/>
        <v/>
      </c>
      <c r="BH36" s="284" t="str">
        <f t="shared" ca="1" si="37"/>
        <v/>
      </c>
      <c r="BI36" s="284" t="str">
        <f t="shared" ca="1" si="37"/>
        <v/>
      </c>
      <c r="BK36" s="84"/>
      <c r="BL36" s="84"/>
      <c r="BM36" s="84"/>
      <c r="BN36" s="84"/>
      <c r="BO36" s="84"/>
      <c r="BP36" s="84"/>
    </row>
    <row r="37" spans="1:68" ht="15" customHeight="1" outlineLevel="1">
      <c r="A37" s="15"/>
      <c r="N37" s="3"/>
      <c r="P37" s="222"/>
      <c r="Q37" s="108" t="s">
        <v>92</v>
      </c>
      <c r="R37" s="108"/>
      <c r="S37" s="108"/>
      <c r="T37" s="108"/>
      <c r="U37" s="108"/>
      <c r="V37" s="15"/>
      <c r="W37" s="119">
        <f t="shared" ca="1" si="22"/>
        <v>37.700000000000024</v>
      </c>
      <c r="X37" s="119">
        <f t="shared" ca="1" si="22"/>
        <v>37.07596250614877</v>
      </c>
      <c r="Y37" s="119">
        <f t="shared" ca="1" si="22"/>
        <v>45.481615450472475</v>
      </c>
      <c r="Z37" s="119">
        <f t="shared" ca="1" si="22"/>
        <v>52.183755362310798</v>
      </c>
      <c r="AA37" s="119">
        <f t="shared" ca="1" si="22"/>
        <v>61.321912945209711</v>
      </c>
      <c r="AB37" s="119">
        <f t="shared" ca="1" si="22"/>
        <v>66.848133968154769</v>
      </c>
      <c r="AC37" s="257"/>
      <c r="AD37" s="119" t="e">
        <f t="shared" ca="1" si="23"/>
        <v>#N/A</v>
      </c>
      <c r="AE37" s="114"/>
      <c r="AF37" s="120">
        <f t="shared" ref="AF37:BI37" ca="1" si="38">IF($D$2=FALSE,"-",IF(AF$13="","",AF35-AF36))</f>
        <v>37.700000000000024</v>
      </c>
      <c r="AG37" s="119">
        <f t="shared" ca="1" si="38"/>
        <v>37.07596250614877</v>
      </c>
      <c r="AH37" s="119">
        <f t="shared" ca="1" si="38"/>
        <v>45.481615450472475</v>
      </c>
      <c r="AI37" s="119">
        <f t="shared" ca="1" si="38"/>
        <v>52.183755362310798</v>
      </c>
      <c r="AJ37" s="119">
        <f t="shared" ca="1" si="38"/>
        <v>61.321912945209711</v>
      </c>
      <c r="AK37" s="119">
        <f t="shared" ca="1" si="38"/>
        <v>66.848133968154769</v>
      </c>
      <c r="AL37" s="119" t="str">
        <f t="shared" ca="1" si="38"/>
        <v/>
      </c>
      <c r="AM37" s="119" t="str">
        <f t="shared" ca="1" si="38"/>
        <v/>
      </c>
      <c r="AN37" s="119" t="str">
        <f t="shared" ca="1" si="38"/>
        <v/>
      </c>
      <c r="AO37" s="119" t="str">
        <f t="shared" ca="1" si="38"/>
        <v/>
      </c>
      <c r="AP37" s="119" t="str">
        <f t="shared" ca="1" si="38"/>
        <v/>
      </c>
      <c r="AQ37" s="119" t="str">
        <f t="shared" ca="1" si="38"/>
        <v/>
      </c>
      <c r="AR37" s="119" t="str">
        <f t="shared" ca="1" si="38"/>
        <v/>
      </c>
      <c r="AS37" s="119" t="str">
        <f t="shared" ca="1" si="38"/>
        <v/>
      </c>
      <c r="AT37" s="119" t="str">
        <f t="shared" ca="1" si="38"/>
        <v/>
      </c>
      <c r="AU37" s="119" t="str">
        <f t="shared" ca="1" si="38"/>
        <v/>
      </c>
      <c r="AV37" s="119" t="str">
        <f t="shared" ca="1" si="38"/>
        <v/>
      </c>
      <c r="AW37" s="119" t="str">
        <f t="shared" ca="1" si="38"/>
        <v/>
      </c>
      <c r="AX37" s="119" t="str">
        <f t="shared" ca="1" si="38"/>
        <v/>
      </c>
      <c r="AY37" s="119" t="str">
        <f t="shared" ca="1" si="38"/>
        <v/>
      </c>
      <c r="AZ37" s="119" t="str">
        <f t="shared" ca="1" si="38"/>
        <v/>
      </c>
      <c r="BA37" s="119" t="str">
        <f t="shared" ca="1" si="38"/>
        <v/>
      </c>
      <c r="BB37" s="119" t="str">
        <f t="shared" ca="1" si="38"/>
        <v/>
      </c>
      <c r="BC37" s="119" t="str">
        <f t="shared" ca="1" si="38"/>
        <v/>
      </c>
      <c r="BD37" s="119" t="str">
        <f t="shared" ca="1" si="38"/>
        <v/>
      </c>
      <c r="BE37" s="119" t="str">
        <f t="shared" ca="1" si="38"/>
        <v/>
      </c>
      <c r="BF37" s="119" t="str">
        <f t="shared" ca="1" si="38"/>
        <v/>
      </c>
      <c r="BG37" s="119" t="str">
        <f t="shared" ca="1" si="38"/>
        <v/>
      </c>
      <c r="BH37" s="119" t="str">
        <f t="shared" ca="1" si="38"/>
        <v/>
      </c>
      <c r="BI37" s="119" t="str">
        <f t="shared" ca="1" si="38"/>
        <v/>
      </c>
      <c r="BK37" s="84"/>
      <c r="BL37" s="84"/>
      <c r="BM37" s="84"/>
      <c r="BN37" s="84"/>
      <c r="BO37" s="84"/>
      <c r="BP37" s="84"/>
    </row>
    <row r="38" spans="1:68" ht="15" customHeight="1" outlineLevel="1">
      <c r="B38" s="34">
        <f>$B$57</f>
        <v>44926</v>
      </c>
      <c r="C38" s="34">
        <f ca="1">$C$57</f>
        <v>44926</v>
      </c>
      <c r="D38" s="107">
        <f ca="1">IF($D$2=FALSE,"-",AVERAGE(OFFSET($AF38,0,MATCH(B38,OFFSET($AF$13,0,0,1,$G$4-$E$4+1),0)-1,1,MATCH(C38,OFFSET($AF$13,0,0,1,$G$4-$E$4+1),0)-MATCH(B38,OFFSET($AF$13,0,0,1,$G$4-$E$4+1),0)+1)))</f>
        <v>2</v>
      </c>
      <c r="E38" s="96">
        <v>2</v>
      </c>
      <c r="F38" s="107">
        <f t="shared" ref="F38" si="39">IF($D$2=FALSE,"-",IF(E38="",D38,E38))</f>
        <v>2</v>
      </c>
      <c r="G38" s="34">
        <f>$G$57</f>
        <v>44926</v>
      </c>
      <c r="H38" s="37">
        <f ca="1">$H$57</f>
        <v>44926</v>
      </c>
      <c r="I38" s="107">
        <f ca="1">IF($D$2=FALSE,"-",AVERAGE(OFFSET($AF38,0,MATCH(G38,OFFSET($AF$13,0,0,1,$G$4-$E$4+1),0)-1,1,MATCH(H38,OFFSET($AF$13,0,0,1,$G$4-$E$4+1),0)-MATCH(G38,OFFSET($AF$13,0,0,1,$G$4-$E$4+1),0)+1)))</f>
        <v>2</v>
      </c>
      <c r="J38" s="96">
        <v>2</v>
      </c>
      <c r="K38" s="127">
        <f>IF($D$2=FALSE,"-",IF(J38="",I38,J38))</f>
        <v>2</v>
      </c>
      <c r="L38" s="126">
        <v>5</v>
      </c>
      <c r="M38" s="81">
        <v>0.1</v>
      </c>
      <c r="O38" s="11">
        <f>O36+1</f>
        <v>17</v>
      </c>
      <c r="P38" s="222"/>
      <c r="Q38" s="1" t="s">
        <v>44</v>
      </c>
      <c r="V38" s="15"/>
      <c r="W38" s="116">
        <f t="shared" ca="1" si="22"/>
        <v>2</v>
      </c>
      <c r="X38" s="116">
        <f t="shared" ca="1" si="22"/>
        <v>2</v>
      </c>
      <c r="Y38" s="116">
        <f t="shared" ca="1" si="22"/>
        <v>2</v>
      </c>
      <c r="Z38" s="116">
        <f t="shared" ca="1" si="22"/>
        <v>2</v>
      </c>
      <c r="AA38" s="116">
        <f t="shared" ca="1" si="22"/>
        <v>2</v>
      </c>
      <c r="AB38" s="116">
        <f t="shared" ca="1" si="22"/>
        <v>2</v>
      </c>
      <c r="AC38" s="257"/>
      <c r="AD38" s="116" t="e">
        <f t="shared" ca="1" si="23"/>
        <v>#N/A</v>
      </c>
      <c r="AE38" s="15"/>
      <c r="AF38" s="124">
        <f t="shared" ref="AF38:BI38" ca="1" si="40">IF($D$2=FALSE,"-",IF(AF$13="","",IF(AF$4&lt;=0,OFFSET(INDIRECT($D$3),$O38-1,$E$10-1+AF$3),IF(AF$4&lt;=$L38,IF($M38=0,$F38-((IF($M38=0,($F38-$K38)/$L38,($K38-$F38)/(EXP(-$M38*$L38)-1)))*(AF$4-1)),($F38-(IF($M38=0,($F38-$K38)/$L38,($K38-$F38)/(EXP(-$M38*$L38)-1))))+((IF($M38=0,($F38-$K38)/$L38,($K38-$F38)/(EXP(-$M38*$L38)-1)))*EXP(-$M38*(AF$4-1)))),$K38))))</f>
        <v>2</v>
      </c>
      <c r="AG38" s="125">
        <f t="shared" ca="1" si="40"/>
        <v>2</v>
      </c>
      <c r="AH38" s="125">
        <f t="shared" ca="1" si="40"/>
        <v>2</v>
      </c>
      <c r="AI38" s="125">
        <f t="shared" ca="1" si="40"/>
        <v>2</v>
      </c>
      <c r="AJ38" s="125">
        <f t="shared" ca="1" si="40"/>
        <v>2</v>
      </c>
      <c r="AK38" s="125">
        <f t="shared" ca="1" si="40"/>
        <v>2</v>
      </c>
      <c r="AL38" s="125" t="str">
        <f t="shared" ca="1" si="40"/>
        <v/>
      </c>
      <c r="AM38" s="125" t="str">
        <f t="shared" ca="1" si="40"/>
        <v/>
      </c>
      <c r="AN38" s="125" t="str">
        <f t="shared" ca="1" si="40"/>
        <v/>
      </c>
      <c r="AO38" s="125" t="str">
        <f t="shared" ca="1" si="40"/>
        <v/>
      </c>
      <c r="AP38" s="125" t="str">
        <f t="shared" ca="1" si="40"/>
        <v/>
      </c>
      <c r="AQ38" s="125" t="str">
        <f t="shared" ca="1" si="40"/>
        <v/>
      </c>
      <c r="AR38" s="125" t="str">
        <f t="shared" ca="1" si="40"/>
        <v/>
      </c>
      <c r="AS38" s="125" t="str">
        <f t="shared" ca="1" si="40"/>
        <v/>
      </c>
      <c r="AT38" s="125" t="str">
        <f t="shared" ca="1" si="40"/>
        <v/>
      </c>
      <c r="AU38" s="125" t="str">
        <f t="shared" ca="1" si="40"/>
        <v/>
      </c>
      <c r="AV38" s="125" t="str">
        <f t="shared" ca="1" si="40"/>
        <v/>
      </c>
      <c r="AW38" s="125" t="str">
        <f t="shared" ca="1" si="40"/>
        <v/>
      </c>
      <c r="AX38" s="125" t="str">
        <f t="shared" ca="1" si="40"/>
        <v/>
      </c>
      <c r="AY38" s="125" t="str">
        <f t="shared" ca="1" si="40"/>
        <v/>
      </c>
      <c r="AZ38" s="125" t="str">
        <f t="shared" ca="1" si="40"/>
        <v/>
      </c>
      <c r="BA38" s="125" t="str">
        <f t="shared" ca="1" si="40"/>
        <v/>
      </c>
      <c r="BB38" s="125" t="str">
        <f t="shared" ca="1" si="40"/>
        <v/>
      </c>
      <c r="BC38" s="125" t="str">
        <f t="shared" ca="1" si="40"/>
        <v/>
      </c>
      <c r="BD38" s="125" t="str">
        <f t="shared" ca="1" si="40"/>
        <v/>
      </c>
      <c r="BE38" s="125" t="str">
        <f t="shared" ca="1" si="40"/>
        <v/>
      </c>
      <c r="BF38" s="125" t="str">
        <f t="shared" ca="1" si="40"/>
        <v/>
      </c>
      <c r="BG38" s="125" t="str">
        <f t="shared" ca="1" si="40"/>
        <v/>
      </c>
      <c r="BH38" s="125" t="str">
        <f t="shared" ca="1" si="40"/>
        <v/>
      </c>
      <c r="BI38" s="125" t="str">
        <f t="shared" ca="1" si="40"/>
        <v/>
      </c>
      <c r="BK38" s="84"/>
      <c r="BL38" s="84"/>
      <c r="BM38" s="84"/>
      <c r="BN38" s="84"/>
      <c r="BO38" s="84"/>
      <c r="BP38" s="84"/>
    </row>
    <row r="39" spans="1:68" ht="15" customHeight="1" outlineLevel="1">
      <c r="A39" s="15"/>
      <c r="N39" s="3"/>
      <c r="O39" s="11">
        <f>O38+1</f>
        <v>18</v>
      </c>
      <c r="P39" s="222"/>
      <c r="Q39" s="26" t="str">
        <f>IF($D$2=FALSE,"-",Q361)</f>
        <v>Preferred dividends</v>
      </c>
      <c r="R39" s="26"/>
      <c r="S39" s="26"/>
      <c r="T39" s="26"/>
      <c r="U39" s="26"/>
      <c r="V39" s="15"/>
      <c r="W39" s="129">
        <f t="shared" ca="1" si="22"/>
        <v>10.25</v>
      </c>
      <c r="X39" s="129">
        <f t="shared" ca="1" si="22"/>
        <v>10.25</v>
      </c>
      <c r="Y39" s="129">
        <f t="shared" ca="1" si="22"/>
        <v>10.147499999999999</v>
      </c>
      <c r="Z39" s="129">
        <f t="shared" ca="1" si="22"/>
        <v>10.045</v>
      </c>
      <c r="AA39" s="129">
        <f t="shared" ca="1" si="22"/>
        <v>9.942499999999999</v>
      </c>
      <c r="AB39" s="129">
        <f t="shared" ca="1" si="22"/>
        <v>9.84</v>
      </c>
      <c r="AC39" s="147"/>
      <c r="AD39" s="129" t="e">
        <f t="shared" ca="1" si="23"/>
        <v>#N/A</v>
      </c>
      <c r="AE39" s="15"/>
      <c r="AF39" s="157">
        <f t="shared" ref="AF39:BI39" ca="1" si="41">IF($D$2=FALSE,"-",IF(AF$13="","",IF(AF$4&lt;=0,OFFSET(INDIRECT($D$3),$O39-1,$E$10-1+AF$3),AF399)))</f>
        <v>10.25</v>
      </c>
      <c r="AG39" s="129">
        <f t="shared" ca="1" si="41"/>
        <v>10.25</v>
      </c>
      <c r="AH39" s="129">
        <f t="shared" ca="1" si="41"/>
        <v>10.147499999999999</v>
      </c>
      <c r="AI39" s="129">
        <f t="shared" ca="1" si="41"/>
        <v>10.045</v>
      </c>
      <c r="AJ39" s="129">
        <f t="shared" ca="1" si="41"/>
        <v>9.942499999999999</v>
      </c>
      <c r="AK39" s="129">
        <f t="shared" ca="1" si="41"/>
        <v>9.84</v>
      </c>
      <c r="AL39" s="129" t="str">
        <f t="shared" ca="1" si="41"/>
        <v/>
      </c>
      <c r="AM39" s="129" t="str">
        <f t="shared" ca="1" si="41"/>
        <v/>
      </c>
      <c r="AN39" s="129" t="str">
        <f t="shared" ca="1" si="41"/>
        <v/>
      </c>
      <c r="AO39" s="129" t="str">
        <f t="shared" ca="1" si="41"/>
        <v/>
      </c>
      <c r="AP39" s="129" t="str">
        <f t="shared" ca="1" si="41"/>
        <v/>
      </c>
      <c r="AQ39" s="129" t="str">
        <f t="shared" ca="1" si="41"/>
        <v/>
      </c>
      <c r="AR39" s="129" t="str">
        <f t="shared" ca="1" si="41"/>
        <v/>
      </c>
      <c r="AS39" s="129" t="str">
        <f t="shared" ca="1" si="41"/>
        <v/>
      </c>
      <c r="AT39" s="129" t="str">
        <f t="shared" ca="1" si="41"/>
        <v/>
      </c>
      <c r="AU39" s="129" t="str">
        <f t="shared" ca="1" si="41"/>
        <v/>
      </c>
      <c r="AV39" s="129" t="str">
        <f t="shared" ca="1" si="41"/>
        <v/>
      </c>
      <c r="AW39" s="129" t="str">
        <f t="shared" ca="1" si="41"/>
        <v/>
      </c>
      <c r="AX39" s="129" t="str">
        <f t="shared" ca="1" si="41"/>
        <v/>
      </c>
      <c r="AY39" s="129" t="str">
        <f t="shared" ca="1" si="41"/>
        <v/>
      </c>
      <c r="AZ39" s="129" t="str">
        <f t="shared" ca="1" si="41"/>
        <v/>
      </c>
      <c r="BA39" s="129" t="str">
        <f t="shared" ca="1" si="41"/>
        <v/>
      </c>
      <c r="BB39" s="129" t="str">
        <f t="shared" ca="1" si="41"/>
        <v/>
      </c>
      <c r="BC39" s="129" t="str">
        <f t="shared" ca="1" si="41"/>
        <v/>
      </c>
      <c r="BD39" s="129" t="str">
        <f t="shared" ca="1" si="41"/>
        <v/>
      </c>
      <c r="BE39" s="129" t="str">
        <f t="shared" ca="1" si="41"/>
        <v/>
      </c>
      <c r="BF39" s="129" t="str">
        <f t="shared" ca="1" si="41"/>
        <v/>
      </c>
      <c r="BG39" s="129" t="str">
        <f t="shared" ca="1" si="41"/>
        <v/>
      </c>
      <c r="BH39" s="129" t="str">
        <f t="shared" ca="1" si="41"/>
        <v/>
      </c>
      <c r="BI39" s="129" t="str">
        <f t="shared" ca="1" si="41"/>
        <v/>
      </c>
      <c r="BK39" s="84"/>
      <c r="BL39" s="84"/>
      <c r="BM39" s="84"/>
      <c r="BN39" s="84"/>
      <c r="BO39" s="84"/>
      <c r="BP39" s="84"/>
    </row>
    <row r="40" spans="1:68" ht="15" customHeight="1" outlineLevel="1">
      <c r="A40" s="15"/>
      <c r="N40" s="3"/>
      <c r="P40" s="222"/>
      <c r="Q40" s="32" t="s">
        <v>93</v>
      </c>
      <c r="R40" s="32"/>
      <c r="S40" s="32"/>
      <c r="T40" s="32"/>
      <c r="U40" s="32"/>
      <c r="V40" s="15"/>
      <c r="W40" s="116">
        <f t="shared" ca="1" si="22"/>
        <v>25.450000000000024</v>
      </c>
      <c r="X40" s="116">
        <f t="shared" ca="1" si="22"/>
        <v>24.82596250614877</v>
      </c>
      <c r="Y40" s="116">
        <f t="shared" ca="1" si="22"/>
        <v>33.334115450472474</v>
      </c>
      <c r="Z40" s="116">
        <f t="shared" ca="1" si="22"/>
        <v>40.138755362310796</v>
      </c>
      <c r="AA40" s="116">
        <f t="shared" ca="1" si="22"/>
        <v>49.379412945209708</v>
      </c>
      <c r="AB40" s="116">
        <f t="shared" ca="1" si="22"/>
        <v>55.008133968154766</v>
      </c>
      <c r="AC40" s="257"/>
      <c r="AD40" s="116" t="e">
        <f t="shared" ca="1" si="23"/>
        <v>#N/A</v>
      </c>
      <c r="AE40" s="15"/>
      <c r="AF40" s="116">
        <f t="shared" ref="AF40:BI40" ca="1" si="42">IF($D$2=FALSE,"-",IF(AF$13="","",AF37-AF38-AF39))</f>
        <v>25.450000000000024</v>
      </c>
      <c r="AG40" s="130">
        <f t="shared" ca="1" si="42"/>
        <v>24.82596250614877</v>
      </c>
      <c r="AH40" s="116">
        <f t="shared" ca="1" si="42"/>
        <v>33.334115450472474</v>
      </c>
      <c r="AI40" s="116">
        <f t="shared" ca="1" si="42"/>
        <v>40.138755362310796</v>
      </c>
      <c r="AJ40" s="116">
        <f t="shared" ca="1" si="42"/>
        <v>49.379412945209708</v>
      </c>
      <c r="AK40" s="116">
        <f t="shared" ca="1" si="42"/>
        <v>55.008133968154766</v>
      </c>
      <c r="AL40" s="116" t="str">
        <f t="shared" ca="1" si="42"/>
        <v/>
      </c>
      <c r="AM40" s="116" t="str">
        <f t="shared" ca="1" si="42"/>
        <v/>
      </c>
      <c r="AN40" s="116" t="str">
        <f t="shared" ca="1" si="42"/>
        <v/>
      </c>
      <c r="AO40" s="116" t="str">
        <f t="shared" ca="1" si="42"/>
        <v/>
      </c>
      <c r="AP40" s="116" t="str">
        <f t="shared" ca="1" si="42"/>
        <v/>
      </c>
      <c r="AQ40" s="116" t="str">
        <f t="shared" ca="1" si="42"/>
        <v/>
      </c>
      <c r="AR40" s="116" t="str">
        <f t="shared" ca="1" si="42"/>
        <v/>
      </c>
      <c r="AS40" s="116" t="str">
        <f t="shared" ca="1" si="42"/>
        <v/>
      </c>
      <c r="AT40" s="116" t="str">
        <f t="shared" ca="1" si="42"/>
        <v/>
      </c>
      <c r="AU40" s="116" t="str">
        <f t="shared" ca="1" si="42"/>
        <v/>
      </c>
      <c r="AV40" s="116" t="str">
        <f t="shared" ca="1" si="42"/>
        <v/>
      </c>
      <c r="AW40" s="116" t="str">
        <f t="shared" ca="1" si="42"/>
        <v/>
      </c>
      <c r="AX40" s="116" t="str">
        <f t="shared" ca="1" si="42"/>
        <v/>
      </c>
      <c r="AY40" s="116" t="str">
        <f t="shared" ca="1" si="42"/>
        <v/>
      </c>
      <c r="AZ40" s="116" t="str">
        <f t="shared" ca="1" si="42"/>
        <v/>
      </c>
      <c r="BA40" s="116" t="str">
        <f t="shared" ca="1" si="42"/>
        <v/>
      </c>
      <c r="BB40" s="116" t="str">
        <f t="shared" ca="1" si="42"/>
        <v/>
      </c>
      <c r="BC40" s="116" t="str">
        <f t="shared" ca="1" si="42"/>
        <v/>
      </c>
      <c r="BD40" s="116" t="str">
        <f t="shared" ca="1" si="42"/>
        <v/>
      </c>
      <c r="BE40" s="116" t="str">
        <f t="shared" ca="1" si="42"/>
        <v/>
      </c>
      <c r="BF40" s="116" t="str">
        <f t="shared" ca="1" si="42"/>
        <v/>
      </c>
      <c r="BG40" s="116" t="str">
        <f t="shared" ca="1" si="42"/>
        <v/>
      </c>
      <c r="BH40" s="116" t="str">
        <f t="shared" ca="1" si="42"/>
        <v/>
      </c>
      <c r="BI40" s="116" t="str">
        <f t="shared" ca="1" si="42"/>
        <v/>
      </c>
      <c r="BK40" s="84"/>
      <c r="BL40" s="84"/>
      <c r="BM40" s="84"/>
      <c r="BN40" s="84"/>
      <c r="BO40" s="84"/>
      <c r="BP40" s="84"/>
    </row>
    <row r="41" spans="1:68" ht="15" customHeight="1" outlineLevel="1">
      <c r="A41" s="15"/>
      <c r="N41" s="3"/>
      <c r="P41" s="3"/>
      <c r="Q41" s="32"/>
      <c r="R41" s="32"/>
      <c r="S41" s="32"/>
      <c r="T41" s="32"/>
      <c r="U41" s="32"/>
      <c r="V41" s="15"/>
      <c r="W41" s="57"/>
      <c r="X41" s="57"/>
      <c r="Y41" s="57"/>
      <c r="Z41" s="57"/>
      <c r="AA41" s="57"/>
      <c r="AB41" s="57"/>
      <c r="AC41" s="6"/>
      <c r="AD41" s="57"/>
      <c r="AE41" s="6"/>
      <c r="AF41" s="57"/>
      <c r="AG41" s="131"/>
      <c r="AH41" s="57"/>
      <c r="AI41" s="57"/>
      <c r="AJ41" s="57"/>
      <c r="AK41" s="57"/>
      <c r="AL41" s="57"/>
      <c r="AM41" s="57"/>
      <c r="AN41" s="57"/>
      <c r="AO41" s="57"/>
      <c r="AP41" s="57"/>
      <c r="AQ41" s="57"/>
      <c r="AR41" s="57"/>
      <c r="AS41" s="57"/>
      <c r="AT41" s="57"/>
      <c r="AU41" s="57"/>
      <c r="AV41" s="57"/>
      <c r="AW41" s="57"/>
      <c r="AX41" s="57"/>
      <c r="AY41" s="57"/>
      <c r="AZ41" s="57"/>
      <c r="BA41" s="57"/>
      <c r="BB41" s="57"/>
      <c r="BC41" s="57"/>
      <c r="BD41" s="57"/>
      <c r="BE41" s="57"/>
      <c r="BF41" s="57"/>
      <c r="BG41" s="57"/>
      <c r="BH41" s="57"/>
      <c r="BI41" s="57"/>
      <c r="BK41" s="109"/>
      <c r="BL41" s="109"/>
      <c r="BM41" s="109"/>
      <c r="BN41" s="109"/>
      <c r="BO41" s="109"/>
      <c r="BP41" s="109"/>
    </row>
    <row r="42" spans="1:68" ht="15" customHeight="1" outlineLevel="1">
      <c r="A42" s="15"/>
      <c r="N42" s="3"/>
      <c r="P42" s="3"/>
      <c r="Q42" s="128" t="s">
        <v>94</v>
      </c>
      <c r="R42" s="128"/>
      <c r="S42" s="128"/>
      <c r="T42" s="128"/>
      <c r="U42" s="128"/>
      <c r="W42" s="57"/>
      <c r="X42" s="57"/>
      <c r="Y42" s="57"/>
      <c r="Z42" s="57"/>
      <c r="AA42" s="57"/>
      <c r="AB42" s="57"/>
      <c r="AC42" s="6"/>
      <c r="AD42" s="57"/>
      <c r="AE42" s="6"/>
      <c r="AF42" s="57"/>
      <c r="AG42" s="131"/>
      <c r="AH42" s="57"/>
      <c r="AI42" s="57"/>
      <c r="AJ42" s="57"/>
      <c r="AK42" s="57"/>
      <c r="AL42" s="57"/>
      <c r="AM42" s="57"/>
      <c r="AN42" s="57"/>
      <c r="AO42" s="57"/>
      <c r="AP42" s="57"/>
      <c r="AQ42" s="57"/>
      <c r="AR42" s="57"/>
      <c r="AS42" s="57"/>
      <c r="AT42" s="57"/>
      <c r="AU42" s="57"/>
      <c r="AV42" s="57"/>
      <c r="AW42" s="57"/>
      <c r="AX42" s="57"/>
      <c r="AY42" s="57"/>
      <c r="AZ42" s="57"/>
      <c r="BA42" s="57"/>
      <c r="BB42" s="57"/>
      <c r="BC42" s="57"/>
      <c r="BD42" s="57"/>
      <c r="BE42" s="57"/>
      <c r="BF42" s="57"/>
      <c r="BG42" s="57"/>
      <c r="BH42" s="57"/>
      <c r="BI42" s="57"/>
      <c r="BK42" s="109"/>
      <c r="BL42" s="109"/>
      <c r="BM42" s="109"/>
      <c r="BN42" s="109"/>
      <c r="BO42" s="109"/>
      <c r="BP42" s="109"/>
    </row>
    <row r="43" spans="1:68" ht="15" customHeight="1" outlineLevel="1">
      <c r="A43" s="15"/>
      <c r="N43" s="3"/>
      <c r="P43" s="222"/>
      <c r="Q43" s="15" t="s">
        <v>40</v>
      </c>
      <c r="R43" s="15"/>
      <c r="S43" s="15"/>
      <c r="T43" s="15"/>
      <c r="U43" s="15"/>
      <c r="V43" s="15"/>
      <c r="W43" s="116">
        <f t="shared" ref="W43:AB46" ca="1" si="43">IF($D$2=FALSE,"-",IF(W$13="","",SUM(OFFSET($AF43,0,W$8,1,-$E$5))))</f>
        <v>6.6160363086233005</v>
      </c>
      <c r="X43" s="116">
        <f t="shared" ca="1" si="43"/>
        <v>6.959924599999999</v>
      </c>
      <c r="Y43" s="116">
        <f t="shared" ca="1" si="43"/>
        <v>6.959924599999999</v>
      </c>
      <c r="Z43" s="116">
        <f t="shared" ca="1" si="43"/>
        <v>6.959924599999999</v>
      </c>
      <c r="AA43" s="116">
        <f t="shared" ca="1" si="43"/>
        <v>1.6145825084999992</v>
      </c>
      <c r="AB43" s="116">
        <f t="shared" ca="1" si="43"/>
        <v>0</v>
      </c>
      <c r="AC43" s="257"/>
      <c r="AD43" s="116" t="e">
        <f ca="1">IF($D$2=FALSE,"-",IF(AD$13="","",SUM(OFFSET($AF43,0,$F$4-AD$7-1,1,-$E$5))+SUM(OFFSET($AF43,0,$F$4-1,1,-AD$7))-SUM(OFFSET($AF43,0,$F$4-$E$5-1,1,-AD$7))))</f>
        <v>#N/A</v>
      </c>
      <c r="AE43" s="114"/>
      <c r="AF43" s="116">
        <f t="shared" ref="AF43:BI43" ca="1" si="44">IF($D$2=FALSE,"-",IF(AF$13="","",AF21*(1-AF79)))</f>
        <v>6.6160363086233005</v>
      </c>
      <c r="AG43" s="132">
        <f t="shared" ca="1" si="44"/>
        <v>6.959924599999999</v>
      </c>
      <c r="AH43" s="116">
        <f t="shared" ca="1" si="44"/>
        <v>6.959924599999999</v>
      </c>
      <c r="AI43" s="116">
        <f t="shared" ca="1" si="44"/>
        <v>6.959924599999999</v>
      </c>
      <c r="AJ43" s="116">
        <f t="shared" ca="1" si="44"/>
        <v>1.6145825084999992</v>
      </c>
      <c r="AK43" s="116">
        <f t="shared" ca="1" si="44"/>
        <v>0</v>
      </c>
      <c r="AL43" s="116" t="str">
        <f t="shared" ca="1" si="44"/>
        <v/>
      </c>
      <c r="AM43" s="116" t="str">
        <f t="shared" ca="1" si="44"/>
        <v/>
      </c>
      <c r="AN43" s="116" t="str">
        <f t="shared" ca="1" si="44"/>
        <v/>
      </c>
      <c r="AO43" s="116" t="str">
        <f t="shared" ca="1" si="44"/>
        <v/>
      </c>
      <c r="AP43" s="116" t="str">
        <f t="shared" ca="1" si="44"/>
        <v/>
      </c>
      <c r="AQ43" s="116" t="str">
        <f t="shared" ca="1" si="44"/>
        <v/>
      </c>
      <c r="AR43" s="116" t="str">
        <f t="shared" ca="1" si="44"/>
        <v/>
      </c>
      <c r="AS43" s="116" t="str">
        <f t="shared" ca="1" si="44"/>
        <v/>
      </c>
      <c r="AT43" s="116" t="str">
        <f t="shared" ca="1" si="44"/>
        <v/>
      </c>
      <c r="AU43" s="116" t="str">
        <f t="shared" ca="1" si="44"/>
        <v/>
      </c>
      <c r="AV43" s="116" t="str">
        <f t="shared" ca="1" si="44"/>
        <v/>
      </c>
      <c r="AW43" s="116" t="str">
        <f t="shared" ca="1" si="44"/>
        <v/>
      </c>
      <c r="AX43" s="116" t="str">
        <f t="shared" ca="1" si="44"/>
        <v/>
      </c>
      <c r="AY43" s="116" t="str">
        <f t="shared" ca="1" si="44"/>
        <v/>
      </c>
      <c r="AZ43" s="116" t="str">
        <f t="shared" ca="1" si="44"/>
        <v/>
      </c>
      <c r="BA43" s="116" t="str">
        <f t="shared" ca="1" si="44"/>
        <v/>
      </c>
      <c r="BB43" s="116" t="str">
        <f t="shared" ca="1" si="44"/>
        <v/>
      </c>
      <c r="BC43" s="116" t="str">
        <f t="shared" ca="1" si="44"/>
        <v/>
      </c>
      <c r="BD43" s="116" t="str">
        <f t="shared" ca="1" si="44"/>
        <v/>
      </c>
      <c r="BE43" s="116" t="str">
        <f t="shared" ca="1" si="44"/>
        <v/>
      </c>
      <c r="BF43" s="116" t="str">
        <f t="shared" ca="1" si="44"/>
        <v/>
      </c>
      <c r="BG43" s="116" t="str">
        <f t="shared" ca="1" si="44"/>
        <v/>
      </c>
      <c r="BH43" s="116" t="str">
        <f t="shared" ca="1" si="44"/>
        <v/>
      </c>
      <c r="BI43" s="116" t="str">
        <f t="shared" ca="1" si="44"/>
        <v/>
      </c>
      <c r="BK43" s="84"/>
      <c r="BL43" s="84"/>
      <c r="BM43" s="84"/>
      <c r="BN43" s="84"/>
      <c r="BO43" s="84"/>
      <c r="BP43" s="84"/>
    </row>
    <row r="44" spans="1:68" ht="15" customHeight="1" outlineLevel="1">
      <c r="A44" s="15"/>
      <c r="N44" s="3"/>
      <c r="P44" s="222"/>
      <c r="Q44" s="15" t="s">
        <v>35</v>
      </c>
      <c r="R44" s="15"/>
      <c r="S44" s="15"/>
      <c r="T44" s="15"/>
      <c r="U44" s="15"/>
      <c r="V44" s="15"/>
      <c r="W44" s="116">
        <f t="shared" ca="1" si="43"/>
        <v>6.1597579425113498</v>
      </c>
      <c r="X44" s="116">
        <f t="shared" ca="1" si="43"/>
        <v>6.8039262899999997</v>
      </c>
      <c r="Y44" s="116">
        <f t="shared" ca="1" si="43"/>
        <v>7.1441226044999997</v>
      </c>
      <c r="Z44" s="116">
        <f t="shared" ca="1" si="43"/>
        <v>7.5013287347249991</v>
      </c>
      <c r="AA44" s="116">
        <f t="shared" ca="1" si="43"/>
        <v>7.8763951714612492</v>
      </c>
      <c r="AB44" s="116">
        <f t="shared" ca="1" si="43"/>
        <v>8.270214930034312</v>
      </c>
      <c r="AC44" s="257"/>
      <c r="AD44" s="116" t="e">
        <f ca="1">IF($D$2=FALSE,"-",IF(AD$13="","",SUM(OFFSET($AF44,0,$F$4-AD$7-1,1,-$E$5))+SUM(OFFSET($AF44,0,$F$4-1,1,-AD$7))-SUM(OFFSET($AF44,0,$F$4-$E$5-1,1,-AD$7))))</f>
        <v>#N/A</v>
      </c>
      <c r="AE44" s="15"/>
      <c r="AF44" s="116">
        <f t="shared" ref="AF44:BI44" ca="1" si="45">IF($D$2=FALSE,"-",IF(AF$13="","",AF22*(1-AF79)))</f>
        <v>6.1597579425113498</v>
      </c>
      <c r="AG44" s="132">
        <f t="shared" ca="1" si="45"/>
        <v>6.8039262899999997</v>
      </c>
      <c r="AH44" s="116">
        <f t="shared" ca="1" si="45"/>
        <v>7.1441226044999997</v>
      </c>
      <c r="AI44" s="116">
        <f t="shared" ca="1" si="45"/>
        <v>7.5013287347249991</v>
      </c>
      <c r="AJ44" s="116">
        <f t="shared" ca="1" si="45"/>
        <v>7.8763951714612492</v>
      </c>
      <c r="AK44" s="116">
        <f t="shared" ca="1" si="45"/>
        <v>8.270214930034312</v>
      </c>
      <c r="AL44" s="116" t="str">
        <f t="shared" ca="1" si="45"/>
        <v/>
      </c>
      <c r="AM44" s="116" t="str">
        <f t="shared" ca="1" si="45"/>
        <v/>
      </c>
      <c r="AN44" s="116" t="str">
        <f t="shared" ca="1" si="45"/>
        <v/>
      </c>
      <c r="AO44" s="116" t="str">
        <f t="shared" ca="1" si="45"/>
        <v/>
      </c>
      <c r="AP44" s="116" t="str">
        <f t="shared" ca="1" si="45"/>
        <v/>
      </c>
      <c r="AQ44" s="116" t="str">
        <f t="shared" ca="1" si="45"/>
        <v/>
      </c>
      <c r="AR44" s="116" t="str">
        <f t="shared" ca="1" si="45"/>
        <v/>
      </c>
      <c r="AS44" s="116" t="str">
        <f t="shared" ca="1" si="45"/>
        <v/>
      </c>
      <c r="AT44" s="116" t="str">
        <f t="shared" ca="1" si="45"/>
        <v/>
      </c>
      <c r="AU44" s="116" t="str">
        <f t="shared" ca="1" si="45"/>
        <v/>
      </c>
      <c r="AV44" s="116" t="str">
        <f t="shared" ca="1" si="45"/>
        <v/>
      </c>
      <c r="AW44" s="116" t="str">
        <f t="shared" ca="1" si="45"/>
        <v/>
      </c>
      <c r="AX44" s="116" t="str">
        <f t="shared" ca="1" si="45"/>
        <v/>
      </c>
      <c r="AY44" s="116" t="str">
        <f t="shared" ca="1" si="45"/>
        <v/>
      </c>
      <c r="AZ44" s="116" t="str">
        <f t="shared" ca="1" si="45"/>
        <v/>
      </c>
      <c r="BA44" s="116" t="str">
        <f t="shared" ca="1" si="45"/>
        <v/>
      </c>
      <c r="BB44" s="116" t="str">
        <f t="shared" ca="1" si="45"/>
        <v/>
      </c>
      <c r="BC44" s="116" t="str">
        <f t="shared" ca="1" si="45"/>
        <v/>
      </c>
      <c r="BD44" s="116" t="str">
        <f t="shared" ca="1" si="45"/>
        <v/>
      </c>
      <c r="BE44" s="116" t="str">
        <f t="shared" ca="1" si="45"/>
        <v/>
      </c>
      <c r="BF44" s="116" t="str">
        <f t="shared" ca="1" si="45"/>
        <v/>
      </c>
      <c r="BG44" s="116" t="str">
        <f t="shared" ca="1" si="45"/>
        <v/>
      </c>
      <c r="BH44" s="116" t="str">
        <f t="shared" ca="1" si="45"/>
        <v/>
      </c>
      <c r="BI44" s="116" t="str">
        <f t="shared" ca="1" si="45"/>
        <v/>
      </c>
      <c r="BK44" s="84"/>
      <c r="BL44" s="84"/>
      <c r="BM44" s="84"/>
      <c r="BN44" s="84"/>
      <c r="BO44" s="84"/>
      <c r="BP44" s="84"/>
    </row>
    <row r="45" spans="1:68" ht="15" customHeight="1" outlineLevel="1">
      <c r="B45" s="34">
        <f>$B$57</f>
        <v>44926</v>
      </c>
      <c r="C45" s="34">
        <f ca="1">$C$57</f>
        <v>44926</v>
      </c>
      <c r="D45" s="107">
        <f ca="1">IF($D$2=FALSE,"-",AVERAGE(OFFSET($AF45,0,MATCH(B45,OFFSET($AF$13,0,0,1,$G$4-$E$4+1),0)-1,1,MATCH(C45,OFFSET($AF$13,0,0,1,$G$4-$E$4+1),0)-MATCH(B45,OFFSET($AF$13,0,0,1,$G$4-$E$4+1),0)+1)))</f>
        <v>3</v>
      </c>
      <c r="E45" s="96">
        <v>3</v>
      </c>
      <c r="F45" s="107">
        <f t="shared" ref="F45" si="46">IF($D$2=FALSE,"-",IF(E45="",D45,E45))</f>
        <v>3</v>
      </c>
      <c r="G45" s="34">
        <f>$G$57</f>
        <v>44926</v>
      </c>
      <c r="H45" s="37">
        <f ca="1">$H$57</f>
        <v>44926</v>
      </c>
      <c r="I45" s="107">
        <f ca="1">IF($D$2=FALSE,"-",AVERAGE(OFFSET($AF45,0,MATCH(G45,OFFSET($AF$13,0,0,1,$G$4-$E$4+1),0)-1,1,MATCH(H45,OFFSET($AF$13,0,0,1,$G$4-$E$4+1),0)-MATCH(G45,OFFSET($AF$13,0,0,1,$G$4-$E$4+1),0)+1)))</f>
        <v>3</v>
      </c>
      <c r="J45" s="96">
        <v>3</v>
      </c>
      <c r="K45" s="127">
        <f>IF($D$2=FALSE,"-",IF(J45="",I45,J45))</f>
        <v>3</v>
      </c>
      <c r="L45" s="126">
        <v>5</v>
      </c>
      <c r="M45" s="81">
        <v>0.1</v>
      </c>
      <c r="O45" s="11">
        <f>O39+1</f>
        <v>19</v>
      </c>
      <c r="P45" s="222"/>
      <c r="Q45" s="59" t="s">
        <v>45</v>
      </c>
      <c r="R45" s="59"/>
      <c r="S45" s="59"/>
      <c r="T45" s="59"/>
      <c r="U45" s="59"/>
      <c r="V45" s="15"/>
      <c r="W45" s="129">
        <f t="shared" ca="1" si="43"/>
        <v>3</v>
      </c>
      <c r="X45" s="129">
        <f t="shared" ca="1" si="43"/>
        <v>3</v>
      </c>
      <c r="Y45" s="129">
        <f t="shared" ca="1" si="43"/>
        <v>3</v>
      </c>
      <c r="Z45" s="129">
        <f t="shared" ca="1" si="43"/>
        <v>3</v>
      </c>
      <c r="AA45" s="129">
        <f t="shared" ca="1" si="43"/>
        <v>3</v>
      </c>
      <c r="AB45" s="129">
        <f t="shared" ca="1" si="43"/>
        <v>3</v>
      </c>
      <c r="AC45" s="257"/>
      <c r="AD45" s="129" t="e">
        <f ca="1">IF($D$2=FALSE,"-",IF(AD$13="","",SUM(OFFSET($AF45,0,$F$4-AD$7-1,1,-$E$5))+SUM(OFFSET($AF45,0,$F$4-1,1,-AD$7))-SUM(OFFSET($AF45,0,$F$4-$E$5-1,1,-AD$7))))</f>
        <v>#N/A</v>
      </c>
      <c r="AE45" s="15"/>
      <c r="AF45" s="133">
        <f t="shared" ref="AF45:BI45" ca="1" si="47">IF($D$2=FALSE,"-",IF(AF$13="","",IF(AF$4&lt;=0,OFFSET(INDIRECT($D$3),$O45-1,$E$10-1+AF$3),IF(AF$4&lt;=$L45,IF($M45=0,$F45-((IF($M45=0,($F45-$K45)/$L45,($K45-$F45)/(EXP(-$M45*$L45)-1)))*(AF$4-1)),($F45-(IF($M45=0,($F45-$K45)/$L45,($K45-$F45)/(EXP(-$M45*$L45)-1))))+((IF($M45=0,($F45-$K45)/$L45,($K45-$F45)/(EXP(-$M45*$L45)-1)))*EXP(-$M45*(AF$4-1)))),$K45))))</f>
        <v>3</v>
      </c>
      <c r="AG45" s="134">
        <f t="shared" ca="1" si="47"/>
        <v>3</v>
      </c>
      <c r="AH45" s="133">
        <f t="shared" ca="1" si="47"/>
        <v>3</v>
      </c>
      <c r="AI45" s="133">
        <f t="shared" ca="1" si="47"/>
        <v>3</v>
      </c>
      <c r="AJ45" s="133">
        <f t="shared" ca="1" si="47"/>
        <v>3</v>
      </c>
      <c r="AK45" s="133">
        <f t="shared" ca="1" si="47"/>
        <v>3</v>
      </c>
      <c r="AL45" s="133" t="str">
        <f t="shared" ca="1" si="47"/>
        <v/>
      </c>
      <c r="AM45" s="133" t="str">
        <f t="shared" ca="1" si="47"/>
        <v/>
      </c>
      <c r="AN45" s="133" t="str">
        <f t="shared" ca="1" si="47"/>
        <v/>
      </c>
      <c r="AO45" s="133" t="str">
        <f t="shared" ca="1" si="47"/>
        <v/>
      </c>
      <c r="AP45" s="133" t="str">
        <f t="shared" ca="1" si="47"/>
        <v/>
      </c>
      <c r="AQ45" s="133" t="str">
        <f t="shared" ca="1" si="47"/>
        <v/>
      </c>
      <c r="AR45" s="133" t="str">
        <f t="shared" ca="1" si="47"/>
        <v/>
      </c>
      <c r="AS45" s="133" t="str">
        <f t="shared" ca="1" si="47"/>
        <v/>
      </c>
      <c r="AT45" s="133" t="str">
        <f t="shared" ca="1" si="47"/>
        <v/>
      </c>
      <c r="AU45" s="133" t="str">
        <f t="shared" ca="1" si="47"/>
        <v/>
      </c>
      <c r="AV45" s="133" t="str">
        <f t="shared" ca="1" si="47"/>
        <v/>
      </c>
      <c r="AW45" s="133" t="str">
        <f t="shared" ca="1" si="47"/>
        <v/>
      </c>
      <c r="AX45" s="133" t="str">
        <f t="shared" ca="1" si="47"/>
        <v/>
      </c>
      <c r="AY45" s="133" t="str">
        <f t="shared" ca="1" si="47"/>
        <v/>
      </c>
      <c r="AZ45" s="133" t="str">
        <f t="shared" ca="1" si="47"/>
        <v/>
      </c>
      <c r="BA45" s="133" t="str">
        <f t="shared" ca="1" si="47"/>
        <v/>
      </c>
      <c r="BB45" s="133" t="str">
        <f t="shared" ca="1" si="47"/>
        <v/>
      </c>
      <c r="BC45" s="133" t="str">
        <f t="shared" ca="1" si="47"/>
        <v/>
      </c>
      <c r="BD45" s="133" t="str">
        <f t="shared" ca="1" si="47"/>
        <v/>
      </c>
      <c r="BE45" s="133" t="str">
        <f t="shared" ca="1" si="47"/>
        <v/>
      </c>
      <c r="BF45" s="133" t="str">
        <f t="shared" ca="1" si="47"/>
        <v/>
      </c>
      <c r="BG45" s="133" t="str">
        <f t="shared" ca="1" si="47"/>
        <v/>
      </c>
      <c r="BH45" s="133" t="str">
        <f t="shared" ca="1" si="47"/>
        <v/>
      </c>
      <c r="BI45" s="133" t="str">
        <f t="shared" ca="1" si="47"/>
        <v/>
      </c>
      <c r="BK45" s="84"/>
      <c r="BL45" s="84"/>
      <c r="BM45" s="84"/>
      <c r="BN45" s="84"/>
      <c r="BO45" s="84"/>
      <c r="BP45" s="84"/>
    </row>
    <row r="46" spans="1:68" ht="15" customHeight="1" outlineLevel="1">
      <c r="A46" s="15"/>
      <c r="N46" s="3"/>
      <c r="P46" s="222"/>
      <c r="Q46" s="32" t="s">
        <v>95</v>
      </c>
      <c r="R46" s="32"/>
      <c r="S46" s="32"/>
      <c r="T46" s="32"/>
      <c r="U46" s="32"/>
      <c r="V46" s="15"/>
      <c r="W46" s="116">
        <f t="shared" ca="1" si="43"/>
        <v>41.225794251134673</v>
      </c>
      <c r="X46" s="116">
        <f t="shared" ca="1" si="43"/>
        <v>41.58981339614877</v>
      </c>
      <c r="Y46" s="116">
        <f t="shared" ca="1" si="43"/>
        <v>50.438162654972473</v>
      </c>
      <c r="Z46" s="116">
        <f t="shared" ca="1" si="43"/>
        <v>57.60000869703579</v>
      </c>
      <c r="AA46" s="116">
        <f t="shared" ca="1" si="43"/>
        <v>61.870390625170955</v>
      </c>
      <c r="AB46" s="116">
        <f t="shared" ca="1" si="43"/>
        <v>66.27834889818908</v>
      </c>
      <c r="AC46" s="257"/>
      <c r="AD46" s="116" t="e">
        <f ca="1">IF($D$2=FALSE,"-",IF(AD$13="","",SUM(OFFSET($AF46,0,$F$4-AD$7-1,1,-$E$5))+SUM(OFFSET($AF46,0,$F$4-1,1,-AD$7))-SUM(OFFSET($AF46,0,$F$4-$E$5-1,1,-AD$7))))</f>
        <v>#N/A</v>
      </c>
      <c r="AE46" s="15"/>
      <c r="AF46" s="116">
        <f t="shared" ref="AF46:BI46" ca="1" si="48">IF($D$2=FALSE,"-",IF(AF$13="","",+AF40+SUM(AF43:AF45)))</f>
        <v>41.225794251134673</v>
      </c>
      <c r="AG46" s="132">
        <f t="shared" ca="1" si="48"/>
        <v>41.58981339614877</v>
      </c>
      <c r="AH46" s="116">
        <f t="shared" ca="1" si="48"/>
        <v>50.438162654972473</v>
      </c>
      <c r="AI46" s="116">
        <f t="shared" ca="1" si="48"/>
        <v>57.60000869703579</v>
      </c>
      <c r="AJ46" s="116">
        <f t="shared" ca="1" si="48"/>
        <v>61.870390625170955</v>
      </c>
      <c r="AK46" s="116">
        <f t="shared" ca="1" si="48"/>
        <v>66.27834889818908</v>
      </c>
      <c r="AL46" s="116" t="str">
        <f t="shared" ca="1" si="48"/>
        <v/>
      </c>
      <c r="AM46" s="116" t="str">
        <f t="shared" ca="1" si="48"/>
        <v/>
      </c>
      <c r="AN46" s="116" t="str">
        <f t="shared" ca="1" si="48"/>
        <v/>
      </c>
      <c r="AO46" s="116" t="str">
        <f t="shared" ca="1" si="48"/>
        <v/>
      </c>
      <c r="AP46" s="116" t="str">
        <f t="shared" ca="1" si="48"/>
        <v/>
      </c>
      <c r="AQ46" s="116" t="str">
        <f t="shared" ca="1" si="48"/>
        <v/>
      </c>
      <c r="AR46" s="116" t="str">
        <f t="shared" ca="1" si="48"/>
        <v/>
      </c>
      <c r="AS46" s="116" t="str">
        <f t="shared" ca="1" si="48"/>
        <v/>
      </c>
      <c r="AT46" s="116" t="str">
        <f t="shared" ca="1" si="48"/>
        <v/>
      </c>
      <c r="AU46" s="116" t="str">
        <f t="shared" ca="1" si="48"/>
        <v/>
      </c>
      <c r="AV46" s="116" t="str">
        <f t="shared" ca="1" si="48"/>
        <v/>
      </c>
      <c r="AW46" s="116" t="str">
        <f t="shared" ca="1" si="48"/>
        <v/>
      </c>
      <c r="AX46" s="116" t="str">
        <f t="shared" ca="1" si="48"/>
        <v/>
      </c>
      <c r="AY46" s="116" t="str">
        <f t="shared" ca="1" si="48"/>
        <v/>
      </c>
      <c r="AZ46" s="116" t="str">
        <f t="shared" ca="1" si="48"/>
        <v/>
      </c>
      <c r="BA46" s="116" t="str">
        <f t="shared" ca="1" si="48"/>
        <v/>
      </c>
      <c r="BB46" s="116" t="str">
        <f t="shared" ca="1" si="48"/>
        <v/>
      </c>
      <c r="BC46" s="116" t="str">
        <f t="shared" ca="1" si="48"/>
        <v/>
      </c>
      <c r="BD46" s="116" t="str">
        <f t="shared" ca="1" si="48"/>
        <v/>
      </c>
      <c r="BE46" s="116" t="str">
        <f t="shared" ca="1" si="48"/>
        <v/>
      </c>
      <c r="BF46" s="116" t="str">
        <f t="shared" ca="1" si="48"/>
        <v/>
      </c>
      <c r="BG46" s="116" t="str">
        <f t="shared" ca="1" si="48"/>
        <v/>
      </c>
      <c r="BH46" s="116" t="str">
        <f t="shared" ca="1" si="48"/>
        <v/>
      </c>
      <c r="BI46" s="116" t="str">
        <f t="shared" ca="1" si="48"/>
        <v/>
      </c>
      <c r="BK46" s="84"/>
      <c r="BL46" s="84"/>
      <c r="BM46" s="84"/>
      <c r="BN46" s="84"/>
      <c r="BO46" s="84"/>
      <c r="BP46" s="84"/>
    </row>
    <row r="47" spans="1:68" ht="15" customHeight="1" outlineLevel="1">
      <c r="A47" s="15"/>
      <c r="N47" s="3"/>
      <c r="P47" s="3"/>
      <c r="Q47" s="15"/>
      <c r="R47" s="15"/>
      <c r="S47" s="15"/>
      <c r="T47" s="15"/>
      <c r="U47" s="15"/>
      <c r="V47" s="15"/>
      <c r="W47" s="57"/>
      <c r="X47" s="57"/>
      <c r="Y47" s="57"/>
      <c r="Z47" s="57"/>
      <c r="AA47" s="57"/>
      <c r="AB47" s="57"/>
      <c r="AC47" s="6"/>
      <c r="AD47" s="57"/>
      <c r="AE47" s="6"/>
      <c r="AF47" s="57"/>
      <c r="AG47" s="131"/>
      <c r="AH47" s="57"/>
      <c r="AI47" s="57"/>
      <c r="AJ47" s="57"/>
      <c r="AK47" s="57"/>
      <c r="AL47" s="57"/>
      <c r="AM47" s="57"/>
      <c r="AN47" s="57"/>
      <c r="AO47" s="57"/>
      <c r="AP47" s="57"/>
      <c r="AQ47" s="57"/>
      <c r="AR47" s="57"/>
      <c r="AS47" s="57"/>
      <c r="AT47" s="57"/>
      <c r="AU47" s="57"/>
      <c r="AV47" s="57"/>
      <c r="AW47" s="57"/>
      <c r="AX47" s="57"/>
      <c r="AY47" s="57"/>
      <c r="AZ47" s="57"/>
      <c r="BA47" s="57"/>
      <c r="BB47" s="57"/>
      <c r="BC47" s="57"/>
      <c r="BD47" s="57"/>
      <c r="BE47" s="57"/>
      <c r="BF47" s="57"/>
      <c r="BG47" s="57"/>
      <c r="BH47" s="57"/>
      <c r="BI47" s="57"/>
      <c r="BK47" s="109"/>
      <c r="BL47" s="109"/>
      <c r="BM47" s="109"/>
      <c r="BN47" s="109"/>
      <c r="BO47" s="109"/>
      <c r="BP47" s="109"/>
    </row>
    <row r="48" spans="1:68" ht="15" customHeight="1" outlineLevel="1">
      <c r="A48" s="15"/>
      <c r="N48" s="3"/>
      <c r="P48" s="222"/>
      <c r="Q48" s="32" t="s">
        <v>96</v>
      </c>
      <c r="R48" s="32"/>
      <c r="S48" s="32"/>
      <c r="T48" s="32"/>
      <c r="U48" s="32"/>
      <c r="V48" s="15"/>
      <c r="W48" s="135" t="e">
        <f t="shared" ref="W48:AB48" ca="1" si="49">IF($D$2=FALSE,"-",IF(W$13="","",IF(W437=0,#N/A,W40/W437)))</f>
        <v>#N/A</v>
      </c>
      <c r="X48" s="135">
        <f t="shared" ca="1" si="49"/>
        <v>0.413127498197151</v>
      </c>
      <c r="Y48" s="135">
        <f t="shared" ca="1" si="49"/>
        <v>0.55702858140176259</v>
      </c>
      <c r="Z48" s="135">
        <f t="shared" ca="1" si="49"/>
        <v>0.67355111906744969</v>
      </c>
      <c r="AA48" s="135">
        <f t="shared" ca="1" si="49"/>
        <v>0.83210540357064411</v>
      </c>
      <c r="AB48" s="135">
        <f t="shared" ca="1" si="49"/>
        <v>0.82030379038308754</v>
      </c>
      <c r="AC48" s="257"/>
      <c r="AD48" s="135" t="e">
        <f ca="1">IF($D$2=FALSE,"-",IF(AD$13="","",IF(AD437=0,#N/A,AD40/AD437)))</f>
        <v>#N/A</v>
      </c>
      <c r="AE48" s="114"/>
      <c r="AF48" s="135" t="e">
        <f t="shared" ref="AF48:BI48" ca="1" si="50">IF($D$2=FALSE,"-",IF(AF$13="","",IF(AF437=0,#N/A,AF40/AF437)))</f>
        <v>#N/A</v>
      </c>
      <c r="AG48" s="176">
        <f t="shared" ca="1" si="50"/>
        <v>0.413127498197151</v>
      </c>
      <c r="AH48" s="135">
        <f t="shared" ca="1" si="50"/>
        <v>0.55702858140176259</v>
      </c>
      <c r="AI48" s="135">
        <f t="shared" ca="1" si="50"/>
        <v>0.67355111906744969</v>
      </c>
      <c r="AJ48" s="135">
        <f t="shared" ca="1" si="50"/>
        <v>0.83210540357064411</v>
      </c>
      <c r="AK48" s="135">
        <f t="shared" ca="1" si="50"/>
        <v>0.82030379038308754</v>
      </c>
      <c r="AL48" s="135" t="str">
        <f t="shared" ca="1" si="50"/>
        <v/>
      </c>
      <c r="AM48" s="135" t="str">
        <f t="shared" ca="1" si="50"/>
        <v/>
      </c>
      <c r="AN48" s="135" t="str">
        <f t="shared" ca="1" si="50"/>
        <v/>
      </c>
      <c r="AO48" s="135" t="str">
        <f t="shared" ca="1" si="50"/>
        <v/>
      </c>
      <c r="AP48" s="135" t="str">
        <f t="shared" ca="1" si="50"/>
        <v/>
      </c>
      <c r="AQ48" s="135" t="str">
        <f t="shared" ca="1" si="50"/>
        <v/>
      </c>
      <c r="AR48" s="135" t="str">
        <f t="shared" ca="1" si="50"/>
        <v/>
      </c>
      <c r="AS48" s="135" t="str">
        <f t="shared" ca="1" si="50"/>
        <v/>
      </c>
      <c r="AT48" s="135" t="str">
        <f t="shared" ca="1" si="50"/>
        <v/>
      </c>
      <c r="AU48" s="135" t="str">
        <f t="shared" ca="1" si="50"/>
        <v/>
      </c>
      <c r="AV48" s="135" t="str">
        <f t="shared" ca="1" si="50"/>
        <v/>
      </c>
      <c r="AW48" s="135" t="str">
        <f t="shared" ca="1" si="50"/>
        <v/>
      </c>
      <c r="AX48" s="135" t="str">
        <f t="shared" ca="1" si="50"/>
        <v/>
      </c>
      <c r="AY48" s="135" t="str">
        <f t="shared" ca="1" si="50"/>
        <v/>
      </c>
      <c r="AZ48" s="135" t="str">
        <f t="shared" ca="1" si="50"/>
        <v/>
      </c>
      <c r="BA48" s="135" t="str">
        <f t="shared" ca="1" si="50"/>
        <v/>
      </c>
      <c r="BB48" s="135" t="str">
        <f t="shared" ca="1" si="50"/>
        <v/>
      </c>
      <c r="BC48" s="135" t="str">
        <f t="shared" ca="1" si="50"/>
        <v/>
      </c>
      <c r="BD48" s="135" t="str">
        <f t="shared" ca="1" si="50"/>
        <v/>
      </c>
      <c r="BE48" s="135" t="str">
        <f t="shared" ca="1" si="50"/>
        <v/>
      </c>
      <c r="BF48" s="135" t="str">
        <f t="shared" ca="1" si="50"/>
        <v/>
      </c>
      <c r="BG48" s="135" t="str">
        <f t="shared" ca="1" si="50"/>
        <v/>
      </c>
      <c r="BH48" s="135" t="str">
        <f t="shared" ca="1" si="50"/>
        <v/>
      </c>
      <c r="BI48" s="135" t="str">
        <f t="shared" ca="1" si="50"/>
        <v/>
      </c>
      <c r="BK48" s="84"/>
      <c r="BL48" s="140"/>
      <c r="BM48" s="84"/>
      <c r="BN48" s="84"/>
      <c r="BO48" s="84"/>
      <c r="BP48" s="84"/>
    </row>
    <row r="49" spans="1:68" ht="15" customHeight="1" outlineLevel="1">
      <c r="A49" s="15"/>
      <c r="N49" s="3"/>
      <c r="P49" s="222"/>
      <c r="Q49" s="32" t="s">
        <v>97</v>
      </c>
      <c r="R49" s="32"/>
      <c r="S49" s="32"/>
      <c r="T49" s="32"/>
      <c r="U49" s="32"/>
      <c r="V49" s="15"/>
      <c r="W49" s="135" t="e">
        <f t="shared" ref="W49:AB49" ca="1" si="51">IF($D$2=FALSE,"-",IF(W$13="","",IF(W437=0,#N/A,W46/W437)))</f>
        <v>#N/A</v>
      </c>
      <c r="X49" s="135">
        <f t="shared" ca="1" si="51"/>
        <v>0.69209383340451647</v>
      </c>
      <c r="Y49" s="135">
        <f t="shared" ca="1" si="51"/>
        <v>0.84284516965673528</v>
      </c>
      <c r="Z49" s="135">
        <f t="shared" ca="1" si="51"/>
        <v>0.96656087031069726</v>
      </c>
      <c r="AA49" s="135">
        <f t="shared" ca="1" si="51"/>
        <v>1.0425941356847501</v>
      </c>
      <c r="AB49" s="135">
        <f t="shared" ca="1" si="51"/>
        <v>0.98836984459411237</v>
      </c>
      <c r="AC49" s="257"/>
      <c r="AD49" s="135" t="e">
        <f ca="1">IF($D$2=FALSE,"-",IF(AD$13="","",IF(AD437=0,#N/A,AD46/AD437)))</f>
        <v>#N/A</v>
      </c>
      <c r="AE49" s="114"/>
      <c r="AF49" s="135" t="e">
        <f t="shared" ref="AF49:BI49" ca="1" si="52">IF($D$2=FALSE,"-",IF(AF$13="","",IF(AF437=0,#N/A,AF46/AF437)))</f>
        <v>#N/A</v>
      </c>
      <c r="AG49" s="176">
        <f t="shared" ca="1" si="52"/>
        <v>0.69209383340451647</v>
      </c>
      <c r="AH49" s="135">
        <f t="shared" ca="1" si="52"/>
        <v>0.84284516965673528</v>
      </c>
      <c r="AI49" s="135">
        <f t="shared" ca="1" si="52"/>
        <v>0.96656087031069726</v>
      </c>
      <c r="AJ49" s="135">
        <f t="shared" ca="1" si="52"/>
        <v>1.0425941356847501</v>
      </c>
      <c r="AK49" s="135">
        <f t="shared" ca="1" si="52"/>
        <v>0.98836984459411237</v>
      </c>
      <c r="AL49" s="135" t="str">
        <f t="shared" ca="1" si="52"/>
        <v/>
      </c>
      <c r="AM49" s="135" t="str">
        <f t="shared" ca="1" si="52"/>
        <v/>
      </c>
      <c r="AN49" s="135" t="str">
        <f t="shared" ca="1" si="52"/>
        <v/>
      </c>
      <c r="AO49" s="135" t="str">
        <f t="shared" ca="1" si="52"/>
        <v/>
      </c>
      <c r="AP49" s="135" t="str">
        <f t="shared" ca="1" si="52"/>
        <v/>
      </c>
      <c r="AQ49" s="135" t="str">
        <f t="shared" ca="1" si="52"/>
        <v/>
      </c>
      <c r="AR49" s="135" t="str">
        <f t="shared" ca="1" si="52"/>
        <v/>
      </c>
      <c r="AS49" s="135" t="str">
        <f t="shared" ca="1" si="52"/>
        <v/>
      </c>
      <c r="AT49" s="135" t="str">
        <f t="shared" ca="1" si="52"/>
        <v/>
      </c>
      <c r="AU49" s="135" t="str">
        <f t="shared" ca="1" si="52"/>
        <v/>
      </c>
      <c r="AV49" s="135" t="str">
        <f t="shared" ca="1" si="52"/>
        <v/>
      </c>
      <c r="AW49" s="135" t="str">
        <f t="shared" ca="1" si="52"/>
        <v/>
      </c>
      <c r="AX49" s="135" t="str">
        <f t="shared" ca="1" si="52"/>
        <v/>
      </c>
      <c r="AY49" s="135" t="str">
        <f t="shared" ca="1" si="52"/>
        <v/>
      </c>
      <c r="AZ49" s="135" t="str">
        <f t="shared" ca="1" si="52"/>
        <v/>
      </c>
      <c r="BA49" s="135" t="str">
        <f t="shared" ca="1" si="52"/>
        <v/>
      </c>
      <c r="BB49" s="135" t="str">
        <f t="shared" ca="1" si="52"/>
        <v/>
      </c>
      <c r="BC49" s="135" t="str">
        <f t="shared" ca="1" si="52"/>
        <v/>
      </c>
      <c r="BD49" s="135" t="str">
        <f t="shared" ca="1" si="52"/>
        <v/>
      </c>
      <c r="BE49" s="135" t="str">
        <f t="shared" ca="1" si="52"/>
        <v/>
      </c>
      <c r="BF49" s="135" t="str">
        <f t="shared" ca="1" si="52"/>
        <v/>
      </c>
      <c r="BG49" s="135" t="str">
        <f t="shared" ca="1" si="52"/>
        <v/>
      </c>
      <c r="BH49" s="135" t="str">
        <f t="shared" ca="1" si="52"/>
        <v/>
      </c>
      <c r="BI49" s="135" t="str">
        <f t="shared" ca="1" si="52"/>
        <v/>
      </c>
      <c r="BK49" s="84"/>
      <c r="BL49" s="140"/>
      <c r="BM49" s="84"/>
      <c r="BN49" s="84"/>
      <c r="BO49" s="84"/>
      <c r="BP49" s="84"/>
    </row>
    <row r="50" spans="1:68" ht="15" customHeight="1" outlineLevel="1">
      <c r="A50" s="15"/>
      <c r="N50" s="3"/>
      <c r="P50" s="3"/>
      <c r="Q50" s="15"/>
      <c r="R50" s="15"/>
      <c r="S50" s="15"/>
      <c r="T50" s="15"/>
      <c r="U50" s="15"/>
      <c r="V50" s="15"/>
      <c r="W50" s="57"/>
      <c r="X50" s="57"/>
      <c r="Y50" s="57"/>
      <c r="Z50" s="57"/>
      <c r="AA50" s="57"/>
      <c r="AB50" s="57"/>
      <c r="AC50" s="6"/>
      <c r="AD50" s="57"/>
      <c r="AE50" s="6"/>
      <c r="AF50" s="57"/>
      <c r="AG50" s="131"/>
      <c r="AH50" s="57"/>
      <c r="AI50" s="57"/>
      <c r="AJ50" s="57"/>
      <c r="AK50" s="57"/>
      <c r="AL50" s="57"/>
      <c r="AM50" s="57"/>
      <c r="AN50" s="57"/>
      <c r="AO50" s="57"/>
      <c r="AP50" s="57"/>
      <c r="AQ50" s="57"/>
      <c r="AR50" s="57"/>
      <c r="AS50" s="57"/>
      <c r="AT50" s="57"/>
      <c r="AU50" s="57"/>
      <c r="AV50" s="57"/>
      <c r="AW50" s="57"/>
      <c r="AX50" s="57"/>
      <c r="AY50" s="57"/>
      <c r="AZ50" s="57"/>
      <c r="BA50" s="57"/>
      <c r="BB50" s="57"/>
      <c r="BC50" s="57"/>
      <c r="BD50" s="57"/>
      <c r="BE50" s="57"/>
      <c r="BF50" s="57"/>
      <c r="BG50" s="57"/>
      <c r="BH50" s="57"/>
      <c r="BI50" s="57"/>
      <c r="BK50" s="109"/>
      <c r="BL50" s="109"/>
      <c r="BM50" s="109"/>
      <c r="BN50" s="109"/>
      <c r="BO50" s="109"/>
      <c r="BP50" s="109"/>
    </row>
    <row r="51" spans="1:68" ht="15" customHeight="1" outlineLevel="1">
      <c r="A51" s="15"/>
      <c r="N51" s="3"/>
      <c r="O51" s="11">
        <f>O45+1</f>
        <v>20</v>
      </c>
      <c r="P51" s="222"/>
      <c r="Q51" s="15" t="s">
        <v>98</v>
      </c>
      <c r="R51" s="15"/>
      <c r="S51" s="15"/>
      <c r="T51" s="15"/>
      <c r="U51" s="15"/>
      <c r="V51" s="15"/>
      <c r="W51" s="116">
        <f t="shared" ref="W51:AB53" ca="1" si="53">IF($D$2=FALSE,"-",IF(W$13="","",SUM(OFFSET($AF51,0,W$8,1,-$E$5))))</f>
        <v>15.2</v>
      </c>
      <c r="X51" s="116">
        <f t="shared" ca="1" si="53"/>
        <v>15.96</v>
      </c>
      <c r="Y51" s="116">
        <f t="shared" ca="1" si="53"/>
        <v>16.757999999999999</v>
      </c>
      <c r="Z51" s="116">
        <f t="shared" ca="1" si="53"/>
        <v>17.5959</v>
      </c>
      <c r="AA51" s="116">
        <f t="shared" ca="1" si="53"/>
        <v>18.475695000000002</v>
      </c>
      <c r="AB51" s="116">
        <f t="shared" ca="1" si="53"/>
        <v>19.399479750000001</v>
      </c>
      <c r="AC51" s="257"/>
      <c r="AD51" s="116" t="e">
        <f ca="1">IF($D$2=FALSE,"-",IF(AD$13="","",SUM(OFFSET($AF51,0,$F$4-AD$7-1,1,-$E$5))+SUM(OFFSET($AF51,0,$F$4-1,1,-AD$7))-SUM(OFFSET($AF51,0,$F$4-$E$5-1,1,-AD$7))))</f>
        <v>#N/A</v>
      </c>
      <c r="AE51" s="114"/>
      <c r="AF51" s="116">
        <f t="shared" ref="AF51:BI51" ca="1" si="54">IF($D$2=FALSE,"-",IF(AF$13="","",IF(AF$4&lt;=0,OFFSET(INDIRECT($D$3),$O51-1,$E$10-1+AF$3),AF15*AF66)))</f>
        <v>15.2</v>
      </c>
      <c r="AG51" s="132">
        <f t="shared" ca="1" si="54"/>
        <v>15.96</v>
      </c>
      <c r="AH51" s="116">
        <f t="shared" ca="1" si="54"/>
        <v>16.757999999999999</v>
      </c>
      <c r="AI51" s="116">
        <f t="shared" ca="1" si="54"/>
        <v>17.5959</v>
      </c>
      <c r="AJ51" s="116">
        <f t="shared" ca="1" si="54"/>
        <v>18.475695000000002</v>
      </c>
      <c r="AK51" s="116">
        <f t="shared" ca="1" si="54"/>
        <v>19.399479750000001</v>
      </c>
      <c r="AL51" s="116" t="str">
        <f t="shared" ca="1" si="54"/>
        <v/>
      </c>
      <c r="AM51" s="116" t="str">
        <f t="shared" ca="1" si="54"/>
        <v/>
      </c>
      <c r="AN51" s="116" t="str">
        <f t="shared" ca="1" si="54"/>
        <v/>
      </c>
      <c r="AO51" s="116" t="str">
        <f t="shared" ca="1" si="54"/>
        <v/>
      </c>
      <c r="AP51" s="116" t="str">
        <f t="shared" ca="1" si="54"/>
        <v/>
      </c>
      <c r="AQ51" s="116" t="str">
        <f t="shared" ca="1" si="54"/>
        <v/>
      </c>
      <c r="AR51" s="116" t="str">
        <f t="shared" ca="1" si="54"/>
        <v/>
      </c>
      <c r="AS51" s="116" t="str">
        <f t="shared" ca="1" si="54"/>
        <v/>
      </c>
      <c r="AT51" s="116" t="str">
        <f t="shared" ca="1" si="54"/>
        <v/>
      </c>
      <c r="AU51" s="116" t="str">
        <f t="shared" ca="1" si="54"/>
        <v/>
      </c>
      <c r="AV51" s="116" t="str">
        <f t="shared" ca="1" si="54"/>
        <v/>
      </c>
      <c r="AW51" s="116" t="str">
        <f t="shared" ca="1" si="54"/>
        <v/>
      </c>
      <c r="AX51" s="116" t="str">
        <f t="shared" ca="1" si="54"/>
        <v/>
      </c>
      <c r="AY51" s="116" t="str">
        <f t="shared" ca="1" si="54"/>
        <v/>
      </c>
      <c r="AZ51" s="116" t="str">
        <f t="shared" ca="1" si="54"/>
        <v/>
      </c>
      <c r="BA51" s="116" t="str">
        <f t="shared" ca="1" si="54"/>
        <v/>
      </c>
      <c r="BB51" s="116" t="str">
        <f t="shared" ca="1" si="54"/>
        <v/>
      </c>
      <c r="BC51" s="116" t="str">
        <f t="shared" ca="1" si="54"/>
        <v/>
      </c>
      <c r="BD51" s="116" t="str">
        <f t="shared" ca="1" si="54"/>
        <v/>
      </c>
      <c r="BE51" s="116" t="str">
        <f t="shared" ca="1" si="54"/>
        <v/>
      </c>
      <c r="BF51" s="116" t="str">
        <f t="shared" ca="1" si="54"/>
        <v/>
      </c>
      <c r="BG51" s="116" t="str">
        <f t="shared" ca="1" si="54"/>
        <v/>
      </c>
      <c r="BH51" s="116" t="str">
        <f t="shared" ca="1" si="54"/>
        <v/>
      </c>
      <c r="BI51" s="116" t="str">
        <f t="shared" ca="1" si="54"/>
        <v/>
      </c>
      <c r="BK51" s="84"/>
      <c r="BL51" s="84"/>
      <c r="BM51" s="84"/>
      <c r="BN51" s="84"/>
      <c r="BO51" s="84"/>
      <c r="BP51" s="84"/>
    </row>
    <row r="52" spans="1:68" ht="15" customHeight="1" outlineLevel="1">
      <c r="B52" s="34">
        <f>$B$57</f>
        <v>44926</v>
      </c>
      <c r="C52" s="34">
        <f ca="1">$C$57</f>
        <v>44926</v>
      </c>
      <c r="D52" s="107">
        <f ca="1">IF($D$2=FALSE,"-",AVERAGE(OFFSET($AF52,0,MATCH(B52,OFFSET($AF$13,0,0,1,$G$4-$E$4+1),0)-1,1,MATCH(C52,OFFSET($AF$13,0,0,1,$G$4-$E$4+1),0)-MATCH(B52,OFFSET($AF$13,0,0,1,$G$4-$E$4+1),0)+1)))</f>
        <v>0.01</v>
      </c>
      <c r="E52" s="96">
        <v>0.01</v>
      </c>
      <c r="F52" s="107">
        <f t="shared" ref="F52" si="55">IF($D$2=FALSE,"-",IF(E52="",D52,E52))</f>
        <v>0.01</v>
      </c>
      <c r="G52" s="34">
        <f>$G$57</f>
        <v>44926</v>
      </c>
      <c r="H52" s="37">
        <f ca="1">$H$57</f>
        <v>44926</v>
      </c>
      <c r="I52" s="107">
        <f ca="1">IF($D$2=FALSE,"-",AVERAGE(OFFSET($AF52,0,MATCH(G52,OFFSET($AF$13,0,0,1,$G$4-$E$4+1),0)-1,1,MATCH(H52,OFFSET($AF$13,0,0,1,$G$4-$E$4+1),0)-MATCH(G52,OFFSET($AF$13,0,0,1,$G$4-$E$4+1),0)+1)))</f>
        <v>0.01</v>
      </c>
      <c r="J52" s="96">
        <v>0.01</v>
      </c>
      <c r="K52" s="127">
        <f>IF($D$2=FALSE,"-",IF(J52="",I52,J52))</f>
        <v>0.01</v>
      </c>
      <c r="L52" s="126">
        <v>5</v>
      </c>
      <c r="M52" s="81">
        <v>0.1</v>
      </c>
      <c r="O52" s="11">
        <f>O51+1</f>
        <v>21</v>
      </c>
      <c r="P52" s="222"/>
      <c r="Q52" s="1" t="s">
        <v>47</v>
      </c>
      <c r="V52" s="15"/>
      <c r="W52" s="135">
        <f t="shared" ca="1" si="53"/>
        <v>0.01</v>
      </c>
      <c r="X52" s="135">
        <f t="shared" ca="1" si="53"/>
        <v>0.01</v>
      </c>
      <c r="Y52" s="135">
        <f t="shared" ca="1" si="53"/>
        <v>0.01</v>
      </c>
      <c r="Z52" s="135">
        <f t="shared" ca="1" si="53"/>
        <v>0.01</v>
      </c>
      <c r="AA52" s="135">
        <f t="shared" ca="1" si="53"/>
        <v>0.01</v>
      </c>
      <c r="AB52" s="135">
        <f t="shared" ca="1" si="53"/>
        <v>0.01</v>
      </c>
      <c r="AC52" s="257"/>
      <c r="AD52" s="135" t="e">
        <f ca="1">IF($D$2=FALSE,"-",IF(AD$13="","",SUM(OFFSET($AF52,0,$F$4-AD$7-1,1,-$E$5))+SUM(OFFSET($AF52,0,$F$4-1,1,-AD$7))-SUM(OFFSET($AF52,0,$F$4-$E$5-1,1,-AD$7))))</f>
        <v>#N/A</v>
      </c>
      <c r="AE52" s="136"/>
      <c r="AF52" s="97">
        <f t="shared" ref="AF52:BI52" ca="1" si="56">IF($D$2=FALSE,"-",IF(AF$13="","",IF(AF$4&lt;=0,OFFSET(INDIRECT($D$3),$O52-1,$E$10-1+AF$3),IF(AF$4&lt;=$L52,IF($M52=0,$F52-((IF($M52=0,($F52-$K52)/$L52,($K52-$F52)/(EXP(-$M52*$L52)-1)))*(AF$4-1)),($F52-(IF($M52=0,($F52-$K52)/$L52,($K52-$F52)/(EXP(-$M52*$L52)-1))))+((IF($M52=0,($F52-$K52)/$L52,($K52-$F52)/(EXP(-$M52*$L52)-1)))*EXP(-$M52*(AF$4-1)))),$K52))))</f>
        <v>0.01</v>
      </c>
      <c r="AG52" s="98">
        <f t="shared" ca="1" si="56"/>
        <v>0.01</v>
      </c>
      <c r="AH52" s="98">
        <f t="shared" ca="1" si="56"/>
        <v>0.01</v>
      </c>
      <c r="AI52" s="98">
        <f t="shared" ca="1" si="56"/>
        <v>0.01</v>
      </c>
      <c r="AJ52" s="98">
        <f t="shared" ca="1" si="56"/>
        <v>0.01</v>
      </c>
      <c r="AK52" s="98">
        <f t="shared" ca="1" si="56"/>
        <v>0.01</v>
      </c>
      <c r="AL52" s="98" t="str">
        <f t="shared" ca="1" si="56"/>
        <v/>
      </c>
      <c r="AM52" s="98" t="str">
        <f t="shared" ca="1" si="56"/>
        <v/>
      </c>
      <c r="AN52" s="98" t="str">
        <f t="shared" ca="1" si="56"/>
        <v/>
      </c>
      <c r="AO52" s="98" t="str">
        <f t="shared" ca="1" si="56"/>
        <v/>
      </c>
      <c r="AP52" s="98" t="str">
        <f t="shared" ca="1" si="56"/>
        <v/>
      </c>
      <c r="AQ52" s="98" t="str">
        <f t="shared" ca="1" si="56"/>
        <v/>
      </c>
      <c r="AR52" s="98" t="str">
        <f t="shared" ca="1" si="56"/>
        <v/>
      </c>
      <c r="AS52" s="98" t="str">
        <f t="shared" ca="1" si="56"/>
        <v/>
      </c>
      <c r="AT52" s="98" t="str">
        <f t="shared" ca="1" si="56"/>
        <v/>
      </c>
      <c r="AU52" s="98" t="str">
        <f t="shared" ca="1" si="56"/>
        <v/>
      </c>
      <c r="AV52" s="98" t="str">
        <f t="shared" ca="1" si="56"/>
        <v/>
      </c>
      <c r="AW52" s="98" t="str">
        <f t="shared" ca="1" si="56"/>
        <v/>
      </c>
      <c r="AX52" s="98" t="str">
        <f t="shared" ca="1" si="56"/>
        <v/>
      </c>
      <c r="AY52" s="98" t="str">
        <f t="shared" ca="1" si="56"/>
        <v/>
      </c>
      <c r="AZ52" s="98" t="str">
        <f t="shared" ca="1" si="56"/>
        <v/>
      </c>
      <c r="BA52" s="98" t="str">
        <f t="shared" ca="1" si="56"/>
        <v/>
      </c>
      <c r="BB52" s="98" t="str">
        <f t="shared" ca="1" si="56"/>
        <v/>
      </c>
      <c r="BC52" s="98" t="str">
        <f t="shared" ca="1" si="56"/>
        <v/>
      </c>
      <c r="BD52" s="98" t="str">
        <f t="shared" ca="1" si="56"/>
        <v/>
      </c>
      <c r="BE52" s="98" t="str">
        <f t="shared" ca="1" si="56"/>
        <v/>
      </c>
      <c r="BF52" s="98" t="str">
        <f t="shared" ca="1" si="56"/>
        <v/>
      </c>
      <c r="BG52" s="98" t="str">
        <f t="shared" ca="1" si="56"/>
        <v/>
      </c>
      <c r="BH52" s="98" t="str">
        <f t="shared" ca="1" si="56"/>
        <v/>
      </c>
      <c r="BI52" s="98" t="str">
        <f t="shared" ca="1" si="56"/>
        <v/>
      </c>
      <c r="BK52" s="84"/>
      <c r="BL52" s="84"/>
      <c r="BM52" s="84"/>
      <c r="BN52" s="84"/>
      <c r="BO52" s="84"/>
      <c r="BP52" s="84"/>
    </row>
    <row r="53" spans="1:68" ht="15" customHeight="1" outlineLevel="1">
      <c r="L53" s="220"/>
      <c r="M53" s="111"/>
      <c r="O53" s="110"/>
      <c r="P53" s="222"/>
      <c r="Q53" s="1" t="s">
        <v>218</v>
      </c>
      <c r="V53" s="15"/>
      <c r="W53" s="135">
        <f t="shared" ca="1" si="53"/>
        <v>-0.35340000000000005</v>
      </c>
      <c r="X53" s="135">
        <f t="shared" ca="1" si="53"/>
        <v>-0.35340000000000005</v>
      </c>
      <c r="Y53" s="135">
        <f t="shared" ca="1" si="53"/>
        <v>-0.35340000000000005</v>
      </c>
      <c r="Z53" s="135">
        <f t="shared" ca="1" si="53"/>
        <v>-0.35340000000000005</v>
      </c>
      <c r="AA53" s="135">
        <f t="shared" ca="1" si="53"/>
        <v>-0.35340000000000005</v>
      </c>
      <c r="AB53" s="135">
        <f t="shared" ca="1" si="53"/>
        <v>-0.35340000000000005</v>
      </c>
      <c r="AC53" s="257"/>
      <c r="AD53" s="135" t="e">
        <f ca="1">IF($D$2=FALSE,"-",IF(AD$13="","",SUM(OFFSET($AF53,0,$F$4-AD$7-1,1,-$E$5))+SUM(OFFSET($AF53,0,$F$4-1,1,-AD$7))-SUM(OFFSET($AF53,0,$F$4-$E$5-1,1,-AD$7))))</f>
        <v>#N/A</v>
      </c>
      <c r="AE53" s="136"/>
      <c r="AF53" s="97">
        <f t="shared" ref="AF53:BI53" ca="1" si="57">IF($D$2=FALSE,"-",IF(AF$13="","",-AF52*AF433))</f>
        <v>-0.35340000000000005</v>
      </c>
      <c r="AG53" s="168">
        <f t="shared" ca="1" si="57"/>
        <v>-0.35340000000000005</v>
      </c>
      <c r="AH53" s="98">
        <f t="shared" ca="1" si="57"/>
        <v>-0.35340000000000005</v>
      </c>
      <c r="AI53" s="98">
        <f t="shared" ca="1" si="57"/>
        <v>-0.35340000000000005</v>
      </c>
      <c r="AJ53" s="98">
        <f t="shared" ca="1" si="57"/>
        <v>-0.35340000000000005</v>
      </c>
      <c r="AK53" s="98">
        <f t="shared" ca="1" si="57"/>
        <v>-0.35340000000000005</v>
      </c>
      <c r="AL53" s="98" t="str">
        <f t="shared" ca="1" si="57"/>
        <v/>
      </c>
      <c r="AM53" s="98" t="str">
        <f t="shared" ca="1" si="57"/>
        <v/>
      </c>
      <c r="AN53" s="98" t="str">
        <f t="shared" ca="1" si="57"/>
        <v/>
      </c>
      <c r="AO53" s="98" t="str">
        <f t="shared" ca="1" si="57"/>
        <v/>
      </c>
      <c r="AP53" s="98" t="str">
        <f t="shared" ca="1" si="57"/>
        <v/>
      </c>
      <c r="AQ53" s="98" t="str">
        <f t="shared" ca="1" si="57"/>
        <v/>
      </c>
      <c r="AR53" s="98" t="str">
        <f t="shared" ca="1" si="57"/>
        <v/>
      </c>
      <c r="AS53" s="98" t="str">
        <f t="shared" ca="1" si="57"/>
        <v/>
      </c>
      <c r="AT53" s="98" t="str">
        <f t="shared" ca="1" si="57"/>
        <v/>
      </c>
      <c r="AU53" s="98" t="str">
        <f t="shared" ca="1" si="57"/>
        <v/>
      </c>
      <c r="AV53" s="98" t="str">
        <f t="shared" ca="1" si="57"/>
        <v/>
      </c>
      <c r="AW53" s="98" t="str">
        <f t="shared" ca="1" si="57"/>
        <v/>
      </c>
      <c r="AX53" s="98" t="str">
        <f t="shared" ca="1" si="57"/>
        <v/>
      </c>
      <c r="AY53" s="98" t="str">
        <f t="shared" ca="1" si="57"/>
        <v/>
      </c>
      <c r="AZ53" s="98" t="str">
        <f t="shared" ca="1" si="57"/>
        <v/>
      </c>
      <c r="BA53" s="98" t="str">
        <f t="shared" ca="1" si="57"/>
        <v/>
      </c>
      <c r="BB53" s="98" t="str">
        <f t="shared" ca="1" si="57"/>
        <v/>
      </c>
      <c r="BC53" s="98" t="str">
        <f t="shared" ca="1" si="57"/>
        <v/>
      </c>
      <c r="BD53" s="98" t="str">
        <f t="shared" ca="1" si="57"/>
        <v/>
      </c>
      <c r="BE53" s="98" t="str">
        <f t="shared" ca="1" si="57"/>
        <v/>
      </c>
      <c r="BF53" s="98" t="str">
        <f t="shared" ca="1" si="57"/>
        <v/>
      </c>
      <c r="BG53" s="98" t="str">
        <f t="shared" ca="1" si="57"/>
        <v/>
      </c>
      <c r="BH53" s="98" t="str">
        <f t="shared" ca="1" si="57"/>
        <v/>
      </c>
      <c r="BI53" s="98" t="str">
        <f t="shared" ca="1" si="57"/>
        <v/>
      </c>
      <c r="BK53" s="84"/>
      <c r="BL53" s="84"/>
      <c r="BM53" s="84"/>
      <c r="BN53" s="84"/>
      <c r="BO53" s="84"/>
      <c r="BP53" s="84"/>
    </row>
    <row r="54" spans="1:68" ht="15" customHeight="1" outlineLevel="1">
      <c r="A54" s="6"/>
      <c r="N54" s="6"/>
      <c r="P54" s="6"/>
      <c r="Q54" s="6"/>
      <c r="R54" s="6"/>
      <c r="S54" s="6"/>
      <c r="T54" s="6"/>
      <c r="U54" s="6"/>
      <c r="V54" s="6"/>
      <c r="W54" s="6"/>
      <c r="X54" s="6"/>
      <c r="Y54" s="6"/>
      <c r="Z54" s="6"/>
      <c r="AA54" s="6"/>
      <c r="AB54" s="6"/>
      <c r="AC54" s="6"/>
      <c r="AE54" s="6"/>
      <c r="AF54" s="18"/>
      <c r="AG54" s="19"/>
      <c r="AH54" s="19"/>
      <c r="AI54" s="19"/>
      <c r="AJ54" s="19"/>
      <c r="AK54" s="19"/>
      <c r="AL54" s="19"/>
      <c r="AM54" s="19"/>
      <c r="AN54" s="19"/>
      <c r="AO54" s="19"/>
      <c r="AP54" s="19"/>
      <c r="AQ54" s="19"/>
      <c r="AR54" s="19"/>
      <c r="AS54" s="19"/>
      <c r="AT54" s="19"/>
      <c r="AU54" s="19"/>
      <c r="AV54" s="19"/>
      <c r="AW54" s="19"/>
      <c r="AX54" s="19"/>
      <c r="AY54" s="19"/>
      <c r="AZ54" s="19"/>
      <c r="BA54" s="19"/>
      <c r="BB54" s="19"/>
      <c r="BC54" s="19"/>
      <c r="BD54" s="19"/>
      <c r="BE54" s="19"/>
      <c r="BF54" s="19"/>
      <c r="BG54" s="19"/>
      <c r="BH54" s="19"/>
      <c r="BI54" s="19"/>
    </row>
    <row r="55" spans="1:68" ht="15" customHeight="1" outlineLevel="1">
      <c r="A55" s="6"/>
      <c r="N55" s="6"/>
      <c r="P55" s="6"/>
      <c r="Q55" s="68" t="s">
        <v>68</v>
      </c>
      <c r="R55" s="68"/>
      <c r="S55" s="68"/>
      <c r="T55" s="68"/>
      <c r="U55" s="68"/>
      <c r="V55" s="6"/>
      <c r="W55" s="26"/>
      <c r="X55" s="26"/>
      <c r="Y55" s="26"/>
      <c r="Z55" s="26"/>
      <c r="AA55" s="26"/>
      <c r="AB55" s="26"/>
      <c r="AC55" s="6"/>
      <c r="AD55" s="59"/>
      <c r="AE55" s="6"/>
      <c r="AF55" s="152"/>
      <c r="AG55" s="153"/>
      <c r="AH55" s="153"/>
      <c r="AI55" s="153"/>
      <c r="AJ55" s="153"/>
      <c r="AK55" s="153"/>
      <c r="AL55" s="153"/>
      <c r="AM55" s="153"/>
      <c r="AN55" s="153"/>
      <c r="AO55" s="153"/>
      <c r="AP55" s="153"/>
      <c r="AQ55" s="153"/>
      <c r="AR55" s="153"/>
      <c r="AS55" s="153"/>
      <c r="AT55" s="153"/>
      <c r="AU55" s="153"/>
      <c r="AV55" s="153"/>
      <c r="AW55" s="153"/>
      <c r="AX55" s="153"/>
      <c r="AY55" s="153"/>
      <c r="AZ55" s="153"/>
      <c r="BA55" s="153"/>
      <c r="BB55" s="153"/>
      <c r="BC55" s="153"/>
      <c r="BD55" s="153"/>
      <c r="BE55" s="153"/>
      <c r="BF55" s="153"/>
      <c r="BG55" s="153"/>
      <c r="BH55" s="153"/>
      <c r="BI55" s="153"/>
    </row>
    <row r="56" spans="1:68" ht="15" customHeight="1" outlineLevel="1">
      <c r="A56" s="6"/>
      <c r="N56" s="6"/>
      <c r="P56" s="6"/>
      <c r="Q56" s="33"/>
      <c r="R56" s="33"/>
      <c r="S56" s="33"/>
      <c r="T56" s="33"/>
      <c r="U56" s="33"/>
      <c r="V56" s="6"/>
      <c r="W56" s="6"/>
      <c r="X56" s="6"/>
      <c r="Y56" s="6"/>
      <c r="Z56" s="6"/>
      <c r="AA56" s="6"/>
      <c r="AB56" s="6"/>
      <c r="AC56" s="6"/>
      <c r="AE56" s="6"/>
      <c r="AF56" s="18"/>
      <c r="AG56" s="19"/>
      <c r="AH56" s="19"/>
      <c r="AI56" s="19"/>
      <c r="AJ56" s="19"/>
      <c r="AK56" s="19"/>
      <c r="AL56" s="19"/>
      <c r="AM56" s="19"/>
      <c r="AN56" s="19"/>
      <c r="AO56" s="19"/>
      <c r="AP56" s="19"/>
      <c r="AQ56" s="19"/>
      <c r="AR56" s="19"/>
      <c r="AS56" s="19"/>
      <c r="AT56" s="19"/>
      <c r="AU56" s="19"/>
      <c r="AV56" s="19"/>
      <c r="AW56" s="19"/>
      <c r="AX56" s="19"/>
      <c r="AY56" s="19"/>
      <c r="AZ56" s="19"/>
      <c r="BA56" s="19"/>
      <c r="BB56" s="19"/>
      <c r="BC56" s="19"/>
      <c r="BD56" s="19"/>
      <c r="BE56" s="19"/>
      <c r="BF56" s="19"/>
      <c r="BG56" s="19"/>
      <c r="BH56" s="19"/>
      <c r="BI56" s="19"/>
    </row>
    <row r="57" spans="1:68" ht="15" customHeight="1" outlineLevel="1">
      <c r="A57" s="17"/>
      <c r="B57" s="34">
        <f>IF($D$2=FALSE,"-",$D$4)</f>
        <v>44926</v>
      </c>
      <c r="C57" s="34">
        <f ca="1">IF($D$2=FALSE,"-",OFFSET($AF$13,0,$F$4-1))</f>
        <v>44926</v>
      </c>
      <c r="D57" s="35">
        <f ca="1">IF($D$2=FALSE,"-",AVERAGE(OFFSET($AF57,0,MATCH(B57,OFFSET($AF$13,0,0,1,$G$4-$E$4+1),0)-1,1,MATCH(C57,OFFSET($AF$13,0,0,1,$G$4-$E$4+1),0)-MATCH(B57,OFFSET($AF$13,0,0,1,$G$4-$E$4+1),0)+1)))</f>
        <v>0</v>
      </c>
      <c r="E57" s="51">
        <v>0.05</v>
      </c>
      <c r="F57" s="36">
        <f>IF($D$2=FALSE,"-",IF(E57="",D57,E57))</f>
        <v>0.05</v>
      </c>
      <c r="G57" s="34">
        <f>IF($D$2=FALSE,"-",$D$4)</f>
        <v>44926</v>
      </c>
      <c r="H57" s="34">
        <f ca="1">IF($D$2=FALSE,"-",OFFSET($AF$13,0,$F$4-1))</f>
        <v>44926</v>
      </c>
      <c r="I57" s="35">
        <f ca="1">IF($D$2=FALSE,"-",AVERAGE(OFFSET($AF57,0,MATCH(G57,OFFSET($AF$13,0,0,1,$G$4-$E$4+1),0)-1,1,MATCH(H57,OFFSET($AF$13,0,0,1,$G$4-$E$4+1),0)-MATCH(G57,OFFSET($AF$13,0,0,1,$G$4-$E$4+1),0)+1)))</f>
        <v>0</v>
      </c>
      <c r="J57" s="51">
        <v>0.05</v>
      </c>
      <c r="K57" s="35">
        <f>IF($D$2=FALSE,"-",IF(J57="",I57,J57))</f>
        <v>0.05</v>
      </c>
      <c r="L57" s="126">
        <v>5</v>
      </c>
      <c r="M57" s="81">
        <v>0.1</v>
      </c>
      <c r="N57" s="3"/>
      <c r="O57" s="111"/>
      <c r="P57" s="3"/>
      <c r="Q57" s="17" t="str">
        <f>IF($D$2=FALSE,"-",Q15&amp;" Growth Rate %")</f>
        <v>Sales Growth Rate %</v>
      </c>
      <c r="R57" s="17"/>
      <c r="S57" s="17"/>
      <c r="T57" s="17"/>
      <c r="U57" s="17"/>
      <c r="V57" s="17"/>
      <c r="W57" s="20">
        <f t="shared" ref="W57:AB59" ca="1" si="58">IF($D$2=FALSE,"-",IF(W$13="","",OFFSET($AF57,0,W$8)))</f>
        <v>0</v>
      </c>
      <c r="X57" s="20">
        <f t="shared" ca="1" si="58"/>
        <v>0.05</v>
      </c>
      <c r="Y57" s="20">
        <f t="shared" ca="1" si="58"/>
        <v>0.05</v>
      </c>
      <c r="Z57" s="20">
        <f t="shared" ca="1" si="58"/>
        <v>0.05</v>
      </c>
      <c r="AA57" s="20">
        <f t="shared" ca="1" si="58"/>
        <v>0.05</v>
      </c>
      <c r="AB57" s="20">
        <f t="shared" ca="1" si="58"/>
        <v>0.05</v>
      </c>
      <c r="AC57" s="257"/>
      <c r="AD57" s="20" t="e">
        <f ca="1">IF($D$2=FALSE,"-",IF(AD$13="","",OFFSET($AF57,0,$F$4-AD$7-1)+OFFSET($AF57,0,$F$4-1)-OFFSET($AF57,0,$F$4-$E$5-1)))</f>
        <v>#N/A</v>
      </c>
      <c r="AE57" s="79"/>
      <c r="AF57" s="328">
        <f ca="1">IF($D$2=FALSE,"-",IF(AF$13="","",IF(AF$4&lt;=0,IF(AF$3=0,0,IF(SUM(OFFSET(AF15,0,-AF$7))=0,#N/A,(AF15/OFFSET(AF15,0,-AF$7)-1)/AF$6)),IF(AF$4&lt;=$L57,IF($M57=0,$F57-((IF($M57=0,($F57-$K57)/$L57,($K57-$F57)/(EXP(-$M57*$L57)-1)))*(AF$4-1)),($F57-(IF($M57=0,($F57-$K57)/$L57,($K57-$F57)/(EXP(-$M57*$L57)-1))))+((IF($M57=0,($F57-$K57)/$L57,($K57-$F57)/(EXP(-$M57*$L57)-1)))*EXP(-$M57*(AF$4-1)))),$K57))))</f>
        <v>0</v>
      </c>
      <c r="AG57" s="275">
        <f t="shared" ref="AG57:BI57" ca="1" si="59">IF($D$2=FALSE,"-",IF(AG$13="","",IF(AG$4&lt;=0,IF(AG$3=0,0,IF(SUM(OFFSET(AG15,0,-AG$7))=0,#N/A,(AG15/OFFSET(AG15,0,-AG$7)-1)/AG$6)),IF(AG$4&lt;=$L57,IF($M57=0,$F57-((IF($M57=0,($F57-$K57)/$L57,($K57-$F57)/(EXP(-$M57*$L57)-1)))*(AG$4-1)),($F57-(IF($M57=0,($F57-$K57)/$L57,($K57-$F57)/(EXP(-$M57*$L57)-1))))+((IF($M57=0,($F57-$K57)/$L57,($K57-$F57)/(EXP(-$M57*$L57)-1)))*EXP(-$M57*(AG$4-1)))),$K57))))</f>
        <v>0.05</v>
      </c>
      <c r="AH57" s="275">
        <f t="shared" ca="1" si="59"/>
        <v>0.05</v>
      </c>
      <c r="AI57" s="275">
        <f t="shared" ca="1" si="59"/>
        <v>0.05</v>
      </c>
      <c r="AJ57" s="275">
        <f t="shared" ca="1" si="59"/>
        <v>0.05</v>
      </c>
      <c r="AK57" s="275">
        <f t="shared" ca="1" si="59"/>
        <v>0.05</v>
      </c>
      <c r="AL57" s="275" t="str">
        <f t="shared" ca="1" si="59"/>
        <v/>
      </c>
      <c r="AM57" s="275" t="str">
        <f t="shared" ca="1" si="59"/>
        <v/>
      </c>
      <c r="AN57" s="275" t="str">
        <f t="shared" ca="1" si="59"/>
        <v/>
      </c>
      <c r="AO57" s="275" t="str">
        <f t="shared" ca="1" si="59"/>
        <v/>
      </c>
      <c r="AP57" s="275" t="str">
        <f t="shared" ca="1" si="59"/>
        <v/>
      </c>
      <c r="AQ57" s="275" t="str">
        <f t="shared" ca="1" si="59"/>
        <v/>
      </c>
      <c r="AR57" s="275" t="str">
        <f t="shared" ca="1" si="59"/>
        <v/>
      </c>
      <c r="AS57" s="275" t="str">
        <f t="shared" ca="1" si="59"/>
        <v/>
      </c>
      <c r="AT57" s="275" t="str">
        <f t="shared" ca="1" si="59"/>
        <v/>
      </c>
      <c r="AU57" s="275" t="str">
        <f t="shared" ca="1" si="59"/>
        <v/>
      </c>
      <c r="AV57" s="275" t="str">
        <f t="shared" ca="1" si="59"/>
        <v/>
      </c>
      <c r="AW57" s="275" t="str">
        <f t="shared" ca="1" si="59"/>
        <v/>
      </c>
      <c r="AX57" s="275" t="str">
        <f t="shared" ca="1" si="59"/>
        <v/>
      </c>
      <c r="AY57" s="275" t="str">
        <f t="shared" ca="1" si="59"/>
        <v/>
      </c>
      <c r="AZ57" s="275" t="str">
        <f t="shared" ca="1" si="59"/>
        <v/>
      </c>
      <c r="BA57" s="275" t="str">
        <f t="shared" ca="1" si="59"/>
        <v/>
      </c>
      <c r="BB57" s="275" t="str">
        <f t="shared" ca="1" si="59"/>
        <v/>
      </c>
      <c r="BC57" s="275" t="str">
        <f t="shared" ca="1" si="59"/>
        <v/>
      </c>
      <c r="BD57" s="275" t="str">
        <f t="shared" ca="1" si="59"/>
        <v/>
      </c>
      <c r="BE57" s="275" t="str">
        <f t="shared" ca="1" si="59"/>
        <v/>
      </c>
      <c r="BF57" s="275" t="str">
        <f t="shared" ca="1" si="59"/>
        <v/>
      </c>
      <c r="BG57" s="275" t="str">
        <f t="shared" ca="1" si="59"/>
        <v/>
      </c>
      <c r="BH57" s="275" t="str">
        <f t="shared" ca="1" si="59"/>
        <v/>
      </c>
      <c r="BI57" s="275" t="str">
        <f t="shared" ca="1" si="59"/>
        <v/>
      </c>
      <c r="BK57" s="137"/>
      <c r="BL57" s="137"/>
      <c r="BM57" s="137"/>
      <c r="BN57" s="137"/>
      <c r="BO57" s="137"/>
      <c r="BP57" s="137"/>
    </row>
    <row r="58" spans="1:68" ht="15" customHeight="1" outlineLevel="1">
      <c r="A58" s="6"/>
      <c r="N58" s="6"/>
      <c r="P58" s="3"/>
      <c r="Q58" s="6" t="s">
        <v>69</v>
      </c>
      <c r="R58" s="6"/>
      <c r="S58" s="6"/>
      <c r="T58" s="6"/>
      <c r="U58" s="6"/>
      <c r="V58" s="6"/>
      <c r="W58" s="20">
        <f t="shared" ca="1" si="58"/>
        <v>0</v>
      </c>
      <c r="X58" s="20">
        <f t="shared" ca="1" si="58"/>
        <v>-2.4520137282956878E-2</v>
      </c>
      <c r="Y58" s="20">
        <f t="shared" ca="1" si="58"/>
        <v>0.34271190662663931</v>
      </c>
      <c r="Z58" s="20">
        <f t="shared" ca="1" si="58"/>
        <v>0.20413440764458235</v>
      </c>
      <c r="AA58" s="20">
        <f t="shared" ca="1" si="58"/>
        <v>0.23021784057548622</v>
      </c>
      <c r="AB58" s="20">
        <f t="shared" ca="1" si="58"/>
        <v>0.11398922520991817</v>
      </c>
      <c r="AC58" s="257"/>
      <c r="AD58" s="20" t="e">
        <f ca="1">IF($D$2=FALSE,"-",IF(AD$13="","",OFFSET($AF58,0,$F$4-AD$7-1)+OFFSET($AF58,0,$F$4-1)-OFFSET($AF58,0,$F$4-$E$5-1)))</f>
        <v>#N/A</v>
      </c>
      <c r="AF58" s="328">
        <f ca="1">IF($D$2=FALSE,"-",IF(AF$13="","",IF(AF$3=0,0,IF(OFFSET(AF40,0,-AF$7)=0,#N/A,(AF40/OFFSET(AF40,0,-AF$7)-1)/AF$6))))</f>
        <v>0</v>
      </c>
      <c r="AG58" s="275">
        <f t="shared" ref="AG58:BI58" ca="1" si="60">IF($D$2=FALSE,"-",IF(AG$13="","",IF(AG$3=0,0,IF(OFFSET(AG40,0,-AG$7)=0,#N/A,(AG40/OFFSET(AG40,0,-AG$7)-1)/AG$6))))</f>
        <v>-2.4520137282956878E-2</v>
      </c>
      <c r="AH58" s="275">
        <f t="shared" ca="1" si="60"/>
        <v>0.34271190662663931</v>
      </c>
      <c r="AI58" s="275">
        <f t="shared" ca="1" si="60"/>
        <v>0.20413440764458235</v>
      </c>
      <c r="AJ58" s="275">
        <f t="shared" ca="1" si="60"/>
        <v>0.23021784057548622</v>
      </c>
      <c r="AK58" s="275">
        <f t="shared" ca="1" si="60"/>
        <v>0.11398922520991817</v>
      </c>
      <c r="AL58" s="275" t="str">
        <f t="shared" ca="1" si="60"/>
        <v/>
      </c>
      <c r="AM58" s="275" t="str">
        <f t="shared" ca="1" si="60"/>
        <v/>
      </c>
      <c r="AN58" s="275" t="str">
        <f t="shared" ca="1" si="60"/>
        <v/>
      </c>
      <c r="AO58" s="275" t="str">
        <f t="shared" ca="1" si="60"/>
        <v/>
      </c>
      <c r="AP58" s="275" t="str">
        <f t="shared" ca="1" si="60"/>
        <v/>
      </c>
      <c r="AQ58" s="275" t="str">
        <f t="shared" ca="1" si="60"/>
        <v/>
      </c>
      <c r="AR58" s="275" t="str">
        <f t="shared" ca="1" si="60"/>
        <v/>
      </c>
      <c r="AS58" s="275" t="str">
        <f t="shared" ca="1" si="60"/>
        <v/>
      </c>
      <c r="AT58" s="275" t="str">
        <f t="shared" ca="1" si="60"/>
        <v/>
      </c>
      <c r="AU58" s="275" t="str">
        <f t="shared" ca="1" si="60"/>
        <v/>
      </c>
      <c r="AV58" s="275" t="str">
        <f t="shared" ca="1" si="60"/>
        <v/>
      </c>
      <c r="AW58" s="275" t="str">
        <f t="shared" ca="1" si="60"/>
        <v/>
      </c>
      <c r="AX58" s="275" t="str">
        <f t="shared" ca="1" si="60"/>
        <v/>
      </c>
      <c r="AY58" s="275" t="str">
        <f t="shared" ca="1" si="60"/>
        <v/>
      </c>
      <c r="AZ58" s="275" t="str">
        <f t="shared" ca="1" si="60"/>
        <v/>
      </c>
      <c r="BA58" s="275" t="str">
        <f t="shared" ca="1" si="60"/>
        <v/>
      </c>
      <c r="BB58" s="275" t="str">
        <f t="shared" ca="1" si="60"/>
        <v/>
      </c>
      <c r="BC58" s="275" t="str">
        <f t="shared" ca="1" si="60"/>
        <v/>
      </c>
      <c r="BD58" s="275" t="str">
        <f t="shared" ca="1" si="60"/>
        <v/>
      </c>
      <c r="BE58" s="275" t="str">
        <f t="shared" ca="1" si="60"/>
        <v/>
      </c>
      <c r="BF58" s="275" t="str">
        <f t="shared" ca="1" si="60"/>
        <v/>
      </c>
      <c r="BG58" s="275" t="str">
        <f t="shared" ca="1" si="60"/>
        <v/>
      </c>
      <c r="BH58" s="275" t="str">
        <f t="shared" ca="1" si="60"/>
        <v/>
      </c>
      <c r="BI58" s="275" t="str">
        <f t="shared" ca="1" si="60"/>
        <v/>
      </c>
      <c r="BK58" s="137"/>
      <c r="BL58" s="137"/>
      <c r="BM58" s="137"/>
      <c r="BN58" s="137"/>
      <c r="BO58" s="137"/>
      <c r="BP58" s="137"/>
    </row>
    <row r="59" spans="1:68" ht="15" customHeight="1" outlineLevel="1">
      <c r="A59" s="6"/>
      <c r="N59" s="6"/>
      <c r="P59" s="3"/>
      <c r="Q59" s="6" t="s">
        <v>70</v>
      </c>
      <c r="R59" s="6"/>
      <c r="S59" s="6"/>
      <c r="T59" s="6"/>
      <c r="U59" s="6"/>
      <c r="V59" s="6"/>
      <c r="W59" s="20">
        <f t="shared" ca="1" si="58"/>
        <v>0</v>
      </c>
      <c r="X59" s="20">
        <f t="shared" ca="1" si="58"/>
        <v>8.829887977332973E-3</v>
      </c>
      <c r="Y59" s="20">
        <f t="shared" ca="1" si="58"/>
        <v>0.21275280017589737</v>
      </c>
      <c r="Z59" s="20">
        <f t="shared" ca="1" si="58"/>
        <v>0.14199260371664746</v>
      </c>
      <c r="AA59" s="20">
        <f t="shared" ca="1" si="58"/>
        <v>7.413856394703866E-2</v>
      </c>
      <c r="AB59" s="20">
        <f t="shared" ca="1" si="58"/>
        <v>7.1245037060180039E-2</v>
      </c>
      <c r="AC59" s="257"/>
      <c r="AD59" s="20" t="e">
        <f ca="1">IF($D$2=FALSE,"-",IF(AD$13="","",OFFSET($AF59,0,$F$4-AD$7-1)+OFFSET($AF59,0,$F$4-1)-OFFSET($AF59,0,$F$4-$E$5-1)))</f>
        <v>#N/A</v>
      </c>
      <c r="AF59" s="328">
        <f ca="1">IF($D$2=FALSE,"-",IF(AF$13="","",IF(AF$3=0,0,IF(OFFSET(AF46,0,-AF$7)=0,#N/A,(AF46/OFFSET(AF46,0,-AF$7)-1)/AF$6))))</f>
        <v>0</v>
      </c>
      <c r="AG59" s="275">
        <f t="shared" ref="AG59:BI59" ca="1" si="61">IF($D$2=FALSE,"-",IF(AG$13="","",IF(AG$3=0,0,IF(OFFSET(AG46,0,-AG$7)=0,#N/A,(AG46/OFFSET(AG46,0,-AG$7)-1)/AG$6))))</f>
        <v>8.829887977332973E-3</v>
      </c>
      <c r="AH59" s="275">
        <f t="shared" ca="1" si="61"/>
        <v>0.21275280017589737</v>
      </c>
      <c r="AI59" s="275">
        <f t="shared" ca="1" si="61"/>
        <v>0.14199260371664746</v>
      </c>
      <c r="AJ59" s="275">
        <f t="shared" ca="1" si="61"/>
        <v>7.413856394703866E-2</v>
      </c>
      <c r="AK59" s="275">
        <f t="shared" ca="1" si="61"/>
        <v>7.1245037060180039E-2</v>
      </c>
      <c r="AL59" s="275" t="str">
        <f t="shared" ca="1" si="61"/>
        <v/>
      </c>
      <c r="AM59" s="275" t="str">
        <f t="shared" ca="1" si="61"/>
        <v/>
      </c>
      <c r="AN59" s="275" t="str">
        <f t="shared" ca="1" si="61"/>
        <v/>
      </c>
      <c r="AO59" s="275" t="str">
        <f t="shared" ca="1" si="61"/>
        <v/>
      </c>
      <c r="AP59" s="275" t="str">
        <f t="shared" ca="1" si="61"/>
        <v/>
      </c>
      <c r="AQ59" s="275" t="str">
        <f t="shared" ca="1" si="61"/>
        <v/>
      </c>
      <c r="AR59" s="275" t="str">
        <f t="shared" ca="1" si="61"/>
        <v/>
      </c>
      <c r="AS59" s="275" t="str">
        <f t="shared" ca="1" si="61"/>
        <v/>
      </c>
      <c r="AT59" s="275" t="str">
        <f t="shared" ca="1" si="61"/>
        <v/>
      </c>
      <c r="AU59" s="275" t="str">
        <f t="shared" ca="1" si="61"/>
        <v/>
      </c>
      <c r="AV59" s="275" t="str">
        <f t="shared" ca="1" si="61"/>
        <v/>
      </c>
      <c r="AW59" s="275" t="str">
        <f t="shared" ca="1" si="61"/>
        <v/>
      </c>
      <c r="AX59" s="275" t="str">
        <f t="shared" ca="1" si="61"/>
        <v/>
      </c>
      <c r="AY59" s="275" t="str">
        <f t="shared" ca="1" si="61"/>
        <v/>
      </c>
      <c r="AZ59" s="275" t="str">
        <f t="shared" ca="1" si="61"/>
        <v/>
      </c>
      <c r="BA59" s="275" t="str">
        <f t="shared" ca="1" si="61"/>
        <v/>
      </c>
      <c r="BB59" s="275" t="str">
        <f t="shared" ca="1" si="61"/>
        <v/>
      </c>
      <c r="BC59" s="275" t="str">
        <f t="shared" ca="1" si="61"/>
        <v/>
      </c>
      <c r="BD59" s="275" t="str">
        <f t="shared" ca="1" si="61"/>
        <v/>
      </c>
      <c r="BE59" s="275" t="str">
        <f t="shared" ca="1" si="61"/>
        <v/>
      </c>
      <c r="BF59" s="275" t="str">
        <f t="shared" ca="1" si="61"/>
        <v/>
      </c>
      <c r="BG59" s="275" t="str">
        <f t="shared" ca="1" si="61"/>
        <v/>
      </c>
      <c r="BH59" s="275" t="str">
        <f t="shared" ca="1" si="61"/>
        <v/>
      </c>
      <c r="BI59" s="275" t="str">
        <f t="shared" ca="1" si="61"/>
        <v/>
      </c>
      <c r="BK59" s="137"/>
      <c r="BL59" s="137"/>
      <c r="BM59" s="137"/>
      <c r="BN59" s="137"/>
      <c r="BO59" s="137"/>
      <c r="BP59" s="137"/>
    </row>
    <row r="60" spans="1:68" ht="15" customHeight="1" outlineLevel="1">
      <c r="A60" s="6"/>
      <c r="N60" s="6"/>
      <c r="P60" s="6"/>
      <c r="Q60" s="6"/>
      <c r="R60" s="6"/>
      <c r="S60" s="6"/>
      <c r="T60" s="6"/>
      <c r="U60" s="6"/>
      <c r="V60" s="6"/>
      <c r="W60" s="6"/>
      <c r="X60" s="6"/>
      <c r="Y60" s="6"/>
      <c r="Z60" s="6"/>
      <c r="AA60" s="6"/>
      <c r="AB60" s="6"/>
      <c r="AC60" s="6"/>
      <c r="AE60" s="6"/>
      <c r="AF60" s="18"/>
      <c r="AG60" s="19"/>
      <c r="AH60" s="19"/>
      <c r="AI60" s="19"/>
      <c r="AJ60" s="19"/>
      <c r="AK60" s="19"/>
      <c r="AL60" s="19"/>
      <c r="AM60" s="19"/>
      <c r="AN60" s="19"/>
      <c r="AO60" s="19"/>
      <c r="AP60" s="19"/>
      <c r="AQ60" s="19"/>
      <c r="AR60" s="19"/>
      <c r="AS60" s="19"/>
      <c r="AT60" s="19"/>
      <c r="AU60" s="19"/>
      <c r="AV60" s="19"/>
      <c r="AW60" s="19"/>
      <c r="AX60" s="19"/>
      <c r="AY60" s="19"/>
      <c r="AZ60" s="19"/>
      <c r="BA60" s="19"/>
      <c r="BB60" s="19"/>
      <c r="BC60" s="19"/>
      <c r="BD60" s="19"/>
      <c r="BE60" s="19"/>
      <c r="BF60" s="19"/>
      <c r="BG60" s="19"/>
      <c r="BH60" s="19"/>
      <c r="BI60" s="19"/>
      <c r="BK60" s="84"/>
    </row>
    <row r="61" spans="1:68" ht="15" customHeight="1" outlineLevel="1">
      <c r="A61" s="17"/>
      <c r="B61" s="34">
        <f>$B$57</f>
        <v>44926</v>
      </c>
      <c r="C61" s="34">
        <f ca="1">$C$57</f>
        <v>44926</v>
      </c>
      <c r="D61" s="35">
        <f ca="1">IF($D$2=FALSE,"-",AVERAGE(OFFSET($AF61,0,MATCH(B61,OFFSET($AF$13,0,0,1,$G$4-$E$4+1),0)-1,1,MATCH(C61,OFFSET($AF$13,0,0,1,$G$4-$E$4+1),0)-MATCH(B61,OFFSET($AF$13,0,0,1,$G$4-$E$4+1),0)+1)))</f>
        <v>0.53176043557168784</v>
      </c>
      <c r="E61" s="51">
        <v>0.53176043557168784</v>
      </c>
      <c r="F61" s="36">
        <f>IF($D$2=FALSE,"-",IF(E61="",D61,E61))</f>
        <v>0.53176043557168784</v>
      </c>
      <c r="G61" s="34">
        <f>$G$57</f>
        <v>44926</v>
      </c>
      <c r="H61" s="37">
        <f ca="1">$H$57</f>
        <v>44926</v>
      </c>
      <c r="I61" s="35">
        <f ca="1">IF($D$2=FALSE,"-",AVERAGE(OFFSET($AF61,0,MATCH(G61,OFFSET($AF$13,0,0,1,$G$4-$E$4+1),0)-1,1,MATCH(H61,OFFSET($AF$13,0,0,1,$G$4-$E$4+1),0)-MATCH(G61,OFFSET($AF$13,0,0,1,$G$4-$E$4+1),0)+1)))</f>
        <v>0.53176043557168784</v>
      </c>
      <c r="J61" s="51">
        <v>0.53176043557168784</v>
      </c>
      <c r="K61" s="35">
        <f>IF($D$2=FALSE,"-",IF(J61="",I61,J61))</f>
        <v>0.53176043557168784</v>
      </c>
      <c r="L61" s="126">
        <v>5</v>
      </c>
      <c r="M61" s="81">
        <v>0.1</v>
      </c>
      <c r="N61" s="3"/>
      <c r="O61" s="111"/>
      <c r="P61" s="3"/>
      <c r="Q61" s="17" t="str">
        <f>IF($D$2=FALSE,"-",CONCATENATE(Q16," ","/ sales"))</f>
        <v>COGS / sales</v>
      </c>
      <c r="R61" s="17"/>
      <c r="S61" s="17"/>
      <c r="T61" s="17"/>
      <c r="U61" s="17"/>
      <c r="V61" s="17"/>
      <c r="W61" s="20">
        <f t="shared" ref="W61:AB61" ca="1" si="62">IF($D$2=FALSE,"-",IF(W$13="","",IF(W15=0,#N/A,W16/W15)))</f>
        <v>0.53176043557168784</v>
      </c>
      <c r="X61" s="20">
        <f t="shared" ca="1" si="62"/>
        <v>0.53176043557168784</v>
      </c>
      <c r="Y61" s="20">
        <f t="shared" ca="1" si="62"/>
        <v>0.53176043557168784</v>
      </c>
      <c r="Z61" s="20">
        <f t="shared" ca="1" si="62"/>
        <v>0.53176043557168784</v>
      </c>
      <c r="AA61" s="20">
        <f t="shared" ca="1" si="62"/>
        <v>0.53176043557168784</v>
      </c>
      <c r="AB61" s="20">
        <f t="shared" ca="1" si="62"/>
        <v>0.53176043557168784</v>
      </c>
      <c r="AC61" s="257"/>
      <c r="AD61" s="20" t="e">
        <f ca="1">IF($D$2=FALSE,"-",IF(AD$13="","",IF(AD15=0,#N/A,AD16/AD15)))</f>
        <v>#N/A</v>
      </c>
      <c r="AE61" s="17"/>
      <c r="AF61" s="21">
        <f t="shared" ref="AF61:BI61" ca="1" si="63">IF($D$2=FALSE,"-",IF(AF$13="","",IF(AF$4&lt;=0,IF(AF15=0,#N/A,AF16/AF15),IF(AF$4&lt;=$L61,IF($M61=0,$F61-((IF($M61=0,($F61-$K61)/$L61,($K61-$F61)/(EXP(-$M61*$L61)-1)))*(AF$4-1)),($F61-(IF($M61=0,($F61-$K61)/$L61,($K61-$F61)/(EXP(-$M61*$L61)-1))))+((IF($M61=0,($F61-$K61)/$L61,($K61-$F61)/(EXP(-$M61*$L61)-1)))*EXP(-$M61*(AF$4-1)))),$K61))))</f>
        <v>0.53176043557168784</v>
      </c>
      <c r="AG61" s="20">
        <f t="shared" ca="1" si="63"/>
        <v>0.53176043557168784</v>
      </c>
      <c r="AH61" s="20">
        <f t="shared" ca="1" si="63"/>
        <v>0.53176043557168784</v>
      </c>
      <c r="AI61" s="20">
        <f t="shared" ca="1" si="63"/>
        <v>0.53176043557168784</v>
      </c>
      <c r="AJ61" s="20">
        <f t="shared" ca="1" si="63"/>
        <v>0.53176043557168784</v>
      </c>
      <c r="AK61" s="20">
        <f t="shared" ca="1" si="63"/>
        <v>0.53176043557168784</v>
      </c>
      <c r="AL61" s="20" t="str">
        <f t="shared" ca="1" si="63"/>
        <v/>
      </c>
      <c r="AM61" s="20" t="str">
        <f t="shared" ca="1" si="63"/>
        <v/>
      </c>
      <c r="AN61" s="20" t="str">
        <f t="shared" ca="1" si="63"/>
        <v/>
      </c>
      <c r="AO61" s="20" t="str">
        <f t="shared" ca="1" si="63"/>
        <v/>
      </c>
      <c r="AP61" s="20" t="str">
        <f t="shared" ca="1" si="63"/>
        <v/>
      </c>
      <c r="AQ61" s="20" t="str">
        <f t="shared" ca="1" si="63"/>
        <v/>
      </c>
      <c r="AR61" s="20" t="str">
        <f t="shared" ca="1" si="63"/>
        <v/>
      </c>
      <c r="AS61" s="20" t="str">
        <f t="shared" ca="1" si="63"/>
        <v/>
      </c>
      <c r="AT61" s="20" t="str">
        <f t="shared" ca="1" si="63"/>
        <v/>
      </c>
      <c r="AU61" s="20" t="str">
        <f t="shared" ca="1" si="63"/>
        <v/>
      </c>
      <c r="AV61" s="20" t="str">
        <f t="shared" ca="1" si="63"/>
        <v/>
      </c>
      <c r="AW61" s="20" t="str">
        <f t="shared" ca="1" si="63"/>
        <v/>
      </c>
      <c r="AX61" s="20" t="str">
        <f t="shared" ca="1" si="63"/>
        <v/>
      </c>
      <c r="AY61" s="20" t="str">
        <f t="shared" ca="1" si="63"/>
        <v/>
      </c>
      <c r="AZ61" s="20" t="str">
        <f t="shared" ca="1" si="63"/>
        <v/>
      </c>
      <c r="BA61" s="20" t="str">
        <f t="shared" ca="1" si="63"/>
        <v/>
      </c>
      <c r="BB61" s="20" t="str">
        <f t="shared" ca="1" si="63"/>
        <v/>
      </c>
      <c r="BC61" s="20" t="str">
        <f t="shared" ca="1" si="63"/>
        <v/>
      </c>
      <c r="BD61" s="20" t="str">
        <f t="shared" ca="1" si="63"/>
        <v/>
      </c>
      <c r="BE61" s="20" t="str">
        <f t="shared" ca="1" si="63"/>
        <v/>
      </c>
      <c r="BF61" s="20" t="str">
        <f t="shared" ca="1" si="63"/>
        <v/>
      </c>
      <c r="BG61" s="20" t="str">
        <f t="shared" ca="1" si="63"/>
        <v/>
      </c>
      <c r="BH61" s="20" t="str">
        <f t="shared" ca="1" si="63"/>
        <v/>
      </c>
      <c r="BI61" s="20" t="str">
        <f t="shared" ca="1" si="63"/>
        <v/>
      </c>
      <c r="BK61" s="105"/>
      <c r="BL61" s="105"/>
      <c r="BM61" s="105"/>
      <c r="BN61" s="105"/>
      <c r="BO61" s="105"/>
      <c r="BP61" s="105"/>
    </row>
    <row r="62" spans="1:68" ht="15" customHeight="1" outlineLevel="1">
      <c r="A62" s="17"/>
      <c r="B62" s="34">
        <f>$B$57</f>
        <v>44926</v>
      </c>
      <c r="C62" s="34">
        <f ca="1">$C$57</f>
        <v>44926</v>
      </c>
      <c r="D62" s="35">
        <f ca="1">IF($D$2=FALSE,"-",AVERAGE(OFFSET($AF62,0,MATCH(B62,OFFSET($AF$13,0,0,1,$G$4-$E$4+1),0)-1,1,MATCH(C62,OFFSET($AF$13,0,0,1,$G$4-$E$4+1),0)-MATCH(B62,OFFSET($AF$13,0,0,1,$G$4-$E$4+1),0)+1)))</f>
        <v>0.18058076225045369</v>
      </c>
      <c r="E62" s="51">
        <v>0.18058076225045369</v>
      </c>
      <c r="F62" s="36">
        <f>IF($D$2=FALSE,"-",IF(E62="",D62,E62))</f>
        <v>0.18058076225045369</v>
      </c>
      <c r="G62" s="34">
        <f>$G$57</f>
        <v>44926</v>
      </c>
      <c r="H62" s="37">
        <f ca="1">$H$57</f>
        <v>44926</v>
      </c>
      <c r="I62" s="35">
        <f ca="1">IF($D$2=FALSE,"-",AVERAGE(OFFSET($AF62,0,MATCH(G62,OFFSET($AF$13,0,0,1,$G$4-$E$4+1),0)-1,1,MATCH(H62,OFFSET($AF$13,0,0,1,$G$4-$E$4+1),0)-MATCH(G62,OFFSET($AF$13,0,0,1,$G$4-$E$4+1),0)+1)))</f>
        <v>0.18058076225045369</v>
      </c>
      <c r="J62" s="51">
        <v>0.18058076225045369</v>
      </c>
      <c r="K62" s="35">
        <f>IF($D$2=FALSE,"-",IF(J62="",I62,J62))</f>
        <v>0.18058076225045369</v>
      </c>
      <c r="L62" s="126">
        <v>5</v>
      </c>
      <c r="M62" s="81">
        <v>0.1</v>
      </c>
      <c r="N62" s="3"/>
      <c r="O62" s="111"/>
      <c r="P62" s="3"/>
      <c r="Q62" s="17" t="str">
        <f>IF($D$2=FALSE,"-",CONCATENATE(Q18," ","/ sales"))</f>
        <v>SG&amp;A / sales</v>
      </c>
      <c r="R62" s="17"/>
      <c r="S62" s="17"/>
      <c r="T62" s="17"/>
      <c r="U62" s="17"/>
      <c r="V62" s="17"/>
      <c r="W62" s="20">
        <f t="shared" ref="W62:AB62" ca="1" si="64">IF($D$2=FALSE,"-",IF(W$13="","",IF(W15=0,#N/A,W18/W15)))</f>
        <v>0.18058076225045369</v>
      </c>
      <c r="X62" s="20">
        <f t="shared" ca="1" si="64"/>
        <v>0.18058076225045369</v>
      </c>
      <c r="Y62" s="20">
        <f t="shared" ca="1" si="64"/>
        <v>0.18058076225045369</v>
      </c>
      <c r="Z62" s="20">
        <f t="shared" ca="1" si="64"/>
        <v>0.18058076225045369</v>
      </c>
      <c r="AA62" s="20">
        <f t="shared" ca="1" si="64"/>
        <v>0.18058076225045369</v>
      </c>
      <c r="AB62" s="20">
        <f t="shared" ca="1" si="64"/>
        <v>0.18058076225045369</v>
      </c>
      <c r="AC62" s="257"/>
      <c r="AD62" s="20" t="e">
        <f ca="1">IF($D$2=FALSE,"-",IF(AD$13="","",IF(AD15=0,#N/A,AD18/AD15)))</f>
        <v>#N/A</v>
      </c>
      <c r="AE62" s="17"/>
      <c r="AF62" s="21">
        <f t="shared" ref="AF62:BI62" ca="1" si="65">IF($D$2=FALSE,"-",IF(AF$13="","",IF(AF$4&lt;=0,IF(AF15=0,#N/A,AF18/AF15),IF(AF$4&lt;=$L62,IF($M62=0,$F62-((IF($M62=0,($F62-$K62)/$L62,($K62-$F62)/(EXP(-$M62*$L62)-1)))*(AF$4-1)),($F62-(IF($M62=0,($F62-$K62)/$L62,($K62-$F62)/(EXP(-$M62*$L62)-1))))+((IF($M62=0,($F62-$K62)/$L62,($K62-$F62)/(EXP(-$M62*$L62)-1)))*EXP(-$M62*(AF$4-1)))),$K62))))</f>
        <v>0.18058076225045369</v>
      </c>
      <c r="AG62" s="20">
        <f t="shared" ca="1" si="65"/>
        <v>0.18058076225045369</v>
      </c>
      <c r="AH62" s="20">
        <f t="shared" ca="1" si="65"/>
        <v>0.18058076225045369</v>
      </c>
      <c r="AI62" s="20">
        <f t="shared" ca="1" si="65"/>
        <v>0.18058076225045369</v>
      </c>
      <c r="AJ62" s="20">
        <f t="shared" ca="1" si="65"/>
        <v>0.18058076225045369</v>
      </c>
      <c r="AK62" s="20">
        <f t="shared" ca="1" si="65"/>
        <v>0.18058076225045369</v>
      </c>
      <c r="AL62" s="20" t="str">
        <f t="shared" ca="1" si="65"/>
        <v/>
      </c>
      <c r="AM62" s="20" t="str">
        <f t="shared" ca="1" si="65"/>
        <v/>
      </c>
      <c r="AN62" s="20" t="str">
        <f t="shared" ca="1" si="65"/>
        <v/>
      </c>
      <c r="AO62" s="20" t="str">
        <f t="shared" ca="1" si="65"/>
        <v/>
      </c>
      <c r="AP62" s="20" t="str">
        <f t="shared" ca="1" si="65"/>
        <v/>
      </c>
      <c r="AQ62" s="20" t="str">
        <f t="shared" ca="1" si="65"/>
        <v/>
      </c>
      <c r="AR62" s="20" t="str">
        <f t="shared" ca="1" si="65"/>
        <v/>
      </c>
      <c r="AS62" s="20" t="str">
        <f t="shared" ca="1" si="65"/>
        <v/>
      </c>
      <c r="AT62" s="20" t="str">
        <f t="shared" ca="1" si="65"/>
        <v/>
      </c>
      <c r="AU62" s="20" t="str">
        <f t="shared" ca="1" si="65"/>
        <v/>
      </c>
      <c r="AV62" s="20" t="str">
        <f t="shared" ca="1" si="65"/>
        <v/>
      </c>
      <c r="AW62" s="20" t="str">
        <f t="shared" ca="1" si="65"/>
        <v/>
      </c>
      <c r="AX62" s="20" t="str">
        <f t="shared" ca="1" si="65"/>
        <v/>
      </c>
      <c r="AY62" s="20" t="str">
        <f t="shared" ca="1" si="65"/>
        <v/>
      </c>
      <c r="AZ62" s="20" t="str">
        <f t="shared" ca="1" si="65"/>
        <v/>
      </c>
      <c r="BA62" s="20" t="str">
        <f t="shared" ca="1" si="65"/>
        <v/>
      </c>
      <c r="BB62" s="20" t="str">
        <f t="shared" ca="1" si="65"/>
        <v/>
      </c>
      <c r="BC62" s="20" t="str">
        <f t="shared" ca="1" si="65"/>
        <v/>
      </c>
      <c r="BD62" s="20" t="str">
        <f t="shared" ca="1" si="65"/>
        <v/>
      </c>
      <c r="BE62" s="20" t="str">
        <f t="shared" ca="1" si="65"/>
        <v/>
      </c>
      <c r="BF62" s="20" t="str">
        <f t="shared" ca="1" si="65"/>
        <v/>
      </c>
      <c r="BG62" s="20" t="str">
        <f t="shared" ca="1" si="65"/>
        <v/>
      </c>
      <c r="BH62" s="20" t="str">
        <f t="shared" ca="1" si="65"/>
        <v/>
      </c>
      <c r="BI62" s="20" t="str">
        <f t="shared" ca="1" si="65"/>
        <v/>
      </c>
      <c r="BK62" s="105"/>
      <c r="BL62" s="105"/>
      <c r="BM62" s="105"/>
      <c r="BN62" s="105"/>
      <c r="BO62" s="105"/>
      <c r="BP62" s="105"/>
    </row>
    <row r="63" spans="1:68" ht="15" customHeight="1" outlineLevel="1">
      <c r="A63" s="17"/>
      <c r="B63" s="34">
        <f>$B$57</f>
        <v>44926</v>
      </c>
      <c r="C63" s="34">
        <f ca="1">$C$57</f>
        <v>44926</v>
      </c>
      <c r="D63" s="35">
        <f ca="1">IF($D$2=FALSE,"-",AVERAGE(OFFSET($AF63,0,MATCH(B63,OFFSET($AF$13,0,0,1,$G$4-$E$4+1),0)-1,1,MATCH(C63,OFFSET($AF$13,0,0,1,$G$4-$E$4+1),0)-MATCH(B63,OFFSET($AF$13,0,0,1,$G$4-$E$4+1),0)+1)))</f>
        <v>3.1760435571687839E-2</v>
      </c>
      <c r="E63" s="51">
        <v>3.1760435571687839E-2</v>
      </c>
      <c r="F63" s="36">
        <f>IF($D$2=FALSE,"-",IF(E63="",D63,E63))</f>
        <v>3.1760435571687839E-2</v>
      </c>
      <c r="G63" s="34">
        <f>$G$57</f>
        <v>44926</v>
      </c>
      <c r="H63" s="37">
        <f ca="1">$H$57</f>
        <v>44926</v>
      </c>
      <c r="I63" s="35">
        <f ca="1">IF($D$2=FALSE,"-",AVERAGE(OFFSET($AF63,0,MATCH(G63,OFFSET($AF$13,0,0,1,$G$4-$E$4+1),0)-1,1,MATCH(H63,OFFSET($AF$13,0,0,1,$G$4-$E$4+1),0)-MATCH(G63,OFFSET($AF$13,0,0,1,$G$4-$E$4+1),0)+1)))</f>
        <v>3.1760435571687839E-2</v>
      </c>
      <c r="J63" s="51">
        <v>3.1760435571687839E-2</v>
      </c>
      <c r="K63" s="35">
        <f>IF($D$2=FALSE,"-",IF(J63="",I63,J63))</f>
        <v>3.1760435571687839E-2</v>
      </c>
      <c r="L63" s="126">
        <v>5</v>
      </c>
      <c r="M63" s="81">
        <v>0.1</v>
      </c>
      <c r="N63" s="3"/>
      <c r="O63" s="111"/>
      <c r="P63" s="3"/>
      <c r="Q63" s="17" t="str">
        <f>IF($D$2=FALSE,"-",CONCATENATE(Q20," ","/ sales"))</f>
        <v>Depreciation / sales</v>
      </c>
      <c r="R63" s="17"/>
      <c r="S63" s="17"/>
      <c r="T63" s="17"/>
      <c r="U63" s="17"/>
      <c r="V63" s="17"/>
      <c r="W63" s="20">
        <f t="shared" ref="W63:AB63" ca="1" si="66">IF($D$2=FALSE,"-",IF(W$13="","",IF(W15=0,#N/A,W20/W15)))</f>
        <v>3.1760435571687839E-2</v>
      </c>
      <c r="X63" s="20">
        <f t="shared" ca="1" si="66"/>
        <v>3.1760435571687839E-2</v>
      </c>
      <c r="Y63" s="20">
        <f t="shared" ca="1" si="66"/>
        <v>3.1760435571687839E-2</v>
      </c>
      <c r="Z63" s="20">
        <f t="shared" ca="1" si="66"/>
        <v>3.1760435571687839E-2</v>
      </c>
      <c r="AA63" s="20">
        <f t="shared" ca="1" si="66"/>
        <v>3.1760435571687839E-2</v>
      </c>
      <c r="AB63" s="20">
        <f t="shared" ca="1" si="66"/>
        <v>3.1760435571687839E-2</v>
      </c>
      <c r="AC63" s="257"/>
      <c r="AD63" s="20" t="e">
        <f ca="1">IF($D$2=FALSE,"-",IF(AD$13="","",IF(AD15=0,#N/A,AD20/AD15)))</f>
        <v>#N/A</v>
      </c>
      <c r="AE63" s="17"/>
      <c r="AF63" s="21">
        <f t="shared" ref="AF63:BI63" ca="1" si="67">IF($D$2=FALSE,"-",IF(AF$13="","",IF(AF$4&lt;=0,IF(AF15=0,#N/A,AF20/AF15),IF(AF$4&lt;=$L63,IF($M63=0,$F63-((IF($M63=0,($F63-$K63)/$L63,($K63-$F63)/(EXP(-$M63*$L63)-1)))*(AF$4-1)),($F63-(IF($M63=0,($F63-$K63)/$L63,($K63-$F63)/(EXP(-$M63*$L63)-1))))+((IF($M63=0,($F63-$K63)/$L63,($K63-$F63)/(EXP(-$M63*$L63)-1)))*EXP(-$M63*(AF$4-1)))),$K63))))</f>
        <v>3.1760435571687839E-2</v>
      </c>
      <c r="AG63" s="20">
        <f t="shared" ca="1" si="67"/>
        <v>3.1760435571687839E-2</v>
      </c>
      <c r="AH63" s="20">
        <f t="shared" ca="1" si="67"/>
        <v>3.1760435571687839E-2</v>
      </c>
      <c r="AI63" s="20">
        <f t="shared" ca="1" si="67"/>
        <v>3.1760435571687839E-2</v>
      </c>
      <c r="AJ63" s="20">
        <f t="shared" ca="1" si="67"/>
        <v>3.1760435571687839E-2</v>
      </c>
      <c r="AK63" s="20">
        <f t="shared" ca="1" si="67"/>
        <v>3.1760435571687839E-2</v>
      </c>
      <c r="AL63" s="20" t="str">
        <f t="shared" ca="1" si="67"/>
        <v/>
      </c>
      <c r="AM63" s="20" t="str">
        <f t="shared" ca="1" si="67"/>
        <v/>
      </c>
      <c r="AN63" s="20" t="str">
        <f t="shared" ca="1" si="67"/>
        <v/>
      </c>
      <c r="AO63" s="20" t="str">
        <f t="shared" ca="1" si="67"/>
        <v/>
      </c>
      <c r="AP63" s="20" t="str">
        <f t="shared" ca="1" si="67"/>
        <v/>
      </c>
      <c r="AQ63" s="20" t="str">
        <f t="shared" ca="1" si="67"/>
        <v/>
      </c>
      <c r="AR63" s="20" t="str">
        <f t="shared" ca="1" si="67"/>
        <v/>
      </c>
      <c r="AS63" s="20" t="str">
        <f t="shared" ca="1" si="67"/>
        <v/>
      </c>
      <c r="AT63" s="20" t="str">
        <f t="shared" ca="1" si="67"/>
        <v/>
      </c>
      <c r="AU63" s="20" t="str">
        <f t="shared" ca="1" si="67"/>
        <v/>
      </c>
      <c r="AV63" s="20" t="str">
        <f t="shared" ca="1" si="67"/>
        <v/>
      </c>
      <c r="AW63" s="20" t="str">
        <f t="shared" ca="1" si="67"/>
        <v/>
      </c>
      <c r="AX63" s="20" t="str">
        <f t="shared" ca="1" si="67"/>
        <v/>
      </c>
      <c r="AY63" s="20" t="str">
        <f t="shared" ca="1" si="67"/>
        <v/>
      </c>
      <c r="AZ63" s="20" t="str">
        <f t="shared" ca="1" si="67"/>
        <v/>
      </c>
      <c r="BA63" s="20" t="str">
        <f t="shared" ca="1" si="67"/>
        <v/>
      </c>
      <c r="BB63" s="20" t="str">
        <f t="shared" ca="1" si="67"/>
        <v/>
      </c>
      <c r="BC63" s="20" t="str">
        <f t="shared" ca="1" si="67"/>
        <v/>
      </c>
      <c r="BD63" s="20" t="str">
        <f t="shared" ca="1" si="67"/>
        <v/>
      </c>
      <c r="BE63" s="20" t="str">
        <f t="shared" ca="1" si="67"/>
        <v/>
      </c>
      <c r="BF63" s="20" t="str">
        <f t="shared" ca="1" si="67"/>
        <v/>
      </c>
      <c r="BG63" s="20" t="str">
        <f t="shared" ca="1" si="67"/>
        <v/>
      </c>
      <c r="BH63" s="20" t="str">
        <f t="shared" ca="1" si="67"/>
        <v/>
      </c>
      <c r="BI63" s="20" t="str">
        <f t="shared" ca="1" si="67"/>
        <v/>
      </c>
      <c r="BK63" s="105"/>
      <c r="BL63" s="105"/>
      <c r="BM63" s="105"/>
      <c r="BN63" s="105"/>
      <c r="BO63" s="105"/>
      <c r="BP63" s="105"/>
    </row>
    <row r="64" spans="1:68" ht="15" customHeight="1" outlineLevel="1">
      <c r="A64" s="17"/>
      <c r="B64" s="17"/>
      <c r="C64" s="17"/>
      <c r="D64" s="17"/>
      <c r="E64" s="17"/>
      <c r="F64" s="17"/>
      <c r="G64" s="17"/>
      <c r="H64" s="17"/>
      <c r="I64" s="17"/>
      <c r="J64" s="17"/>
      <c r="K64" s="17"/>
      <c r="L64" s="17"/>
      <c r="M64" s="17"/>
      <c r="N64" s="3"/>
      <c r="O64" s="17"/>
      <c r="P64" s="3"/>
      <c r="Q64" s="17" t="str">
        <f>IF($D$2=FALSE,"-",CONCATENATE(Q21," ","/ sales"))</f>
        <v>Amortization / sales</v>
      </c>
      <c r="R64" s="17"/>
      <c r="S64" s="17"/>
      <c r="T64" s="17"/>
      <c r="U64" s="17"/>
      <c r="V64" s="17"/>
      <c r="W64" s="20">
        <f t="shared" ref="W64:AB64" ca="1" si="68">IF($D$2=FALSE,"-",IF(W$13="","",IF(W15=0,#N/A,W21/W15)))</f>
        <v>2.6315789473684209E-2</v>
      </c>
      <c r="X64" s="20">
        <f t="shared" ca="1" si="68"/>
        <v>2.5062656641604009E-2</v>
      </c>
      <c r="Y64" s="20">
        <f t="shared" ca="1" si="68"/>
        <v>2.3869196801527628E-2</v>
      </c>
      <c r="Z64" s="20">
        <f t="shared" ca="1" si="68"/>
        <v>2.2732568382407264E-2</v>
      </c>
      <c r="AA64" s="20">
        <f t="shared" ca="1" si="68"/>
        <v>5.0224418322707652E-3</v>
      </c>
      <c r="AB64" s="20">
        <f t="shared" ca="1" si="68"/>
        <v>0</v>
      </c>
      <c r="AC64" s="257"/>
      <c r="AD64" s="20" t="e">
        <f ca="1">IF($D$2=FALSE,"-",IF(AD$13="","",IF(AD15=0,#N/A,AD21/AD15)))</f>
        <v>#N/A</v>
      </c>
      <c r="AE64" s="17"/>
      <c r="AF64" s="21">
        <f t="shared" ref="AF64:BI64" ca="1" si="69">IF($D$2=FALSE,"-",IF(AF$13="","",IF(AF15=0,#N/A,AF21/AF15)))</f>
        <v>2.6315789473684209E-2</v>
      </c>
      <c r="AG64" s="20">
        <f t="shared" ca="1" si="69"/>
        <v>2.5062656641604009E-2</v>
      </c>
      <c r="AH64" s="20">
        <f t="shared" ca="1" si="69"/>
        <v>2.3869196801527628E-2</v>
      </c>
      <c r="AI64" s="20">
        <f t="shared" ca="1" si="69"/>
        <v>2.2732568382407264E-2</v>
      </c>
      <c r="AJ64" s="20">
        <f t="shared" ca="1" si="69"/>
        <v>5.0224418322707652E-3</v>
      </c>
      <c r="AK64" s="20">
        <f t="shared" ca="1" si="69"/>
        <v>0</v>
      </c>
      <c r="AL64" s="20" t="str">
        <f t="shared" ca="1" si="69"/>
        <v/>
      </c>
      <c r="AM64" s="20" t="str">
        <f t="shared" ca="1" si="69"/>
        <v/>
      </c>
      <c r="AN64" s="20" t="str">
        <f t="shared" ca="1" si="69"/>
        <v/>
      </c>
      <c r="AO64" s="20" t="str">
        <f t="shared" ca="1" si="69"/>
        <v/>
      </c>
      <c r="AP64" s="20" t="str">
        <f t="shared" ca="1" si="69"/>
        <v/>
      </c>
      <c r="AQ64" s="20" t="str">
        <f t="shared" ca="1" si="69"/>
        <v/>
      </c>
      <c r="AR64" s="20" t="str">
        <f t="shared" ca="1" si="69"/>
        <v/>
      </c>
      <c r="AS64" s="20" t="str">
        <f t="shared" ca="1" si="69"/>
        <v/>
      </c>
      <c r="AT64" s="20" t="str">
        <f t="shared" ca="1" si="69"/>
        <v/>
      </c>
      <c r="AU64" s="20" t="str">
        <f t="shared" ca="1" si="69"/>
        <v/>
      </c>
      <c r="AV64" s="20" t="str">
        <f t="shared" ca="1" si="69"/>
        <v/>
      </c>
      <c r="AW64" s="20" t="str">
        <f t="shared" ca="1" si="69"/>
        <v/>
      </c>
      <c r="AX64" s="20" t="str">
        <f t="shared" ca="1" si="69"/>
        <v/>
      </c>
      <c r="AY64" s="20" t="str">
        <f t="shared" ca="1" si="69"/>
        <v/>
      </c>
      <c r="AZ64" s="20" t="str">
        <f t="shared" ca="1" si="69"/>
        <v/>
      </c>
      <c r="BA64" s="20" t="str">
        <f t="shared" ca="1" si="69"/>
        <v/>
      </c>
      <c r="BB64" s="20" t="str">
        <f t="shared" ca="1" si="69"/>
        <v/>
      </c>
      <c r="BC64" s="20" t="str">
        <f t="shared" ca="1" si="69"/>
        <v/>
      </c>
      <c r="BD64" s="20" t="str">
        <f t="shared" ca="1" si="69"/>
        <v/>
      </c>
      <c r="BE64" s="20" t="str">
        <f t="shared" ca="1" si="69"/>
        <v/>
      </c>
      <c r="BF64" s="20" t="str">
        <f t="shared" ca="1" si="69"/>
        <v/>
      </c>
      <c r="BG64" s="20" t="str">
        <f t="shared" ca="1" si="69"/>
        <v/>
      </c>
      <c r="BH64" s="20" t="str">
        <f t="shared" ca="1" si="69"/>
        <v/>
      </c>
      <c r="BI64" s="20" t="str">
        <f t="shared" ca="1" si="69"/>
        <v/>
      </c>
      <c r="BK64" s="105"/>
      <c r="BL64" s="105"/>
      <c r="BM64" s="105"/>
      <c r="BN64" s="105"/>
      <c r="BO64" s="105"/>
      <c r="BP64" s="105"/>
    </row>
    <row r="65" spans="1:68" ht="15" customHeight="1" outlineLevel="1">
      <c r="A65" s="17"/>
      <c r="B65" s="34">
        <f>$B$57</f>
        <v>44926</v>
      </c>
      <c r="C65" s="34">
        <f ca="1">$C$57</f>
        <v>44926</v>
      </c>
      <c r="D65" s="35">
        <f ca="1">IF($D$2=FALSE,"-",AVERAGE(OFFSET($AF65,0,MATCH(B65,OFFSET($AF$13,0,0,1,$G$4-$E$4+1),0)-1,1,MATCH(C65,OFFSET($AF$13,0,0,1,$G$4-$E$4+1),0)-MATCH(B65,OFFSET($AF$13,0,0,1,$G$4-$E$4+1),0)+1)))</f>
        <v>2.4500907441016333E-2</v>
      </c>
      <c r="E65" s="51">
        <v>2.4500907441016333E-2</v>
      </c>
      <c r="F65" s="36">
        <f>IF($D$2=FALSE,"-",IF(E65="",D65,E65))</f>
        <v>2.4500907441016333E-2</v>
      </c>
      <c r="G65" s="34">
        <f>$G$57</f>
        <v>44926</v>
      </c>
      <c r="H65" s="37">
        <f ca="1">$H$57</f>
        <v>44926</v>
      </c>
      <c r="I65" s="35">
        <f ca="1">IF($D$2=FALSE,"-",AVERAGE(OFFSET($AF65,0,MATCH(G65,OFFSET($AF$13,0,0,1,$G$4-$E$4+1),0)-1,1,MATCH(H65,OFFSET($AF$13,0,0,1,$G$4-$E$4+1),0)-MATCH(G65,OFFSET($AF$13,0,0,1,$G$4-$E$4+1),0)+1)))</f>
        <v>2.4500907441016333E-2</v>
      </c>
      <c r="J65" s="51">
        <v>2.4500907441016333E-2</v>
      </c>
      <c r="K65" s="35">
        <f>IF($D$2=FALSE,"-",IF(J65="",I65,J65))</f>
        <v>2.4500907441016333E-2</v>
      </c>
      <c r="L65" s="126">
        <v>5</v>
      </c>
      <c r="M65" s="81">
        <v>0.1</v>
      </c>
      <c r="N65" s="3"/>
      <c r="O65" s="111"/>
      <c r="P65" s="3"/>
      <c r="Q65" s="17" t="str">
        <f>IF($D$2=FALSE,"-",CONCATENATE(Q22," ","/ sales"))</f>
        <v>Stock-based comp / sales</v>
      </c>
      <c r="R65" s="17"/>
      <c r="S65" s="17"/>
      <c r="T65" s="17"/>
      <c r="U65" s="17"/>
      <c r="V65" s="17"/>
      <c r="W65" s="20">
        <f t="shared" ref="W65:AB65" ca="1" si="70">IF($D$2=FALSE,"-",IF(W$13="","",IF(W15=0,#N/A,W22/W15)))</f>
        <v>2.4500907441016333E-2</v>
      </c>
      <c r="X65" s="20">
        <f t="shared" ca="1" si="70"/>
        <v>2.4500907441016333E-2</v>
      </c>
      <c r="Y65" s="20">
        <f t="shared" ca="1" si="70"/>
        <v>2.4500907441016333E-2</v>
      </c>
      <c r="Z65" s="20">
        <f t="shared" ca="1" si="70"/>
        <v>2.4500907441016333E-2</v>
      </c>
      <c r="AA65" s="20">
        <f t="shared" ca="1" si="70"/>
        <v>2.4500907441016333E-2</v>
      </c>
      <c r="AB65" s="20">
        <f t="shared" ca="1" si="70"/>
        <v>2.4500907441016333E-2</v>
      </c>
      <c r="AC65" s="257"/>
      <c r="AD65" s="20" t="e">
        <f ca="1">IF($D$2=FALSE,"-",IF(AD$13="","",IF(AD15=0,#N/A,AD22/AD15)))</f>
        <v>#N/A</v>
      </c>
      <c r="AE65" s="17"/>
      <c r="AF65" s="21">
        <f t="shared" ref="AF65:BI65" ca="1" si="71">IF($D$2=FALSE,"-",IF(AF$13="","",IF(AF$4&lt;=0,IF(AF15=0,#N/A,AF22/AF15),IF(AF$4&lt;=$L65,IF($M65=0,$F65-((IF($M65=0,($F65-$K65)/$L65,($K65-$F65)/(EXP(-$M65*$L65)-1)))*(AF$4-1)),($F65-(IF($M65=0,($F65-$K65)/$L65,($K65-$F65)/(EXP(-$M65*$L65)-1))))+((IF($M65=0,($F65-$K65)/$L65,($K65-$F65)/(EXP(-$M65*$L65)-1)))*EXP(-$M65*(AF$4-1)))),$K65))))</f>
        <v>2.4500907441016333E-2</v>
      </c>
      <c r="AG65" s="20">
        <f t="shared" ca="1" si="71"/>
        <v>2.4500907441016333E-2</v>
      </c>
      <c r="AH65" s="20">
        <f t="shared" ca="1" si="71"/>
        <v>2.4500907441016333E-2</v>
      </c>
      <c r="AI65" s="20">
        <f t="shared" ca="1" si="71"/>
        <v>2.4500907441016333E-2</v>
      </c>
      <c r="AJ65" s="20">
        <f t="shared" ca="1" si="71"/>
        <v>2.4500907441016333E-2</v>
      </c>
      <c r="AK65" s="20">
        <f t="shared" ca="1" si="71"/>
        <v>2.4500907441016333E-2</v>
      </c>
      <c r="AL65" s="20" t="str">
        <f t="shared" ca="1" si="71"/>
        <v/>
      </c>
      <c r="AM65" s="20" t="str">
        <f t="shared" ca="1" si="71"/>
        <v/>
      </c>
      <c r="AN65" s="20" t="str">
        <f t="shared" ca="1" si="71"/>
        <v/>
      </c>
      <c r="AO65" s="20" t="str">
        <f t="shared" ca="1" si="71"/>
        <v/>
      </c>
      <c r="AP65" s="20" t="str">
        <f t="shared" ca="1" si="71"/>
        <v/>
      </c>
      <c r="AQ65" s="20" t="str">
        <f t="shared" ca="1" si="71"/>
        <v/>
      </c>
      <c r="AR65" s="20" t="str">
        <f t="shared" ca="1" si="71"/>
        <v/>
      </c>
      <c r="AS65" s="20" t="str">
        <f t="shared" ca="1" si="71"/>
        <v/>
      </c>
      <c r="AT65" s="20" t="str">
        <f t="shared" ca="1" si="71"/>
        <v/>
      </c>
      <c r="AU65" s="20" t="str">
        <f t="shared" ca="1" si="71"/>
        <v/>
      </c>
      <c r="AV65" s="20" t="str">
        <f t="shared" ca="1" si="71"/>
        <v/>
      </c>
      <c r="AW65" s="20" t="str">
        <f t="shared" ca="1" si="71"/>
        <v/>
      </c>
      <c r="AX65" s="20" t="str">
        <f t="shared" ca="1" si="71"/>
        <v/>
      </c>
      <c r="AY65" s="20" t="str">
        <f t="shared" ca="1" si="71"/>
        <v/>
      </c>
      <c r="AZ65" s="20" t="str">
        <f t="shared" ca="1" si="71"/>
        <v/>
      </c>
      <c r="BA65" s="20" t="str">
        <f t="shared" ca="1" si="71"/>
        <v/>
      </c>
      <c r="BB65" s="20" t="str">
        <f t="shared" ca="1" si="71"/>
        <v/>
      </c>
      <c r="BC65" s="20" t="str">
        <f t="shared" ca="1" si="71"/>
        <v/>
      </c>
      <c r="BD65" s="20" t="str">
        <f t="shared" ca="1" si="71"/>
        <v/>
      </c>
      <c r="BE65" s="20" t="str">
        <f t="shared" ca="1" si="71"/>
        <v/>
      </c>
      <c r="BF65" s="20" t="str">
        <f t="shared" ca="1" si="71"/>
        <v/>
      </c>
      <c r="BG65" s="20" t="str">
        <f t="shared" ca="1" si="71"/>
        <v/>
      </c>
      <c r="BH65" s="20" t="str">
        <f t="shared" ca="1" si="71"/>
        <v/>
      </c>
      <c r="BI65" s="20" t="str">
        <f t="shared" ca="1" si="71"/>
        <v/>
      </c>
      <c r="BK65" s="105"/>
      <c r="BL65" s="105"/>
      <c r="BM65" s="105"/>
      <c r="BN65" s="105"/>
      <c r="BO65" s="105"/>
      <c r="BP65" s="105"/>
    </row>
    <row r="66" spans="1:68" ht="15" customHeight="1" outlineLevel="1">
      <c r="A66" s="17"/>
      <c r="B66" s="34">
        <f>$B$57</f>
        <v>44926</v>
      </c>
      <c r="C66" s="34">
        <f ca="1">$C$57</f>
        <v>44926</v>
      </c>
      <c r="D66" s="35">
        <f ca="1">IF($D$2=FALSE,"-",AVERAGE(OFFSET($AF66,0,MATCH(B66,OFFSET($AF$13,0,0,1,$G$4-$E$4+1),0)-1,1,MATCH(C66,OFFSET($AF$13,0,0,1,$G$4-$E$4+1),0)-MATCH(B66,OFFSET($AF$13,0,0,1,$G$4-$E$4+1),0)+1)))</f>
        <v>3.4482758620689655E-2</v>
      </c>
      <c r="E66" s="51">
        <v>3.4482758620689655E-2</v>
      </c>
      <c r="F66" s="36">
        <f>IF($D$2=FALSE,"-",IF(E66="",D66,E66))</f>
        <v>3.4482758620689655E-2</v>
      </c>
      <c r="G66" s="34">
        <f>$G$57</f>
        <v>44926</v>
      </c>
      <c r="H66" s="37">
        <f ca="1">$H$57</f>
        <v>44926</v>
      </c>
      <c r="I66" s="35">
        <f ca="1">IF($D$2=FALSE,"-",AVERAGE(OFFSET($AF66,0,MATCH(G66,OFFSET($AF$13,0,0,1,$G$4-$E$4+1),0)-1,1,MATCH(H66,OFFSET($AF$13,0,0,1,$G$4-$E$4+1),0)-MATCH(G66,OFFSET($AF$13,0,0,1,$G$4-$E$4+1),0)+1)))</f>
        <v>3.4482758620689655E-2</v>
      </c>
      <c r="J66" s="51">
        <v>3.4482758620689655E-2</v>
      </c>
      <c r="K66" s="35">
        <f>IF($D$2=FALSE,"-",IF(J66="",I66,J66))</f>
        <v>3.4482758620689655E-2</v>
      </c>
      <c r="L66" s="126">
        <v>5</v>
      </c>
      <c r="M66" s="81">
        <v>0.1</v>
      </c>
      <c r="N66" s="3"/>
      <c r="O66" s="111"/>
      <c r="P66" s="3"/>
      <c r="Q66" s="17" t="str">
        <f>IF($D$2=FALSE,"-",CONCATENATE(Q51," ","/ sales"))</f>
        <v>Capex / sales</v>
      </c>
      <c r="R66" s="17"/>
      <c r="S66" s="17"/>
      <c r="T66" s="17"/>
      <c r="U66" s="17"/>
      <c r="V66" s="17"/>
      <c r="W66" s="20">
        <f t="shared" ref="W66:AB66" ca="1" si="72">IF($D$2=FALSE,"-",IF(W$13="","",IF(W15=0,#N/A,W51/W15)))</f>
        <v>3.4482758620689655E-2</v>
      </c>
      <c r="X66" s="20">
        <f t="shared" ca="1" si="72"/>
        <v>3.4482758620689655E-2</v>
      </c>
      <c r="Y66" s="20">
        <f t="shared" ca="1" si="72"/>
        <v>3.4482758620689655E-2</v>
      </c>
      <c r="Z66" s="20">
        <f t="shared" ca="1" si="72"/>
        <v>3.4482758620689655E-2</v>
      </c>
      <c r="AA66" s="20">
        <f t="shared" ca="1" si="72"/>
        <v>3.4482758620689655E-2</v>
      </c>
      <c r="AB66" s="20">
        <f t="shared" ca="1" si="72"/>
        <v>3.4482758620689655E-2</v>
      </c>
      <c r="AC66" s="257"/>
      <c r="AD66" s="20" t="e">
        <f ca="1">IF($D$2=FALSE,"-",IF(AD$13="","",IF(AD15=0,#N/A,AD51/AD15)))</f>
        <v>#N/A</v>
      </c>
      <c r="AE66" s="17"/>
      <c r="AF66" s="21">
        <f t="shared" ref="AF66:BI66" ca="1" si="73">IF($D$2=FALSE,"-",IF(AF$13="","",IF(AF$4&lt;=0,IF(AF15=0,#N/A,AF51/AF15),IF(AF$4&lt;=$L66,IF($M66=0,$F66-((IF($M66=0,($F66-$K66)/$L66,($K66-$F66)/(EXP(-$M66*$L66)-1)))*(AF$4-1)),($F66-(IF($M66=0,($F66-$K66)/$L66,($K66-$F66)/(EXP(-$M66*$L66)-1))))+((IF($M66=0,($F66-$K66)/$L66,($K66-$F66)/(EXP(-$M66*$L66)-1)))*EXP(-$M66*(AF$4-1)))),$K66))))</f>
        <v>3.4482758620689655E-2</v>
      </c>
      <c r="AG66" s="20">
        <f t="shared" ca="1" si="73"/>
        <v>3.4482758620689655E-2</v>
      </c>
      <c r="AH66" s="20">
        <f t="shared" ca="1" si="73"/>
        <v>3.4482758620689655E-2</v>
      </c>
      <c r="AI66" s="20">
        <f t="shared" ca="1" si="73"/>
        <v>3.4482758620689655E-2</v>
      </c>
      <c r="AJ66" s="20">
        <f t="shared" ca="1" si="73"/>
        <v>3.4482758620689655E-2</v>
      </c>
      <c r="AK66" s="20">
        <f t="shared" ca="1" si="73"/>
        <v>3.4482758620689655E-2</v>
      </c>
      <c r="AL66" s="20" t="str">
        <f t="shared" ca="1" si="73"/>
        <v/>
      </c>
      <c r="AM66" s="20" t="str">
        <f t="shared" ca="1" si="73"/>
        <v/>
      </c>
      <c r="AN66" s="20" t="str">
        <f t="shared" ca="1" si="73"/>
        <v/>
      </c>
      <c r="AO66" s="20" t="str">
        <f t="shared" ca="1" si="73"/>
        <v/>
      </c>
      <c r="AP66" s="20" t="str">
        <f t="shared" ca="1" si="73"/>
        <v/>
      </c>
      <c r="AQ66" s="20" t="str">
        <f t="shared" ca="1" si="73"/>
        <v/>
      </c>
      <c r="AR66" s="20" t="str">
        <f t="shared" ca="1" si="73"/>
        <v/>
      </c>
      <c r="AS66" s="20" t="str">
        <f t="shared" ca="1" si="73"/>
        <v/>
      </c>
      <c r="AT66" s="20" t="str">
        <f t="shared" ca="1" si="73"/>
        <v/>
      </c>
      <c r="AU66" s="20" t="str">
        <f t="shared" ca="1" si="73"/>
        <v/>
      </c>
      <c r="AV66" s="20" t="str">
        <f t="shared" ca="1" si="73"/>
        <v/>
      </c>
      <c r="AW66" s="20" t="str">
        <f t="shared" ca="1" si="73"/>
        <v/>
      </c>
      <c r="AX66" s="20" t="str">
        <f t="shared" ca="1" si="73"/>
        <v/>
      </c>
      <c r="AY66" s="20" t="str">
        <f t="shared" ca="1" si="73"/>
        <v/>
      </c>
      <c r="AZ66" s="20" t="str">
        <f t="shared" ca="1" si="73"/>
        <v/>
      </c>
      <c r="BA66" s="20" t="str">
        <f t="shared" ca="1" si="73"/>
        <v/>
      </c>
      <c r="BB66" s="20" t="str">
        <f t="shared" ca="1" si="73"/>
        <v/>
      </c>
      <c r="BC66" s="20" t="str">
        <f t="shared" ca="1" si="73"/>
        <v/>
      </c>
      <c r="BD66" s="20" t="str">
        <f t="shared" ca="1" si="73"/>
        <v/>
      </c>
      <c r="BE66" s="20" t="str">
        <f t="shared" ca="1" si="73"/>
        <v/>
      </c>
      <c r="BF66" s="20" t="str">
        <f t="shared" ca="1" si="73"/>
        <v/>
      </c>
      <c r="BG66" s="20" t="str">
        <f t="shared" ca="1" si="73"/>
        <v/>
      </c>
      <c r="BH66" s="20" t="str">
        <f t="shared" ca="1" si="73"/>
        <v/>
      </c>
      <c r="BI66" s="20" t="str">
        <f t="shared" ca="1" si="73"/>
        <v/>
      </c>
      <c r="BK66" s="105"/>
      <c r="BL66" s="105"/>
      <c r="BM66" s="105"/>
      <c r="BN66" s="105"/>
      <c r="BO66" s="105"/>
      <c r="BP66" s="105"/>
    </row>
    <row r="67" spans="1:68" ht="15" customHeight="1" outlineLevel="1">
      <c r="A67" s="6"/>
      <c r="N67" s="6"/>
      <c r="P67" s="6"/>
      <c r="Q67" s="6"/>
      <c r="R67" s="6"/>
      <c r="S67" s="6"/>
      <c r="T67" s="6"/>
      <c r="U67" s="6"/>
      <c r="V67" s="6"/>
      <c r="W67" s="19"/>
      <c r="X67" s="19"/>
      <c r="Y67" s="19"/>
      <c r="Z67" s="19"/>
      <c r="AA67" s="19"/>
      <c r="AB67" s="19"/>
      <c r="AC67" s="6"/>
      <c r="AD67" s="19"/>
      <c r="AE67" s="6"/>
      <c r="AF67" s="18"/>
      <c r="AG67" s="19"/>
      <c r="AH67" s="19"/>
      <c r="AI67" s="19"/>
      <c r="AJ67" s="19"/>
      <c r="AK67" s="19"/>
      <c r="AL67" s="19"/>
      <c r="AM67" s="19"/>
      <c r="AN67" s="19"/>
      <c r="AO67" s="19"/>
      <c r="AP67" s="19"/>
      <c r="AQ67" s="19"/>
      <c r="AR67" s="19"/>
      <c r="AS67" s="19"/>
      <c r="AT67" s="19"/>
      <c r="AU67" s="19"/>
      <c r="AV67" s="19"/>
      <c r="AW67" s="19"/>
      <c r="AX67" s="19"/>
      <c r="AY67" s="19"/>
      <c r="AZ67" s="19"/>
      <c r="BA67" s="19"/>
      <c r="BB67" s="19"/>
      <c r="BC67" s="19"/>
      <c r="BD67" s="19"/>
      <c r="BE67" s="19"/>
      <c r="BF67" s="19"/>
      <c r="BG67" s="19"/>
      <c r="BH67" s="19"/>
      <c r="BI67" s="19"/>
      <c r="BK67" s="105"/>
      <c r="BL67" s="105"/>
      <c r="BM67" s="105"/>
      <c r="BN67" s="105"/>
      <c r="BO67" s="105"/>
      <c r="BP67" s="105"/>
    </row>
    <row r="68" spans="1:68" ht="15" customHeight="1" outlineLevel="1">
      <c r="A68" s="17"/>
      <c r="F68" s="82"/>
      <c r="G68" s="82"/>
      <c r="H68" s="82"/>
      <c r="I68" s="82"/>
      <c r="J68" s="82"/>
      <c r="K68" s="82"/>
      <c r="L68" s="82"/>
      <c r="M68" s="82"/>
      <c r="N68" s="3"/>
      <c r="O68" s="82"/>
      <c r="P68" s="3"/>
      <c r="Q68" s="6" t="s">
        <v>71</v>
      </c>
      <c r="R68" s="6"/>
      <c r="S68" s="6"/>
      <c r="T68" s="6"/>
      <c r="U68" s="6"/>
      <c r="V68" s="17"/>
      <c r="W68" s="20">
        <f t="shared" ref="W68:AB68" ca="1" si="74">IF($D$2=FALSE,"-",IF(W$13="","",IF(W15=0,#N/A,W17/W15)))</f>
        <v>0.46823956442831216</v>
      </c>
      <c r="X68" s="20">
        <f t="shared" ca="1" si="74"/>
        <v>0.46823956442831216</v>
      </c>
      <c r="Y68" s="20">
        <f t="shared" ca="1" si="74"/>
        <v>0.46823956442831222</v>
      </c>
      <c r="Z68" s="20">
        <f t="shared" ca="1" si="74"/>
        <v>0.46823956442831216</v>
      </c>
      <c r="AA68" s="20">
        <f t="shared" ca="1" si="74"/>
        <v>0.46823956442831216</v>
      </c>
      <c r="AB68" s="20">
        <f t="shared" ca="1" si="74"/>
        <v>0.46823956442831222</v>
      </c>
      <c r="AC68" s="257"/>
      <c r="AD68" s="20" t="e">
        <f ca="1">IF($D$2=FALSE,"-",IF(AD$13="","",IF(AD15=0,#N/A,AD17/AD15)))</f>
        <v>#N/A</v>
      </c>
      <c r="AE68" s="17"/>
      <c r="AF68" s="21">
        <f t="shared" ref="AF68:BI68" ca="1" si="75">IF($D$2=FALSE,"-",IF(AF$13="","",IF(AF15=0,#N/A,AF17/AF15)))</f>
        <v>0.46823956442831216</v>
      </c>
      <c r="AG68" s="20">
        <f t="shared" ca="1" si="75"/>
        <v>0.46823956442831216</v>
      </c>
      <c r="AH68" s="20">
        <f t="shared" ca="1" si="75"/>
        <v>0.46823956442831222</v>
      </c>
      <c r="AI68" s="20">
        <f t="shared" ca="1" si="75"/>
        <v>0.46823956442831216</v>
      </c>
      <c r="AJ68" s="20">
        <f t="shared" ca="1" si="75"/>
        <v>0.46823956442831216</v>
      </c>
      <c r="AK68" s="20">
        <f t="shared" ca="1" si="75"/>
        <v>0.46823956442831222</v>
      </c>
      <c r="AL68" s="20" t="str">
        <f t="shared" ca="1" si="75"/>
        <v/>
      </c>
      <c r="AM68" s="20" t="str">
        <f t="shared" ca="1" si="75"/>
        <v/>
      </c>
      <c r="AN68" s="20" t="str">
        <f t="shared" ca="1" si="75"/>
        <v/>
      </c>
      <c r="AO68" s="20" t="str">
        <f t="shared" ca="1" si="75"/>
        <v/>
      </c>
      <c r="AP68" s="20" t="str">
        <f t="shared" ca="1" si="75"/>
        <v/>
      </c>
      <c r="AQ68" s="20" t="str">
        <f t="shared" ca="1" si="75"/>
        <v/>
      </c>
      <c r="AR68" s="20" t="str">
        <f t="shared" ca="1" si="75"/>
        <v/>
      </c>
      <c r="AS68" s="20" t="str">
        <f t="shared" ca="1" si="75"/>
        <v/>
      </c>
      <c r="AT68" s="20" t="str">
        <f t="shared" ca="1" si="75"/>
        <v/>
      </c>
      <c r="AU68" s="20" t="str">
        <f t="shared" ca="1" si="75"/>
        <v/>
      </c>
      <c r="AV68" s="20" t="str">
        <f t="shared" ca="1" si="75"/>
        <v/>
      </c>
      <c r="AW68" s="20" t="str">
        <f t="shared" ca="1" si="75"/>
        <v/>
      </c>
      <c r="AX68" s="20" t="str">
        <f t="shared" ca="1" si="75"/>
        <v/>
      </c>
      <c r="AY68" s="20" t="str">
        <f t="shared" ca="1" si="75"/>
        <v/>
      </c>
      <c r="AZ68" s="20" t="str">
        <f t="shared" ca="1" si="75"/>
        <v/>
      </c>
      <c r="BA68" s="20" t="str">
        <f t="shared" ca="1" si="75"/>
        <v/>
      </c>
      <c r="BB68" s="20" t="str">
        <f t="shared" ca="1" si="75"/>
        <v/>
      </c>
      <c r="BC68" s="20" t="str">
        <f t="shared" ca="1" si="75"/>
        <v/>
      </c>
      <c r="BD68" s="20" t="str">
        <f t="shared" ca="1" si="75"/>
        <v/>
      </c>
      <c r="BE68" s="20" t="str">
        <f t="shared" ca="1" si="75"/>
        <v/>
      </c>
      <c r="BF68" s="20" t="str">
        <f t="shared" ca="1" si="75"/>
        <v/>
      </c>
      <c r="BG68" s="20" t="str">
        <f t="shared" ca="1" si="75"/>
        <v/>
      </c>
      <c r="BH68" s="20" t="str">
        <f t="shared" ca="1" si="75"/>
        <v/>
      </c>
      <c r="BI68" s="20" t="str">
        <f t="shared" ca="1" si="75"/>
        <v/>
      </c>
      <c r="BK68" s="105"/>
      <c r="BL68" s="105"/>
      <c r="BM68" s="105"/>
      <c r="BN68" s="105"/>
      <c r="BO68" s="105"/>
      <c r="BP68" s="105"/>
    </row>
    <row r="69" spans="1:68" ht="15" customHeight="1" outlineLevel="1">
      <c r="A69" s="6"/>
      <c r="N69" s="3"/>
      <c r="P69" s="3"/>
      <c r="Q69" s="6" t="s">
        <v>72</v>
      </c>
      <c r="R69" s="6"/>
      <c r="S69" s="6"/>
      <c r="T69" s="6"/>
      <c r="U69" s="6"/>
      <c r="V69" s="6"/>
      <c r="W69" s="20">
        <f t="shared" ref="W69:AB69" ca="1" si="76">IF($D$2=FALSE,"-",IF(W$13="","",IF(W15=0,#N/A,W19/W15)))</f>
        <v>0.28765880217785844</v>
      </c>
      <c r="X69" s="20">
        <f t="shared" ca="1" si="76"/>
        <v>0.2876588021778585</v>
      </c>
      <c r="Y69" s="20">
        <f t="shared" ca="1" si="76"/>
        <v>0.28765880217785855</v>
      </c>
      <c r="Z69" s="20">
        <f t="shared" ca="1" si="76"/>
        <v>0.28765880217785844</v>
      </c>
      <c r="AA69" s="20">
        <f t="shared" ca="1" si="76"/>
        <v>0.28765880217785844</v>
      </c>
      <c r="AB69" s="20">
        <f t="shared" ca="1" si="76"/>
        <v>0.2876588021778585</v>
      </c>
      <c r="AC69" s="257"/>
      <c r="AD69" s="20" t="e">
        <f ca="1">IF($D$2=FALSE,"-",IF(AD$13="","",IF(AD15=0,#N/A,AD19/AD15)))</f>
        <v>#N/A</v>
      </c>
      <c r="AE69" s="17"/>
      <c r="AF69" s="21">
        <f t="shared" ref="AF69:BI69" ca="1" si="77">IF($D$2=FALSE,"-",IF(AF$13="","",IF(AF15=0,#N/A,AF19/AF15)))</f>
        <v>0.28765880217785844</v>
      </c>
      <c r="AG69" s="20">
        <f t="shared" ca="1" si="77"/>
        <v>0.2876588021778585</v>
      </c>
      <c r="AH69" s="20">
        <f t="shared" ca="1" si="77"/>
        <v>0.28765880217785855</v>
      </c>
      <c r="AI69" s="20">
        <f t="shared" ca="1" si="77"/>
        <v>0.28765880217785844</v>
      </c>
      <c r="AJ69" s="20">
        <f t="shared" ca="1" si="77"/>
        <v>0.28765880217785844</v>
      </c>
      <c r="AK69" s="20">
        <f t="shared" ca="1" si="77"/>
        <v>0.2876588021778585</v>
      </c>
      <c r="AL69" s="20" t="str">
        <f t="shared" ca="1" si="77"/>
        <v/>
      </c>
      <c r="AM69" s="20" t="str">
        <f t="shared" ca="1" si="77"/>
        <v/>
      </c>
      <c r="AN69" s="20" t="str">
        <f t="shared" ca="1" si="77"/>
        <v/>
      </c>
      <c r="AO69" s="20" t="str">
        <f t="shared" ca="1" si="77"/>
        <v/>
      </c>
      <c r="AP69" s="20" t="str">
        <f t="shared" ca="1" si="77"/>
        <v/>
      </c>
      <c r="AQ69" s="20" t="str">
        <f t="shared" ca="1" si="77"/>
        <v/>
      </c>
      <c r="AR69" s="20" t="str">
        <f t="shared" ca="1" si="77"/>
        <v/>
      </c>
      <c r="AS69" s="20" t="str">
        <f t="shared" ca="1" si="77"/>
        <v/>
      </c>
      <c r="AT69" s="20" t="str">
        <f t="shared" ca="1" si="77"/>
        <v/>
      </c>
      <c r="AU69" s="20" t="str">
        <f t="shared" ca="1" si="77"/>
        <v/>
      </c>
      <c r="AV69" s="20" t="str">
        <f t="shared" ca="1" si="77"/>
        <v/>
      </c>
      <c r="AW69" s="20" t="str">
        <f t="shared" ca="1" si="77"/>
        <v/>
      </c>
      <c r="AX69" s="20" t="str">
        <f t="shared" ca="1" si="77"/>
        <v/>
      </c>
      <c r="AY69" s="20" t="str">
        <f t="shared" ca="1" si="77"/>
        <v/>
      </c>
      <c r="AZ69" s="20" t="str">
        <f t="shared" ca="1" si="77"/>
        <v/>
      </c>
      <c r="BA69" s="20" t="str">
        <f t="shared" ca="1" si="77"/>
        <v/>
      </c>
      <c r="BB69" s="20" t="str">
        <f t="shared" ca="1" si="77"/>
        <v/>
      </c>
      <c r="BC69" s="20" t="str">
        <f t="shared" ca="1" si="77"/>
        <v/>
      </c>
      <c r="BD69" s="20" t="str">
        <f t="shared" ca="1" si="77"/>
        <v/>
      </c>
      <c r="BE69" s="20" t="str">
        <f t="shared" ca="1" si="77"/>
        <v/>
      </c>
      <c r="BF69" s="20" t="str">
        <f t="shared" ca="1" si="77"/>
        <v/>
      </c>
      <c r="BG69" s="20" t="str">
        <f t="shared" ca="1" si="77"/>
        <v/>
      </c>
      <c r="BH69" s="20" t="str">
        <f t="shared" ca="1" si="77"/>
        <v/>
      </c>
      <c r="BI69" s="20" t="str">
        <f t="shared" ca="1" si="77"/>
        <v/>
      </c>
      <c r="BK69" s="105"/>
      <c r="BL69" s="105"/>
      <c r="BM69" s="105"/>
      <c r="BN69" s="105"/>
      <c r="BO69" s="105"/>
      <c r="BP69" s="105"/>
    </row>
    <row r="70" spans="1:68" ht="15" customHeight="1" outlineLevel="1">
      <c r="A70" s="6"/>
      <c r="N70" s="3"/>
      <c r="P70" s="3"/>
      <c r="Q70" s="6" t="s">
        <v>73</v>
      </c>
      <c r="R70" s="6"/>
      <c r="S70" s="6"/>
      <c r="T70" s="6"/>
      <c r="U70" s="6"/>
      <c r="V70" s="6"/>
      <c r="W70" s="20">
        <f t="shared" ref="W70:AB70" ca="1" si="78">IF($D$2=FALSE,"-",IF(W$13="","",IF(W15=0,#N/A,W23/W15)))</f>
        <v>0.2050816696914701</v>
      </c>
      <c r="X70" s="20">
        <f t="shared" ca="1" si="78"/>
        <v>0.20633480252355033</v>
      </c>
      <c r="Y70" s="20">
        <f t="shared" ca="1" si="78"/>
        <v>0.20752826236362676</v>
      </c>
      <c r="Z70" s="20">
        <f t="shared" ca="1" si="78"/>
        <v>0.20866489078274703</v>
      </c>
      <c r="AA70" s="20">
        <f t="shared" ca="1" si="78"/>
        <v>0.22637501733288348</v>
      </c>
      <c r="AB70" s="20">
        <f t="shared" ca="1" si="78"/>
        <v>0.23139745916515428</v>
      </c>
      <c r="AC70" s="257"/>
      <c r="AD70" s="20" t="e">
        <f ca="1">IF($D$2=FALSE,"-",IF(AD$13="","",IF(AD15=0,#N/A,AD23/AD15)))</f>
        <v>#N/A</v>
      </c>
      <c r="AE70" s="17"/>
      <c r="AF70" s="21">
        <f t="shared" ref="AF70:BI70" ca="1" si="79">IF($D$2=FALSE,"-",IF(AF$13="","",IF(AF15=0,#N/A,AF23/AF15)))</f>
        <v>0.2050816696914701</v>
      </c>
      <c r="AG70" s="20">
        <f t="shared" ca="1" si="79"/>
        <v>0.20633480252355033</v>
      </c>
      <c r="AH70" s="20">
        <f t="shared" ca="1" si="79"/>
        <v>0.20752826236362676</v>
      </c>
      <c r="AI70" s="20">
        <f t="shared" ca="1" si="79"/>
        <v>0.20866489078274703</v>
      </c>
      <c r="AJ70" s="20">
        <f t="shared" ca="1" si="79"/>
        <v>0.22637501733288348</v>
      </c>
      <c r="AK70" s="20">
        <f t="shared" ca="1" si="79"/>
        <v>0.23139745916515428</v>
      </c>
      <c r="AL70" s="20" t="str">
        <f t="shared" ca="1" si="79"/>
        <v/>
      </c>
      <c r="AM70" s="20" t="str">
        <f t="shared" ca="1" si="79"/>
        <v/>
      </c>
      <c r="AN70" s="20" t="str">
        <f t="shared" ca="1" si="79"/>
        <v/>
      </c>
      <c r="AO70" s="20" t="str">
        <f t="shared" ca="1" si="79"/>
        <v/>
      </c>
      <c r="AP70" s="20" t="str">
        <f t="shared" ca="1" si="79"/>
        <v/>
      </c>
      <c r="AQ70" s="20" t="str">
        <f t="shared" ca="1" si="79"/>
        <v/>
      </c>
      <c r="AR70" s="20" t="str">
        <f t="shared" ca="1" si="79"/>
        <v/>
      </c>
      <c r="AS70" s="20" t="str">
        <f t="shared" ca="1" si="79"/>
        <v/>
      </c>
      <c r="AT70" s="20" t="str">
        <f t="shared" ca="1" si="79"/>
        <v/>
      </c>
      <c r="AU70" s="20" t="str">
        <f t="shared" ca="1" si="79"/>
        <v/>
      </c>
      <c r="AV70" s="20" t="str">
        <f t="shared" ca="1" si="79"/>
        <v/>
      </c>
      <c r="AW70" s="20" t="str">
        <f t="shared" ca="1" si="79"/>
        <v/>
      </c>
      <c r="AX70" s="20" t="str">
        <f t="shared" ca="1" si="79"/>
        <v/>
      </c>
      <c r="AY70" s="20" t="str">
        <f t="shared" ca="1" si="79"/>
        <v/>
      </c>
      <c r="AZ70" s="20" t="str">
        <f t="shared" ca="1" si="79"/>
        <v/>
      </c>
      <c r="BA70" s="20" t="str">
        <f t="shared" ca="1" si="79"/>
        <v/>
      </c>
      <c r="BB70" s="20" t="str">
        <f t="shared" ca="1" si="79"/>
        <v/>
      </c>
      <c r="BC70" s="20" t="str">
        <f t="shared" ca="1" si="79"/>
        <v/>
      </c>
      <c r="BD70" s="20" t="str">
        <f t="shared" ca="1" si="79"/>
        <v/>
      </c>
      <c r="BE70" s="20" t="str">
        <f t="shared" ca="1" si="79"/>
        <v/>
      </c>
      <c r="BF70" s="20" t="str">
        <f t="shared" ca="1" si="79"/>
        <v/>
      </c>
      <c r="BG70" s="20" t="str">
        <f t="shared" ca="1" si="79"/>
        <v/>
      </c>
      <c r="BH70" s="20" t="str">
        <f t="shared" ca="1" si="79"/>
        <v/>
      </c>
      <c r="BI70" s="20" t="str">
        <f t="shared" ca="1" si="79"/>
        <v/>
      </c>
      <c r="BK70" s="105"/>
      <c r="BL70" s="105"/>
      <c r="BM70" s="105"/>
      <c r="BN70" s="105"/>
      <c r="BO70" s="105"/>
      <c r="BP70" s="105"/>
    </row>
    <row r="71" spans="1:68" ht="15" customHeight="1" outlineLevel="1">
      <c r="A71" s="6"/>
      <c r="N71" s="3"/>
      <c r="P71" s="3"/>
      <c r="Q71" s="6" t="s">
        <v>74</v>
      </c>
      <c r="R71" s="6"/>
      <c r="S71" s="6"/>
      <c r="T71" s="6"/>
      <c r="U71" s="6"/>
      <c r="V71" s="6"/>
      <c r="W71" s="20">
        <f t="shared" ref="W71:AB71" ca="1" si="80">IF($D$2=FALSE,"-",IF(W$13="","",IF(W15=0,#N/A,W24/W15)))</f>
        <v>0.2558983666061706</v>
      </c>
      <c r="X71" s="20">
        <f t="shared" ca="1" si="80"/>
        <v>0.25589836660617066</v>
      </c>
      <c r="Y71" s="20">
        <f t="shared" ca="1" si="80"/>
        <v>0.25589836660617071</v>
      </c>
      <c r="Z71" s="20">
        <f t="shared" ca="1" si="80"/>
        <v>0.2558983666061706</v>
      </c>
      <c r="AA71" s="20">
        <f t="shared" ca="1" si="80"/>
        <v>0.2558983666061706</v>
      </c>
      <c r="AB71" s="20">
        <f t="shared" ca="1" si="80"/>
        <v>0.25589836660617066</v>
      </c>
      <c r="AC71" s="257"/>
      <c r="AD71" s="20" t="e">
        <f ca="1">IF($D$2=FALSE,"-",IF(AD$13="","",IF(AD15=0,#N/A,AD24/AD15)))</f>
        <v>#N/A</v>
      </c>
      <c r="AE71" s="17"/>
      <c r="AF71" s="21">
        <f t="shared" ref="AF71:BI71" ca="1" si="81">IF($D$2=FALSE,"-",IF(AF$13="","",IF(AF15=0,#N/A,AF24/AF15)))</f>
        <v>0.2558983666061706</v>
      </c>
      <c r="AG71" s="20">
        <f t="shared" ca="1" si="81"/>
        <v>0.25589836660617066</v>
      </c>
      <c r="AH71" s="20">
        <f t="shared" ca="1" si="81"/>
        <v>0.25589836660617071</v>
      </c>
      <c r="AI71" s="20">
        <f t="shared" ca="1" si="81"/>
        <v>0.2558983666061706</v>
      </c>
      <c r="AJ71" s="20">
        <f t="shared" ca="1" si="81"/>
        <v>0.2558983666061706</v>
      </c>
      <c r="AK71" s="20">
        <f t="shared" ca="1" si="81"/>
        <v>0.25589836660617066</v>
      </c>
      <c r="AL71" s="20" t="str">
        <f t="shared" ca="1" si="81"/>
        <v/>
      </c>
      <c r="AM71" s="20" t="str">
        <f t="shared" ca="1" si="81"/>
        <v/>
      </c>
      <c r="AN71" s="20" t="str">
        <f t="shared" ca="1" si="81"/>
        <v/>
      </c>
      <c r="AO71" s="20" t="str">
        <f t="shared" ca="1" si="81"/>
        <v/>
      </c>
      <c r="AP71" s="20" t="str">
        <f t="shared" ca="1" si="81"/>
        <v/>
      </c>
      <c r="AQ71" s="20" t="str">
        <f t="shared" ca="1" si="81"/>
        <v/>
      </c>
      <c r="AR71" s="20" t="str">
        <f t="shared" ca="1" si="81"/>
        <v/>
      </c>
      <c r="AS71" s="20" t="str">
        <f t="shared" ca="1" si="81"/>
        <v/>
      </c>
      <c r="AT71" s="20" t="str">
        <f t="shared" ca="1" si="81"/>
        <v/>
      </c>
      <c r="AU71" s="20" t="str">
        <f t="shared" ca="1" si="81"/>
        <v/>
      </c>
      <c r="AV71" s="20" t="str">
        <f t="shared" ca="1" si="81"/>
        <v/>
      </c>
      <c r="AW71" s="20" t="str">
        <f t="shared" ca="1" si="81"/>
        <v/>
      </c>
      <c r="AX71" s="20" t="str">
        <f t="shared" ca="1" si="81"/>
        <v/>
      </c>
      <c r="AY71" s="20" t="str">
        <f t="shared" ca="1" si="81"/>
        <v/>
      </c>
      <c r="AZ71" s="20" t="str">
        <f t="shared" ca="1" si="81"/>
        <v/>
      </c>
      <c r="BA71" s="20" t="str">
        <f t="shared" ca="1" si="81"/>
        <v/>
      </c>
      <c r="BB71" s="20" t="str">
        <f t="shared" ca="1" si="81"/>
        <v/>
      </c>
      <c r="BC71" s="20" t="str">
        <f t="shared" ca="1" si="81"/>
        <v/>
      </c>
      <c r="BD71" s="20" t="str">
        <f t="shared" ca="1" si="81"/>
        <v/>
      </c>
      <c r="BE71" s="20" t="str">
        <f t="shared" ca="1" si="81"/>
        <v/>
      </c>
      <c r="BF71" s="20" t="str">
        <f t="shared" ca="1" si="81"/>
        <v/>
      </c>
      <c r="BG71" s="20" t="str">
        <f t="shared" ca="1" si="81"/>
        <v/>
      </c>
      <c r="BH71" s="20" t="str">
        <f t="shared" ca="1" si="81"/>
        <v/>
      </c>
      <c r="BI71" s="20" t="str">
        <f t="shared" ca="1" si="81"/>
        <v/>
      </c>
      <c r="BK71" s="105"/>
      <c r="BL71" s="105"/>
      <c r="BM71" s="105"/>
      <c r="BN71" s="105"/>
      <c r="BO71" s="105"/>
      <c r="BP71" s="105"/>
    </row>
    <row r="72" spans="1:68" ht="15" customHeight="1" outlineLevel="1">
      <c r="A72" s="6"/>
      <c r="N72" s="6"/>
      <c r="P72" s="3"/>
      <c r="Q72" s="6" t="s">
        <v>75</v>
      </c>
      <c r="R72" s="6"/>
      <c r="S72" s="6"/>
      <c r="T72" s="6"/>
      <c r="U72" s="6"/>
      <c r="V72" s="6"/>
      <c r="W72" s="20">
        <f t="shared" ref="W72:AB72" ca="1" si="82">IF($D$2=FALSE,"-",IF(W$13="","",IF(W15=0,#N/A,W40/W15)))</f>
        <v>5.7735934664246875E-2</v>
      </c>
      <c r="X72" s="20">
        <f t="shared" ca="1" si="82"/>
        <v>5.3638325352494964E-2</v>
      </c>
      <c r="Y72" s="20">
        <f t="shared" ca="1" si="82"/>
        <v>6.8591255335531912E-2</v>
      </c>
      <c r="Z72" s="20">
        <f t="shared" ca="1" si="82"/>
        <v>7.8660086298141932E-2</v>
      </c>
      <c r="AA72" s="20">
        <f t="shared" ca="1" si="82"/>
        <v>9.2160991909696732E-2</v>
      </c>
      <c r="AB72" s="20">
        <f t="shared" ca="1" si="82"/>
        <v>9.7777478068629131E-2</v>
      </c>
      <c r="AC72" s="257"/>
      <c r="AD72" s="20" t="e">
        <f ca="1">IF($D$2=FALSE,"-",IF(AD$13="","",IF(AD15=0,#N/A,AD40/AD15)))</f>
        <v>#N/A</v>
      </c>
      <c r="AE72" s="20"/>
      <c r="AF72" s="20">
        <f t="shared" ref="AF72:BI72" ca="1" si="83">IF($D$2=FALSE,"-",IF(AF$13="","",IF(AF15=0,#N/A,AF40/AF15)))</f>
        <v>5.7735934664246875E-2</v>
      </c>
      <c r="AG72" s="138">
        <f t="shared" ca="1" si="83"/>
        <v>5.3638325352494964E-2</v>
      </c>
      <c r="AH72" s="20">
        <f t="shared" ca="1" si="83"/>
        <v>6.8591255335531912E-2</v>
      </c>
      <c r="AI72" s="20">
        <f t="shared" ca="1" si="83"/>
        <v>7.8660086298141932E-2</v>
      </c>
      <c r="AJ72" s="20">
        <f t="shared" ca="1" si="83"/>
        <v>9.2160991909696732E-2</v>
      </c>
      <c r="AK72" s="20">
        <f t="shared" ca="1" si="83"/>
        <v>9.7777478068629131E-2</v>
      </c>
      <c r="AL72" s="20" t="str">
        <f t="shared" ca="1" si="83"/>
        <v/>
      </c>
      <c r="AM72" s="20" t="str">
        <f t="shared" ca="1" si="83"/>
        <v/>
      </c>
      <c r="AN72" s="20" t="str">
        <f t="shared" ca="1" si="83"/>
        <v/>
      </c>
      <c r="AO72" s="20" t="str">
        <f t="shared" ca="1" si="83"/>
        <v/>
      </c>
      <c r="AP72" s="20" t="str">
        <f t="shared" ca="1" si="83"/>
        <v/>
      </c>
      <c r="AQ72" s="20" t="str">
        <f t="shared" ca="1" si="83"/>
        <v/>
      </c>
      <c r="AR72" s="20" t="str">
        <f t="shared" ca="1" si="83"/>
        <v/>
      </c>
      <c r="AS72" s="20" t="str">
        <f t="shared" ca="1" si="83"/>
        <v/>
      </c>
      <c r="AT72" s="20" t="str">
        <f t="shared" ca="1" si="83"/>
        <v/>
      </c>
      <c r="AU72" s="20" t="str">
        <f t="shared" ca="1" si="83"/>
        <v/>
      </c>
      <c r="AV72" s="20" t="str">
        <f t="shared" ca="1" si="83"/>
        <v/>
      </c>
      <c r="AW72" s="20" t="str">
        <f t="shared" ca="1" si="83"/>
        <v/>
      </c>
      <c r="AX72" s="20" t="str">
        <f t="shared" ca="1" si="83"/>
        <v/>
      </c>
      <c r="AY72" s="20" t="str">
        <f t="shared" ca="1" si="83"/>
        <v/>
      </c>
      <c r="AZ72" s="20" t="str">
        <f t="shared" ca="1" si="83"/>
        <v/>
      </c>
      <c r="BA72" s="20" t="str">
        <f t="shared" ca="1" si="83"/>
        <v/>
      </c>
      <c r="BB72" s="20" t="str">
        <f t="shared" ca="1" si="83"/>
        <v/>
      </c>
      <c r="BC72" s="20" t="str">
        <f t="shared" ca="1" si="83"/>
        <v/>
      </c>
      <c r="BD72" s="20" t="str">
        <f t="shared" ca="1" si="83"/>
        <v/>
      </c>
      <c r="BE72" s="20" t="str">
        <f t="shared" ca="1" si="83"/>
        <v/>
      </c>
      <c r="BF72" s="20" t="str">
        <f t="shared" ca="1" si="83"/>
        <v/>
      </c>
      <c r="BG72" s="20" t="str">
        <f t="shared" ca="1" si="83"/>
        <v/>
      </c>
      <c r="BH72" s="20" t="str">
        <f t="shared" ca="1" si="83"/>
        <v/>
      </c>
      <c r="BI72" s="20" t="str">
        <f t="shared" ca="1" si="83"/>
        <v/>
      </c>
      <c r="BK72" s="105"/>
      <c r="BL72" s="105"/>
      <c r="BM72" s="105"/>
      <c r="BN72" s="105"/>
      <c r="BO72" s="105"/>
      <c r="BP72" s="105"/>
    </row>
    <row r="73" spans="1:68" ht="15" customHeight="1" outlineLevel="1">
      <c r="A73" s="6"/>
      <c r="N73" s="6"/>
      <c r="P73" s="3"/>
      <c r="Q73" s="6" t="s">
        <v>76</v>
      </c>
      <c r="R73" s="6"/>
      <c r="S73" s="6"/>
      <c r="T73" s="6"/>
      <c r="U73" s="6"/>
      <c r="V73" s="6"/>
      <c r="W73" s="20">
        <f t="shared" ref="W73:AB73" ca="1" si="84">IF($D$2=FALSE,"-",IF(W$13="","",IF(W15=0,#N/A,W46/W15)))</f>
        <v>9.3524941586058688E-2</v>
      </c>
      <c r="X73" s="20">
        <f t="shared" ca="1" si="84"/>
        <v>8.9857863184143044E-2</v>
      </c>
      <c r="Y73" s="20">
        <f t="shared" ca="1" si="84"/>
        <v>0.10378607161370683</v>
      </c>
      <c r="Z73" s="20">
        <f t="shared" ca="1" si="84"/>
        <v>0.11287897728729476</v>
      </c>
      <c r="AA73" s="20">
        <f t="shared" ca="1" si="84"/>
        <v>0.11547396434589065</v>
      </c>
      <c r="AB73" s="20">
        <f t="shared" ca="1" si="84"/>
        <v>0.11781039163352337</v>
      </c>
      <c r="AC73" s="257"/>
      <c r="AD73" s="20" t="e">
        <f ca="1">IF($D$2=FALSE,"-",IF(AD$13="","",IF(AD15=0,#N/A,AD46/AD15)))</f>
        <v>#N/A</v>
      </c>
      <c r="AE73" s="20"/>
      <c r="AF73" s="20">
        <f t="shared" ref="AF73:BI73" ca="1" si="85">IF($D$2=FALSE,"-",IF(AF$13="","",IF(AF15=0,#N/A,AF46/AF15)))</f>
        <v>9.3524941586058688E-2</v>
      </c>
      <c r="AG73" s="138">
        <f t="shared" ca="1" si="85"/>
        <v>8.9857863184143044E-2</v>
      </c>
      <c r="AH73" s="20">
        <f t="shared" ca="1" si="85"/>
        <v>0.10378607161370683</v>
      </c>
      <c r="AI73" s="20">
        <f t="shared" ca="1" si="85"/>
        <v>0.11287897728729476</v>
      </c>
      <c r="AJ73" s="20">
        <f t="shared" ca="1" si="85"/>
        <v>0.11547396434589065</v>
      </c>
      <c r="AK73" s="20">
        <f t="shared" ca="1" si="85"/>
        <v>0.11781039163352337</v>
      </c>
      <c r="AL73" s="20" t="str">
        <f t="shared" ca="1" si="85"/>
        <v/>
      </c>
      <c r="AM73" s="20" t="str">
        <f t="shared" ca="1" si="85"/>
        <v/>
      </c>
      <c r="AN73" s="20" t="str">
        <f t="shared" ca="1" si="85"/>
        <v/>
      </c>
      <c r="AO73" s="20" t="str">
        <f t="shared" ca="1" si="85"/>
        <v/>
      </c>
      <c r="AP73" s="20" t="str">
        <f t="shared" ca="1" si="85"/>
        <v/>
      </c>
      <c r="AQ73" s="20" t="str">
        <f t="shared" ca="1" si="85"/>
        <v/>
      </c>
      <c r="AR73" s="20" t="str">
        <f t="shared" ca="1" si="85"/>
        <v/>
      </c>
      <c r="AS73" s="20" t="str">
        <f t="shared" ca="1" si="85"/>
        <v/>
      </c>
      <c r="AT73" s="20" t="str">
        <f t="shared" ca="1" si="85"/>
        <v/>
      </c>
      <c r="AU73" s="20" t="str">
        <f t="shared" ca="1" si="85"/>
        <v/>
      </c>
      <c r="AV73" s="20" t="str">
        <f t="shared" ca="1" si="85"/>
        <v/>
      </c>
      <c r="AW73" s="20" t="str">
        <f t="shared" ca="1" si="85"/>
        <v/>
      </c>
      <c r="AX73" s="20" t="str">
        <f t="shared" ca="1" si="85"/>
        <v/>
      </c>
      <c r="AY73" s="20" t="str">
        <f t="shared" ca="1" si="85"/>
        <v/>
      </c>
      <c r="AZ73" s="20" t="str">
        <f t="shared" ca="1" si="85"/>
        <v/>
      </c>
      <c r="BA73" s="20" t="str">
        <f t="shared" ca="1" si="85"/>
        <v/>
      </c>
      <c r="BB73" s="20" t="str">
        <f t="shared" ca="1" si="85"/>
        <v/>
      </c>
      <c r="BC73" s="20" t="str">
        <f t="shared" ca="1" si="85"/>
        <v/>
      </c>
      <c r="BD73" s="20" t="str">
        <f t="shared" ca="1" si="85"/>
        <v/>
      </c>
      <c r="BE73" s="20" t="str">
        <f t="shared" ca="1" si="85"/>
        <v/>
      </c>
      <c r="BF73" s="20" t="str">
        <f t="shared" ca="1" si="85"/>
        <v/>
      </c>
      <c r="BG73" s="20" t="str">
        <f t="shared" ca="1" si="85"/>
        <v/>
      </c>
      <c r="BH73" s="20" t="str">
        <f t="shared" ca="1" si="85"/>
        <v/>
      </c>
      <c r="BI73" s="20" t="str">
        <f t="shared" ca="1" si="85"/>
        <v/>
      </c>
      <c r="BK73" s="105"/>
      <c r="BL73" s="105"/>
      <c r="BM73" s="105"/>
      <c r="BN73" s="105"/>
      <c r="BO73" s="105"/>
      <c r="BP73" s="105"/>
    </row>
    <row r="74" spans="1:68" ht="15" customHeight="1" outlineLevel="1">
      <c r="A74" s="6"/>
      <c r="N74" s="6"/>
      <c r="P74" s="6"/>
      <c r="Q74" s="6"/>
      <c r="R74" s="6"/>
      <c r="S74" s="6"/>
      <c r="T74" s="6"/>
      <c r="U74" s="6"/>
      <c r="V74" s="6"/>
      <c r="W74" s="6"/>
      <c r="X74" s="6"/>
      <c r="Y74" s="6"/>
      <c r="Z74" s="6"/>
      <c r="AA74" s="6"/>
      <c r="AB74" s="6"/>
      <c r="AC74" s="6"/>
      <c r="AE74" s="6"/>
      <c r="AF74" s="18"/>
      <c r="AG74" s="19"/>
      <c r="AH74" s="19"/>
      <c r="AI74" s="19"/>
      <c r="AJ74" s="19"/>
      <c r="AK74" s="19"/>
      <c r="AL74" s="19"/>
      <c r="AM74" s="19"/>
      <c r="AN74" s="19"/>
      <c r="AO74" s="19"/>
      <c r="AP74" s="19"/>
      <c r="AQ74" s="19"/>
      <c r="AR74" s="19"/>
      <c r="AS74" s="19"/>
      <c r="AT74" s="19"/>
      <c r="AU74" s="19"/>
      <c r="AV74" s="19"/>
      <c r="AW74" s="19"/>
      <c r="AX74" s="19"/>
      <c r="AY74" s="19"/>
      <c r="AZ74" s="19"/>
      <c r="BA74" s="19"/>
      <c r="BB74" s="19"/>
      <c r="BC74" s="19"/>
      <c r="BD74" s="19"/>
      <c r="BE74" s="19"/>
      <c r="BF74" s="19"/>
      <c r="BG74" s="19"/>
      <c r="BH74" s="19"/>
      <c r="BI74" s="19"/>
      <c r="BK74" s="105"/>
      <c r="BL74" s="105"/>
      <c r="BM74" s="105"/>
      <c r="BN74" s="105"/>
      <c r="BO74" s="105"/>
      <c r="BP74" s="105"/>
    </row>
    <row r="75" spans="1:68" ht="15" customHeight="1" outlineLevel="1">
      <c r="A75" s="6"/>
      <c r="N75" s="6"/>
      <c r="P75" s="3"/>
      <c r="Q75" s="6" t="s">
        <v>77</v>
      </c>
      <c r="R75" s="6"/>
      <c r="S75" s="6"/>
      <c r="T75" s="6"/>
      <c r="U75" s="6"/>
      <c r="V75" s="6"/>
      <c r="W75" s="20" t="e">
        <f t="shared" ref="W75:AB77" ca="1" si="86">IF($D$2=FALSE,"-",IF(W$13="","",OFFSET($AF75,0,W$8)))</f>
        <v>#N/A</v>
      </c>
      <c r="X75" s="20">
        <f t="shared" ca="1" si="86"/>
        <v>0.13102104734622183</v>
      </c>
      <c r="Y75" s="20">
        <f t="shared" ca="1" si="86"/>
        <v>0.13817035008835216</v>
      </c>
      <c r="Z75" s="20">
        <f t="shared" ca="1" si="86"/>
        <v>0.12911640684996686</v>
      </c>
      <c r="AA75" s="20">
        <f t="shared" ca="1" si="86"/>
        <v>0.13058273099977546</v>
      </c>
      <c r="AB75" s="20">
        <f t="shared" ca="1" si="86"/>
        <v>0.12574272483996679</v>
      </c>
      <c r="AC75" s="257"/>
      <c r="AD75" s="20" t="e">
        <f ca="1">IF($D$2=FALSE,"-",IF(AD$13="","",OFFSET($AF75,0,$F$4-AD$7-1)+OFFSET($AF75,0,$F$4-1)-OFFSET($AF75,0,$F$4-$E$5-1)))</f>
        <v>#N/A</v>
      </c>
      <c r="AE75" s="6"/>
      <c r="AF75" s="20" t="e">
        <f ca="1">IF($D$2=FALSE,"-",IF(AF$13="","",IF((AF224+SUM(AF228:AF230))=0,#N/A,(SUM(OFFSET(AF23,0,-AF$7+1,1,AF$7))+SUM(OFFSET(AF33,0,-AF$7+1,1,AF$7))-SUM(OFFSET(AF34,0,-AF$7+1,1,AF$7))-SUM(OFFSET(AF36,0,-AF$7+1,1,AF$7)))/AF$6/(AF224+SUM(AF228:AF230)))))</f>
        <v>#N/A</v>
      </c>
      <c r="AG75" s="138">
        <f t="shared" ref="AG75:BI75" ca="1" si="87">IF($D$2=FALSE,"-",IF(AG$13="","",IF((AG224+SUM(AG228:AG230))=0,#N/A,(SUM(OFFSET(AG23,0,-AG$7+1,1,AG$7))+SUM(OFFSET(AG33,0,-AG$7+1,1,AG$7))-SUM(OFFSET(AG34,0,-AG$7+1,1,AG$7))-SUM(OFFSET(AG36,0,-AG$7+1,1,AG$7)))/AG$6/(AG224+SUM(AG228:AG230)))))</f>
        <v>0.13102104734622183</v>
      </c>
      <c r="AH75" s="20">
        <f t="shared" ca="1" si="87"/>
        <v>0.13817035008835216</v>
      </c>
      <c r="AI75" s="20">
        <f t="shared" ca="1" si="87"/>
        <v>0.12911640684996686</v>
      </c>
      <c r="AJ75" s="20">
        <f t="shared" ca="1" si="87"/>
        <v>0.13058273099977546</v>
      </c>
      <c r="AK75" s="20">
        <f t="shared" ca="1" si="87"/>
        <v>0.12574272483996679</v>
      </c>
      <c r="AL75" s="20" t="str">
        <f t="shared" ca="1" si="87"/>
        <v/>
      </c>
      <c r="AM75" s="20" t="str">
        <f t="shared" ca="1" si="87"/>
        <v/>
      </c>
      <c r="AN75" s="20" t="str">
        <f t="shared" ca="1" si="87"/>
        <v/>
      </c>
      <c r="AO75" s="20" t="str">
        <f t="shared" ca="1" si="87"/>
        <v/>
      </c>
      <c r="AP75" s="20" t="str">
        <f t="shared" ca="1" si="87"/>
        <v/>
      </c>
      <c r="AQ75" s="20" t="str">
        <f t="shared" ca="1" si="87"/>
        <v/>
      </c>
      <c r="AR75" s="20" t="str">
        <f t="shared" ca="1" si="87"/>
        <v/>
      </c>
      <c r="AS75" s="20" t="str">
        <f t="shared" ca="1" si="87"/>
        <v/>
      </c>
      <c r="AT75" s="20" t="str">
        <f t="shared" ca="1" si="87"/>
        <v/>
      </c>
      <c r="AU75" s="20" t="str">
        <f t="shared" ca="1" si="87"/>
        <v/>
      </c>
      <c r="AV75" s="20" t="str">
        <f t="shared" ca="1" si="87"/>
        <v/>
      </c>
      <c r="AW75" s="20" t="str">
        <f t="shared" ca="1" si="87"/>
        <v/>
      </c>
      <c r="AX75" s="20" t="str">
        <f t="shared" ca="1" si="87"/>
        <v/>
      </c>
      <c r="AY75" s="20" t="str">
        <f t="shared" ca="1" si="87"/>
        <v/>
      </c>
      <c r="AZ75" s="20" t="str">
        <f t="shared" ca="1" si="87"/>
        <v/>
      </c>
      <c r="BA75" s="20" t="str">
        <f t="shared" ca="1" si="87"/>
        <v/>
      </c>
      <c r="BB75" s="20" t="str">
        <f t="shared" ca="1" si="87"/>
        <v/>
      </c>
      <c r="BC75" s="20" t="str">
        <f t="shared" ca="1" si="87"/>
        <v/>
      </c>
      <c r="BD75" s="20" t="str">
        <f t="shared" ca="1" si="87"/>
        <v/>
      </c>
      <c r="BE75" s="20" t="str">
        <f t="shared" ca="1" si="87"/>
        <v/>
      </c>
      <c r="BF75" s="20" t="str">
        <f t="shared" ca="1" si="87"/>
        <v/>
      </c>
      <c r="BG75" s="20" t="str">
        <f t="shared" ca="1" si="87"/>
        <v/>
      </c>
      <c r="BH75" s="20" t="str">
        <f t="shared" ca="1" si="87"/>
        <v/>
      </c>
      <c r="BI75" s="20" t="str">
        <f t="shared" ca="1" si="87"/>
        <v/>
      </c>
      <c r="BK75" s="105"/>
      <c r="BL75" s="105"/>
      <c r="BM75" s="105"/>
      <c r="BN75" s="105"/>
      <c r="BO75" s="105"/>
      <c r="BP75" s="105"/>
    </row>
    <row r="76" spans="1:68" ht="15" customHeight="1" outlineLevel="1">
      <c r="A76" s="6"/>
      <c r="N76" s="6"/>
      <c r="P76" s="3"/>
      <c r="Q76" s="6" t="s">
        <v>78</v>
      </c>
      <c r="R76" s="6"/>
      <c r="S76" s="6"/>
      <c r="T76" s="6"/>
      <c r="U76" s="6"/>
      <c r="V76" s="6"/>
      <c r="W76" s="20" t="e">
        <f t="shared" ca="1" si="86"/>
        <v>#N/A</v>
      </c>
      <c r="X76" s="20">
        <f t="shared" ca="1" si="86"/>
        <v>0.16654391590361284</v>
      </c>
      <c r="Y76" s="20">
        <f t="shared" ca="1" si="86"/>
        <v>0.17186672894452371</v>
      </c>
      <c r="Z76" s="20">
        <f t="shared" ca="1" si="86"/>
        <v>0.16300599039731326</v>
      </c>
      <c r="AA76" s="20">
        <f t="shared" ca="1" si="86"/>
        <v>0.16011770231703901</v>
      </c>
      <c r="AB76" s="20">
        <f t="shared" ca="1" si="86"/>
        <v>0.1459748173128726</v>
      </c>
      <c r="AC76" s="257"/>
      <c r="AD76" s="20" t="e">
        <f ca="1">IF($D$2=FALSE,"-",IF(AD$13="","",OFFSET($AF76,0,$F$4-AD$7-1)+OFFSET($AF76,0,$F$4-1)-OFFSET($AF76,0,$F$4-$E$5-1)))</f>
        <v>#N/A</v>
      </c>
      <c r="AE76" s="6"/>
      <c r="AF76" s="20" t="e">
        <f ca="1">IF($D$2=FALSE,"-",IF(AF$13="","",IF(AF230=0,#N/A,SUM(OFFSET(AF40,0,-AF$7+1,1,AF$7))/AF$6/AF230)))</f>
        <v>#N/A</v>
      </c>
      <c r="AG76" s="138">
        <f t="shared" ref="AG76:BI76" ca="1" si="88">IF($D$2=FALSE,"-",IF(AG$13="","",IF(AG230=0,#N/A,SUM(OFFSET(AG40,0,-AG$7+1,1,AG$7))/AG$6/AG230)))</f>
        <v>0.16654391590361284</v>
      </c>
      <c r="AH76" s="20">
        <f t="shared" ca="1" si="88"/>
        <v>0.17186672894452371</v>
      </c>
      <c r="AI76" s="20">
        <f t="shared" ca="1" si="88"/>
        <v>0.16300599039731326</v>
      </c>
      <c r="AJ76" s="20">
        <f t="shared" ca="1" si="88"/>
        <v>0.16011770231703901</v>
      </c>
      <c r="AK76" s="20">
        <f t="shared" ca="1" si="88"/>
        <v>0.1459748173128726</v>
      </c>
      <c r="AL76" s="20" t="str">
        <f t="shared" ca="1" si="88"/>
        <v/>
      </c>
      <c r="AM76" s="20" t="str">
        <f t="shared" ca="1" si="88"/>
        <v/>
      </c>
      <c r="AN76" s="20" t="str">
        <f t="shared" ca="1" si="88"/>
        <v/>
      </c>
      <c r="AO76" s="20" t="str">
        <f t="shared" ca="1" si="88"/>
        <v/>
      </c>
      <c r="AP76" s="20" t="str">
        <f t="shared" ca="1" si="88"/>
        <v/>
      </c>
      <c r="AQ76" s="20" t="str">
        <f t="shared" ca="1" si="88"/>
        <v/>
      </c>
      <c r="AR76" s="20" t="str">
        <f t="shared" ca="1" si="88"/>
        <v/>
      </c>
      <c r="AS76" s="20" t="str">
        <f t="shared" ca="1" si="88"/>
        <v/>
      </c>
      <c r="AT76" s="20" t="str">
        <f t="shared" ca="1" si="88"/>
        <v/>
      </c>
      <c r="AU76" s="20" t="str">
        <f t="shared" ca="1" si="88"/>
        <v/>
      </c>
      <c r="AV76" s="20" t="str">
        <f t="shared" ca="1" si="88"/>
        <v/>
      </c>
      <c r="AW76" s="20" t="str">
        <f t="shared" ca="1" si="88"/>
        <v/>
      </c>
      <c r="AX76" s="20" t="str">
        <f t="shared" ca="1" si="88"/>
        <v/>
      </c>
      <c r="AY76" s="20" t="str">
        <f t="shared" ca="1" si="88"/>
        <v/>
      </c>
      <c r="AZ76" s="20" t="str">
        <f t="shared" ca="1" si="88"/>
        <v/>
      </c>
      <c r="BA76" s="20" t="str">
        <f t="shared" ca="1" si="88"/>
        <v/>
      </c>
      <c r="BB76" s="20" t="str">
        <f t="shared" ca="1" si="88"/>
        <v/>
      </c>
      <c r="BC76" s="20" t="str">
        <f t="shared" ca="1" si="88"/>
        <v/>
      </c>
      <c r="BD76" s="20" t="str">
        <f t="shared" ca="1" si="88"/>
        <v/>
      </c>
      <c r="BE76" s="20" t="str">
        <f t="shared" ca="1" si="88"/>
        <v/>
      </c>
      <c r="BF76" s="20" t="str">
        <f t="shared" ca="1" si="88"/>
        <v/>
      </c>
      <c r="BG76" s="20" t="str">
        <f t="shared" ca="1" si="88"/>
        <v/>
      </c>
      <c r="BH76" s="20" t="str">
        <f t="shared" ca="1" si="88"/>
        <v/>
      </c>
      <c r="BI76" s="20" t="str">
        <f t="shared" ca="1" si="88"/>
        <v/>
      </c>
      <c r="BK76" s="105"/>
      <c r="BL76" s="105"/>
      <c r="BM76" s="105"/>
      <c r="BN76" s="105"/>
      <c r="BO76" s="105"/>
      <c r="BP76" s="105"/>
    </row>
    <row r="77" spans="1:68" ht="15" customHeight="1" outlineLevel="1">
      <c r="A77" s="6"/>
      <c r="N77" s="6"/>
      <c r="P77" s="3"/>
      <c r="Q77" s="6" t="s">
        <v>79</v>
      </c>
      <c r="R77" s="6"/>
      <c r="S77" s="6"/>
      <c r="T77" s="6"/>
      <c r="U77" s="6"/>
      <c r="V77" s="6"/>
      <c r="W77" s="20" t="e">
        <f t="shared" ca="1" si="86"/>
        <v>#N/A</v>
      </c>
      <c r="X77" s="20">
        <f t="shared" ca="1" si="86"/>
        <v>3.51856682546711E-2</v>
      </c>
      <c r="Y77" s="20">
        <f t="shared" ca="1" si="86"/>
        <v>4.7107751373136907E-2</v>
      </c>
      <c r="Z77" s="20">
        <f t="shared" ca="1" si="86"/>
        <v>5.0637968051787476E-2</v>
      </c>
      <c r="AA77" s="20">
        <f t="shared" ca="1" si="86"/>
        <v>5.5187499652343167E-2</v>
      </c>
      <c r="AB77" s="20">
        <f t="shared" ca="1" si="86"/>
        <v>5.6318104394220442E-2</v>
      </c>
      <c r="AC77" s="257"/>
      <c r="AD77" s="20" t="e">
        <f ca="1">IF($D$2=FALSE,"-",IF(AD$13="","",OFFSET($AF77,0,$F$4-AD$7-1)+OFFSET($AF77,0,$F$4-1)-OFFSET($AF77,0,$F$4-$E$5-1)))</f>
        <v>#N/A</v>
      </c>
      <c r="AE77" s="6"/>
      <c r="AF77" s="20" t="e">
        <f ca="1">IF($D$2=FALSE,"-",IF(AF$13="","",IF(AF209=0,#N/A,SUM(OFFSET(AF40,0,-AF$7+1,1,AF$7))/AF$6/AF209)))</f>
        <v>#N/A</v>
      </c>
      <c r="AG77" s="138">
        <f t="shared" ref="AG77:BI77" ca="1" si="89">IF($D$2=FALSE,"-",IF(AG$13="","",IF(AG209=0,#N/A,SUM(OFFSET(AG40,0,-AG$7+1,1,AG$7))/AG$6/AG209)))</f>
        <v>3.51856682546711E-2</v>
      </c>
      <c r="AH77" s="20">
        <f t="shared" ca="1" si="89"/>
        <v>4.7107751373136907E-2</v>
      </c>
      <c r="AI77" s="20">
        <f t="shared" ca="1" si="89"/>
        <v>5.0637968051787476E-2</v>
      </c>
      <c r="AJ77" s="20">
        <f t="shared" ca="1" si="89"/>
        <v>5.5187499652343167E-2</v>
      </c>
      <c r="AK77" s="20">
        <f t="shared" ca="1" si="89"/>
        <v>5.6318104394220442E-2</v>
      </c>
      <c r="AL77" s="20" t="str">
        <f t="shared" ca="1" si="89"/>
        <v/>
      </c>
      <c r="AM77" s="20" t="str">
        <f t="shared" ca="1" si="89"/>
        <v/>
      </c>
      <c r="AN77" s="20" t="str">
        <f t="shared" ca="1" si="89"/>
        <v/>
      </c>
      <c r="AO77" s="20" t="str">
        <f t="shared" ca="1" si="89"/>
        <v/>
      </c>
      <c r="AP77" s="20" t="str">
        <f t="shared" ca="1" si="89"/>
        <v/>
      </c>
      <c r="AQ77" s="20" t="str">
        <f t="shared" ca="1" si="89"/>
        <v/>
      </c>
      <c r="AR77" s="20" t="str">
        <f t="shared" ca="1" si="89"/>
        <v/>
      </c>
      <c r="AS77" s="20" t="str">
        <f t="shared" ca="1" si="89"/>
        <v/>
      </c>
      <c r="AT77" s="20" t="str">
        <f t="shared" ca="1" si="89"/>
        <v/>
      </c>
      <c r="AU77" s="20" t="str">
        <f t="shared" ca="1" si="89"/>
        <v/>
      </c>
      <c r="AV77" s="20" t="str">
        <f t="shared" ca="1" si="89"/>
        <v/>
      </c>
      <c r="AW77" s="20" t="str">
        <f t="shared" ca="1" si="89"/>
        <v/>
      </c>
      <c r="AX77" s="20" t="str">
        <f t="shared" ca="1" si="89"/>
        <v/>
      </c>
      <c r="AY77" s="20" t="str">
        <f t="shared" ca="1" si="89"/>
        <v/>
      </c>
      <c r="AZ77" s="20" t="str">
        <f t="shared" ca="1" si="89"/>
        <v/>
      </c>
      <c r="BA77" s="20" t="str">
        <f t="shared" ca="1" si="89"/>
        <v/>
      </c>
      <c r="BB77" s="20" t="str">
        <f t="shared" ca="1" si="89"/>
        <v/>
      </c>
      <c r="BC77" s="20" t="str">
        <f t="shared" ca="1" si="89"/>
        <v/>
      </c>
      <c r="BD77" s="20" t="str">
        <f t="shared" ca="1" si="89"/>
        <v/>
      </c>
      <c r="BE77" s="20" t="str">
        <f t="shared" ca="1" si="89"/>
        <v/>
      </c>
      <c r="BF77" s="20" t="str">
        <f t="shared" ca="1" si="89"/>
        <v/>
      </c>
      <c r="BG77" s="20" t="str">
        <f t="shared" ca="1" si="89"/>
        <v/>
      </c>
      <c r="BH77" s="20" t="str">
        <f t="shared" ca="1" si="89"/>
        <v/>
      </c>
      <c r="BI77" s="20" t="str">
        <f t="shared" ca="1" si="89"/>
        <v/>
      </c>
      <c r="BK77" s="105"/>
      <c r="BL77" s="105"/>
      <c r="BM77" s="105"/>
      <c r="BN77" s="105"/>
      <c r="BO77" s="105"/>
      <c r="BP77" s="105"/>
    </row>
    <row r="78" spans="1:68" ht="15" customHeight="1" outlineLevel="1">
      <c r="A78" s="6"/>
      <c r="N78" s="6"/>
      <c r="P78" s="6"/>
      <c r="Q78" s="6"/>
      <c r="R78" s="6"/>
      <c r="S78" s="6"/>
      <c r="T78" s="6"/>
      <c r="U78" s="6"/>
      <c r="V78" s="6"/>
      <c r="W78" s="6"/>
      <c r="X78" s="6"/>
      <c r="Y78" s="6"/>
      <c r="Z78" s="6"/>
      <c r="AA78" s="6"/>
      <c r="AB78" s="6"/>
      <c r="AC78" s="6"/>
      <c r="AE78" s="6"/>
      <c r="AF78" s="18"/>
      <c r="AG78" s="19"/>
      <c r="AH78" s="19"/>
      <c r="AI78" s="19"/>
      <c r="AJ78" s="19"/>
      <c r="AK78" s="19"/>
      <c r="AL78" s="19"/>
      <c r="AM78" s="19"/>
      <c r="AN78" s="19"/>
      <c r="AO78" s="19"/>
      <c r="AP78" s="19"/>
      <c r="AQ78" s="19"/>
      <c r="AR78" s="19"/>
      <c r="AS78" s="19"/>
      <c r="AT78" s="19"/>
      <c r="AU78" s="19"/>
      <c r="AV78" s="19"/>
      <c r="AW78" s="19"/>
      <c r="AX78" s="19"/>
      <c r="AY78" s="19"/>
      <c r="AZ78" s="19"/>
      <c r="BA78" s="19"/>
      <c r="BB78" s="19"/>
      <c r="BC78" s="19"/>
      <c r="BD78" s="19"/>
      <c r="BE78" s="19"/>
      <c r="BF78" s="19"/>
      <c r="BG78" s="19"/>
      <c r="BH78" s="19"/>
      <c r="BI78" s="19"/>
      <c r="BK78" s="105"/>
      <c r="BL78" s="105"/>
      <c r="BM78" s="105"/>
      <c r="BN78" s="105"/>
      <c r="BO78" s="105"/>
      <c r="BP78" s="105"/>
    </row>
    <row r="79" spans="1:68" ht="15" customHeight="1" outlineLevel="1">
      <c r="A79" s="111"/>
      <c r="B79" s="111"/>
      <c r="C79" s="111"/>
      <c r="D79" s="111"/>
      <c r="E79" s="111"/>
      <c r="F79" s="111"/>
      <c r="G79" s="111"/>
      <c r="H79" s="111"/>
      <c r="I79" s="111"/>
      <c r="J79" s="111"/>
      <c r="K79" s="111"/>
      <c r="L79" s="111"/>
      <c r="M79" s="111"/>
      <c r="N79" s="111"/>
      <c r="O79" s="111"/>
      <c r="P79" s="222"/>
      <c r="Q79" s="6" t="s">
        <v>33</v>
      </c>
      <c r="R79" s="6"/>
      <c r="S79" s="6"/>
      <c r="T79" s="6"/>
      <c r="U79" s="6"/>
      <c r="V79" s="17"/>
      <c r="W79" s="20">
        <f t="shared" ref="W79:AB79" ca="1" si="90">IF($D$2=FALSE,"-",IF(W$13="","",IF(W$11="ACT.",IF(W35=0,#N/A,W36/W35),W110)))</f>
        <v>0.42965204236006033</v>
      </c>
      <c r="X79" s="20">
        <f t="shared" ca="1" si="90"/>
        <v>0.40000650000000004</v>
      </c>
      <c r="Y79" s="20">
        <f t="shared" ca="1" si="90"/>
        <v>0.40000650000000004</v>
      </c>
      <c r="Z79" s="20">
        <f t="shared" ca="1" si="90"/>
        <v>0.4000065000000001</v>
      </c>
      <c r="AA79" s="20">
        <f t="shared" ca="1" si="90"/>
        <v>0.40000650000000004</v>
      </c>
      <c r="AB79" s="20">
        <f t="shared" ca="1" si="90"/>
        <v>0.40000649999999999</v>
      </c>
      <c r="AC79" s="257"/>
      <c r="AD79" s="259" t="e">
        <f ca="1">IF($D$2=FALSE,"-",IF(AD$13="","",IF($E$5=AD$7,IF(AD35=0,#N/A,AD36/AD35),AD110)))</f>
        <v>#N/A</v>
      </c>
      <c r="AE79" s="17"/>
      <c r="AF79" s="285">
        <f t="shared" ref="AF79:BI79" ca="1" si="91">IF($D$2=FALSE,"-",IF(AF$13="","",IF(AF$4&lt;=0,IF(AF35=0,#N/A,AF36/AF35),AF110)))</f>
        <v>0.42965204236006033</v>
      </c>
      <c r="AG79" s="286">
        <f t="shared" ca="1" si="91"/>
        <v>0.40000650000000004</v>
      </c>
      <c r="AH79" s="286">
        <f t="shared" ca="1" si="91"/>
        <v>0.40000650000000004</v>
      </c>
      <c r="AI79" s="286">
        <f t="shared" ca="1" si="91"/>
        <v>0.40000650000000004</v>
      </c>
      <c r="AJ79" s="286">
        <f t="shared" ca="1" si="91"/>
        <v>0.40000650000000004</v>
      </c>
      <c r="AK79" s="286">
        <f t="shared" ca="1" si="91"/>
        <v>0.40000650000000004</v>
      </c>
      <c r="AL79" s="286" t="str">
        <f t="shared" ca="1" si="91"/>
        <v/>
      </c>
      <c r="AM79" s="286" t="str">
        <f t="shared" ca="1" si="91"/>
        <v/>
      </c>
      <c r="AN79" s="286" t="str">
        <f t="shared" ca="1" si="91"/>
        <v/>
      </c>
      <c r="AO79" s="286" t="str">
        <f t="shared" ca="1" si="91"/>
        <v/>
      </c>
      <c r="AP79" s="286" t="str">
        <f t="shared" ca="1" si="91"/>
        <v/>
      </c>
      <c r="AQ79" s="286" t="str">
        <f t="shared" ca="1" si="91"/>
        <v/>
      </c>
      <c r="AR79" s="286" t="str">
        <f t="shared" ca="1" si="91"/>
        <v/>
      </c>
      <c r="AS79" s="286" t="str">
        <f t="shared" ca="1" si="91"/>
        <v/>
      </c>
      <c r="AT79" s="286" t="str">
        <f t="shared" ca="1" si="91"/>
        <v/>
      </c>
      <c r="AU79" s="286" t="str">
        <f t="shared" ca="1" si="91"/>
        <v/>
      </c>
      <c r="AV79" s="286" t="str">
        <f t="shared" ca="1" si="91"/>
        <v/>
      </c>
      <c r="AW79" s="286" t="str">
        <f t="shared" ca="1" si="91"/>
        <v/>
      </c>
      <c r="AX79" s="286" t="str">
        <f t="shared" ca="1" si="91"/>
        <v/>
      </c>
      <c r="AY79" s="286" t="str">
        <f t="shared" ca="1" si="91"/>
        <v/>
      </c>
      <c r="AZ79" s="286" t="str">
        <f t="shared" ca="1" si="91"/>
        <v/>
      </c>
      <c r="BA79" s="286" t="str">
        <f t="shared" ca="1" si="91"/>
        <v/>
      </c>
      <c r="BB79" s="286" t="str">
        <f t="shared" ca="1" si="91"/>
        <v/>
      </c>
      <c r="BC79" s="286" t="str">
        <f t="shared" ca="1" si="91"/>
        <v/>
      </c>
      <c r="BD79" s="286" t="str">
        <f t="shared" ca="1" si="91"/>
        <v/>
      </c>
      <c r="BE79" s="286" t="str">
        <f t="shared" ca="1" si="91"/>
        <v/>
      </c>
      <c r="BF79" s="286" t="str">
        <f t="shared" ca="1" si="91"/>
        <v/>
      </c>
      <c r="BG79" s="286" t="str">
        <f t="shared" ca="1" si="91"/>
        <v/>
      </c>
      <c r="BH79" s="286" t="str">
        <f t="shared" ca="1" si="91"/>
        <v/>
      </c>
      <c r="BI79" s="286" t="str">
        <f t="shared" ca="1" si="91"/>
        <v/>
      </c>
      <c r="BK79" s="105"/>
      <c r="BL79" s="105"/>
      <c r="BM79" s="105"/>
      <c r="BN79" s="105"/>
      <c r="BO79" s="105"/>
      <c r="BP79" s="105"/>
    </row>
    <row r="80" spans="1:68" ht="15" customHeight="1" outlineLevel="1">
      <c r="A80" s="111"/>
      <c r="B80" s="111"/>
      <c r="C80" s="111"/>
      <c r="D80" s="111"/>
      <c r="E80" s="111"/>
      <c r="F80" s="111"/>
      <c r="G80" s="111"/>
      <c r="H80" s="111"/>
      <c r="I80" s="111"/>
      <c r="J80" s="111"/>
      <c r="K80" s="111"/>
      <c r="L80" s="111"/>
      <c r="M80" s="111"/>
      <c r="N80" s="111"/>
      <c r="O80" s="111"/>
      <c r="P80" s="222"/>
      <c r="Q80" s="22"/>
      <c r="R80" s="22"/>
      <c r="S80" s="22"/>
      <c r="T80" s="22"/>
      <c r="U80" s="22"/>
      <c r="V80" s="17"/>
      <c r="W80" s="149"/>
      <c r="X80" s="149"/>
      <c r="Y80" s="149"/>
      <c r="Z80" s="149"/>
      <c r="AA80" s="149"/>
      <c r="AB80" s="149"/>
      <c r="AC80" s="17"/>
      <c r="AD80" s="151"/>
      <c r="AE80" s="17"/>
      <c r="AF80" s="150"/>
      <c r="AG80" s="151"/>
      <c r="AH80" s="151"/>
      <c r="AI80" s="151"/>
      <c r="AJ80" s="151"/>
      <c r="AK80" s="151"/>
      <c r="AL80" s="151"/>
      <c r="AM80" s="151"/>
      <c r="AN80" s="151"/>
      <c r="AO80" s="151"/>
      <c r="AP80" s="151"/>
      <c r="AQ80" s="151"/>
      <c r="AR80" s="151"/>
      <c r="AS80" s="151"/>
      <c r="AT80" s="151"/>
      <c r="AU80" s="151"/>
      <c r="AV80" s="151"/>
      <c r="AW80" s="151"/>
      <c r="AX80" s="151"/>
      <c r="AY80" s="151"/>
      <c r="AZ80" s="151"/>
      <c r="BA80" s="151"/>
      <c r="BB80" s="151"/>
      <c r="BC80" s="151"/>
      <c r="BD80" s="151"/>
      <c r="BE80" s="151"/>
      <c r="BF80" s="151"/>
      <c r="BG80" s="151"/>
      <c r="BH80" s="151"/>
      <c r="BI80" s="151"/>
      <c r="BK80" s="239"/>
      <c r="BL80" s="239"/>
      <c r="BM80" s="239"/>
      <c r="BN80" s="239"/>
      <c r="BO80" s="239"/>
      <c r="BP80" s="239"/>
    </row>
    <row r="81" spans="1:68" ht="15" customHeight="1" outlineLevel="1">
      <c r="A81" s="111"/>
      <c r="B81" s="111"/>
      <c r="C81" s="111"/>
      <c r="D81" s="111"/>
      <c r="E81" s="111"/>
      <c r="F81" s="111"/>
      <c r="G81" s="111"/>
      <c r="H81" s="111"/>
      <c r="I81" s="111"/>
      <c r="J81" s="111"/>
      <c r="K81" s="111"/>
      <c r="L81" s="111"/>
      <c r="M81" s="111"/>
      <c r="N81" s="111"/>
      <c r="O81" s="111"/>
      <c r="P81" s="222"/>
      <c r="Q81" s="69"/>
      <c r="R81" s="69"/>
      <c r="S81" s="69"/>
      <c r="T81" s="69"/>
      <c r="U81" s="69"/>
      <c r="V81" s="69"/>
      <c r="W81" s="69"/>
      <c r="X81" s="69"/>
      <c r="Y81" s="69"/>
      <c r="Z81" s="69"/>
      <c r="AA81" s="69"/>
      <c r="AB81" s="69"/>
      <c r="AC81" s="17"/>
      <c r="AD81" s="20"/>
      <c r="AE81" s="17"/>
      <c r="AF81" s="21"/>
      <c r="AG81" s="20"/>
      <c r="AH81" s="20"/>
      <c r="AI81" s="20"/>
      <c r="AJ81" s="20"/>
      <c r="AK81" s="20"/>
      <c r="AL81" s="20"/>
      <c r="AM81" s="20"/>
      <c r="AN81" s="20"/>
      <c r="AO81" s="20"/>
      <c r="AP81" s="20"/>
      <c r="AQ81" s="20"/>
      <c r="AR81" s="20"/>
      <c r="AS81" s="20"/>
      <c r="AT81" s="20"/>
      <c r="AU81" s="20"/>
      <c r="AV81" s="20"/>
      <c r="AW81" s="20"/>
      <c r="AX81" s="20"/>
      <c r="AY81" s="20"/>
      <c r="AZ81" s="20"/>
      <c r="BA81" s="20"/>
      <c r="BB81" s="20"/>
      <c r="BC81" s="20"/>
      <c r="BD81" s="20"/>
      <c r="BE81" s="20"/>
      <c r="BF81" s="20"/>
      <c r="BG81" s="20"/>
      <c r="BH81" s="20"/>
      <c r="BI81" s="20"/>
      <c r="BK81" s="239"/>
      <c r="BL81" s="239"/>
      <c r="BM81" s="239"/>
      <c r="BN81" s="239"/>
      <c r="BO81" s="239"/>
      <c r="BP81" s="239"/>
    </row>
    <row r="82" spans="1:68" ht="15" customHeight="1" outlineLevel="1">
      <c r="A82" s="6"/>
      <c r="N82" s="6"/>
      <c r="P82" s="6"/>
      <c r="Q82" s="68" t="s">
        <v>91</v>
      </c>
      <c r="R82" s="68"/>
      <c r="S82" s="68"/>
      <c r="T82" s="68"/>
      <c r="U82" s="68"/>
      <c r="V82" s="6"/>
      <c r="W82" s="26"/>
      <c r="X82" s="26"/>
      <c r="Y82" s="26"/>
      <c r="Z82" s="26"/>
      <c r="AA82" s="26"/>
      <c r="AB82" s="26"/>
      <c r="AC82" s="6"/>
      <c r="AD82" s="59"/>
      <c r="AE82" s="6"/>
      <c r="AF82" s="152"/>
      <c r="AG82" s="153"/>
      <c r="AH82" s="153"/>
      <c r="AI82" s="153"/>
      <c r="AJ82" s="153"/>
      <c r="AK82" s="153"/>
      <c r="AL82" s="153"/>
      <c r="AM82" s="153"/>
      <c r="AN82" s="153"/>
      <c r="AO82" s="153"/>
      <c r="AP82" s="153"/>
      <c r="AQ82" s="153"/>
      <c r="AR82" s="153"/>
      <c r="AS82" s="153"/>
      <c r="AT82" s="153"/>
      <c r="AU82" s="153"/>
      <c r="AV82" s="153"/>
      <c r="AW82" s="153"/>
      <c r="AX82" s="153"/>
      <c r="AY82" s="153"/>
      <c r="AZ82" s="153"/>
      <c r="BA82" s="153"/>
      <c r="BB82" s="153"/>
      <c r="BC82" s="153"/>
      <c r="BD82" s="153"/>
      <c r="BE82" s="153"/>
      <c r="BF82" s="153"/>
      <c r="BG82" s="153"/>
      <c r="BH82" s="153"/>
      <c r="BI82" s="153"/>
    </row>
    <row r="83" spans="1:68" ht="15" customHeight="1" outlineLevel="1">
      <c r="N83" s="3"/>
      <c r="P83" s="3"/>
      <c r="Q83" s="1" t="s">
        <v>41</v>
      </c>
      <c r="V83" s="3"/>
      <c r="W83" s="98">
        <f t="shared" ref="W83:AB85" ca="1" si="92">IF($D$2=FALSE,"-",IF(W$13="","",SUM(OFFSET($AF83,0,W$8,1,-$E$5))))</f>
        <v>5</v>
      </c>
      <c r="X83" s="98">
        <f t="shared" ca="1" si="92"/>
        <v>5</v>
      </c>
      <c r="Y83" s="98">
        <f t="shared" ca="1" si="92"/>
        <v>5</v>
      </c>
      <c r="Z83" s="98">
        <f t="shared" ca="1" si="92"/>
        <v>5</v>
      </c>
      <c r="AA83" s="98">
        <f t="shared" ca="1" si="92"/>
        <v>5</v>
      </c>
      <c r="AB83" s="98">
        <f t="shared" ca="1" si="92"/>
        <v>5</v>
      </c>
      <c r="AC83" s="257"/>
      <c r="AD83" s="98" t="e">
        <f ca="1">IF($D$2=FALSE,"-",IF(AD$13="","",SUM(OFFSET($AF83,0,$F$4-AD$7-1,1,-$E$5))+SUM(OFFSET($AF83,0,$F$4-1,1,-AD$7))-SUM(OFFSET($AF83,0,$F$4-$E$5-1,1,-AD$7))))</f>
        <v>#N/A</v>
      </c>
      <c r="AF83" s="97">
        <f t="shared" ref="AF83:BI83" ca="1" si="93">IF($D$2=FALSE,"-",IF(AF$13="","",AF33))</f>
        <v>5</v>
      </c>
      <c r="AG83" s="98">
        <f t="shared" ca="1" si="93"/>
        <v>5</v>
      </c>
      <c r="AH83" s="98">
        <f t="shared" ca="1" si="93"/>
        <v>5</v>
      </c>
      <c r="AI83" s="98">
        <f t="shared" ca="1" si="93"/>
        <v>5</v>
      </c>
      <c r="AJ83" s="98">
        <f t="shared" ca="1" si="93"/>
        <v>5</v>
      </c>
      <c r="AK83" s="98">
        <f t="shared" ca="1" si="93"/>
        <v>5</v>
      </c>
      <c r="AL83" s="98" t="str">
        <f t="shared" ca="1" si="93"/>
        <v/>
      </c>
      <c r="AM83" s="98" t="str">
        <f t="shared" ca="1" si="93"/>
        <v/>
      </c>
      <c r="AN83" s="98" t="str">
        <f t="shared" ca="1" si="93"/>
        <v/>
      </c>
      <c r="AO83" s="98" t="str">
        <f t="shared" ca="1" si="93"/>
        <v/>
      </c>
      <c r="AP83" s="98" t="str">
        <f t="shared" ca="1" si="93"/>
        <v/>
      </c>
      <c r="AQ83" s="98" t="str">
        <f t="shared" ca="1" si="93"/>
        <v/>
      </c>
      <c r="AR83" s="98" t="str">
        <f t="shared" ca="1" si="93"/>
        <v/>
      </c>
      <c r="AS83" s="98" t="str">
        <f t="shared" ca="1" si="93"/>
        <v/>
      </c>
      <c r="AT83" s="98" t="str">
        <f t="shared" ca="1" si="93"/>
        <v/>
      </c>
      <c r="AU83" s="98" t="str">
        <f t="shared" ca="1" si="93"/>
        <v/>
      </c>
      <c r="AV83" s="98" t="str">
        <f t="shared" ca="1" si="93"/>
        <v/>
      </c>
      <c r="AW83" s="98" t="str">
        <f t="shared" ca="1" si="93"/>
        <v/>
      </c>
      <c r="AX83" s="98" t="str">
        <f t="shared" ca="1" si="93"/>
        <v/>
      </c>
      <c r="AY83" s="98" t="str">
        <f t="shared" ca="1" si="93"/>
        <v/>
      </c>
      <c r="AZ83" s="98" t="str">
        <f t="shared" ca="1" si="93"/>
        <v/>
      </c>
      <c r="BA83" s="98" t="str">
        <f t="shared" ca="1" si="93"/>
        <v/>
      </c>
      <c r="BB83" s="98" t="str">
        <f t="shared" ca="1" si="93"/>
        <v/>
      </c>
      <c r="BC83" s="98" t="str">
        <f t="shared" ca="1" si="93"/>
        <v/>
      </c>
      <c r="BD83" s="98" t="str">
        <f t="shared" ca="1" si="93"/>
        <v/>
      </c>
      <c r="BE83" s="98" t="str">
        <f t="shared" ca="1" si="93"/>
        <v/>
      </c>
      <c r="BF83" s="98" t="str">
        <f t="shared" ca="1" si="93"/>
        <v/>
      </c>
      <c r="BG83" s="98" t="str">
        <f t="shared" ca="1" si="93"/>
        <v/>
      </c>
      <c r="BH83" s="98" t="str">
        <f t="shared" ca="1" si="93"/>
        <v/>
      </c>
      <c r="BI83" s="98" t="str">
        <f t="shared" ca="1" si="93"/>
        <v/>
      </c>
      <c r="BK83" s="84"/>
      <c r="BL83" s="84"/>
      <c r="BM83" s="84"/>
      <c r="BN83" s="84"/>
      <c r="BO83" s="84"/>
      <c r="BP83" s="84"/>
    </row>
    <row r="84" spans="1:68" ht="15" customHeight="1" outlineLevel="1">
      <c r="B84" s="34">
        <f>$B$57</f>
        <v>44926</v>
      </c>
      <c r="C84" s="34">
        <f ca="1">$C$57</f>
        <v>44926</v>
      </c>
      <c r="D84" s="107" t="e">
        <f ca="1">IF($D$2=FALSE,"-",AVERAGE(OFFSET($AF84,0,MATCH(B84,OFFSET($AF$13,0,0,1,$G$4-$E$4+1),0)-1,1,MATCH(C84,OFFSET($AF$13,0,0,1,$G$4-$E$4+1),0)-MATCH(B84,OFFSET($AF$13,0,0,1,$G$4-$E$4+1),0)+1)))</f>
        <v>#N/A</v>
      </c>
      <c r="E84" s="96">
        <v>1</v>
      </c>
      <c r="F84" s="107">
        <f t="shared" ref="F84" si="94">IF($D$2=FALSE,"-",IF(E84="",D84,E84))</f>
        <v>1</v>
      </c>
      <c r="G84" s="34">
        <f>$G$57</f>
        <v>44926</v>
      </c>
      <c r="H84" s="37">
        <f ca="1">$H$57</f>
        <v>44926</v>
      </c>
      <c r="I84" s="107" t="e">
        <f ca="1">IF($D$2=FALSE,"-",AVERAGE(OFFSET($AF84,0,MATCH(G84,OFFSET($AF$13,0,0,1,$G$4-$E$4+1),0)-1,1,MATCH(H84,OFFSET($AF$13,0,0,1,$G$4-$E$4+1),0)-MATCH(G84,OFFSET($AF$13,0,0,1,$G$4-$E$4+1),0)+1)))</f>
        <v>#N/A</v>
      </c>
      <c r="J84" s="96">
        <v>1</v>
      </c>
      <c r="K84" s="107">
        <f>IF($D$2=FALSE,"-",IF(J84="",I84,J84))</f>
        <v>1</v>
      </c>
      <c r="L84" s="112">
        <v>5</v>
      </c>
      <c r="M84" s="81">
        <v>0.1</v>
      </c>
      <c r="N84" s="3"/>
      <c r="P84" s="3"/>
      <c r="Q84" s="100" t="s">
        <v>84</v>
      </c>
      <c r="R84" s="100"/>
      <c r="S84" s="100"/>
      <c r="T84" s="100"/>
      <c r="U84" s="100"/>
      <c r="V84" s="3"/>
      <c r="W84" s="219" t="e">
        <f t="shared" ca="1" si="92"/>
        <v>#N/A</v>
      </c>
      <c r="X84" s="219">
        <f t="shared" ca="1" si="92"/>
        <v>-1</v>
      </c>
      <c r="Y84" s="219">
        <f t="shared" ca="1" si="92"/>
        <v>-1</v>
      </c>
      <c r="Z84" s="219">
        <f t="shared" ca="1" si="92"/>
        <v>-1</v>
      </c>
      <c r="AA84" s="219">
        <f t="shared" ca="1" si="92"/>
        <v>-1</v>
      </c>
      <c r="AB84" s="219">
        <f t="shared" ca="1" si="92"/>
        <v>-1</v>
      </c>
      <c r="AC84" s="257"/>
      <c r="AD84" s="219" t="e">
        <f ca="1">IF($D$2=FALSE,"-",IF(AD$13="","",SUM(OFFSET($AF84,0,$F$4-AD$7-1,1,-$E$5))+SUM(OFFSET($AF84,0,$F$4-1,1,-AD$7))-SUM(OFFSET($AF84,0,$F$4-$E$5-1,1,-AD$7))))</f>
        <v>#N/A</v>
      </c>
      <c r="AF84" s="276" t="e">
        <f t="shared" ref="AF84:BI84" ca="1" si="95">IF($D$2=FALSE,"-",IF(AF$13="","",IF(AF$4&lt;=0,#N/A,-IF(AF$4&lt;=$L84,IF($M84=0,$F84-((IF($M84=0,($F84-$K84)/$L84,($K84-$F84)/(EXP(-$M84*$L84)-1)))*(AF$4-1)),($F84-(IF($M84=0,($F84-$K84)/$L84,($K84-$F84)/(EXP(-$M84*$L84)-1))))+((IF($M84=0,($F84-$K84)/$L84,($K84-$F84)/(EXP(-$M84*$L84)-1)))*EXP(-$M84*(AF$4-1)))),$K84))))</f>
        <v>#N/A</v>
      </c>
      <c r="AG84" s="277">
        <f t="shared" ca="1" si="95"/>
        <v>-1</v>
      </c>
      <c r="AH84" s="277">
        <f t="shared" ca="1" si="95"/>
        <v>-1</v>
      </c>
      <c r="AI84" s="277">
        <f t="shared" ca="1" si="95"/>
        <v>-1</v>
      </c>
      <c r="AJ84" s="277">
        <f t="shared" ca="1" si="95"/>
        <v>-1</v>
      </c>
      <c r="AK84" s="277">
        <f t="shared" ca="1" si="95"/>
        <v>-1</v>
      </c>
      <c r="AL84" s="277" t="str">
        <f t="shared" ca="1" si="95"/>
        <v/>
      </c>
      <c r="AM84" s="277" t="str">
        <f t="shared" ca="1" si="95"/>
        <v/>
      </c>
      <c r="AN84" s="277" t="str">
        <f t="shared" ca="1" si="95"/>
        <v/>
      </c>
      <c r="AO84" s="277" t="str">
        <f t="shared" ca="1" si="95"/>
        <v/>
      </c>
      <c r="AP84" s="277" t="str">
        <f t="shared" ca="1" si="95"/>
        <v/>
      </c>
      <c r="AQ84" s="277" t="str">
        <f t="shared" ca="1" si="95"/>
        <v/>
      </c>
      <c r="AR84" s="277" t="str">
        <f t="shared" ca="1" si="95"/>
        <v/>
      </c>
      <c r="AS84" s="277" t="str">
        <f t="shared" ca="1" si="95"/>
        <v/>
      </c>
      <c r="AT84" s="277" t="str">
        <f t="shared" ca="1" si="95"/>
        <v/>
      </c>
      <c r="AU84" s="277" t="str">
        <f t="shared" ca="1" si="95"/>
        <v/>
      </c>
      <c r="AV84" s="277" t="str">
        <f t="shared" ca="1" si="95"/>
        <v/>
      </c>
      <c r="AW84" s="277" t="str">
        <f t="shared" ca="1" si="95"/>
        <v/>
      </c>
      <c r="AX84" s="277" t="str">
        <f t="shared" ca="1" si="95"/>
        <v/>
      </c>
      <c r="AY84" s="277" t="str">
        <f t="shared" ca="1" si="95"/>
        <v/>
      </c>
      <c r="AZ84" s="277" t="str">
        <f t="shared" ca="1" si="95"/>
        <v/>
      </c>
      <c r="BA84" s="277" t="str">
        <f t="shared" ca="1" si="95"/>
        <v/>
      </c>
      <c r="BB84" s="277" t="str">
        <f t="shared" ca="1" si="95"/>
        <v/>
      </c>
      <c r="BC84" s="277" t="str">
        <f t="shared" ca="1" si="95"/>
        <v/>
      </c>
      <c r="BD84" s="277" t="str">
        <f t="shared" ca="1" si="95"/>
        <v/>
      </c>
      <c r="BE84" s="277" t="str">
        <f t="shared" ca="1" si="95"/>
        <v/>
      </c>
      <c r="BF84" s="277" t="str">
        <f t="shared" ca="1" si="95"/>
        <v/>
      </c>
      <c r="BG84" s="277" t="str">
        <f t="shared" ca="1" si="95"/>
        <v/>
      </c>
      <c r="BH84" s="277" t="str">
        <f t="shared" ca="1" si="95"/>
        <v/>
      </c>
      <c r="BI84" s="277" t="str">
        <f t="shared" ca="1" si="95"/>
        <v/>
      </c>
      <c r="BK84" s="84"/>
      <c r="BL84" s="84"/>
      <c r="BM84" s="84"/>
      <c r="BN84" s="84"/>
      <c r="BO84" s="84"/>
      <c r="BP84" s="84"/>
    </row>
    <row r="85" spans="1:68" ht="15" customHeight="1" outlineLevel="1">
      <c r="N85" s="3"/>
      <c r="P85" s="3"/>
      <c r="Q85" s="1" t="s">
        <v>85</v>
      </c>
      <c r="W85" s="98" t="e">
        <f t="shared" ca="1" si="92"/>
        <v>#N/A</v>
      </c>
      <c r="X85" s="98">
        <f t="shared" ca="1" si="92"/>
        <v>4</v>
      </c>
      <c r="Y85" s="98">
        <f t="shared" ca="1" si="92"/>
        <v>4</v>
      </c>
      <c r="Z85" s="98">
        <f t="shared" ca="1" si="92"/>
        <v>4</v>
      </c>
      <c r="AA85" s="98">
        <f t="shared" ca="1" si="92"/>
        <v>4</v>
      </c>
      <c r="AB85" s="98">
        <f t="shared" ca="1" si="92"/>
        <v>4</v>
      </c>
      <c r="AC85" s="257"/>
      <c r="AD85" s="98" t="e">
        <f ca="1">IF($D$2=FALSE,"-",IF(AD$13="","",SUM(OFFSET($AF85,0,$F$4-AD$7-1,1,-$E$5))+SUM(OFFSET($AF85,0,$F$4-1,1,-AD$7))-SUM(OFFSET($AF85,0,$F$4-$E$5-1,1,-AD$7))))</f>
        <v>#N/A</v>
      </c>
      <c r="AF85" s="97" t="e">
        <f t="shared" ref="AF85:BI85" ca="1" si="96">IF($D$2=FALSE,"-",IF(AF$13="","",+SUM(AF83:AF84)))</f>
        <v>#N/A</v>
      </c>
      <c r="AG85" s="98">
        <f t="shared" ca="1" si="96"/>
        <v>4</v>
      </c>
      <c r="AH85" s="98">
        <f t="shared" ca="1" si="96"/>
        <v>4</v>
      </c>
      <c r="AI85" s="98">
        <f t="shared" ca="1" si="96"/>
        <v>4</v>
      </c>
      <c r="AJ85" s="98">
        <f t="shared" ca="1" si="96"/>
        <v>4</v>
      </c>
      <c r="AK85" s="98">
        <f t="shared" ca="1" si="96"/>
        <v>4</v>
      </c>
      <c r="AL85" s="98" t="str">
        <f t="shared" ca="1" si="96"/>
        <v/>
      </c>
      <c r="AM85" s="98" t="str">
        <f t="shared" ca="1" si="96"/>
        <v/>
      </c>
      <c r="AN85" s="98" t="str">
        <f t="shared" ca="1" si="96"/>
        <v/>
      </c>
      <c r="AO85" s="98" t="str">
        <f t="shared" ca="1" si="96"/>
        <v/>
      </c>
      <c r="AP85" s="98" t="str">
        <f t="shared" ca="1" si="96"/>
        <v/>
      </c>
      <c r="AQ85" s="98" t="str">
        <f t="shared" ca="1" si="96"/>
        <v/>
      </c>
      <c r="AR85" s="98" t="str">
        <f t="shared" ca="1" si="96"/>
        <v/>
      </c>
      <c r="AS85" s="98" t="str">
        <f t="shared" ca="1" si="96"/>
        <v/>
      </c>
      <c r="AT85" s="98" t="str">
        <f t="shared" ca="1" si="96"/>
        <v/>
      </c>
      <c r="AU85" s="98" t="str">
        <f t="shared" ca="1" si="96"/>
        <v/>
      </c>
      <c r="AV85" s="98" t="str">
        <f t="shared" ca="1" si="96"/>
        <v/>
      </c>
      <c r="AW85" s="98" t="str">
        <f t="shared" ca="1" si="96"/>
        <v/>
      </c>
      <c r="AX85" s="98" t="str">
        <f t="shared" ca="1" si="96"/>
        <v/>
      </c>
      <c r="AY85" s="98" t="str">
        <f t="shared" ca="1" si="96"/>
        <v/>
      </c>
      <c r="AZ85" s="98" t="str">
        <f t="shared" ca="1" si="96"/>
        <v/>
      </c>
      <c r="BA85" s="98" t="str">
        <f t="shared" ca="1" si="96"/>
        <v/>
      </c>
      <c r="BB85" s="98" t="str">
        <f t="shared" ca="1" si="96"/>
        <v/>
      </c>
      <c r="BC85" s="98" t="str">
        <f t="shared" ca="1" si="96"/>
        <v/>
      </c>
      <c r="BD85" s="98" t="str">
        <f t="shared" ca="1" si="96"/>
        <v/>
      </c>
      <c r="BE85" s="98" t="str">
        <f t="shared" ca="1" si="96"/>
        <v/>
      </c>
      <c r="BF85" s="98" t="str">
        <f t="shared" ca="1" si="96"/>
        <v/>
      </c>
      <c r="BG85" s="98" t="str">
        <f t="shared" ca="1" si="96"/>
        <v/>
      </c>
      <c r="BH85" s="98" t="str">
        <f t="shared" ca="1" si="96"/>
        <v/>
      </c>
      <c r="BI85" s="98" t="str">
        <f t="shared" ca="1" si="96"/>
        <v/>
      </c>
      <c r="BK85" s="84"/>
      <c r="BL85" s="84"/>
      <c r="BM85" s="84"/>
      <c r="BN85" s="84"/>
      <c r="BO85" s="84"/>
      <c r="BP85" s="84"/>
    </row>
    <row r="86" spans="1:68" ht="15" customHeight="1" outlineLevel="1">
      <c r="BK86" s="84"/>
      <c r="BL86" s="84"/>
      <c r="BM86" s="84"/>
      <c r="BN86" s="84"/>
      <c r="BO86" s="84"/>
      <c r="BP86" s="84"/>
    </row>
    <row r="87" spans="1:68" ht="15" customHeight="1" outlineLevel="1">
      <c r="B87" s="34">
        <f>$B$57</f>
        <v>44926</v>
      </c>
      <c r="C87" s="34">
        <f ca="1">$C$57</f>
        <v>44926</v>
      </c>
      <c r="D87" s="35" t="e">
        <f ca="1">IF($D$2=FALSE,"-",AVERAGE(OFFSET($AF87,0,MATCH(B87,OFFSET($AF$13,0,0,1,$G$4-$E$4+1),0)-1,1,MATCH(C87,OFFSET($AF$13,0,0,1,$G$4-$E$4+1),0)-MATCH(B87,OFFSET($AF$13,0,0,1,$G$4-$E$4+1),0)+1)))</f>
        <v>#N/A</v>
      </c>
      <c r="E87" s="51">
        <f>IF($D$2=FALSE,0,J87)</f>
        <v>0.8</v>
      </c>
      <c r="F87" s="36">
        <f t="shared" ref="F87" si="97">IF($D$2=FALSE,"-",IF(E87="",D87,E87))</f>
        <v>0.8</v>
      </c>
      <c r="G87" s="34">
        <f>$G$57</f>
        <v>44926</v>
      </c>
      <c r="H87" s="37">
        <f ca="1">$H$57</f>
        <v>44926</v>
      </c>
      <c r="I87" s="35" t="e">
        <f ca="1">IF($D$2=FALSE,"-",AVERAGE(OFFSET($AF87,0,MATCH(G87,OFFSET($AF$13,0,0,1,$G$4-$E$4+1),0)-1,1,MATCH(H87,OFFSET($AF$13,0,0,1,$G$4-$E$4+1),0)-MATCH(G87,OFFSET($AF$13,0,0,1,$G$4-$E$4+1),0)+1)))</f>
        <v>#N/A</v>
      </c>
      <c r="J87" s="51">
        <v>0.8</v>
      </c>
      <c r="K87" s="36">
        <f>IF($D$2=FALSE,"-",IF(J87="",I87,J87))</f>
        <v>0.8</v>
      </c>
      <c r="L87" s="112">
        <v>5</v>
      </c>
      <c r="M87" s="81">
        <v>0.1</v>
      </c>
      <c r="N87" s="3"/>
      <c r="O87" s="192">
        <v>0.8</v>
      </c>
      <c r="P87" s="3"/>
      <c r="Q87" s="1" t="s">
        <v>86</v>
      </c>
      <c r="W87" s="69" t="e">
        <f t="shared" ref="W87:AB87" ca="1" si="98">IF($D$2=FALSE,"-",IF(W$13="","",1-W89/(-W84*W79)))</f>
        <v>#N/A</v>
      </c>
      <c r="X87" s="69">
        <f t="shared" ca="1" si="98"/>
        <v>0.8</v>
      </c>
      <c r="Y87" s="69">
        <f t="shared" ca="1" si="98"/>
        <v>0.8</v>
      </c>
      <c r="Z87" s="69">
        <f t="shared" ca="1" si="98"/>
        <v>0.8</v>
      </c>
      <c r="AA87" s="69">
        <f t="shared" ca="1" si="98"/>
        <v>0.8</v>
      </c>
      <c r="AB87" s="69">
        <f t="shared" ca="1" si="98"/>
        <v>0.8</v>
      </c>
      <c r="AC87" s="257"/>
      <c r="AD87" s="69" t="e">
        <f ca="1">IF($D$2=FALSE,"-",IF(AD$13="","",1-AD89/(-AD84*AD79)))</f>
        <v>#N/A</v>
      </c>
      <c r="AF87" s="278" t="e">
        <f t="shared" ref="AF87:BI87" ca="1" si="99">IF($D$2=FALSE,"-",IF(AF$13="","",IF(AF$4&lt;=0,#N/A,IF(AF$4&lt;=$L87,IF($M87=0,$F87-((IF($M87=0,($F87-$K87)/$L87,($K87-$F87)/(EXP(-$M87*$L87)-1)))*(AF$4-1)),($F87-(IF($M87=0,($F87-$K87)/$L87,($K87-$F87)/(EXP(-$M87*$L87)-1))))+((IF($M87=0,($F87-$K87)/$L87,($K87-$F87)/(EXP(-$M87*$L87)-1)))*EXP(-$M87*(AF$4-1)))),$K87))))</f>
        <v>#N/A</v>
      </c>
      <c r="AG87" s="275">
        <f t="shared" ca="1" si="99"/>
        <v>0.8</v>
      </c>
      <c r="AH87" s="275">
        <f t="shared" ca="1" si="99"/>
        <v>0.8</v>
      </c>
      <c r="AI87" s="275">
        <f t="shared" ca="1" si="99"/>
        <v>0.8</v>
      </c>
      <c r="AJ87" s="275">
        <f t="shared" ca="1" si="99"/>
        <v>0.8</v>
      </c>
      <c r="AK87" s="275">
        <f t="shared" ca="1" si="99"/>
        <v>0.8</v>
      </c>
      <c r="AL87" s="275" t="str">
        <f t="shared" ca="1" si="99"/>
        <v/>
      </c>
      <c r="AM87" s="275" t="str">
        <f t="shared" ca="1" si="99"/>
        <v/>
      </c>
      <c r="AN87" s="275" t="str">
        <f t="shared" ca="1" si="99"/>
        <v/>
      </c>
      <c r="AO87" s="275" t="str">
        <f t="shared" ca="1" si="99"/>
        <v/>
      </c>
      <c r="AP87" s="275" t="str">
        <f t="shared" ca="1" si="99"/>
        <v/>
      </c>
      <c r="AQ87" s="275" t="str">
        <f t="shared" ca="1" si="99"/>
        <v/>
      </c>
      <c r="AR87" s="275" t="str">
        <f t="shared" ca="1" si="99"/>
        <v/>
      </c>
      <c r="AS87" s="275" t="str">
        <f t="shared" ca="1" si="99"/>
        <v/>
      </c>
      <c r="AT87" s="275" t="str">
        <f t="shared" ca="1" si="99"/>
        <v/>
      </c>
      <c r="AU87" s="275" t="str">
        <f t="shared" ca="1" si="99"/>
        <v/>
      </c>
      <c r="AV87" s="275" t="str">
        <f t="shared" ca="1" si="99"/>
        <v/>
      </c>
      <c r="AW87" s="275" t="str">
        <f t="shared" ca="1" si="99"/>
        <v/>
      </c>
      <c r="AX87" s="275" t="str">
        <f t="shared" ca="1" si="99"/>
        <v/>
      </c>
      <c r="AY87" s="275" t="str">
        <f t="shared" ca="1" si="99"/>
        <v/>
      </c>
      <c r="AZ87" s="275" t="str">
        <f t="shared" ca="1" si="99"/>
        <v/>
      </c>
      <c r="BA87" s="275" t="str">
        <f t="shared" ca="1" si="99"/>
        <v/>
      </c>
      <c r="BB87" s="275" t="str">
        <f t="shared" ca="1" si="99"/>
        <v/>
      </c>
      <c r="BC87" s="275" t="str">
        <f t="shared" ca="1" si="99"/>
        <v/>
      </c>
      <c r="BD87" s="275" t="str">
        <f t="shared" ca="1" si="99"/>
        <v/>
      </c>
      <c r="BE87" s="275" t="str">
        <f t="shared" ca="1" si="99"/>
        <v/>
      </c>
      <c r="BF87" s="275" t="str">
        <f t="shared" ca="1" si="99"/>
        <v/>
      </c>
      <c r="BG87" s="275" t="str">
        <f t="shared" ca="1" si="99"/>
        <v/>
      </c>
      <c r="BH87" s="275" t="str">
        <f t="shared" ca="1" si="99"/>
        <v/>
      </c>
      <c r="BI87" s="275" t="str">
        <f t="shared" ca="1" si="99"/>
        <v/>
      </c>
      <c r="BK87" s="84"/>
      <c r="BL87" s="84"/>
      <c r="BM87" s="84"/>
      <c r="BN87" s="84"/>
      <c r="BO87" s="84"/>
      <c r="BP87" s="84"/>
    </row>
    <row r="88" spans="1:68" ht="15" customHeight="1" outlineLevel="1">
      <c r="AB88" s="240"/>
      <c r="AD88" s="240"/>
      <c r="AF88" s="241"/>
      <c r="AG88" s="240"/>
      <c r="BK88" s="84"/>
      <c r="BL88" s="84"/>
      <c r="BM88" s="84"/>
      <c r="BN88" s="84"/>
      <c r="BO88" s="84"/>
      <c r="BP88" s="84"/>
    </row>
    <row r="89" spans="1:68" ht="15" customHeight="1" outlineLevel="1">
      <c r="N89" s="3"/>
      <c r="P89" s="3"/>
      <c r="Q89" s="1" t="s">
        <v>87</v>
      </c>
      <c r="W89" s="98" t="e">
        <f t="shared" ref="W89:AB91" ca="1" si="100">IF($D$2=FALSE,"-",IF(W$13="","",SUM(OFFSET($AF89,0,W$8,1,-$E$5))))</f>
        <v>#N/A</v>
      </c>
      <c r="X89" s="98">
        <f t="shared" ca="1" si="100"/>
        <v>8.0001299999999997E-2</v>
      </c>
      <c r="Y89" s="98">
        <f t="shared" ca="1" si="100"/>
        <v>8.0001299999999997E-2</v>
      </c>
      <c r="Z89" s="98">
        <f t="shared" ca="1" si="100"/>
        <v>8.0001299999999997E-2</v>
      </c>
      <c r="AA89" s="98">
        <f t="shared" ca="1" si="100"/>
        <v>8.0001299999999997E-2</v>
      </c>
      <c r="AB89" s="98">
        <f t="shared" ca="1" si="100"/>
        <v>8.0001299999999997E-2</v>
      </c>
      <c r="AC89" s="257"/>
      <c r="AD89" s="99" t="e">
        <f ca="1">IF($D$2=FALSE,"-",IF(AD$13="","",SUM(OFFSET($AF89,0,$F$4-AD$7-1,1,-$E$5))+SUM(OFFSET($AF89,0,$F$4-1,1,-AD$7))-SUM(OFFSET($AF89,0,$F$4-$E$5-1,1,-AD$7))))</f>
        <v>#N/A</v>
      </c>
      <c r="AF89" s="97" t="e">
        <f t="shared" ref="AF89:BI89" ca="1" si="101">IF($D$2=FALSE,"-",IF(AF$13="","",-AF84*(1-AF87)*AF79))</f>
        <v>#N/A</v>
      </c>
      <c r="AG89" s="98">
        <f t="shared" ca="1" si="101"/>
        <v>8.0001299999999997E-2</v>
      </c>
      <c r="AH89" s="98">
        <f t="shared" ca="1" si="101"/>
        <v>8.0001299999999997E-2</v>
      </c>
      <c r="AI89" s="98">
        <f t="shared" ca="1" si="101"/>
        <v>8.0001299999999997E-2</v>
      </c>
      <c r="AJ89" s="98">
        <f t="shared" ca="1" si="101"/>
        <v>8.0001299999999997E-2</v>
      </c>
      <c r="AK89" s="98">
        <f t="shared" ca="1" si="101"/>
        <v>8.0001299999999997E-2</v>
      </c>
      <c r="AL89" s="98" t="str">
        <f t="shared" ca="1" si="101"/>
        <v/>
      </c>
      <c r="AM89" s="98" t="str">
        <f t="shared" ca="1" si="101"/>
        <v/>
      </c>
      <c r="AN89" s="98" t="str">
        <f t="shared" ca="1" si="101"/>
        <v/>
      </c>
      <c r="AO89" s="98" t="str">
        <f t="shared" ca="1" si="101"/>
        <v/>
      </c>
      <c r="AP89" s="98" t="str">
        <f t="shared" ca="1" si="101"/>
        <v/>
      </c>
      <c r="AQ89" s="98" t="str">
        <f t="shared" ca="1" si="101"/>
        <v/>
      </c>
      <c r="AR89" s="98" t="str">
        <f t="shared" ca="1" si="101"/>
        <v/>
      </c>
      <c r="AS89" s="98" t="str">
        <f t="shared" ca="1" si="101"/>
        <v/>
      </c>
      <c r="AT89" s="98" t="str">
        <f t="shared" ca="1" si="101"/>
        <v/>
      </c>
      <c r="AU89" s="98" t="str">
        <f t="shared" ca="1" si="101"/>
        <v/>
      </c>
      <c r="AV89" s="98" t="str">
        <f t="shared" ca="1" si="101"/>
        <v/>
      </c>
      <c r="AW89" s="98" t="str">
        <f t="shared" ca="1" si="101"/>
        <v/>
      </c>
      <c r="AX89" s="98" t="str">
        <f t="shared" ca="1" si="101"/>
        <v/>
      </c>
      <c r="AY89" s="98" t="str">
        <f t="shared" ca="1" si="101"/>
        <v/>
      </c>
      <c r="AZ89" s="98" t="str">
        <f t="shared" ca="1" si="101"/>
        <v/>
      </c>
      <c r="BA89" s="98" t="str">
        <f t="shared" ca="1" si="101"/>
        <v/>
      </c>
      <c r="BB89" s="98" t="str">
        <f t="shared" ca="1" si="101"/>
        <v/>
      </c>
      <c r="BC89" s="98" t="str">
        <f t="shared" ca="1" si="101"/>
        <v/>
      </c>
      <c r="BD89" s="98" t="str">
        <f t="shared" ca="1" si="101"/>
        <v/>
      </c>
      <c r="BE89" s="98" t="str">
        <f t="shared" ca="1" si="101"/>
        <v/>
      </c>
      <c r="BF89" s="98" t="str">
        <f t="shared" ca="1" si="101"/>
        <v/>
      </c>
      <c r="BG89" s="98" t="str">
        <f t="shared" ca="1" si="101"/>
        <v/>
      </c>
      <c r="BH89" s="98" t="str">
        <f t="shared" ca="1" si="101"/>
        <v/>
      </c>
      <c r="BI89" s="98" t="str">
        <f t="shared" ca="1" si="101"/>
        <v/>
      </c>
      <c r="BK89" s="84"/>
      <c r="BL89" s="84"/>
      <c r="BM89" s="84"/>
      <c r="BN89" s="84"/>
      <c r="BO89" s="84"/>
      <c r="BP89" s="84"/>
    </row>
    <row r="90" spans="1:68" ht="15" customHeight="1" outlineLevel="1">
      <c r="M90" s="172">
        <v>0</v>
      </c>
      <c r="N90" s="3"/>
      <c r="P90" s="3"/>
      <c r="Q90" s="100" t="s">
        <v>88</v>
      </c>
      <c r="R90" s="100"/>
      <c r="S90" s="100"/>
      <c r="T90" s="100"/>
      <c r="U90" s="100"/>
      <c r="W90" s="103" t="e">
        <f t="shared" ca="1" si="100"/>
        <v>#N/A</v>
      </c>
      <c r="X90" s="103">
        <f t="shared" ca="1" si="100"/>
        <v>1.6000260000000002</v>
      </c>
      <c r="Y90" s="103">
        <f t="shared" ca="1" si="100"/>
        <v>1.6000260000000002</v>
      </c>
      <c r="Z90" s="103">
        <f t="shared" ca="1" si="100"/>
        <v>1.6000260000000002</v>
      </c>
      <c r="AA90" s="103">
        <f t="shared" ca="1" si="100"/>
        <v>1.6000260000000002</v>
      </c>
      <c r="AB90" s="103">
        <f t="shared" ca="1" si="100"/>
        <v>1.6000260000000002</v>
      </c>
      <c r="AC90" s="257"/>
      <c r="AD90" s="101" t="e">
        <f ca="1">IF($D$2=FALSE,"-",IF(AD$13="","",SUM(OFFSET($AF90,0,$F$4-AD$7-1,1,-$E$5))+SUM(OFFSET($AF90,0,$F$4-1,1,-AD$7))-SUM(OFFSET($AF90,0,$F$4-$E$5-1,1,-AD$7))))</f>
        <v>#N/A</v>
      </c>
      <c r="AF90" s="102" t="e">
        <f t="shared" ref="AF90:BI90" ca="1" si="102">IF($D$2=FALSE,"-",IF(AF$13="","",+AF85*(1-IF($M90=0,0,AF87))*AF79))</f>
        <v>#N/A</v>
      </c>
      <c r="AG90" s="103">
        <f t="shared" ca="1" si="102"/>
        <v>1.6000260000000002</v>
      </c>
      <c r="AH90" s="103">
        <f t="shared" ca="1" si="102"/>
        <v>1.6000260000000002</v>
      </c>
      <c r="AI90" s="103">
        <f t="shared" ca="1" si="102"/>
        <v>1.6000260000000002</v>
      </c>
      <c r="AJ90" s="103">
        <f t="shared" ca="1" si="102"/>
        <v>1.6000260000000002</v>
      </c>
      <c r="AK90" s="103">
        <f t="shared" ca="1" si="102"/>
        <v>1.6000260000000002</v>
      </c>
      <c r="AL90" s="103" t="str">
        <f t="shared" ca="1" si="102"/>
        <v/>
      </c>
      <c r="AM90" s="103" t="str">
        <f t="shared" ca="1" si="102"/>
        <v/>
      </c>
      <c r="AN90" s="103" t="str">
        <f t="shared" ca="1" si="102"/>
        <v/>
      </c>
      <c r="AO90" s="103" t="str">
        <f t="shared" ca="1" si="102"/>
        <v/>
      </c>
      <c r="AP90" s="103" t="str">
        <f t="shared" ca="1" si="102"/>
        <v/>
      </c>
      <c r="AQ90" s="103" t="str">
        <f t="shared" ca="1" si="102"/>
        <v/>
      </c>
      <c r="AR90" s="103" t="str">
        <f t="shared" ca="1" si="102"/>
        <v/>
      </c>
      <c r="AS90" s="103" t="str">
        <f t="shared" ca="1" si="102"/>
        <v/>
      </c>
      <c r="AT90" s="103" t="str">
        <f t="shared" ca="1" si="102"/>
        <v/>
      </c>
      <c r="AU90" s="103" t="str">
        <f t="shared" ca="1" si="102"/>
        <v/>
      </c>
      <c r="AV90" s="103" t="str">
        <f t="shared" ca="1" si="102"/>
        <v/>
      </c>
      <c r="AW90" s="103" t="str">
        <f t="shared" ca="1" si="102"/>
        <v/>
      </c>
      <c r="AX90" s="103" t="str">
        <f t="shared" ca="1" si="102"/>
        <v/>
      </c>
      <c r="AY90" s="103" t="str">
        <f t="shared" ca="1" si="102"/>
        <v/>
      </c>
      <c r="AZ90" s="103" t="str">
        <f t="shared" ca="1" si="102"/>
        <v/>
      </c>
      <c r="BA90" s="103" t="str">
        <f t="shared" ca="1" si="102"/>
        <v/>
      </c>
      <c r="BB90" s="103" t="str">
        <f t="shared" ca="1" si="102"/>
        <v/>
      </c>
      <c r="BC90" s="103" t="str">
        <f t="shared" ca="1" si="102"/>
        <v/>
      </c>
      <c r="BD90" s="103" t="str">
        <f t="shared" ca="1" si="102"/>
        <v/>
      </c>
      <c r="BE90" s="103" t="str">
        <f t="shared" ca="1" si="102"/>
        <v/>
      </c>
      <c r="BF90" s="103" t="str">
        <f t="shared" ca="1" si="102"/>
        <v/>
      </c>
      <c r="BG90" s="103" t="str">
        <f t="shared" ca="1" si="102"/>
        <v/>
      </c>
      <c r="BH90" s="103" t="str">
        <f t="shared" ca="1" si="102"/>
        <v/>
      </c>
      <c r="BI90" s="103" t="str">
        <f t="shared" ca="1" si="102"/>
        <v/>
      </c>
      <c r="BK90" s="84"/>
      <c r="BL90" s="84"/>
      <c r="BM90" s="84"/>
      <c r="BN90" s="84"/>
      <c r="BO90" s="84"/>
      <c r="BP90" s="84"/>
    </row>
    <row r="91" spans="1:68" ht="15" customHeight="1" outlineLevel="1">
      <c r="N91" s="3"/>
      <c r="P91" s="3"/>
      <c r="Q91" s="1" t="s">
        <v>89</v>
      </c>
      <c r="W91" s="98" t="e">
        <f t="shared" ca="1" si="100"/>
        <v>#N/A</v>
      </c>
      <c r="X91" s="98">
        <f t="shared" ca="1" si="100"/>
        <v>1.6800273000000001</v>
      </c>
      <c r="Y91" s="98">
        <f t="shared" ca="1" si="100"/>
        <v>1.6800273000000001</v>
      </c>
      <c r="Z91" s="98">
        <f t="shared" ca="1" si="100"/>
        <v>1.6800273000000001</v>
      </c>
      <c r="AA91" s="98">
        <f t="shared" ca="1" si="100"/>
        <v>1.6800273000000001</v>
      </c>
      <c r="AB91" s="98">
        <f t="shared" ca="1" si="100"/>
        <v>1.6800273000000001</v>
      </c>
      <c r="AC91" s="257"/>
      <c r="AD91" s="99" t="e">
        <f ca="1">IF($D$2=FALSE,"-",IF(AD$13="","",SUM(OFFSET($AF91,0,$F$4-AD$7-1,1,-$E$5))+SUM(OFFSET($AF91,0,$F$4-1,1,-AD$7))-SUM(OFFSET($AF91,0,$F$4-$E$5-1,1,-AD$7))))</f>
        <v>#N/A</v>
      </c>
      <c r="AF91" s="97" t="e">
        <f t="shared" ref="AF91:BI91" ca="1" si="103">IF($D$2=FALSE,"-",IF(AF$13="","",+SUM(AF89:AF90)))</f>
        <v>#N/A</v>
      </c>
      <c r="AG91" s="98">
        <f t="shared" ca="1" si="103"/>
        <v>1.6800273000000001</v>
      </c>
      <c r="AH91" s="98">
        <f t="shared" ca="1" si="103"/>
        <v>1.6800273000000001</v>
      </c>
      <c r="AI91" s="98">
        <f t="shared" ca="1" si="103"/>
        <v>1.6800273000000001</v>
      </c>
      <c r="AJ91" s="98">
        <f t="shared" ca="1" si="103"/>
        <v>1.6800273000000001</v>
      </c>
      <c r="AK91" s="98">
        <f t="shared" ca="1" si="103"/>
        <v>1.6800273000000001</v>
      </c>
      <c r="AL91" s="98" t="str">
        <f t="shared" ca="1" si="103"/>
        <v/>
      </c>
      <c r="AM91" s="98" t="str">
        <f t="shared" ca="1" si="103"/>
        <v/>
      </c>
      <c r="AN91" s="98" t="str">
        <f t="shared" ca="1" si="103"/>
        <v/>
      </c>
      <c r="AO91" s="98" t="str">
        <f t="shared" ca="1" si="103"/>
        <v/>
      </c>
      <c r="AP91" s="98" t="str">
        <f t="shared" ca="1" si="103"/>
        <v/>
      </c>
      <c r="AQ91" s="98" t="str">
        <f t="shared" ca="1" si="103"/>
        <v/>
      </c>
      <c r="AR91" s="98" t="str">
        <f t="shared" ca="1" si="103"/>
        <v/>
      </c>
      <c r="AS91" s="98" t="str">
        <f t="shared" ca="1" si="103"/>
        <v/>
      </c>
      <c r="AT91" s="98" t="str">
        <f t="shared" ca="1" si="103"/>
        <v/>
      </c>
      <c r="AU91" s="98" t="str">
        <f t="shared" ca="1" si="103"/>
        <v/>
      </c>
      <c r="AV91" s="98" t="str">
        <f t="shared" ca="1" si="103"/>
        <v/>
      </c>
      <c r="AW91" s="98" t="str">
        <f t="shared" ca="1" si="103"/>
        <v/>
      </c>
      <c r="AX91" s="98" t="str">
        <f t="shared" ca="1" si="103"/>
        <v/>
      </c>
      <c r="AY91" s="98" t="str">
        <f t="shared" ca="1" si="103"/>
        <v/>
      </c>
      <c r="AZ91" s="98" t="str">
        <f t="shared" ca="1" si="103"/>
        <v/>
      </c>
      <c r="BA91" s="98" t="str">
        <f t="shared" ca="1" si="103"/>
        <v/>
      </c>
      <c r="BB91" s="98" t="str">
        <f t="shared" ca="1" si="103"/>
        <v/>
      </c>
      <c r="BC91" s="98" t="str">
        <f t="shared" ca="1" si="103"/>
        <v/>
      </c>
      <c r="BD91" s="98" t="str">
        <f t="shared" ca="1" si="103"/>
        <v/>
      </c>
      <c r="BE91" s="98" t="str">
        <f t="shared" ca="1" si="103"/>
        <v/>
      </c>
      <c r="BF91" s="98" t="str">
        <f t="shared" ca="1" si="103"/>
        <v/>
      </c>
      <c r="BG91" s="98" t="str">
        <f t="shared" ca="1" si="103"/>
        <v/>
      </c>
      <c r="BH91" s="98" t="str">
        <f t="shared" ca="1" si="103"/>
        <v/>
      </c>
      <c r="BI91" s="98" t="str">
        <f t="shared" ca="1" si="103"/>
        <v/>
      </c>
      <c r="BK91" s="84"/>
      <c r="BL91" s="84"/>
      <c r="BM91" s="84"/>
      <c r="BN91" s="84"/>
      <c r="BO91" s="84"/>
      <c r="BP91" s="84"/>
    </row>
    <row r="92" spans="1:68" ht="15" customHeight="1" outlineLevel="1">
      <c r="BK92" s="84"/>
      <c r="BL92" s="84"/>
      <c r="BM92" s="84"/>
      <c r="BN92" s="84"/>
      <c r="BO92" s="84"/>
      <c r="BP92" s="84"/>
    </row>
    <row r="93" spans="1:68" ht="15" customHeight="1" outlineLevel="1">
      <c r="N93" s="3"/>
      <c r="P93" s="3"/>
      <c r="Q93" s="1" t="s">
        <v>90</v>
      </c>
      <c r="W93" s="98" t="e">
        <f t="shared" ref="W93:AB93" ca="1" si="104">IF($D$2=FALSE,"-",IF(W$13="","",SUM(OFFSET($AF93,0,W$8,1,-$E$5))))</f>
        <v>#N/A</v>
      </c>
      <c r="X93" s="98">
        <f t="shared" ca="1" si="104"/>
        <v>0.32000519999999999</v>
      </c>
      <c r="Y93" s="98">
        <f t="shared" ca="1" si="104"/>
        <v>0.32000519999999999</v>
      </c>
      <c r="Z93" s="98">
        <f t="shared" ca="1" si="104"/>
        <v>0.32000519999999999</v>
      </c>
      <c r="AA93" s="98">
        <f t="shared" ca="1" si="104"/>
        <v>0.32000519999999999</v>
      </c>
      <c r="AB93" s="98">
        <f t="shared" ca="1" si="104"/>
        <v>0.32000519999999999</v>
      </c>
      <c r="AC93" s="257"/>
      <c r="AD93" s="98" t="e">
        <f ca="1">IF($D$2=FALSE,"-",IF(AD$13="","",SUM(OFFSET($AF93,0,$F$4-AD$7-1,1,-$E$5))+SUM(OFFSET($AF93,0,$F$4-1,1,-AD$7))-SUM(OFFSET($AF93,0,$F$4-$E$5-1,1,-AD$7))))</f>
        <v>#N/A</v>
      </c>
      <c r="AF93" s="281" t="e">
        <f t="shared" ref="AF93:BI93" ca="1" si="105">IF($D$2=FALSE,"-",IF(AF$13="","",AF83*AF79-AF91))</f>
        <v>#N/A</v>
      </c>
      <c r="AG93" s="282">
        <f t="shared" ca="1" si="105"/>
        <v>0.32000519999999999</v>
      </c>
      <c r="AH93" s="282">
        <f t="shared" ca="1" si="105"/>
        <v>0.32000519999999999</v>
      </c>
      <c r="AI93" s="282">
        <f t="shared" ca="1" si="105"/>
        <v>0.32000519999999999</v>
      </c>
      <c r="AJ93" s="282">
        <f t="shared" ca="1" si="105"/>
        <v>0.32000519999999999</v>
      </c>
      <c r="AK93" s="282">
        <f t="shared" ca="1" si="105"/>
        <v>0.32000519999999999</v>
      </c>
      <c r="AL93" s="282" t="str">
        <f t="shared" ca="1" si="105"/>
        <v/>
      </c>
      <c r="AM93" s="282" t="str">
        <f t="shared" ca="1" si="105"/>
        <v/>
      </c>
      <c r="AN93" s="282" t="str">
        <f t="shared" ca="1" si="105"/>
        <v/>
      </c>
      <c r="AO93" s="282" t="str">
        <f t="shared" ca="1" si="105"/>
        <v/>
      </c>
      <c r="AP93" s="282" t="str">
        <f t="shared" ca="1" si="105"/>
        <v/>
      </c>
      <c r="AQ93" s="282" t="str">
        <f t="shared" ca="1" si="105"/>
        <v/>
      </c>
      <c r="AR93" s="282" t="str">
        <f t="shared" ca="1" si="105"/>
        <v/>
      </c>
      <c r="AS93" s="282" t="str">
        <f t="shared" ca="1" si="105"/>
        <v/>
      </c>
      <c r="AT93" s="282" t="str">
        <f t="shared" ca="1" si="105"/>
        <v/>
      </c>
      <c r="AU93" s="282" t="str">
        <f t="shared" ca="1" si="105"/>
        <v/>
      </c>
      <c r="AV93" s="282" t="str">
        <f t="shared" ca="1" si="105"/>
        <v/>
      </c>
      <c r="AW93" s="282" t="str">
        <f t="shared" ca="1" si="105"/>
        <v/>
      </c>
      <c r="AX93" s="282" t="str">
        <f t="shared" ca="1" si="105"/>
        <v/>
      </c>
      <c r="AY93" s="282" t="str">
        <f t="shared" ca="1" si="105"/>
        <v/>
      </c>
      <c r="AZ93" s="282" t="str">
        <f t="shared" ca="1" si="105"/>
        <v/>
      </c>
      <c r="BA93" s="282" t="str">
        <f t="shared" ca="1" si="105"/>
        <v/>
      </c>
      <c r="BB93" s="282" t="str">
        <f t="shared" ca="1" si="105"/>
        <v/>
      </c>
      <c r="BC93" s="282" t="str">
        <f t="shared" ca="1" si="105"/>
        <v/>
      </c>
      <c r="BD93" s="282" t="str">
        <f t="shared" ca="1" si="105"/>
        <v/>
      </c>
      <c r="BE93" s="282" t="str">
        <f t="shared" ca="1" si="105"/>
        <v/>
      </c>
      <c r="BF93" s="282" t="str">
        <f t="shared" ca="1" si="105"/>
        <v/>
      </c>
      <c r="BG93" s="282" t="str">
        <f t="shared" ca="1" si="105"/>
        <v/>
      </c>
      <c r="BH93" s="282" t="str">
        <f t="shared" ca="1" si="105"/>
        <v/>
      </c>
      <c r="BI93" s="282" t="str">
        <f t="shared" ca="1" si="105"/>
        <v/>
      </c>
      <c r="BK93" s="84"/>
      <c r="BL93" s="84"/>
      <c r="BM93" s="84"/>
      <c r="BN93" s="84"/>
      <c r="BO93" s="84"/>
      <c r="BP93" s="84"/>
    </row>
    <row r="94" spans="1:68" ht="15" customHeight="1" outlineLevel="1">
      <c r="N94" s="3"/>
      <c r="P94" s="3"/>
      <c r="Q94" s="100"/>
      <c r="R94" s="100"/>
      <c r="S94" s="100"/>
      <c r="T94" s="100"/>
      <c r="U94" s="100"/>
      <c r="V94" s="100"/>
      <c r="W94" s="103"/>
      <c r="X94" s="103"/>
      <c r="Y94" s="103"/>
      <c r="Z94" s="103"/>
      <c r="AA94" s="103"/>
      <c r="AB94" s="103"/>
      <c r="AC94" s="100"/>
      <c r="AD94" s="101"/>
      <c r="AE94" s="100"/>
      <c r="AF94" s="102"/>
      <c r="AG94" s="103"/>
      <c r="AH94" s="103"/>
      <c r="AI94" s="103"/>
      <c r="AJ94" s="103"/>
      <c r="AK94" s="103"/>
      <c r="AL94" s="103"/>
      <c r="AM94" s="103"/>
      <c r="AN94" s="103"/>
      <c r="AO94" s="103"/>
      <c r="AP94" s="103"/>
      <c r="AQ94" s="103"/>
      <c r="AR94" s="103"/>
      <c r="AS94" s="103"/>
      <c r="AT94" s="103"/>
      <c r="AU94" s="103"/>
      <c r="AV94" s="103"/>
      <c r="AW94" s="103"/>
      <c r="AX94" s="103"/>
      <c r="AY94" s="103"/>
      <c r="AZ94" s="103"/>
      <c r="BA94" s="103"/>
      <c r="BB94" s="103"/>
      <c r="BC94" s="103"/>
      <c r="BD94" s="103"/>
      <c r="BE94" s="103"/>
      <c r="BF94" s="103"/>
      <c r="BG94" s="103"/>
      <c r="BH94" s="103"/>
      <c r="BI94" s="103"/>
      <c r="BK94" s="84"/>
      <c r="BL94" s="84"/>
      <c r="BM94" s="84"/>
      <c r="BN94" s="84"/>
      <c r="BO94" s="84"/>
      <c r="BP94" s="84"/>
    </row>
    <row r="95" spans="1:68" ht="15" customHeight="1" outlineLevel="1">
      <c r="A95" s="111"/>
      <c r="B95" s="111"/>
      <c r="C95" s="111"/>
      <c r="D95" s="111"/>
      <c r="E95" s="111"/>
      <c r="F95" s="111"/>
      <c r="G95" s="111"/>
      <c r="H95" s="111"/>
      <c r="I95" s="111"/>
      <c r="J95" s="111"/>
      <c r="K95" s="111"/>
      <c r="L95" s="111"/>
      <c r="M95" s="111"/>
      <c r="N95" s="111"/>
      <c r="O95" s="111"/>
      <c r="P95" s="222"/>
      <c r="Q95" s="6"/>
      <c r="R95" s="6"/>
      <c r="S95" s="6"/>
      <c r="T95" s="6"/>
      <c r="U95" s="6"/>
      <c r="V95" s="17"/>
      <c r="W95" s="69"/>
      <c r="X95" s="69"/>
      <c r="Y95" s="69"/>
      <c r="Z95" s="69"/>
      <c r="AA95" s="69"/>
      <c r="AB95" s="69"/>
      <c r="AC95" s="17"/>
      <c r="AD95" s="20"/>
      <c r="AE95" s="17"/>
      <c r="AF95" s="21"/>
      <c r="AH95" s="20"/>
      <c r="AI95" s="20"/>
      <c r="AJ95" s="20"/>
      <c r="AK95" s="20"/>
      <c r="AL95" s="20"/>
      <c r="AM95" s="20"/>
      <c r="AN95" s="20"/>
      <c r="AO95" s="20"/>
      <c r="AP95" s="20"/>
      <c r="AQ95" s="20"/>
      <c r="AR95" s="20"/>
      <c r="AS95" s="20"/>
      <c r="AT95" s="20"/>
      <c r="AU95" s="20"/>
      <c r="AV95" s="20"/>
      <c r="AW95" s="20"/>
      <c r="AX95" s="20"/>
      <c r="AY95" s="20"/>
      <c r="AZ95" s="20"/>
      <c r="BA95" s="20"/>
      <c r="BB95" s="20"/>
      <c r="BC95" s="20"/>
      <c r="BD95" s="20"/>
      <c r="BE95" s="20"/>
      <c r="BF95" s="20"/>
      <c r="BG95" s="20"/>
      <c r="BH95" s="20"/>
      <c r="BI95" s="20"/>
      <c r="BK95" s="239"/>
      <c r="BL95" s="239"/>
      <c r="BM95" s="239"/>
      <c r="BN95" s="239"/>
      <c r="BO95" s="239"/>
      <c r="BP95" s="239"/>
    </row>
    <row r="96" spans="1:68" ht="15" customHeight="1" outlineLevel="1">
      <c r="Q96" s="68" t="s">
        <v>152</v>
      </c>
      <c r="R96" s="68"/>
      <c r="S96" s="68"/>
      <c r="T96" s="68"/>
      <c r="U96" s="68"/>
      <c r="V96" s="6"/>
      <c r="W96" s="26"/>
      <c r="X96" s="26"/>
      <c r="Y96" s="26"/>
      <c r="Z96" s="26"/>
      <c r="AA96" s="26"/>
      <c r="AB96" s="26"/>
      <c r="AC96" s="6"/>
      <c r="AD96" s="59"/>
      <c r="AE96" s="6"/>
      <c r="AF96" s="152"/>
      <c r="AG96" s="153"/>
      <c r="AH96" s="153"/>
      <c r="AI96" s="153"/>
      <c r="AJ96" s="153"/>
      <c r="AK96" s="153"/>
      <c r="AL96" s="153"/>
      <c r="AM96" s="153"/>
      <c r="AN96" s="153"/>
      <c r="AO96" s="153"/>
      <c r="AP96" s="153"/>
      <c r="AQ96" s="153"/>
      <c r="AR96" s="153"/>
      <c r="AS96" s="153"/>
      <c r="AT96" s="153"/>
      <c r="AU96" s="153"/>
      <c r="AV96" s="153"/>
      <c r="AW96" s="153"/>
      <c r="AX96" s="153"/>
      <c r="AY96" s="153"/>
      <c r="AZ96" s="153"/>
      <c r="BA96" s="153"/>
      <c r="BB96" s="153"/>
      <c r="BC96" s="153"/>
      <c r="BD96" s="153"/>
      <c r="BE96" s="153"/>
      <c r="BF96" s="153"/>
      <c r="BG96" s="153"/>
      <c r="BH96" s="153"/>
      <c r="BI96" s="153"/>
    </row>
    <row r="97" spans="2:68" ht="15" customHeight="1" outlineLevel="1">
      <c r="P97" s="3"/>
      <c r="Q97" s="1" t="s">
        <v>46</v>
      </c>
      <c r="W97" s="98">
        <f t="shared" ref="W97:AB100" ca="1" si="106">IF($D$2=FALSE,"-",IF(W$13="","",SUM(OFFSET($AF97,0,W$8,1,-$E$5))))</f>
        <v>15.2</v>
      </c>
      <c r="X97" s="98">
        <f t="shared" ca="1" si="106"/>
        <v>15.96</v>
      </c>
      <c r="Y97" s="98">
        <f t="shared" ca="1" si="106"/>
        <v>16.757999999999999</v>
      </c>
      <c r="Z97" s="98">
        <f t="shared" ca="1" si="106"/>
        <v>17.5959</v>
      </c>
      <c r="AA97" s="98">
        <f t="shared" ca="1" si="106"/>
        <v>18.475695000000002</v>
      </c>
      <c r="AB97" s="98">
        <f t="shared" ca="1" si="106"/>
        <v>19.399479750000001</v>
      </c>
      <c r="AC97" s="257"/>
      <c r="AD97" s="99" t="e">
        <f ca="1">IF($D$2=FALSE,"-",IF(AD$13="","",SUM(OFFSET($AF97,0,$F$4-AD$7-1,1,-$E$5))+SUM(OFFSET($AF97,0,$F$4-1,1,-AD$7))-SUM(OFFSET($AF97,0,$F$4-$E$5-1,1,-AD$7))))</f>
        <v>#N/A</v>
      </c>
      <c r="AF97" s="97">
        <f t="shared" ref="AF97:BI97" ca="1" si="107">IF($D$2=FALSE,"-",IF(AF$13="","",AF51))</f>
        <v>15.2</v>
      </c>
      <c r="AG97" s="98">
        <f t="shared" ca="1" si="107"/>
        <v>15.96</v>
      </c>
      <c r="AH97" s="98">
        <f t="shared" ca="1" si="107"/>
        <v>16.757999999999999</v>
      </c>
      <c r="AI97" s="98">
        <f t="shared" ca="1" si="107"/>
        <v>17.5959</v>
      </c>
      <c r="AJ97" s="98">
        <f t="shared" ca="1" si="107"/>
        <v>18.475695000000002</v>
      </c>
      <c r="AK97" s="98">
        <f t="shared" ca="1" si="107"/>
        <v>19.399479750000001</v>
      </c>
      <c r="AL97" s="98" t="str">
        <f t="shared" ca="1" si="107"/>
        <v/>
      </c>
      <c r="AM97" s="98" t="str">
        <f t="shared" ca="1" si="107"/>
        <v/>
      </c>
      <c r="AN97" s="98" t="str">
        <f t="shared" ca="1" si="107"/>
        <v/>
      </c>
      <c r="AO97" s="98" t="str">
        <f t="shared" ca="1" si="107"/>
        <v/>
      </c>
      <c r="AP97" s="98" t="str">
        <f t="shared" ca="1" si="107"/>
        <v/>
      </c>
      <c r="AQ97" s="98" t="str">
        <f t="shared" ca="1" si="107"/>
        <v/>
      </c>
      <c r="AR97" s="98" t="str">
        <f t="shared" ca="1" si="107"/>
        <v/>
      </c>
      <c r="AS97" s="98" t="str">
        <f t="shared" ca="1" si="107"/>
        <v/>
      </c>
      <c r="AT97" s="98" t="str">
        <f t="shared" ca="1" si="107"/>
        <v/>
      </c>
      <c r="AU97" s="98" t="str">
        <f t="shared" ca="1" si="107"/>
        <v/>
      </c>
      <c r="AV97" s="98" t="str">
        <f t="shared" ca="1" si="107"/>
        <v/>
      </c>
      <c r="AW97" s="98" t="str">
        <f t="shared" ca="1" si="107"/>
        <v/>
      </c>
      <c r="AX97" s="98" t="str">
        <f t="shared" ca="1" si="107"/>
        <v/>
      </c>
      <c r="AY97" s="98" t="str">
        <f t="shared" ca="1" si="107"/>
        <v/>
      </c>
      <c r="AZ97" s="98" t="str">
        <f t="shared" ca="1" si="107"/>
        <v/>
      </c>
      <c r="BA97" s="98" t="str">
        <f t="shared" ca="1" si="107"/>
        <v/>
      </c>
      <c r="BB97" s="98" t="str">
        <f t="shared" ca="1" si="107"/>
        <v/>
      </c>
      <c r="BC97" s="98" t="str">
        <f t="shared" ca="1" si="107"/>
        <v/>
      </c>
      <c r="BD97" s="98" t="str">
        <f t="shared" ca="1" si="107"/>
        <v/>
      </c>
      <c r="BE97" s="98" t="str">
        <f t="shared" ca="1" si="107"/>
        <v/>
      </c>
      <c r="BF97" s="98" t="str">
        <f t="shared" ca="1" si="107"/>
        <v/>
      </c>
      <c r="BG97" s="98" t="str">
        <f t="shared" ca="1" si="107"/>
        <v/>
      </c>
      <c r="BH97" s="98" t="str">
        <f t="shared" ca="1" si="107"/>
        <v/>
      </c>
      <c r="BI97" s="98" t="str">
        <f t="shared" ca="1" si="107"/>
        <v/>
      </c>
      <c r="BK97" s="140"/>
      <c r="BL97" s="140"/>
      <c r="BM97" s="140"/>
      <c r="BN97" s="140"/>
      <c r="BO97" s="140"/>
      <c r="BP97" s="140"/>
    </row>
    <row r="98" spans="2:68" ht="15" customHeight="1" outlineLevel="1">
      <c r="L98" s="11">
        <f>10*(12/CREDIT_MODEL!$D$5)</f>
        <v>10</v>
      </c>
      <c r="M98" s="330">
        <v>41456.5</v>
      </c>
      <c r="O98" s="331">
        <f ca="1">IF($D$2=FALSE,"-",(M98-OFFSET($AF13,0,$F$4-1))/365)</f>
        <v>-9.5054794520547947</v>
      </c>
      <c r="P98" s="3"/>
      <c r="Q98" s="1" t="s">
        <v>104</v>
      </c>
      <c r="W98" s="99" t="e">
        <f t="shared" ca="1" si="106"/>
        <v>#N/A</v>
      </c>
      <c r="X98" s="99">
        <f t="shared" ca="1" si="106"/>
        <v>-15.170745205479454</v>
      </c>
      <c r="Y98" s="99">
        <f t="shared" ca="1" si="106"/>
        <v>-14.333282465753424</v>
      </c>
      <c r="Z98" s="99">
        <f t="shared" ca="1" si="106"/>
        <v>-13.453946589041099</v>
      </c>
      <c r="AA98" s="99">
        <f t="shared" ca="1" si="106"/>
        <v>-12.530648671232877</v>
      </c>
      <c r="AB98" s="99">
        <f t="shared" ca="1" si="106"/>
        <v>-11.5611948630137</v>
      </c>
      <c r="AC98" s="257"/>
      <c r="AD98" s="99" t="e">
        <f ca="1">IF($D$2=FALSE,"-",IF(AD$13="","",SUM(OFFSET($AF98,0,$F$4-AD$7-1,1,-$E$5))+SUM(OFFSET($AF98,0,$F$4-1,1,-AD$7))-SUM(OFFSET($AF98,0,$F$4-$E$5-1,1,-AD$7))))</f>
        <v>#N/A</v>
      </c>
      <c r="AF98" s="249" t="e">
        <f ca="1">IF($D$2=FALSE,"-",IF(AF$13="","",IF(AF$4&lt;=0,#N/A,CAPEX_BOOK_DEPRECIATION_FUNC(OFFSET($AF97,0,$F$4,1,AF$4),$L98,$E$5,$O98,0))))</f>
        <v>#N/A</v>
      </c>
      <c r="AG98" s="250">
        <f ca="1">IF($D$2=FALSE,"-",IF(AG$13="","",IF(AG$4&lt;=0,#N/A,CAPEX_BOOK_DEPRECIATION_FUNC(OFFSET($AF97,0,$F$4,1,AG$4),$L98,$E$5,$O98,0))))</f>
        <v>-15.170745205479454</v>
      </c>
      <c r="AH98" s="250">
        <f ca="1">IF($D$2=FALSE,"-",IF(AH$13="","",IF(AH$4&lt;=0,#N/A,CAPEX_BOOK_DEPRECIATION_FUNC(OFFSET($AF97,0,$F$4,1,AH$4),$L98,$E$5,$O98,0))))</f>
        <v>-14.333282465753424</v>
      </c>
      <c r="AI98" s="250">
        <f ca="1">IF($D$2=FALSE,"-",IF(AI$13="","",IF(AI$4&lt;=0,#N/A,CAPEX_BOOK_DEPRECIATION_FUNC(OFFSET($AF97,0,$F$4,1,AI$4),$L98,$E$5,$O98,0))))</f>
        <v>-13.453946589041099</v>
      </c>
      <c r="AJ98" s="250">
        <f ca="1">IF($D$2=FALSE,"-",IF(AJ$13="","",IF(AJ$4&lt;=0,#N/A,CAPEX_BOOK_DEPRECIATION_FUNC(OFFSET($AF97,0,$F$4,1,AJ$4),$L98,$E$5,$O98,0))))</f>
        <v>-12.530648671232877</v>
      </c>
      <c r="AK98" s="250">
        <f ca="1">IF($D$2=FALSE,"-",IF(AK$13="","",IF(AK$4&lt;=0,#N/A,CAPEX_BOOK_DEPRECIATION_FUNC(OFFSET($AF97,0,$F$4,1,AK$4),$L98,$E$5,$O98,0))))</f>
        <v>-11.5611948630137</v>
      </c>
      <c r="AL98" s="250" t="str">
        <f ca="1">IF($D$2=FALSE,"-",IF(AL$13="","",IF(AL$4&lt;=0,#N/A,CAPEX_BOOK_DEPRECIATION_FUNC(OFFSET($AF97,0,$F$4,1,AL$4),$L98,$E$5,$O98,0))))</f>
        <v/>
      </c>
      <c r="AM98" s="250" t="str">
        <f ca="1">IF($D$2=FALSE,"-",IF(AM$13="","",IF(AM$4&lt;=0,#N/A,CAPEX_BOOK_DEPRECIATION_FUNC(OFFSET($AF97,0,$F$4,1,AM$4),$L98,$E$5,$O98,0))))</f>
        <v/>
      </c>
      <c r="AN98" s="250" t="str">
        <f ca="1">IF($D$2=FALSE,"-",IF(AN$13="","",IF(AN$4&lt;=0,#N/A,CAPEX_BOOK_DEPRECIATION_FUNC(OFFSET($AF97,0,$F$4,1,AN$4),$L98,$E$5,$O98,0))))</f>
        <v/>
      </c>
      <c r="AO98" s="250" t="str">
        <f ca="1">IF($D$2=FALSE,"-",IF(AO$13="","",IF(AO$4&lt;=0,#N/A,CAPEX_BOOK_DEPRECIATION_FUNC(OFFSET($AF97,0,$F$4,1,AO$4),$L98,$E$5,$O98,0))))</f>
        <v/>
      </c>
      <c r="AP98" s="250" t="str">
        <f ca="1">IF($D$2=FALSE,"-",IF(AP$13="","",IF(AP$4&lt;=0,#N/A,CAPEX_BOOK_DEPRECIATION_FUNC(OFFSET($AF97,0,$F$4,1,AP$4),$L98,$E$5,$O98,0))))</f>
        <v/>
      </c>
      <c r="AQ98" s="250" t="str">
        <f ca="1">IF($D$2=FALSE,"-",IF(AQ$13="","",IF(AQ$4&lt;=0,#N/A,CAPEX_BOOK_DEPRECIATION_FUNC(OFFSET($AF97,0,$F$4,1,AQ$4),$L98,$E$5,$O98,0))))</f>
        <v/>
      </c>
      <c r="AR98" s="250" t="str">
        <f ca="1">IF($D$2=FALSE,"-",IF(AR$13="","",IF(AR$4&lt;=0,#N/A,CAPEX_BOOK_DEPRECIATION_FUNC(OFFSET($AF97,0,$F$4,1,AR$4),$L98,$E$5,$O98,0))))</f>
        <v/>
      </c>
      <c r="AS98" s="250" t="str">
        <f ca="1">IF($D$2=FALSE,"-",IF(AS$13="","",IF(AS$4&lt;=0,#N/A,CAPEX_BOOK_DEPRECIATION_FUNC(OFFSET($AF97,0,$F$4,1,AS$4),$L98,$E$5,$O98,0))))</f>
        <v/>
      </c>
      <c r="AT98" s="250" t="str">
        <f ca="1">IF($D$2=FALSE,"-",IF(AT$13="","",IF(AT$4&lt;=0,#N/A,CAPEX_BOOK_DEPRECIATION_FUNC(OFFSET($AF97,0,$F$4,1,AT$4),$L98,$E$5,$O98,0))))</f>
        <v/>
      </c>
      <c r="AU98" s="250" t="str">
        <f ca="1">IF($D$2=FALSE,"-",IF(AU$13="","",IF(AU$4&lt;=0,#N/A,CAPEX_BOOK_DEPRECIATION_FUNC(OFFSET($AF97,0,$F$4,1,AU$4),$L98,$E$5,$O98,0))))</f>
        <v/>
      </c>
      <c r="AV98" s="250" t="str">
        <f ca="1">IF($D$2=FALSE,"-",IF(AV$13="","",IF(AV$4&lt;=0,#N/A,CAPEX_BOOK_DEPRECIATION_FUNC(OFFSET($AF97,0,$F$4,1,AV$4),$L98,$E$5,$O98,0))))</f>
        <v/>
      </c>
      <c r="AW98" s="250" t="str">
        <f ca="1">IF($D$2=FALSE,"-",IF(AW$13="","",IF(AW$4&lt;=0,#N/A,CAPEX_BOOK_DEPRECIATION_FUNC(OFFSET($AF97,0,$F$4,1,AW$4),$L98,$E$5,$O98,0))))</f>
        <v/>
      </c>
      <c r="AX98" s="250" t="str">
        <f ca="1">IF($D$2=FALSE,"-",IF(AX$13="","",IF(AX$4&lt;=0,#N/A,CAPEX_BOOK_DEPRECIATION_FUNC(OFFSET($AF97,0,$F$4,1,AX$4),$L98,$E$5,$O98,0))))</f>
        <v/>
      </c>
      <c r="AY98" s="250" t="str">
        <f ca="1">IF($D$2=FALSE,"-",IF(AY$13="","",IF(AY$4&lt;=0,#N/A,CAPEX_BOOK_DEPRECIATION_FUNC(OFFSET($AF97,0,$F$4,1,AY$4),$L98,$E$5,$O98,0))))</f>
        <v/>
      </c>
      <c r="AZ98" s="250" t="str">
        <f ca="1">IF($D$2=FALSE,"-",IF(AZ$13="","",IF(AZ$4&lt;=0,#N/A,CAPEX_BOOK_DEPRECIATION_FUNC(OFFSET($AF97,0,$F$4,1,AZ$4),$L98,$E$5,$O98,0))))</f>
        <v/>
      </c>
      <c r="BA98" s="250" t="str">
        <f ca="1">IF($D$2=FALSE,"-",IF(BA$13="","",IF(BA$4&lt;=0,#N/A,CAPEX_BOOK_DEPRECIATION_FUNC(OFFSET($AF97,0,$F$4,1,BA$4),$L98,$E$5,$O98,0))))</f>
        <v/>
      </c>
      <c r="BB98" s="250" t="str">
        <f ca="1">IF($D$2=FALSE,"-",IF(BB$13="","",IF(BB$4&lt;=0,#N/A,CAPEX_BOOK_DEPRECIATION_FUNC(OFFSET($AF97,0,$F$4,1,BB$4),$L98,$E$5,$O98,0))))</f>
        <v/>
      </c>
      <c r="BC98" s="250" t="str">
        <f ca="1">IF($D$2=FALSE,"-",IF(BC$13="","",IF(BC$4&lt;=0,#N/A,CAPEX_BOOK_DEPRECIATION_FUNC(OFFSET($AF97,0,$F$4,1,BC$4),$L98,$E$5,$O98,0))))</f>
        <v/>
      </c>
      <c r="BD98" s="250" t="str">
        <f ca="1">IF($D$2=FALSE,"-",IF(BD$13="","",IF(BD$4&lt;=0,#N/A,CAPEX_BOOK_DEPRECIATION_FUNC(OFFSET($AF97,0,$F$4,1,BD$4),$L98,$E$5,$O98,0))))</f>
        <v/>
      </c>
      <c r="BE98" s="250" t="str">
        <f ca="1">IF($D$2=FALSE,"-",IF(BE$13="","",IF(BE$4&lt;=0,#N/A,CAPEX_BOOK_DEPRECIATION_FUNC(OFFSET($AF97,0,$F$4,1,BE$4),$L98,$E$5,$O98,0))))</f>
        <v/>
      </c>
      <c r="BF98" s="250" t="str">
        <f ca="1">IF($D$2=FALSE,"-",IF(BF$13="","",IF(BF$4&lt;=0,#N/A,CAPEX_BOOK_DEPRECIATION_FUNC(OFFSET($AF97,0,$F$4,1,BF$4),$L98,$E$5,$O98,0))))</f>
        <v/>
      </c>
      <c r="BG98" s="250" t="str">
        <f ca="1">IF($D$2=FALSE,"-",IF(BG$13="","",IF(BG$4&lt;=0,#N/A,CAPEX_BOOK_DEPRECIATION_FUNC(OFFSET($AF97,0,$F$4,1,BG$4),$L98,$E$5,$O98,0))))</f>
        <v/>
      </c>
      <c r="BH98" s="250" t="str">
        <f ca="1">IF($D$2=FALSE,"-",IF(BH$13="","",IF(BH$4&lt;=0,#N/A,CAPEX_BOOK_DEPRECIATION_FUNC(OFFSET($AF97,0,$F$4,1,BH$4),$L98,$E$5,$O98,0))))</f>
        <v/>
      </c>
      <c r="BI98" s="250" t="str">
        <f ca="1">IF($D$2=FALSE,"-",IF(BI$13="","",IF(BI$4&lt;=0,#N/A,CAPEX_BOOK_DEPRECIATION_FUNC(OFFSET($AF97,0,$F$4,1,BI$4),$L98,$E$5,$O98,0))))</f>
        <v/>
      </c>
      <c r="BK98" s="140"/>
      <c r="BL98" s="140"/>
      <c r="BM98" s="140"/>
      <c r="BN98" s="140"/>
      <c r="BO98" s="140"/>
      <c r="BP98" s="140"/>
    </row>
    <row r="99" spans="2:68" ht="15" customHeight="1" outlineLevel="1">
      <c r="P99" s="3"/>
      <c r="Q99" s="100" t="s">
        <v>99</v>
      </c>
      <c r="R99" s="100"/>
      <c r="S99" s="100"/>
      <c r="T99" s="100"/>
      <c r="U99" s="100"/>
      <c r="W99" s="103" t="e">
        <f t="shared" ca="1" si="106"/>
        <v>#N/A</v>
      </c>
      <c r="X99" s="103">
        <f t="shared" ca="1" si="106"/>
        <v>29.870745205479455</v>
      </c>
      <c r="Y99" s="103">
        <f t="shared" ca="1" si="106"/>
        <v>29.768282465753423</v>
      </c>
      <c r="Z99" s="103">
        <f t="shared" ca="1" si="106"/>
        <v>29.660696589041098</v>
      </c>
      <c r="AA99" s="103">
        <f t="shared" ca="1" si="106"/>
        <v>29.547736171232877</v>
      </c>
      <c r="AB99" s="103">
        <f t="shared" ca="1" si="106"/>
        <v>29.4291367380137</v>
      </c>
      <c r="AC99" s="257"/>
      <c r="AD99" s="101" t="e">
        <f ca="1">IF($D$2=FALSE,"-",IF(AD$13="","",SUM(OFFSET($AF99,0,$F$4-AD$7-1,1,-$E$5))+SUM(OFFSET($AF99,0,$F$4-1,1,-AD$7))-SUM(OFFSET($AF99,0,$F$4-$E$5-1,1,-AD$7))))</f>
        <v>#N/A</v>
      </c>
      <c r="AF99" s="102" t="e">
        <f t="shared" ref="AF99:BI99" ca="1" si="108">IF($D$2=FALSE,"-",IF(AF$13="","",AF100-AF98))</f>
        <v>#N/A</v>
      </c>
      <c r="AG99" s="103">
        <f t="shared" ca="1" si="108"/>
        <v>29.870745205479455</v>
      </c>
      <c r="AH99" s="103">
        <f t="shared" ca="1" si="108"/>
        <v>29.768282465753423</v>
      </c>
      <c r="AI99" s="103">
        <f t="shared" ca="1" si="108"/>
        <v>29.660696589041098</v>
      </c>
      <c r="AJ99" s="103">
        <f t="shared" ca="1" si="108"/>
        <v>29.547736171232877</v>
      </c>
      <c r="AK99" s="103">
        <f t="shared" ca="1" si="108"/>
        <v>29.4291367380137</v>
      </c>
      <c r="AL99" s="103" t="str">
        <f t="shared" ca="1" si="108"/>
        <v/>
      </c>
      <c r="AM99" s="103" t="str">
        <f t="shared" ca="1" si="108"/>
        <v/>
      </c>
      <c r="AN99" s="103" t="str">
        <f t="shared" ca="1" si="108"/>
        <v/>
      </c>
      <c r="AO99" s="103" t="str">
        <f t="shared" ca="1" si="108"/>
        <v/>
      </c>
      <c r="AP99" s="103" t="str">
        <f t="shared" ca="1" si="108"/>
        <v/>
      </c>
      <c r="AQ99" s="103" t="str">
        <f t="shared" ca="1" si="108"/>
        <v/>
      </c>
      <c r="AR99" s="103" t="str">
        <f t="shared" ca="1" si="108"/>
        <v/>
      </c>
      <c r="AS99" s="103" t="str">
        <f t="shared" ca="1" si="108"/>
        <v/>
      </c>
      <c r="AT99" s="103" t="str">
        <f t="shared" ca="1" si="108"/>
        <v/>
      </c>
      <c r="AU99" s="103" t="str">
        <f t="shared" ca="1" si="108"/>
        <v/>
      </c>
      <c r="AV99" s="103" t="str">
        <f t="shared" ca="1" si="108"/>
        <v/>
      </c>
      <c r="AW99" s="103" t="str">
        <f t="shared" ca="1" si="108"/>
        <v/>
      </c>
      <c r="AX99" s="103" t="str">
        <f t="shared" ca="1" si="108"/>
        <v/>
      </c>
      <c r="AY99" s="103" t="str">
        <f t="shared" ca="1" si="108"/>
        <v/>
      </c>
      <c r="AZ99" s="103" t="str">
        <f t="shared" ca="1" si="108"/>
        <v/>
      </c>
      <c r="BA99" s="103" t="str">
        <f t="shared" ca="1" si="108"/>
        <v/>
      </c>
      <c r="BB99" s="103" t="str">
        <f t="shared" ca="1" si="108"/>
        <v/>
      </c>
      <c r="BC99" s="103" t="str">
        <f t="shared" ca="1" si="108"/>
        <v/>
      </c>
      <c r="BD99" s="103" t="str">
        <f t="shared" ca="1" si="108"/>
        <v/>
      </c>
      <c r="BE99" s="103" t="str">
        <f t="shared" ca="1" si="108"/>
        <v/>
      </c>
      <c r="BF99" s="103" t="str">
        <f t="shared" ca="1" si="108"/>
        <v/>
      </c>
      <c r="BG99" s="103" t="str">
        <f t="shared" ca="1" si="108"/>
        <v/>
      </c>
      <c r="BH99" s="103" t="str">
        <f t="shared" ca="1" si="108"/>
        <v/>
      </c>
      <c r="BI99" s="103" t="str">
        <f t="shared" ca="1" si="108"/>
        <v/>
      </c>
      <c r="BK99" s="140"/>
      <c r="BL99" s="140"/>
      <c r="BM99" s="140"/>
      <c r="BN99" s="140"/>
      <c r="BO99" s="140"/>
      <c r="BP99" s="140"/>
    </row>
    <row r="100" spans="2:68" ht="15" customHeight="1" outlineLevel="1">
      <c r="P100" s="3"/>
      <c r="Q100" s="1" t="s">
        <v>100</v>
      </c>
      <c r="W100" s="98">
        <f t="shared" ca="1" si="106"/>
        <v>14</v>
      </c>
      <c r="X100" s="98">
        <f t="shared" ca="1" si="106"/>
        <v>14.700000000000001</v>
      </c>
      <c r="Y100" s="98">
        <f t="shared" ca="1" si="106"/>
        <v>15.435</v>
      </c>
      <c r="Z100" s="98">
        <f t="shared" ca="1" si="106"/>
        <v>16.20675</v>
      </c>
      <c r="AA100" s="98">
        <f t="shared" ca="1" si="106"/>
        <v>17.017087499999999</v>
      </c>
      <c r="AB100" s="98">
        <f t="shared" ca="1" si="106"/>
        <v>17.867941875</v>
      </c>
      <c r="AC100" s="257"/>
      <c r="AD100" s="99" t="e">
        <f ca="1">IF($D$2=FALSE,"-",IF(AD$13="","",SUM(OFFSET($AF100,0,$F$4-AD$7-1,1,-$E$5))+SUM(OFFSET($AF100,0,$F$4-1,1,-AD$7))-SUM(OFFSET($AF100,0,$F$4-$E$5-1,1,-AD$7))))</f>
        <v>#N/A</v>
      </c>
      <c r="AF100" s="97">
        <f t="shared" ref="AF100:BI100" ca="1" si="109">IF($D$2=FALSE,"-",IF(AF$13="","",AF20))</f>
        <v>14</v>
      </c>
      <c r="AG100" s="98">
        <f t="shared" ca="1" si="109"/>
        <v>14.700000000000001</v>
      </c>
      <c r="AH100" s="98">
        <f t="shared" ca="1" si="109"/>
        <v>15.435</v>
      </c>
      <c r="AI100" s="98">
        <f t="shared" ca="1" si="109"/>
        <v>16.20675</v>
      </c>
      <c r="AJ100" s="98">
        <f t="shared" ca="1" si="109"/>
        <v>17.017087499999999</v>
      </c>
      <c r="AK100" s="98">
        <f t="shared" ca="1" si="109"/>
        <v>17.867941875</v>
      </c>
      <c r="AL100" s="98" t="str">
        <f t="shared" ca="1" si="109"/>
        <v/>
      </c>
      <c r="AM100" s="98" t="str">
        <f t="shared" ca="1" si="109"/>
        <v/>
      </c>
      <c r="AN100" s="98" t="str">
        <f t="shared" ca="1" si="109"/>
        <v/>
      </c>
      <c r="AO100" s="98" t="str">
        <f t="shared" ca="1" si="109"/>
        <v/>
      </c>
      <c r="AP100" s="98" t="str">
        <f t="shared" ca="1" si="109"/>
        <v/>
      </c>
      <c r="AQ100" s="98" t="str">
        <f t="shared" ca="1" si="109"/>
        <v/>
      </c>
      <c r="AR100" s="98" t="str">
        <f t="shared" ca="1" si="109"/>
        <v/>
      </c>
      <c r="AS100" s="98" t="str">
        <f t="shared" ca="1" si="109"/>
        <v/>
      </c>
      <c r="AT100" s="98" t="str">
        <f t="shared" ca="1" si="109"/>
        <v/>
      </c>
      <c r="AU100" s="98" t="str">
        <f t="shared" ca="1" si="109"/>
        <v/>
      </c>
      <c r="AV100" s="98" t="str">
        <f t="shared" ca="1" si="109"/>
        <v/>
      </c>
      <c r="AW100" s="98" t="str">
        <f t="shared" ca="1" si="109"/>
        <v/>
      </c>
      <c r="AX100" s="98" t="str">
        <f t="shared" ca="1" si="109"/>
        <v/>
      </c>
      <c r="AY100" s="98" t="str">
        <f t="shared" ca="1" si="109"/>
        <v/>
      </c>
      <c r="AZ100" s="98" t="str">
        <f t="shared" ca="1" si="109"/>
        <v/>
      </c>
      <c r="BA100" s="98" t="str">
        <f t="shared" ca="1" si="109"/>
        <v/>
      </c>
      <c r="BB100" s="98" t="str">
        <f t="shared" ca="1" si="109"/>
        <v/>
      </c>
      <c r="BC100" s="98" t="str">
        <f t="shared" ca="1" si="109"/>
        <v/>
      </c>
      <c r="BD100" s="98" t="str">
        <f t="shared" ca="1" si="109"/>
        <v/>
      </c>
      <c r="BE100" s="98" t="str">
        <f t="shared" ca="1" si="109"/>
        <v/>
      </c>
      <c r="BF100" s="98" t="str">
        <f t="shared" ca="1" si="109"/>
        <v/>
      </c>
      <c r="BG100" s="98" t="str">
        <f t="shared" ca="1" si="109"/>
        <v/>
      </c>
      <c r="BH100" s="98" t="str">
        <f t="shared" ca="1" si="109"/>
        <v/>
      </c>
      <c r="BI100" s="98" t="str">
        <f t="shared" ca="1" si="109"/>
        <v/>
      </c>
      <c r="BK100" s="140"/>
      <c r="BL100" s="140"/>
      <c r="BM100" s="140"/>
      <c r="BN100" s="140"/>
      <c r="BO100" s="140"/>
      <c r="BP100" s="140"/>
    </row>
    <row r="101" spans="2:68" ht="15" customHeight="1" outlineLevel="1"/>
    <row r="102" spans="2:68" ht="15" customHeight="1" outlineLevel="1">
      <c r="Q102" s="68" t="s">
        <v>105</v>
      </c>
      <c r="R102" s="68"/>
      <c r="S102" s="68"/>
      <c r="T102" s="68"/>
      <c r="U102" s="68"/>
      <c r="V102" s="6"/>
      <c r="W102" s="26"/>
      <c r="X102" s="26"/>
      <c r="Y102" s="26"/>
      <c r="Z102" s="26"/>
      <c r="AA102" s="26"/>
      <c r="AB102" s="26"/>
      <c r="AC102" s="6"/>
      <c r="AD102" s="59"/>
      <c r="AE102" s="6"/>
      <c r="AF102" s="152"/>
      <c r="AG102" s="153"/>
      <c r="AH102" s="153"/>
      <c r="AI102" s="153"/>
      <c r="AJ102" s="153"/>
      <c r="AK102" s="153"/>
      <c r="AL102" s="153"/>
      <c r="AM102" s="153"/>
      <c r="AN102" s="153"/>
      <c r="AO102" s="153"/>
      <c r="AP102" s="153"/>
      <c r="AQ102" s="153"/>
      <c r="AR102" s="153"/>
      <c r="AS102" s="153"/>
      <c r="AT102" s="153"/>
      <c r="AU102" s="153"/>
      <c r="AV102" s="153"/>
      <c r="AW102" s="153"/>
      <c r="AX102" s="153"/>
      <c r="AY102" s="153"/>
      <c r="AZ102" s="153"/>
      <c r="BA102" s="153"/>
      <c r="BB102" s="153"/>
      <c r="BC102" s="153"/>
      <c r="BD102" s="153"/>
      <c r="BE102" s="153"/>
      <c r="BF102" s="153"/>
      <c r="BG102" s="153"/>
      <c r="BH102" s="153"/>
      <c r="BI102" s="153"/>
    </row>
    <row r="103" spans="2:68" ht="15" customHeight="1" outlineLevel="1">
      <c r="L103" s="11">
        <v>10</v>
      </c>
      <c r="M103" s="172">
        <v>0</v>
      </c>
      <c r="P103" s="3"/>
      <c r="Q103" s="1" t="s">
        <v>101</v>
      </c>
      <c r="W103" s="99" t="e">
        <f t="shared" ref="W103:AB105" ca="1" si="110">IF($D$2=FALSE,"-",IF(W$13="","",SUM(OFFSET($AF103,0,W$8,1,-$E$5))))</f>
        <v>#N/A</v>
      </c>
      <c r="X103" s="99">
        <f t="shared" ca="1" si="110"/>
        <v>-15.170745205479454</v>
      </c>
      <c r="Y103" s="99">
        <f t="shared" ca="1" si="110"/>
        <v>-14.333282465753424</v>
      </c>
      <c r="Z103" s="99">
        <f t="shared" ca="1" si="110"/>
        <v>-13.453946589041099</v>
      </c>
      <c r="AA103" s="99">
        <f t="shared" ca="1" si="110"/>
        <v>-12.530648671232877</v>
      </c>
      <c r="AB103" s="99">
        <f t="shared" ca="1" si="110"/>
        <v>-11.5611948630137</v>
      </c>
      <c r="AC103" s="257"/>
      <c r="AD103" s="99" t="e">
        <f ca="1">IF($D$2=FALSE,"-",IF(AD$13="","",SUM(OFFSET($AF103,0,$F$4-AD$7-1,1,-$E$5))+SUM(OFFSET($AF103,0,$F$4-1,1,-AD$7))-SUM(OFFSET($AF103,0,$F$4-$E$5-1,1,-AD$7))))</f>
        <v>#N/A</v>
      </c>
      <c r="AF103" s="249" t="e">
        <f ca="1">IF($D$2=FALSE,"-",IF(AF$13="","",IF($M103=0,AF98,IF(AF$4&lt;=0,#N/A,CAPEX_BOOK_DEPRECIATION_FUNC(OFFSET($AF97,0,$F$4,1,AF$4),$L103,$E$5,1,1)))))</f>
        <v>#N/A</v>
      </c>
      <c r="AG103" s="250">
        <f ca="1">IF($D$2=FALSE,"-",IF(AG$13="","",IF($M103=0,AG98,IF(AG$4&lt;=0,#N/A,CAPEX_BOOK_DEPRECIATION_FUNC(OFFSET($AF97,0,$F$4,1,AG$4),$L103,$E$5,1,1)))))</f>
        <v>-15.170745205479454</v>
      </c>
      <c r="AH103" s="250">
        <f ca="1">IF($D$2=FALSE,"-",IF(AH$13="","",IF($M103=0,AH98,IF(AH$4&lt;=0,#N/A,CAPEX_BOOK_DEPRECIATION_FUNC(OFFSET($AF97,0,$F$4,1,AH$4),$L103,$E$5,1,1)))))</f>
        <v>-14.333282465753424</v>
      </c>
      <c r="AI103" s="250">
        <f ca="1">IF($D$2=FALSE,"-",IF(AI$13="","",IF($M103=0,AI98,IF(AI$4&lt;=0,#N/A,CAPEX_BOOK_DEPRECIATION_FUNC(OFFSET($AF97,0,$F$4,1,AI$4),$L103,$E$5,1,1)))))</f>
        <v>-13.453946589041099</v>
      </c>
      <c r="AJ103" s="250">
        <f ca="1">IF($D$2=FALSE,"-",IF(AJ$13="","",IF($M103=0,AJ98,IF(AJ$4&lt;=0,#N/A,CAPEX_BOOK_DEPRECIATION_FUNC(OFFSET($AF97,0,$F$4,1,AJ$4),$L103,$E$5,1,1)))))</f>
        <v>-12.530648671232877</v>
      </c>
      <c r="AK103" s="250">
        <f ca="1">IF($D$2=FALSE,"-",IF(AK$13="","",IF($M103=0,AK98,IF(AK$4&lt;=0,#N/A,CAPEX_BOOK_DEPRECIATION_FUNC(OFFSET($AF97,0,$F$4,1,AK$4),$L103,$E$5,1,1)))))</f>
        <v>-11.5611948630137</v>
      </c>
      <c r="AL103" s="250" t="str">
        <f ca="1">IF($D$2=FALSE,"-",IF(AL$13="","",IF($M103=0,AL98,IF(AL$4&lt;=0,#N/A,CAPEX_BOOK_DEPRECIATION_FUNC(OFFSET($AF97,0,$F$4,1,AL$4),$L103,$E$5,1,1)))))</f>
        <v/>
      </c>
      <c r="AM103" s="250" t="str">
        <f ca="1">IF($D$2=FALSE,"-",IF(AM$13="","",IF($M103=0,AM98,IF(AM$4&lt;=0,#N/A,CAPEX_BOOK_DEPRECIATION_FUNC(OFFSET($AF97,0,$F$4,1,AM$4),$L103,$E$5,1,1)))))</f>
        <v/>
      </c>
      <c r="AN103" s="250" t="str">
        <f ca="1">IF($D$2=FALSE,"-",IF(AN$13="","",IF($M103=0,AN98,IF(AN$4&lt;=0,#N/A,CAPEX_BOOK_DEPRECIATION_FUNC(OFFSET($AF97,0,$F$4,1,AN$4),$L103,$E$5,1,1)))))</f>
        <v/>
      </c>
      <c r="AO103" s="250" t="str">
        <f ca="1">IF($D$2=FALSE,"-",IF(AO$13="","",IF($M103=0,AO98,IF(AO$4&lt;=0,#N/A,CAPEX_BOOK_DEPRECIATION_FUNC(OFFSET($AF97,0,$F$4,1,AO$4),$L103,$E$5,1,1)))))</f>
        <v/>
      </c>
      <c r="AP103" s="250" t="str">
        <f ca="1">IF($D$2=FALSE,"-",IF(AP$13="","",IF($M103=0,AP98,IF(AP$4&lt;=0,#N/A,CAPEX_BOOK_DEPRECIATION_FUNC(OFFSET($AF97,0,$F$4,1,AP$4),$L103,$E$5,1,1)))))</f>
        <v/>
      </c>
      <c r="AQ103" s="250" t="str">
        <f ca="1">IF($D$2=FALSE,"-",IF(AQ$13="","",IF($M103=0,AQ98,IF(AQ$4&lt;=0,#N/A,CAPEX_BOOK_DEPRECIATION_FUNC(OFFSET($AF97,0,$F$4,1,AQ$4),$L103,$E$5,1,1)))))</f>
        <v/>
      </c>
      <c r="AR103" s="250" t="str">
        <f ca="1">IF($D$2=FALSE,"-",IF(AR$13="","",IF($M103=0,AR98,IF(AR$4&lt;=0,#N/A,CAPEX_BOOK_DEPRECIATION_FUNC(OFFSET($AF97,0,$F$4,1,AR$4),$L103,$E$5,1,1)))))</f>
        <v/>
      </c>
      <c r="AS103" s="250" t="str">
        <f ca="1">IF($D$2=FALSE,"-",IF(AS$13="","",IF($M103=0,AS98,IF(AS$4&lt;=0,#N/A,CAPEX_BOOK_DEPRECIATION_FUNC(OFFSET($AF97,0,$F$4,1,AS$4),$L103,$E$5,1,1)))))</f>
        <v/>
      </c>
      <c r="AT103" s="250" t="str">
        <f ca="1">IF($D$2=FALSE,"-",IF(AT$13="","",IF($M103=0,AT98,IF(AT$4&lt;=0,#N/A,CAPEX_BOOK_DEPRECIATION_FUNC(OFFSET($AF97,0,$F$4,1,AT$4),$L103,$E$5,1,1)))))</f>
        <v/>
      </c>
      <c r="AU103" s="250" t="str">
        <f ca="1">IF($D$2=FALSE,"-",IF(AU$13="","",IF($M103=0,AU98,IF(AU$4&lt;=0,#N/A,CAPEX_BOOK_DEPRECIATION_FUNC(OFFSET($AF97,0,$F$4,1,AU$4),$L103,$E$5,1,1)))))</f>
        <v/>
      </c>
      <c r="AV103" s="250" t="str">
        <f ca="1">IF($D$2=FALSE,"-",IF(AV$13="","",IF($M103=0,AV98,IF(AV$4&lt;=0,#N/A,CAPEX_BOOK_DEPRECIATION_FUNC(OFFSET($AF97,0,$F$4,1,AV$4),$L103,$E$5,1,1)))))</f>
        <v/>
      </c>
      <c r="AW103" s="250" t="str">
        <f ca="1">IF($D$2=FALSE,"-",IF(AW$13="","",IF($M103=0,AW98,IF(AW$4&lt;=0,#N/A,CAPEX_BOOK_DEPRECIATION_FUNC(OFFSET($AF97,0,$F$4,1,AW$4),$L103,$E$5,1,1)))))</f>
        <v/>
      </c>
      <c r="AX103" s="250" t="str">
        <f ca="1">IF($D$2=FALSE,"-",IF(AX$13="","",IF($M103=0,AX98,IF(AX$4&lt;=0,#N/A,CAPEX_BOOK_DEPRECIATION_FUNC(OFFSET($AF97,0,$F$4,1,AX$4),$L103,$E$5,1,1)))))</f>
        <v/>
      </c>
      <c r="AY103" s="250" t="str">
        <f ca="1">IF($D$2=FALSE,"-",IF(AY$13="","",IF($M103=0,AY98,IF(AY$4&lt;=0,#N/A,CAPEX_BOOK_DEPRECIATION_FUNC(OFFSET($AF97,0,$F$4,1,AY$4),$L103,$E$5,1,1)))))</f>
        <v/>
      </c>
      <c r="AZ103" s="250" t="str">
        <f ca="1">IF($D$2=FALSE,"-",IF(AZ$13="","",IF($M103=0,AZ98,IF(AZ$4&lt;=0,#N/A,CAPEX_BOOK_DEPRECIATION_FUNC(OFFSET($AF97,0,$F$4,1,AZ$4),$L103,$E$5,1,1)))))</f>
        <v/>
      </c>
      <c r="BA103" s="250" t="str">
        <f ca="1">IF($D$2=FALSE,"-",IF(BA$13="","",IF($M103=0,BA98,IF(BA$4&lt;=0,#N/A,CAPEX_BOOK_DEPRECIATION_FUNC(OFFSET($AF97,0,$F$4,1,BA$4),$L103,$E$5,1,1)))))</f>
        <v/>
      </c>
      <c r="BB103" s="250" t="str">
        <f ca="1">IF($D$2=FALSE,"-",IF(BB$13="","",IF($M103=0,BB98,IF(BB$4&lt;=0,#N/A,CAPEX_BOOK_DEPRECIATION_FUNC(OFFSET($AF97,0,$F$4,1,BB$4),$L103,$E$5,1,1)))))</f>
        <v/>
      </c>
      <c r="BC103" s="250" t="str">
        <f ca="1">IF($D$2=FALSE,"-",IF(BC$13="","",IF($M103=0,BC98,IF(BC$4&lt;=0,#N/A,CAPEX_BOOK_DEPRECIATION_FUNC(OFFSET($AF97,0,$F$4,1,BC$4),$L103,$E$5,1,1)))))</f>
        <v/>
      </c>
      <c r="BD103" s="250" t="str">
        <f ca="1">IF($D$2=FALSE,"-",IF(BD$13="","",IF($M103=0,BD98,IF(BD$4&lt;=0,#N/A,CAPEX_BOOK_DEPRECIATION_FUNC(OFFSET($AF97,0,$F$4,1,BD$4),$L103,$E$5,1,1)))))</f>
        <v/>
      </c>
      <c r="BE103" s="250" t="str">
        <f ca="1">IF($D$2=FALSE,"-",IF(BE$13="","",IF($M103=0,BE98,IF(BE$4&lt;=0,#N/A,CAPEX_BOOK_DEPRECIATION_FUNC(OFFSET($AF97,0,$F$4,1,BE$4),$L103,$E$5,1,1)))))</f>
        <v/>
      </c>
      <c r="BF103" s="250" t="str">
        <f ca="1">IF($D$2=FALSE,"-",IF(BF$13="","",IF($M103=0,BF98,IF(BF$4&lt;=0,#N/A,CAPEX_BOOK_DEPRECIATION_FUNC(OFFSET($AF97,0,$F$4,1,BF$4),$L103,$E$5,1,1)))))</f>
        <v/>
      </c>
      <c r="BG103" s="250" t="str">
        <f ca="1">IF($D$2=FALSE,"-",IF(BG$13="","",IF($M103=0,BG98,IF(BG$4&lt;=0,#N/A,CAPEX_BOOK_DEPRECIATION_FUNC(OFFSET($AF97,0,$F$4,1,BG$4),$L103,$E$5,1,1)))))</f>
        <v/>
      </c>
      <c r="BH103" s="250" t="str">
        <f ca="1">IF($D$2=FALSE,"-",IF(BH$13="","",IF($M103=0,BH98,IF(BH$4&lt;=0,#N/A,CAPEX_BOOK_DEPRECIATION_FUNC(OFFSET($AF97,0,$F$4,1,BH$4),$L103,$E$5,1,1)))))</f>
        <v/>
      </c>
      <c r="BI103" s="250" t="str">
        <f ca="1">IF($D$2=FALSE,"-",IF(BI$13="","",IF($M103=0,BI98,IF(BI$4&lt;=0,#N/A,CAPEX_BOOK_DEPRECIATION_FUNC(OFFSET($AF97,0,$F$4,1,BI$4),$L103,$E$5,1,1)))))</f>
        <v/>
      </c>
      <c r="BK103" s="140"/>
      <c r="BL103" s="140"/>
      <c r="BM103" s="140"/>
      <c r="BN103" s="140"/>
      <c r="BO103" s="140"/>
      <c r="BP103" s="140"/>
    </row>
    <row r="104" spans="2:68" ht="15" customHeight="1" outlineLevel="1">
      <c r="P104" s="3"/>
      <c r="Q104" s="100" t="s">
        <v>102</v>
      </c>
      <c r="R104" s="100"/>
      <c r="S104" s="100"/>
      <c r="T104" s="100"/>
      <c r="U104" s="100"/>
      <c r="W104" s="103" t="e">
        <f t="shared" ca="1" si="110"/>
        <v>#N/A</v>
      </c>
      <c r="X104" s="103">
        <f t="shared" ca="1" si="110"/>
        <v>29.870745205479455</v>
      </c>
      <c r="Y104" s="103">
        <f t="shared" ca="1" si="110"/>
        <v>29.768282465753423</v>
      </c>
      <c r="Z104" s="103">
        <f t="shared" ca="1" si="110"/>
        <v>29.660696589041098</v>
      </c>
      <c r="AA104" s="103">
        <f t="shared" ca="1" si="110"/>
        <v>29.547736171232877</v>
      </c>
      <c r="AB104" s="103">
        <f t="shared" ca="1" si="110"/>
        <v>29.4291367380137</v>
      </c>
      <c r="AC104" s="257"/>
      <c r="AD104" s="101" t="e">
        <f ca="1">IF($D$2=FALSE,"-",IF(AD$13="","",SUM(OFFSET($AF104,0,$F$4-AD$7-1,1,-$E$5))+SUM(OFFSET($AF104,0,$F$4-1,1,-AD$7))-SUM(OFFSET($AF104,0,$F$4-$E$5-1,1,-AD$7))))</f>
        <v>#N/A</v>
      </c>
      <c r="AF104" s="102" t="e">
        <f t="shared" ref="AF104:BI104" ca="1" si="111">IF($D$2=FALSE,"-",IF(AF$13="","",AF99))</f>
        <v>#N/A</v>
      </c>
      <c r="AG104" s="103">
        <f t="shared" ca="1" si="111"/>
        <v>29.870745205479455</v>
      </c>
      <c r="AH104" s="103">
        <f t="shared" ca="1" si="111"/>
        <v>29.768282465753423</v>
      </c>
      <c r="AI104" s="103">
        <f t="shared" ca="1" si="111"/>
        <v>29.660696589041098</v>
      </c>
      <c r="AJ104" s="103">
        <f t="shared" ca="1" si="111"/>
        <v>29.547736171232877</v>
      </c>
      <c r="AK104" s="103">
        <f t="shared" ca="1" si="111"/>
        <v>29.4291367380137</v>
      </c>
      <c r="AL104" s="103" t="str">
        <f t="shared" ca="1" si="111"/>
        <v/>
      </c>
      <c r="AM104" s="103" t="str">
        <f t="shared" ca="1" si="111"/>
        <v/>
      </c>
      <c r="AN104" s="103" t="str">
        <f t="shared" ca="1" si="111"/>
        <v/>
      </c>
      <c r="AO104" s="103" t="str">
        <f t="shared" ca="1" si="111"/>
        <v/>
      </c>
      <c r="AP104" s="103" t="str">
        <f t="shared" ca="1" si="111"/>
        <v/>
      </c>
      <c r="AQ104" s="103" t="str">
        <f t="shared" ca="1" si="111"/>
        <v/>
      </c>
      <c r="AR104" s="103" t="str">
        <f t="shared" ca="1" si="111"/>
        <v/>
      </c>
      <c r="AS104" s="103" t="str">
        <f t="shared" ca="1" si="111"/>
        <v/>
      </c>
      <c r="AT104" s="103" t="str">
        <f t="shared" ca="1" si="111"/>
        <v/>
      </c>
      <c r="AU104" s="103" t="str">
        <f t="shared" ca="1" si="111"/>
        <v/>
      </c>
      <c r="AV104" s="103" t="str">
        <f t="shared" ca="1" si="111"/>
        <v/>
      </c>
      <c r="AW104" s="103" t="str">
        <f t="shared" ca="1" si="111"/>
        <v/>
      </c>
      <c r="AX104" s="103" t="str">
        <f t="shared" ca="1" si="111"/>
        <v/>
      </c>
      <c r="AY104" s="103" t="str">
        <f t="shared" ca="1" si="111"/>
        <v/>
      </c>
      <c r="AZ104" s="103" t="str">
        <f t="shared" ca="1" si="111"/>
        <v/>
      </c>
      <c r="BA104" s="103" t="str">
        <f t="shared" ca="1" si="111"/>
        <v/>
      </c>
      <c r="BB104" s="103" t="str">
        <f t="shared" ca="1" si="111"/>
        <v/>
      </c>
      <c r="BC104" s="103" t="str">
        <f t="shared" ca="1" si="111"/>
        <v/>
      </c>
      <c r="BD104" s="103" t="str">
        <f t="shared" ca="1" si="111"/>
        <v/>
      </c>
      <c r="BE104" s="103" t="str">
        <f t="shared" ca="1" si="111"/>
        <v/>
      </c>
      <c r="BF104" s="103" t="str">
        <f t="shared" ca="1" si="111"/>
        <v/>
      </c>
      <c r="BG104" s="103" t="str">
        <f t="shared" ca="1" si="111"/>
        <v/>
      </c>
      <c r="BH104" s="103" t="str">
        <f t="shared" ca="1" si="111"/>
        <v/>
      </c>
      <c r="BI104" s="103" t="str">
        <f t="shared" ca="1" si="111"/>
        <v/>
      </c>
      <c r="BK104" s="140"/>
      <c r="BL104" s="140"/>
      <c r="BM104" s="140"/>
      <c r="BN104" s="140"/>
      <c r="BO104" s="140"/>
      <c r="BP104" s="140"/>
    </row>
    <row r="105" spans="2:68" ht="15" customHeight="1" outlineLevel="1">
      <c r="P105" s="3"/>
      <c r="Q105" s="1" t="s">
        <v>103</v>
      </c>
      <c r="W105" s="98" t="e">
        <f t="shared" ca="1" si="110"/>
        <v>#N/A</v>
      </c>
      <c r="X105" s="98">
        <f t="shared" ca="1" si="110"/>
        <v>14.700000000000001</v>
      </c>
      <c r="Y105" s="98">
        <f t="shared" ca="1" si="110"/>
        <v>15.434999999999999</v>
      </c>
      <c r="Z105" s="98">
        <f t="shared" ca="1" si="110"/>
        <v>16.20675</v>
      </c>
      <c r="AA105" s="98">
        <f t="shared" ca="1" si="110"/>
        <v>17.017087500000002</v>
      </c>
      <c r="AB105" s="98">
        <f t="shared" ca="1" si="110"/>
        <v>17.867941875</v>
      </c>
      <c r="AC105" s="257"/>
      <c r="AD105" s="99" t="e">
        <f ca="1">IF($D$2=FALSE,"-",IF(AD$13="","",SUM(OFFSET($AF105,0,$F$4-AD$7-1,1,-$E$5))+SUM(OFFSET($AF105,0,$F$4-1,1,-AD$7))-SUM(OFFSET($AF105,0,$F$4-$E$5-1,1,-AD$7))))</f>
        <v>#N/A</v>
      </c>
      <c r="AF105" s="97" t="e">
        <f t="shared" ref="AF105:BI105" ca="1" si="112">IF($D$2=FALSE,"-",IF(AF$13="","",SUM(AF103:AF104)))</f>
        <v>#N/A</v>
      </c>
      <c r="AG105" s="98">
        <f t="shared" ca="1" si="112"/>
        <v>14.700000000000001</v>
      </c>
      <c r="AH105" s="98">
        <f t="shared" ca="1" si="112"/>
        <v>15.434999999999999</v>
      </c>
      <c r="AI105" s="98">
        <f t="shared" ca="1" si="112"/>
        <v>16.20675</v>
      </c>
      <c r="AJ105" s="98">
        <f t="shared" ca="1" si="112"/>
        <v>17.017087500000002</v>
      </c>
      <c r="AK105" s="98">
        <f t="shared" ca="1" si="112"/>
        <v>17.867941875</v>
      </c>
      <c r="AL105" s="98" t="str">
        <f t="shared" ca="1" si="112"/>
        <v/>
      </c>
      <c r="AM105" s="98" t="str">
        <f t="shared" ca="1" si="112"/>
        <v/>
      </c>
      <c r="AN105" s="98" t="str">
        <f t="shared" ca="1" si="112"/>
        <v/>
      </c>
      <c r="AO105" s="98" t="str">
        <f t="shared" ca="1" si="112"/>
        <v/>
      </c>
      <c r="AP105" s="98" t="str">
        <f t="shared" ca="1" si="112"/>
        <v/>
      </c>
      <c r="AQ105" s="98" t="str">
        <f t="shared" ca="1" si="112"/>
        <v/>
      </c>
      <c r="AR105" s="98" t="str">
        <f t="shared" ca="1" si="112"/>
        <v/>
      </c>
      <c r="AS105" s="98" t="str">
        <f t="shared" ca="1" si="112"/>
        <v/>
      </c>
      <c r="AT105" s="98" t="str">
        <f t="shared" ca="1" si="112"/>
        <v/>
      </c>
      <c r="AU105" s="98" t="str">
        <f t="shared" ca="1" si="112"/>
        <v/>
      </c>
      <c r="AV105" s="98" t="str">
        <f t="shared" ca="1" si="112"/>
        <v/>
      </c>
      <c r="AW105" s="98" t="str">
        <f t="shared" ca="1" si="112"/>
        <v/>
      </c>
      <c r="AX105" s="98" t="str">
        <f t="shared" ca="1" si="112"/>
        <v/>
      </c>
      <c r="AY105" s="98" t="str">
        <f t="shared" ca="1" si="112"/>
        <v/>
      </c>
      <c r="AZ105" s="98" t="str">
        <f t="shared" ca="1" si="112"/>
        <v/>
      </c>
      <c r="BA105" s="98" t="str">
        <f t="shared" ca="1" si="112"/>
        <v/>
      </c>
      <c r="BB105" s="98" t="str">
        <f t="shared" ca="1" si="112"/>
        <v/>
      </c>
      <c r="BC105" s="98" t="str">
        <f t="shared" ca="1" si="112"/>
        <v/>
      </c>
      <c r="BD105" s="98" t="str">
        <f t="shared" ca="1" si="112"/>
        <v/>
      </c>
      <c r="BE105" s="98" t="str">
        <f t="shared" ca="1" si="112"/>
        <v/>
      </c>
      <c r="BF105" s="98" t="str">
        <f t="shared" ca="1" si="112"/>
        <v/>
      </c>
      <c r="BG105" s="98" t="str">
        <f t="shared" ca="1" si="112"/>
        <v/>
      </c>
      <c r="BH105" s="98" t="str">
        <f t="shared" ca="1" si="112"/>
        <v/>
      </c>
      <c r="BI105" s="98" t="str">
        <f t="shared" ca="1" si="112"/>
        <v/>
      </c>
      <c r="BK105" s="140"/>
      <c r="BL105" s="140"/>
      <c r="BM105" s="140"/>
      <c r="BN105" s="140"/>
      <c r="BO105" s="140"/>
      <c r="BP105" s="140"/>
    </row>
    <row r="106" spans="2:68" ht="15" customHeight="1" outlineLevel="1">
      <c r="BK106" s="140"/>
      <c r="BL106" s="140"/>
      <c r="BM106" s="140"/>
      <c r="BN106" s="140"/>
      <c r="BO106" s="140"/>
      <c r="BP106" s="140"/>
    </row>
    <row r="107" spans="2:68" ht="15" customHeight="1" outlineLevel="1">
      <c r="Q107" s="68" t="s">
        <v>153</v>
      </c>
      <c r="R107" s="68"/>
      <c r="S107" s="68"/>
      <c r="T107" s="68"/>
      <c r="U107" s="68"/>
      <c r="V107" s="6"/>
      <c r="W107" s="26"/>
      <c r="X107" s="26"/>
      <c r="Y107" s="26"/>
      <c r="Z107" s="26"/>
      <c r="AA107" s="26"/>
      <c r="AB107" s="26"/>
      <c r="AC107" s="6"/>
      <c r="AD107" s="59"/>
      <c r="AE107" s="6"/>
      <c r="AF107" s="152"/>
      <c r="AG107" s="153"/>
      <c r="AH107" s="153"/>
      <c r="AI107" s="153"/>
      <c r="AJ107" s="153"/>
      <c r="AK107" s="153"/>
      <c r="AL107" s="153"/>
      <c r="AM107" s="153"/>
      <c r="AN107" s="153"/>
      <c r="AO107" s="153"/>
      <c r="AP107" s="153"/>
      <c r="AQ107" s="153"/>
      <c r="AR107" s="153"/>
      <c r="AS107" s="153"/>
      <c r="AT107" s="153"/>
      <c r="AU107" s="153"/>
      <c r="AV107" s="153"/>
      <c r="AW107" s="153"/>
      <c r="AX107" s="153"/>
      <c r="AY107" s="153"/>
      <c r="AZ107" s="153"/>
      <c r="BA107" s="153"/>
      <c r="BB107" s="153"/>
      <c r="BC107" s="153"/>
      <c r="BD107" s="153"/>
      <c r="BE107" s="153"/>
      <c r="BF107" s="153"/>
      <c r="BG107" s="153"/>
      <c r="BH107" s="153"/>
      <c r="BI107" s="153"/>
      <c r="BK107" s="140"/>
      <c r="BL107" s="140"/>
      <c r="BM107" s="140"/>
      <c r="BN107" s="140"/>
      <c r="BO107" s="140"/>
      <c r="BP107" s="140"/>
    </row>
    <row r="108" spans="2:68" ht="15" customHeight="1" outlineLevel="1">
      <c r="B108" s="34">
        <f t="shared" ref="B108:B109" si="113">$B$57</f>
        <v>44926</v>
      </c>
      <c r="C108" s="34">
        <f t="shared" ref="C108:C109" ca="1" si="114">$C$57</f>
        <v>44926</v>
      </c>
      <c r="D108" s="35" t="e">
        <f ca="1">IF($D$2=FALSE,"-",AVERAGE(OFFSET($AF108,0,MATCH(B108,OFFSET($AF$13,0,0,1,$G$4-$E$4+1),0)-1,1,MATCH(C108,OFFSET($AF$13,0,0,1,$G$4-$E$4+1),0)-MATCH(B108,OFFSET($AF$13,0,0,1,$G$4-$E$4+1),0)+1)))</f>
        <v>#N/A</v>
      </c>
      <c r="E108" s="51">
        <v>0.38145000000000001</v>
      </c>
      <c r="F108" s="36">
        <f t="shared" ref="F108:F109" si="115">IF($D$2=FALSE,"-",IF(E108="",D108,E108))</f>
        <v>0.38145000000000001</v>
      </c>
      <c r="G108" s="34">
        <f t="shared" ref="G108:G109" si="116">$G$57</f>
        <v>44926</v>
      </c>
      <c r="H108" s="37">
        <f t="shared" ref="H108:H109" ca="1" si="117">$H$57</f>
        <v>44926</v>
      </c>
      <c r="I108" s="35" t="e">
        <f ca="1">IF($D$2=FALSE,"-",AVERAGE(OFFSET($AF108,0,MATCH(G108,OFFSET($AF$13,0,0,1,$G$4-$E$4+1),0)-1,1,MATCH(H108,OFFSET($AF$13,0,0,1,$G$4-$E$4+1),0)-MATCH(G108,OFFSET($AF$13,0,0,1,$G$4-$E$4+1),0)+1)))</f>
        <v>#N/A</v>
      </c>
      <c r="J108" s="51">
        <v>0.38145000000000001</v>
      </c>
      <c r="K108" s="36">
        <f t="shared" ref="K108:K109" si="118">IF($D$2=FALSE,"-",IF(J108="",I108,J108))</f>
        <v>0.38145000000000001</v>
      </c>
      <c r="L108" s="112">
        <v>5</v>
      </c>
      <c r="M108" s="81">
        <v>0.1</v>
      </c>
      <c r="N108" s="3"/>
      <c r="O108" s="51">
        <v>0.38145000000000001</v>
      </c>
      <c r="P108" s="3"/>
      <c r="Q108" s="1" t="s">
        <v>106</v>
      </c>
      <c r="W108" s="69" t="e">
        <f t="shared" ref="W108:AB108" ca="1" si="119">IF($D$2=FALSE,"-",IF(W$13="","",IF((1-W109)=0,#N/A,(W110-W109)/(1-W109))))</f>
        <v>#N/A</v>
      </c>
      <c r="X108" s="69" t="e">
        <f t="shared" ca="1" si="119"/>
        <v>#N/A</v>
      </c>
      <c r="Y108" s="69">
        <f t="shared" ca="1" si="119"/>
        <v>0.38145000000000001</v>
      </c>
      <c r="Z108" s="69">
        <f t="shared" ca="1" si="119"/>
        <v>0.38145000000000012</v>
      </c>
      <c r="AA108" s="69">
        <f t="shared" ca="1" si="119"/>
        <v>0.38145000000000001</v>
      </c>
      <c r="AB108" s="69">
        <f t="shared" ca="1" si="119"/>
        <v>0.38145000000000001</v>
      </c>
      <c r="AC108" s="257"/>
      <c r="AD108" s="69" t="e">
        <f ca="1">IF($D$2=FALSE,"-",IF(AD$13="","",IF((1-AD109)=0,#N/A,(AD110-AD109)/(1-AD109))))</f>
        <v>#N/A</v>
      </c>
      <c r="AF108" s="278" t="e">
        <f t="shared" ref="AF108:AO109" ca="1" si="120">IF($D$2=FALSE,"-",IF(AF$13="","",IF(AF$4&lt;=0,#N/A,IF(AF$4&lt;=$L108,IF($M108=0,$F108-((IF($M108=0,($F108-$K108)/$L108,($K108-$F108)/(EXP(-$M108*$L108)-1)))*(AF$4-1)),($F108-(IF($M108=0,($F108-$K108)/$L108,($K108-$F108)/(EXP(-$M108*$L108)-1))))+((IF($M108=0,($F108-$K108)/$L108,($K108-$F108)/(EXP(-$M108*$L108)-1)))*EXP(-$M108*(AF$4-1)))),$K108))))</f>
        <v>#N/A</v>
      </c>
      <c r="AG108" s="275">
        <f t="shared" ca="1" si="120"/>
        <v>0.38145000000000001</v>
      </c>
      <c r="AH108" s="275">
        <f t="shared" ca="1" si="120"/>
        <v>0.38145000000000001</v>
      </c>
      <c r="AI108" s="275">
        <f t="shared" ca="1" si="120"/>
        <v>0.38145000000000001</v>
      </c>
      <c r="AJ108" s="275">
        <f t="shared" ca="1" si="120"/>
        <v>0.38145000000000001</v>
      </c>
      <c r="AK108" s="275">
        <f t="shared" ca="1" si="120"/>
        <v>0.38145000000000001</v>
      </c>
      <c r="AL108" s="275" t="str">
        <f t="shared" ca="1" si="120"/>
        <v/>
      </c>
      <c r="AM108" s="275" t="str">
        <f t="shared" ca="1" si="120"/>
        <v/>
      </c>
      <c r="AN108" s="275" t="str">
        <f t="shared" ca="1" si="120"/>
        <v/>
      </c>
      <c r="AO108" s="275" t="str">
        <f t="shared" ca="1" si="120"/>
        <v/>
      </c>
      <c r="AP108" s="275" t="str">
        <f t="shared" ref="AP108:AY109" ca="1" si="121">IF($D$2=FALSE,"-",IF(AP$13="","",IF(AP$4&lt;=0,#N/A,IF(AP$4&lt;=$L108,IF($M108=0,$F108-((IF($M108=0,($F108-$K108)/$L108,($K108-$F108)/(EXP(-$M108*$L108)-1)))*(AP$4-1)),($F108-(IF($M108=0,($F108-$K108)/$L108,($K108-$F108)/(EXP(-$M108*$L108)-1))))+((IF($M108=0,($F108-$K108)/$L108,($K108-$F108)/(EXP(-$M108*$L108)-1)))*EXP(-$M108*(AP$4-1)))),$K108))))</f>
        <v/>
      </c>
      <c r="AQ108" s="275" t="str">
        <f t="shared" ca="1" si="121"/>
        <v/>
      </c>
      <c r="AR108" s="275" t="str">
        <f t="shared" ca="1" si="121"/>
        <v/>
      </c>
      <c r="AS108" s="275" t="str">
        <f t="shared" ca="1" si="121"/>
        <v/>
      </c>
      <c r="AT108" s="275" t="str">
        <f t="shared" ca="1" si="121"/>
        <v/>
      </c>
      <c r="AU108" s="275" t="str">
        <f t="shared" ca="1" si="121"/>
        <v/>
      </c>
      <c r="AV108" s="275" t="str">
        <f t="shared" ca="1" si="121"/>
        <v/>
      </c>
      <c r="AW108" s="275" t="str">
        <f t="shared" ca="1" si="121"/>
        <v/>
      </c>
      <c r="AX108" s="275" t="str">
        <f t="shared" ca="1" si="121"/>
        <v/>
      </c>
      <c r="AY108" s="275" t="str">
        <f t="shared" ca="1" si="121"/>
        <v/>
      </c>
      <c r="AZ108" s="275" t="str">
        <f t="shared" ref="AZ108:BI109" ca="1" si="122">IF($D$2=FALSE,"-",IF(AZ$13="","",IF(AZ$4&lt;=0,#N/A,IF(AZ$4&lt;=$L108,IF($M108=0,$F108-((IF($M108=0,($F108-$K108)/$L108,($K108-$F108)/(EXP(-$M108*$L108)-1)))*(AZ$4-1)),($F108-(IF($M108=0,($F108-$K108)/$L108,($K108-$F108)/(EXP(-$M108*$L108)-1))))+((IF($M108=0,($F108-$K108)/$L108,($K108-$F108)/(EXP(-$M108*$L108)-1)))*EXP(-$M108*(AZ$4-1)))),$K108))))</f>
        <v/>
      </c>
      <c r="BA108" s="275" t="str">
        <f t="shared" ca="1" si="122"/>
        <v/>
      </c>
      <c r="BB108" s="275" t="str">
        <f t="shared" ca="1" si="122"/>
        <v/>
      </c>
      <c r="BC108" s="275" t="str">
        <f t="shared" ca="1" si="122"/>
        <v/>
      </c>
      <c r="BD108" s="275" t="str">
        <f t="shared" ca="1" si="122"/>
        <v/>
      </c>
      <c r="BE108" s="275" t="str">
        <f t="shared" ca="1" si="122"/>
        <v/>
      </c>
      <c r="BF108" s="275" t="str">
        <f t="shared" ca="1" si="122"/>
        <v/>
      </c>
      <c r="BG108" s="275" t="str">
        <f t="shared" ca="1" si="122"/>
        <v/>
      </c>
      <c r="BH108" s="275" t="str">
        <f t="shared" ca="1" si="122"/>
        <v/>
      </c>
      <c r="BI108" s="275" t="str">
        <f t="shared" ca="1" si="122"/>
        <v/>
      </c>
      <c r="BK108" s="140"/>
      <c r="BL108" s="140"/>
      <c r="BM108" s="140"/>
      <c r="BN108" s="140"/>
      <c r="BO108" s="140"/>
      <c r="BP108" s="140"/>
    </row>
    <row r="109" spans="2:68" ht="15" customHeight="1" outlineLevel="1">
      <c r="B109" s="34">
        <f t="shared" si="113"/>
        <v>44926</v>
      </c>
      <c r="C109" s="34">
        <f t="shared" ca="1" si="114"/>
        <v>44926</v>
      </c>
      <c r="D109" s="35" t="e">
        <f ca="1">IF($D$2=FALSE,"-",AVERAGE(OFFSET($AF109,0,MATCH(B109,OFFSET($AF$13,0,0,1,$G$4-$E$4+1),0)-1,1,MATCH(C109,OFFSET($AF$13,0,0,1,$G$4-$E$4+1),0)-MATCH(B109,OFFSET($AF$13,0,0,1,$G$4-$E$4+1),0)+1)))</f>
        <v>#N/A</v>
      </c>
      <c r="E109" s="51">
        <v>0.03</v>
      </c>
      <c r="F109" s="36">
        <f t="shared" si="115"/>
        <v>0.03</v>
      </c>
      <c r="G109" s="34">
        <f t="shared" si="116"/>
        <v>44926</v>
      </c>
      <c r="H109" s="37">
        <f t="shared" ca="1" si="117"/>
        <v>44926</v>
      </c>
      <c r="I109" s="35" t="e">
        <f ca="1">IF($D$2=FALSE,"-",AVERAGE(OFFSET($AF109,0,MATCH(G109,OFFSET($AF$13,0,0,1,$G$4-$E$4+1),0)-1,1,MATCH(H109,OFFSET($AF$13,0,0,1,$G$4-$E$4+1),0)-MATCH(G109,OFFSET($AF$13,0,0,1,$G$4-$E$4+1),0)+1)))</f>
        <v>#N/A</v>
      </c>
      <c r="J109" s="51">
        <v>0.03</v>
      </c>
      <c r="K109" s="36">
        <f t="shared" si="118"/>
        <v>0.03</v>
      </c>
      <c r="L109" s="112">
        <v>5</v>
      </c>
      <c r="M109" s="81">
        <v>0.1</v>
      </c>
      <c r="N109" s="3"/>
      <c r="O109" s="51">
        <v>0.03</v>
      </c>
      <c r="P109" s="3"/>
      <c r="Q109" s="100" t="s">
        <v>107</v>
      </c>
      <c r="R109" s="100"/>
      <c r="S109" s="100"/>
      <c r="T109" s="100"/>
      <c r="U109" s="100"/>
      <c r="W109" s="149" t="e">
        <f t="shared" ref="W109:AB109" ca="1" si="123">IF($D$2=FALSE,"-",IF(W$13="","",IF(W123=0,#N/A,-W124/W123)))</f>
        <v>#N/A</v>
      </c>
      <c r="X109" s="149" t="e">
        <f t="shared" ca="1" si="123"/>
        <v>#N/A</v>
      </c>
      <c r="Y109" s="149">
        <f t="shared" ca="1" si="123"/>
        <v>0.03</v>
      </c>
      <c r="Z109" s="149">
        <f t="shared" ca="1" si="123"/>
        <v>0.03</v>
      </c>
      <c r="AA109" s="149">
        <f t="shared" ca="1" si="123"/>
        <v>0.03</v>
      </c>
      <c r="AB109" s="149">
        <f t="shared" ca="1" si="123"/>
        <v>0.03</v>
      </c>
      <c r="AC109" s="257"/>
      <c r="AD109" s="149" t="e">
        <f ca="1">IF($D$2=FALSE,"-",IF(AD$13="","",IF(AD123=0,#N/A,-AD124/AD123)))</f>
        <v>#N/A</v>
      </c>
      <c r="AF109" s="279" t="e">
        <f t="shared" ca="1" si="120"/>
        <v>#N/A</v>
      </c>
      <c r="AG109" s="280">
        <f t="shared" ca="1" si="120"/>
        <v>0.03</v>
      </c>
      <c r="AH109" s="280">
        <f t="shared" ca="1" si="120"/>
        <v>0.03</v>
      </c>
      <c r="AI109" s="280">
        <f t="shared" ca="1" si="120"/>
        <v>0.03</v>
      </c>
      <c r="AJ109" s="280">
        <f t="shared" ca="1" si="120"/>
        <v>0.03</v>
      </c>
      <c r="AK109" s="280">
        <f t="shared" ca="1" si="120"/>
        <v>0.03</v>
      </c>
      <c r="AL109" s="280" t="str">
        <f t="shared" ca="1" si="120"/>
        <v/>
      </c>
      <c r="AM109" s="280" t="str">
        <f t="shared" ca="1" si="120"/>
        <v/>
      </c>
      <c r="AN109" s="280" t="str">
        <f t="shared" ca="1" si="120"/>
        <v/>
      </c>
      <c r="AO109" s="280" t="str">
        <f t="shared" ca="1" si="120"/>
        <v/>
      </c>
      <c r="AP109" s="280" t="str">
        <f t="shared" ca="1" si="121"/>
        <v/>
      </c>
      <c r="AQ109" s="280" t="str">
        <f t="shared" ca="1" si="121"/>
        <v/>
      </c>
      <c r="AR109" s="280" t="str">
        <f t="shared" ca="1" si="121"/>
        <v/>
      </c>
      <c r="AS109" s="280" t="str">
        <f t="shared" ca="1" si="121"/>
        <v/>
      </c>
      <c r="AT109" s="280" t="str">
        <f t="shared" ca="1" si="121"/>
        <v/>
      </c>
      <c r="AU109" s="280" t="str">
        <f t="shared" ca="1" si="121"/>
        <v/>
      </c>
      <c r="AV109" s="280" t="str">
        <f t="shared" ca="1" si="121"/>
        <v/>
      </c>
      <c r="AW109" s="280" t="str">
        <f t="shared" ca="1" si="121"/>
        <v/>
      </c>
      <c r="AX109" s="280" t="str">
        <f t="shared" ca="1" si="121"/>
        <v/>
      </c>
      <c r="AY109" s="280" t="str">
        <f t="shared" ca="1" si="121"/>
        <v/>
      </c>
      <c r="AZ109" s="280" t="str">
        <f t="shared" ca="1" si="122"/>
        <v/>
      </c>
      <c r="BA109" s="280" t="str">
        <f t="shared" ca="1" si="122"/>
        <v/>
      </c>
      <c r="BB109" s="280" t="str">
        <f t="shared" ca="1" si="122"/>
        <v/>
      </c>
      <c r="BC109" s="280" t="str">
        <f t="shared" ca="1" si="122"/>
        <v/>
      </c>
      <c r="BD109" s="280" t="str">
        <f t="shared" ca="1" si="122"/>
        <v/>
      </c>
      <c r="BE109" s="280" t="str">
        <f t="shared" ca="1" si="122"/>
        <v/>
      </c>
      <c r="BF109" s="280" t="str">
        <f t="shared" ca="1" si="122"/>
        <v/>
      </c>
      <c r="BG109" s="280" t="str">
        <f t="shared" ca="1" si="122"/>
        <v/>
      </c>
      <c r="BH109" s="280" t="str">
        <f t="shared" ca="1" si="122"/>
        <v/>
      </c>
      <c r="BI109" s="280" t="str">
        <f t="shared" ca="1" si="122"/>
        <v/>
      </c>
      <c r="BK109" s="140"/>
      <c r="BL109" s="140"/>
      <c r="BM109" s="140"/>
      <c r="BN109" s="140"/>
      <c r="BO109" s="140"/>
      <c r="BP109" s="140"/>
    </row>
    <row r="110" spans="2:68" ht="15" customHeight="1" outlineLevel="1">
      <c r="P110" s="3"/>
      <c r="Q110" s="1" t="s">
        <v>108</v>
      </c>
      <c r="W110" s="294">
        <f t="shared" ref="W110:AB110" ca="1" si="124">IF($D$2=FALSE,"-",IF(W$13="","",IF(W$11="ACT.",W79,(W36+W93)/W35)))</f>
        <v>0.42965204236006033</v>
      </c>
      <c r="X110" s="294">
        <f t="shared" ca="1" si="124"/>
        <v>0.40000650000000004</v>
      </c>
      <c r="Y110" s="294">
        <f t="shared" ca="1" si="124"/>
        <v>0.40000650000000004</v>
      </c>
      <c r="Z110" s="294">
        <f t="shared" ca="1" si="124"/>
        <v>0.4000065000000001</v>
      </c>
      <c r="AA110" s="294">
        <f t="shared" ca="1" si="124"/>
        <v>0.40000650000000004</v>
      </c>
      <c r="AB110" s="294">
        <f t="shared" ca="1" si="124"/>
        <v>0.40000649999999999</v>
      </c>
      <c r="AC110" s="257"/>
      <c r="AD110" s="294" t="e">
        <f ca="1">IF($D$2=FALSE,"-",IF(AD$13="","",IF($E$5=AD$7,AD79,(AD36+AD93)/AD35)))</f>
        <v>#N/A</v>
      </c>
      <c r="AF110" s="285">
        <f t="shared" ref="AF110:BI110" ca="1" si="125">IF($D$2=FALSE,"-",IF(AF$13="","",IF(AF$4&lt;=0,AF79,AF108*(1-AF109)+AF109)))</f>
        <v>0.42965204236006033</v>
      </c>
      <c r="AG110" s="286">
        <f t="shared" ca="1" si="125"/>
        <v>0.40000650000000004</v>
      </c>
      <c r="AH110" s="286">
        <f t="shared" ca="1" si="125"/>
        <v>0.40000650000000004</v>
      </c>
      <c r="AI110" s="286">
        <f t="shared" ca="1" si="125"/>
        <v>0.40000650000000004</v>
      </c>
      <c r="AJ110" s="286">
        <f t="shared" ca="1" si="125"/>
        <v>0.40000650000000004</v>
      </c>
      <c r="AK110" s="286">
        <f t="shared" ca="1" si="125"/>
        <v>0.40000650000000004</v>
      </c>
      <c r="AL110" s="286" t="str">
        <f t="shared" ca="1" si="125"/>
        <v/>
      </c>
      <c r="AM110" s="286" t="str">
        <f t="shared" ca="1" si="125"/>
        <v/>
      </c>
      <c r="AN110" s="286" t="str">
        <f t="shared" ca="1" si="125"/>
        <v/>
      </c>
      <c r="AO110" s="286" t="str">
        <f t="shared" ca="1" si="125"/>
        <v/>
      </c>
      <c r="AP110" s="286" t="str">
        <f t="shared" ca="1" si="125"/>
        <v/>
      </c>
      <c r="AQ110" s="286" t="str">
        <f t="shared" ca="1" si="125"/>
        <v/>
      </c>
      <c r="AR110" s="286" t="str">
        <f t="shared" ca="1" si="125"/>
        <v/>
      </c>
      <c r="AS110" s="286" t="str">
        <f t="shared" ca="1" si="125"/>
        <v/>
      </c>
      <c r="AT110" s="286" t="str">
        <f t="shared" ca="1" si="125"/>
        <v/>
      </c>
      <c r="AU110" s="286" t="str">
        <f t="shared" ca="1" si="125"/>
        <v/>
      </c>
      <c r="AV110" s="286" t="str">
        <f t="shared" ca="1" si="125"/>
        <v/>
      </c>
      <c r="AW110" s="286" t="str">
        <f t="shared" ca="1" si="125"/>
        <v/>
      </c>
      <c r="AX110" s="286" t="str">
        <f t="shared" ca="1" si="125"/>
        <v/>
      </c>
      <c r="AY110" s="286" t="str">
        <f t="shared" ca="1" si="125"/>
        <v/>
      </c>
      <c r="AZ110" s="286" t="str">
        <f t="shared" ca="1" si="125"/>
        <v/>
      </c>
      <c r="BA110" s="286" t="str">
        <f t="shared" ca="1" si="125"/>
        <v/>
      </c>
      <c r="BB110" s="286" t="str">
        <f t="shared" ca="1" si="125"/>
        <v/>
      </c>
      <c r="BC110" s="286" t="str">
        <f t="shared" ca="1" si="125"/>
        <v/>
      </c>
      <c r="BD110" s="286" t="str">
        <f t="shared" ca="1" si="125"/>
        <v/>
      </c>
      <c r="BE110" s="286" t="str">
        <f t="shared" ca="1" si="125"/>
        <v/>
      </c>
      <c r="BF110" s="286" t="str">
        <f t="shared" ca="1" si="125"/>
        <v/>
      </c>
      <c r="BG110" s="286" t="str">
        <f t="shared" ca="1" si="125"/>
        <v/>
      </c>
      <c r="BH110" s="286" t="str">
        <f t="shared" ca="1" si="125"/>
        <v/>
      </c>
      <c r="BI110" s="286" t="str">
        <f t="shared" ca="1" si="125"/>
        <v/>
      </c>
      <c r="BK110" s="140"/>
      <c r="BL110" s="140"/>
      <c r="BM110" s="140"/>
      <c r="BN110" s="140"/>
      <c r="BO110" s="140"/>
      <c r="BP110" s="140"/>
    </row>
    <row r="111" spans="2:68" ht="15" customHeight="1" outlineLevel="1">
      <c r="AG111" s="69"/>
      <c r="AH111" s="247"/>
      <c r="BK111" s="140"/>
      <c r="BL111" s="140"/>
      <c r="BM111" s="140"/>
      <c r="BN111" s="140"/>
      <c r="BO111" s="140"/>
      <c r="BP111" s="140"/>
    </row>
    <row r="112" spans="2:68" ht="15" customHeight="1" outlineLevel="1">
      <c r="Q112" s="68" t="s">
        <v>109</v>
      </c>
      <c r="R112" s="68"/>
      <c r="S112" s="68"/>
      <c r="T112" s="68"/>
      <c r="U112" s="68"/>
      <c r="V112" s="6"/>
      <c r="W112" s="26"/>
      <c r="X112" s="26"/>
      <c r="Y112" s="26"/>
      <c r="Z112" s="26"/>
      <c r="AA112" s="26"/>
      <c r="AB112" s="153"/>
      <c r="AC112" s="6"/>
      <c r="AD112" s="153"/>
      <c r="AE112" s="6"/>
      <c r="AF112" s="152"/>
      <c r="AG112" s="153"/>
      <c r="AH112" s="153"/>
      <c r="AI112" s="248"/>
      <c r="AJ112" s="153"/>
      <c r="AK112" s="153"/>
      <c r="AL112" s="153"/>
      <c r="AM112" s="153"/>
      <c r="AN112" s="153"/>
      <c r="AO112" s="153"/>
      <c r="AP112" s="153"/>
      <c r="AQ112" s="153"/>
      <c r="AR112" s="153"/>
      <c r="AS112" s="153"/>
      <c r="AT112" s="153"/>
      <c r="AU112" s="153"/>
      <c r="AV112" s="153"/>
      <c r="AW112" s="153"/>
      <c r="AX112" s="153"/>
      <c r="AY112" s="153"/>
      <c r="AZ112" s="153"/>
      <c r="BA112" s="153"/>
      <c r="BB112" s="153"/>
      <c r="BC112" s="153"/>
      <c r="BD112" s="153"/>
      <c r="BE112" s="153"/>
      <c r="BF112" s="153"/>
      <c r="BG112" s="153"/>
      <c r="BH112" s="153"/>
      <c r="BI112" s="153"/>
      <c r="BK112" s="140"/>
      <c r="BL112" s="140"/>
      <c r="BM112" s="140"/>
      <c r="BN112" s="140"/>
      <c r="BO112" s="140"/>
      <c r="BP112" s="140"/>
    </row>
    <row r="113" spans="2:68" ht="15" customHeight="1" outlineLevel="1">
      <c r="P113" s="3"/>
      <c r="Q113" s="1" t="s">
        <v>80</v>
      </c>
      <c r="W113" s="98">
        <f t="shared" ref="W113:AB125" ca="1" si="126">IF($D$2=FALSE,"-",IF(W$13="","",SUM(OFFSET($AF113,0,W$8,1,-$E$5))))</f>
        <v>126.80000000000001</v>
      </c>
      <c r="X113" s="98">
        <f t="shared" ca="1" si="126"/>
        <v>133.14000000000004</v>
      </c>
      <c r="Y113" s="98">
        <f t="shared" ca="1" si="126"/>
        <v>139.79700000000005</v>
      </c>
      <c r="Z113" s="98">
        <f t="shared" ca="1" si="126"/>
        <v>146.78685000000002</v>
      </c>
      <c r="AA113" s="98">
        <f t="shared" ca="1" si="126"/>
        <v>154.1261925</v>
      </c>
      <c r="AB113" s="98">
        <f t="shared" ca="1" si="126"/>
        <v>161.83250212500005</v>
      </c>
      <c r="AC113" s="257"/>
      <c r="AD113" s="99" t="e">
        <f t="shared" ref="AD113:AD125" ca="1" si="127">IF($D$2=FALSE,"-",IF(AD$13="","",SUM(OFFSET($AF113,0,$F$4-AD$7-1,1,-$E$5))+SUM(OFFSET($AF113,0,$F$4-1,1,-AD$7))-SUM(OFFSET($AF113,0,$F$4-$E$5-1,1,-AD$7))))</f>
        <v>#N/A</v>
      </c>
      <c r="AF113" s="97">
        <f t="shared" ref="AF113:BI113" ca="1" si="128">IF($D$2=FALSE,"-",IF(AF$13="","",AF19))</f>
        <v>126.80000000000001</v>
      </c>
      <c r="AG113" s="98">
        <f t="shared" ca="1" si="128"/>
        <v>133.14000000000004</v>
      </c>
      <c r="AH113" s="98">
        <f t="shared" ca="1" si="128"/>
        <v>139.79700000000005</v>
      </c>
      <c r="AI113" s="98">
        <f t="shared" ca="1" si="128"/>
        <v>146.78685000000002</v>
      </c>
      <c r="AJ113" s="98">
        <f t="shared" ca="1" si="128"/>
        <v>154.1261925</v>
      </c>
      <c r="AK113" s="98">
        <f t="shared" ca="1" si="128"/>
        <v>161.83250212500005</v>
      </c>
      <c r="AL113" s="98" t="str">
        <f t="shared" ca="1" si="128"/>
        <v/>
      </c>
      <c r="AM113" s="98" t="str">
        <f t="shared" ca="1" si="128"/>
        <v/>
      </c>
      <c r="AN113" s="98" t="str">
        <f t="shared" ca="1" si="128"/>
        <v/>
      </c>
      <c r="AO113" s="98" t="str">
        <f t="shared" ca="1" si="128"/>
        <v/>
      </c>
      <c r="AP113" s="98" t="str">
        <f t="shared" ca="1" si="128"/>
        <v/>
      </c>
      <c r="AQ113" s="98" t="str">
        <f t="shared" ca="1" si="128"/>
        <v/>
      </c>
      <c r="AR113" s="98" t="str">
        <f t="shared" ca="1" si="128"/>
        <v/>
      </c>
      <c r="AS113" s="98" t="str">
        <f t="shared" ca="1" si="128"/>
        <v/>
      </c>
      <c r="AT113" s="98" t="str">
        <f t="shared" ca="1" si="128"/>
        <v/>
      </c>
      <c r="AU113" s="98" t="str">
        <f t="shared" ca="1" si="128"/>
        <v/>
      </c>
      <c r="AV113" s="98" t="str">
        <f t="shared" ca="1" si="128"/>
        <v/>
      </c>
      <c r="AW113" s="98" t="str">
        <f t="shared" ca="1" si="128"/>
        <v/>
      </c>
      <c r="AX113" s="98" t="str">
        <f t="shared" ca="1" si="128"/>
        <v/>
      </c>
      <c r="AY113" s="98" t="str">
        <f t="shared" ca="1" si="128"/>
        <v/>
      </c>
      <c r="AZ113" s="98" t="str">
        <f t="shared" ca="1" si="128"/>
        <v/>
      </c>
      <c r="BA113" s="98" t="str">
        <f t="shared" ca="1" si="128"/>
        <v/>
      </c>
      <c r="BB113" s="98" t="str">
        <f t="shared" ca="1" si="128"/>
        <v/>
      </c>
      <c r="BC113" s="98" t="str">
        <f t="shared" ca="1" si="128"/>
        <v/>
      </c>
      <c r="BD113" s="98" t="str">
        <f t="shared" ca="1" si="128"/>
        <v/>
      </c>
      <c r="BE113" s="98" t="str">
        <f t="shared" ca="1" si="128"/>
        <v/>
      </c>
      <c r="BF113" s="98" t="str">
        <f t="shared" ca="1" si="128"/>
        <v/>
      </c>
      <c r="BG113" s="98" t="str">
        <f t="shared" ca="1" si="128"/>
        <v/>
      </c>
      <c r="BH113" s="98" t="str">
        <f t="shared" ca="1" si="128"/>
        <v/>
      </c>
      <c r="BI113" s="98" t="str">
        <f t="shared" ca="1" si="128"/>
        <v/>
      </c>
      <c r="BK113" s="140"/>
      <c r="BL113" s="140"/>
      <c r="BM113" s="140"/>
      <c r="BN113" s="140"/>
      <c r="BO113" s="140"/>
      <c r="BP113" s="140"/>
    </row>
    <row r="114" spans="2:68" ht="15" customHeight="1" outlineLevel="1">
      <c r="P114" s="3"/>
      <c r="Q114" s="1" t="s">
        <v>110</v>
      </c>
      <c r="W114" s="98" t="e">
        <f t="shared" ca="1" si="126"/>
        <v>#N/A</v>
      </c>
      <c r="X114" s="98">
        <f t="shared" ca="1" si="126"/>
        <v>-14.700000000000001</v>
      </c>
      <c r="Y114" s="98">
        <f t="shared" ca="1" si="126"/>
        <v>-15.434999999999999</v>
      </c>
      <c r="Z114" s="98">
        <f t="shared" ca="1" si="126"/>
        <v>-16.20675</v>
      </c>
      <c r="AA114" s="98">
        <f t="shared" ca="1" si="126"/>
        <v>-17.017087500000002</v>
      </c>
      <c r="AB114" s="98">
        <f t="shared" ca="1" si="126"/>
        <v>-17.867941875</v>
      </c>
      <c r="AC114" s="257"/>
      <c r="AD114" s="99" t="e">
        <f t="shared" ca="1" si="127"/>
        <v>#N/A</v>
      </c>
      <c r="AF114" s="97" t="e">
        <f t="shared" ref="AF114:BI114" ca="1" si="129">IF($D$2=FALSE,"-",IF(AF$13="","",-AF105))</f>
        <v>#N/A</v>
      </c>
      <c r="AG114" s="98">
        <f t="shared" ca="1" si="129"/>
        <v>-14.700000000000001</v>
      </c>
      <c r="AH114" s="98">
        <f t="shared" ca="1" si="129"/>
        <v>-15.434999999999999</v>
      </c>
      <c r="AI114" s="98">
        <f t="shared" ca="1" si="129"/>
        <v>-16.20675</v>
      </c>
      <c r="AJ114" s="98">
        <f t="shared" ca="1" si="129"/>
        <v>-17.017087500000002</v>
      </c>
      <c r="AK114" s="98">
        <f t="shared" ca="1" si="129"/>
        <v>-17.867941875</v>
      </c>
      <c r="AL114" s="98" t="str">
        <f t="shared" ca="1" si="129"/>
        <v/>
      </c>
      <c r="AM114" s="98" t="str">
        <f t="shared" ca="1" si="129"/>
        <v/>
      </c>
      <c r="AN114" s="98" t="str">
        <f t="shared" ca="1" si="129"/>
        <v/>
      </c>
      <c r="AO114" s="98" t="str">
        <f t="shared" ca="1" si="129"/>
        <v/>
      </c>
      <c r="AP114" s="98" t="str">
        <f t="shared" ca="1" si="129"/>
        <v/>
      </c>
      <c r="AQ114" s="98" t="str">
        <f t="shared" ca="1" si="129"/>
        <v/>
      </c>
      <c r="AR114" s="98" t="str">
        <f t="shared" ca="1" si="129"/>
        <v/>
      </c>
      <c r="AS114" s="98" t="str">
        <f t="shared" ca="1" si="129"/>
        <v/>
      </c>
      <c r="AT114" s="98" t="str">
        <f t="shared" ca="1" si="129"/>
        <v/>
      </c>
      <c r="AU114" s="98" t="str">
        <f t="shared" ca="1" si="129"/>
        <v/>
      </c>
      <c r="AV114" s="98" t="str">
        <f t="shared" ca="1" si="129"/>
        <v/>
      </c>
      <c r="AW114" s="98" t="str">
        <f t="shared" ca="1" si="129"/>
        <v/>
      </c>
      <c r="AX114" s="98" t="str">
        <f t="shared" ca="1" si="129"/>
        <v/>
      </c>
      <c r="AY114" s="98" t="str">
        <f t="shared" ca="1" si="129"/>
        <v/>
      </c>
      <c r="AZ114" s="98" t="str">
        <f t="shared" ca="1" si="129"/>
        <v/>
      </c>
      <c r="BA114" s="98" t="str">
        <f t="shared" ca="1" si="129"/>
        <v/>
      </c>
      <c r="BB114" s="98" t="str">
        <f t="shared" ca="1" si="129"/>
        <v/>
      </c>
      <c r="BC114" s="98" t="str">
        <f t="shared" ca="1" si="129"/>
        <v/>
      </c>
      <c r="BD114" s="98" t="str">
        <f t="shared" ca="1" si="129"/>
        <v/>
      </c>
      <c r="BE114" s="98" t="str">
        <f t="shared" ca="1" si="129"/>
        <v/>
      </c>
      <c r="BF114" s="98" t="str">
        <f t="shared" ca="1" si="129"/>
        <v/>
      </c>
      <c r="BG114" s="98" t="str">
        <f t="shared" ca="1" si="129"/>
        <v/>
      </c>
      <c r="BH114" s="98" t="str">
        <f t="shared" ca="1" si="129"/>
        <v/>
      </c>
      <c r="BI114" s="98" t="str">
        <f t="shared" ca="1" si="129"/>
        <v/>
      </c>
      <c r="BK114" s="140"/>
      <c r="BL114" s="140"/>
      <c r="BM114" s="140"/>
      <c r="BN114" s="140"/>
      <c r="BO114" s="140"/>
      <c r="BP114" s="140"/>
    </row>
    <row r="115" spans="2:68" ht="15" customHeight="1" outlineLevel="1">
      <c r="P115" s="3"/>
      <c r="Q115" s="1" t="s">
        <v>111</v>
      </c>
      <c r="W115" s="98">
        <f t="shared" ca="1" si="126"/>
        <v>-11.6</v>
      </c>
      <c r="X115" s="98">
        <f t="shared" ca="1" si="126"/>
        <v>-11.6</v>
      </c>
      <c r="Y115" s="98">
        <f t="shared" ca="1" si="126"/>
        <v>-11.6</v>
      </c>
      <c r="Z115" s="98">
        <f t="shared" ca="1" si="126"/>
        <v>-11.6</v>
      </c>
      <c r="AA115" s="98">
        <f t="shared" ca="1" si="126"/>
        <v>-2.6909999999999989</v>
      </c>
      <c r="AB115" s="98">
        <f t="shared" ca="1" si="126"/>
        <v>0</v>
      </c>
      <c r="AC115" s="257"/>
      <c r="AD115" s="99" t="e">
        <f t="shared" ca="1" si="127"/>
        <v>#N/A</v>
      </c>
      <c r="AF115" s="97">
        <f t="shared" ref="AF115:BI115" ca="1" si="130">IF($D$2=FALSE,"-",IF(AF$13="","",-AF21))</f>
        <v>-11.6</v>
      </c>
      <c r="AG115" s="98">
        <f t="shared" ca="1" si="130"/>
        <v>-11.6</v>
      </c>
      <c r="AH115" s="98">
        <f t="shared" ca="1" si="130"/>
        <v>-11.6</v>
      </c>
      <c r="AI115" s="98">
        <f t="shared" ca="1" si="130"/>
        <v>-11.6</v>
      </c>
      <c r="AJ115" s="98">
        <f t="shared" ca="1" si="130"/>
        <v>-2.6909999999999989</v>
      </c>
      <c r="AK115" s="98">
        <f t="shared" ca="1" si="130"/>
        <v>0</v>
      </c>
      <c r="AL115" s="98" t="str">
        <f t="shared" ca="1" si="130"/>
        <v/>
      </c>
      <c r="AM115" s="98" t="str">
        <f t="shared" ca="1" si="130"/>
        <v/>
      </c>
      <c r="AN115" s="98" t="str">
        <f t="shared" ca="1" si="130"/>
        <v/>
      </c>
      <c r="AO115" s="98" t="str">
        <f t="shared" ca="1" si="130"/>
        <v/>
      </c>
      <c r="AP115" s="98" t="str">
        <f t="shared" ca="1" si="130"/>
        <v/>
      </c>
      <c r="AQ115" s="98" t="str">
        <f t="shared" ca="1" si="130"/>
        <v/>
      </c>
      <c r="AR115" s="98" t="str">
        <f t="shared" ca="1" si="130"/>
        <v/>
      </c>
      <c r="AS115" s="98" t="str">
        <f t="shared" ca="1" si="130"/>
        <v/>
      </c>
      <c r="AT115" s="98" t="str">
        <f t="shared" ca="1" si="130"/>
        <v/>
      </c>
      <c r="AU115" s="98" t="str">
        <f t="shared" ca="1" si="130"/>
        <v/>
      </c>
      <c r="AV115" s="98" t="str">
        <f t="shared" ca="1" si="130"/>
        <v/>
      </c>
      <c r="AW115" s="98" t="str">
        <f t="shared" ca="1" si="130"/>
        <v/>
      </c>
      <c r="AX115" s="98" t="str">
        <f t="shared" ca="1" si="130"/>
        <v/>
      </c>
      <c r="AY115" s="98" t="str">
        <f t="shared" ca="1" si="130"/>
        <v/>
      </c>
      <c r="AZ115" s="98" t="str">
        <f t="shared" ca="1" si="130"/>
        <v/>
      </c>
      <c r="BA115" s="98" t="str">
        <f t="shared" ca="1" si="130"/>
        <v/>
      </c>
      <c r="BB115" s="98" t="str">
        <f t="shared" ca="1" si="130"/>
        <v/>
      </c>
      <c r="BC115" s="98" t="str">
        <f t="shared" ca="1" si="130"/>
        <v/>
      </c>
      <c r="BD115" s="98" t="str">
        <f t="shared" ca="1" si="130"/>
        <v/>
      </c>
      <c r="BE115" s="98" t="str">
        <f t="shared" ca="1" si="130"/>
        <v/>
      </c>
      <c r="BF115" s="98" t="str">
        <f t="shared" ca="1" si="130"/>
        <v/>
      </c>
      <c r="BG115" s="98" t="str">
        <f t="shared" ca="1" si="130"/>
        <v/>
      </c>
      <c r="BH115" s="98" t="str">
        <f t="shared" ca="1" si="130"/>
        <v/>
      </c>
      <c r="BI115" s="98" t="str">
        <f t="shared" ca="1" si="130"/>
        <v/>
      </c>
      <c r="BK115" s="140"/>
      <c r="BL115" s="140"/>
      <c r="BM115" s="140"/>
      <c r="BN115" s="140"/>
      <c r="BO115" s="140"/>
      <c r="BP115" s="140"/>
    </row>
    <row r="116" spans="2:68" ht="15" customHeight="1" outlineLevel="1">
      <c r="B116" s="34">
        <f>$B$57</f>
        <v>44926</v>
      </c>
      <c r="C116" s="34">
        <f ca="1">$C$57</f>
        <v>44926</v>
      </c>
      <c r="D116" s="107" t="e">
        <f ca="1">IF($D$2=FALSE,"-",AVERAGE(OFFSET($AF116,0,MATCH(B116,OFFSET($AF$13,0,0,1,$G$4-$E$4+1),0)-1,1,MATCH(C116,OFFSET($AF$13,0,0,1,$G$4-$E$4+1),0)-MATCH(B116,OFFSET($AF$13,0,0,1,$G$4-$E$4+1),0)+1)))</f>
        <v>#N/A</v>
      </c>
      <c r="E116" s="96">
        <v>1</v>
      </c>
      <c r="F116" s="107">
        <f t="shared" ref="F116" si="131">IF($D$2=FALSE,"-",IF(E116="",D116,E116))</f>
        <v>1</v>
      </c>
      <c r="G116" s="34">
        <f>$G$57</f>
        <v>44926</v>
      </c>
      <c r="H116" s="37">
        <f ca="1">$H$57</f>
        <v>44926</v>
      </c>
      <c r="I116" s="107" t="e">
        <f ca="1">IF($D$2=FALSE,"-",AVERAGE(OFFSET($AF116,0,MATCH(G116,OFFSET($AF$13,0,0,1,$G$4-$E$4+1),0)-1,1,MATCH(H116,OFFSET($AF$13,0,0,1,$G$4-$E$4+1),0)-MATCH(G116,OFFSET($AF$13,0,0,1,$G$4-$E$4+1),0)+1)))</f>
        <v>#N/A</v>
      </c>
      <c r="J116" s="96">
        <v>1</v>
      </c>
      <c r="K116" s="127">
        <f>IF($D$2=FALSE,"-",IF(J116="",I116,J116))</f>
        <v>1</v>
      </c>
      <c r="L116" s="126">
        <v>5</v>
      </c>
      <c r="M116" s="81">
        <v>0.1</v>
      </c>
      <c r="P116" s="3"/>
      <c r="Q116" s="1" t="s">
        <v>112</v>
      </c>
      <c r="V116" s="15"/>
      <c r="W116" s="116" t="e">
        <f t="shared" ca="1" si="126"/>
        <v>#N/A</v>
      </c>
      <c r="X116" s="116">
        <f t="shared" ca="1" si="126"/>
        <v>1</v>
      </c>
      <c r="Y116" s="116">
        <f t="shared" ca="1" si="126"/>
        <v>1</v>
      </c>
      <c r="Z116" s="116">
        <f t="shared" ca="1" si="126"/>
        <v>1</v>
      </c>
      <c r="AA116" s="116">
        <f t="shared" ca="1" si="126"/>
        <v>1</v>
      </c>
      <c r="AB116" s="116">
        <f t="shared" ca="1" si="126"/>
        <v>1</v>
      </c>
      <c r="AC116" s="257"/>
      <c r="AD116" s="116" t="e">
        <f t="shared" ca="1" si="127"/>
        <v>#N/A</v>
      </c>
      <c r="AE116" s="15"/>
      <c r="AF116" s="251" t="e">
        <f t="shared" ref="AF116:BI116" ca="1" si="132">IF($D$2=FALSE,"-",IF(AF$13="","",IF(AF$4&lt;=0,#N/A,IF(AF$4&lt;=$L116,IF($M116=0,$F116-((IF($M116=0,($F116-$K116)/$L116,($K116-$F116)/(EXP(-$M116*$L116)-1)))*(AF$4-1)),($F116-(IF($M116=0,($F116-$K116)/$L116,($K116-$F116)/(EXP(-$M116*$L116)-1))))+((IF($M116=0,($F116-$K116)/$L116,($K116-$F116)/(EXP(-$M116*$L116)-1)))*EXP(-$M116*(AF$4-1)))),$K116))))</f>
        <v>#N/A</v>
      </c>
      <c r="AG116" s="252">
        <f t="shared" ca="1" si="132"/>
        <v>1</v>
      </c>
      <c r="AH116" s="252">
        <f t="shared" ca="1" si="132"/>
        <v>1</v>
      </c>
      <c r="AI116" s="252">
        <f t="shared" ca="1" si="132"/>
        <v>1</v>
      </c>
      <c r="AJ116" s="252">
        <f t="shared" ca="1" si="132"/>
        <v>1</v>
      </c>
      <c r="AK116" s="252">
        <f t="shared" ca="1" si="132"/>
        <v>1</v>
      </c>
      <c r="AL116" s="252" t="str">
        <f t="shared" ca="1" si="132"/>
        <v/>
      </c>
      <c r="AM116" s="252" t="str">
        <f t="shared" ca="1" si="132"/>
        <v/>
      </c>
      <c r="AN116" s="252" t="str">
        <f t="shared" ca="1" si="132"/>
        <v/>
      </c>
      <c r="AO116" s="252" t="str">
        <f t="shared" ca="1" si="132"/>
        <v/>
      </c>
      <c r="AP116" s="252" t="str">
        <f t="shared" ca="1" si="132"/>
        <v/>
      </c>
      <c r="AQ116" s="252" t="str">
        <f t="shared" ca="1" si="132"/>
        <v/>
      </c>
      <c r="AR116" s="252" t="str">
        <f t="shared" ca="1" si="132"/>
        <v/>
      </c>
      <c r="AS116" s="252" t="str">
        <f t="shared" ca="1" si="132"/>
        <v/>
      </c>
      <c r="AT116" s="252" t="str">
        <f t="shared" ca="1" si="132"/>
        <v/>
      </c>
      <c r="AU116" s="252" t="str">
        <f t="shared" ca="1" si="132"/>
        <v/>
      </c>
      <c r="AV116" s="252" t="str">
        <f t="shared" ca="1" si="132"/>
        <v/>
      </c>
      <c r="AW116" s="252" t="str">
        <f t="shared" ca="1" si="132"/>
        <v/>
      </c>
      <c r="AX116" s="252" t="str">
        <f t="shared" ca="1" si="132"/>
        <v/>
      </c>
      <c r="AY116" s="252" t="str">
        <f t="shared" ca="1" si="132"/>
        <v/>
      </c>
      <c r="AZ116" s="252" t="str">
        <f t="shared" ca="1" si="132"/>
        <v/>
      </c>
      <c r="BA116" s="252" t="str">
        <f t="shared" ca="1" si="132"/>
        <v/>
      </c>
      <c r="BB116" s="252" t="str">
        <f t="shared" ca="1" si="132"/>
        <v/>
      </c>
      <c r="BC116" s="252" t="str">
        <f t="shared" ca="1" si="132"/>
        <v/>
      </c>
      <c r="BD116" s="252" t="str">
        <f t="shared" ca="1" si="132"/>
        <v/>
      </c>
      <c r="BE116" s="252" t="str">
        <f t="shared" ca="1" si="132"/>
        <v/>
      </c>
      <c r="BF116" s="252" t="str">
        <f t="shared" ca="1" si="132"/>
        <v/>
      </c>
      <c r="BG116" s="252" t="str">
        <f t="shared" ca="1" si="132"/>
        <v/>
      </c>
      <c r="BH116" s="252" t="str">
        <f t="shared" ca="1" si="132"/>
        <v/>
      </c>
      <c r="BI116" s="252" t="str">
        <f t="shared" ca="1" si="132"/>
        <v/>
      </c>
      <c r="BK116" s="140"/>
      <c r="BL116" s="140"/>
      <c r="BM116" s="140"/>
      <c r="BN116" s="140"/>
      <c r="BO116" s="140"/>
      <c r="BP116" s="140"/>
    </row>
    <row r="117" spans="2:68" ht="15" customHeight="1" outlineLevel="1">
      <c r="P117" s="3"/>
      <c r="Q117" s="1" t="s">
        <v>113</v>
      </c>
      <c r="W117" s="98">
        <f t="shared" ca="1" si="126"/>
        <v>-10.8</v>
      </c>
      <c r="X117" s="98">
        <f t="shared" ca="1" si="126"/>
        <v>-11.34</v>
      </c>
      <c r="Y117" s="98">
        <f t="shared" ca="1" si="126"/>
        <v>-11.907</v>
      </c>
      <c r="Z117" s="98">
        <f t="shared" ca="1" si="126"/>
        <v>-12.50235</v>
      </c>
      <c r="AA117" s="98">
        <f t="shared" ca="1" si="126"/>
        <v>-13.1274675</v>
      </c>
      <c r="AB117" s="98">
        <f t="shared" ca="1" si="126"/>
        <v>-13.783840875000001</v>
      </c>
      <c r="AC117" s="257"/>
      <c r="AD117" s="99" t="e">
        <f t="shared" ca="1" si="127"/>
        <v>#N/A</v>
      </c>
      <c r="AF117" s="97">
        <f t="shared" ref="AF117:BI117" ca="1" si="133">IF($D$2=FALSE,"-",IF(AF$13="","",-AF22))</f>
        <v>-10.8</v>
      </c>
      <c r="AG117" s="98">
        <f t="shared" ca="1" si="133"/>
        <v>-11.34</v>
      </c>
      <c r="AH117" s="98">
        <f t="shared" ca="1" si="133"/>
        <v>-11.907</v>
      </c>
      <c r="AI117" s="98">
        <f t="shared" ca="1" si="133"/>
        <v>-12.50235</v>
      </c>
      <c r="AJ117" s="98">
        <f t="shared" ca="1" si="133"/>
        <v>-13.1274675</v>
      </c>
      <c r="AK117" s="98">
        <f t="shared" ca="1" si="133"/>
        <v>-13.783840875000001</v>
      </c>
      <c r="AL117" s="98" t="str">
        <f t="shared" ca="1" si="133"/>
        <v/>
      </c>
      <c r="AM117" s="98" t="str">
        <f t="shared" ca="1" si="133"/>
        <v/>
      </c>
      <c r="AN117" s="98" t="str">
        <f t="shared" ca="1" si="133"/>
        <v/>
      </c>
      <c r="AO117" s="98" t="str">
        <f t="shared" ca="1" si="133"/>
        <v/>
      </c>
      <c r="AP117" s="98" t="str">
        <f t="shared" ca="1" si="133"/>
        <v/>
      </c>
      <c r="AQ117" s="98" t="str">
        <f t="shared" ca="1" si="133"/>
        <v/>
      </c>
      <c r="AR117" s="98" t="str">
        <f t="shared" ca="1" si="133"/>
        <v/>
      </c>
      <c r="AS117" s="98" t="str">
        <f t="shared" ca="1" si="133"/>
        <v/>
      </c>
      <c r="AT117" s="98" t="str">
        <f t="shared" ca="1" si="133"/>
        <v/>
      </c>
      <c r="AU117" s="98" t="str">
        <f t="shared" ca="1" si="133"/>
        <v/>
      </c>
      <c r="AV117" s="98" t="str">
        <f t="shared" ca="1" si="133"/>
        <v/>
      </c>
      <c r="AW117" s="98" t="str">
        <f t="shared" ca="1" si="133"/>
        <v/>
      </c>
      <c r="AX117" s="98" t="str">
        <f t="shared" ca="1" si="133"/>
        <v/>
      </c>
      <c r="AY117" s="98" t="str">
        <f t="shared" ca="1" si="133"/>
        <v/>
      </c>
      <c r="AZ117" s="98" t="str">
        <f t="shared" ca="1" si="133"/>
        <v/>
      </c>
      <c r="BA117" s="98" t="str">
        <f t="shared" ca="1" si="133"/>
        <v/>
      </c>
      <c r="BB117" s="98" t="str">
        <f t="shared" ca="1" si="133"/>
        <v/>
      </c>
      <c r="BC117" s="98" t="str">
        <f t="shared" ca="1" si="133"/>
        <v/>
      </c>
      <c r="BD117" s="98" t="str">
        <f t="shared" ca="1" si="133"/>
        <v/>
      </c>
      <c r="BE117" s="98" t="str">
        <f t="shared" ca="1" si="133"/>
        <v/>
      </c>
      <c r="BF117" s="98" t="str">
        <f t="shared" ca="1" si="133"/>
        <v/>
      </c>
      <c r="BG117" s="98" t="str">
        <f t="shared" ca="1" si="133"/>
        <v/>
      </c>
      <c r="BH117" s="98" t="str">
        <f t="shared" ca="1" si="133"/>
        <v/>
      </c>
      <c r="BI117" s="98" t="str">
        <f t="shared" ca="1" si="133"/>
        <v/>
      </c>
      <c r="BK117" s="140"/>
      <c r="BL117" s="140"/>
      <c r="BM117" s="140"/>
      <c r="BN117" s="140"/>
      <c r="BO117" s="140"/>
      <c r="BP117" s="140"/>
    </row>
    <row r="118" spans="2:68" ht="15" customHeight="1" outlineLevel="1">
      <c r="P118" s="3"/>
      <c r="Q118" s="1" t="s">
        <v>114</v>
      </c>
      <c r="W118" s="98">
        <f t="shared" ca="1" si="126"/>
        <v>-28.3</v>
      </c>
      <c r="X118" s="98">
        <f t="shared" ca="1" si="126"/>
        <v>-38.239407499999999</v>
      </c>
      <c r="Y118" s="98">
        <f t="shared" ca="1" si="126"/>
        <v>-29.584834155749284</v>
      </c>
      <c r="Z118" s="98">
        <f t="shared" ca="1" si="126"/>
        <v>-24.037229957181538</v>
      </c>
      <c r="AA118" s="98">
        <f t="shared" ca="1" si="126"/>
        <v>-23.619689822717305</v>
      </c>
      <c r="AB118" s="98">
        <f t="shared" ca="1" si="126"/>
        <v>-23.299303546070568</v>
      </c>
      <c r="AC118" s="257"/>
      <c r="AD118" s="99" t="e">
        <f t="shared" ca="1" si="127"/>
        <v>#N/A</v>
      </c>
      <c r="AF118" s="97">
        <f t="shared" ref="AF118:BI118" ca="1" si="134">IF($D$2=FALSE,"-",IF(AF$13="","",-AF32))</f>
        <v>-28.3</v>
      </c>
      <c r="AG118" s="98">
        <f t="shared" ca="1" si="134"/>
        <v>-38.239407499999999</v>
      </c>
      <c r="AH118" s="98">
        <f t="shared" ca="1" si="134"/>
        <v>-29.584834155749284</v>
      </c>
      <c r="AI118" s="98">
        <f t="shared" ca="1" si="134"/>
        <v>-24.037229957181538</v>
      </c>
      <c r="AJ118" s="98">
        <f t="shared" ca="1" si="134"/>
        <v>-23.619689822717305</v>
      </c>
      <c r="AK118" s="98">
        <f t="shared" ca="1" si="134"/>
        <v>-23.299303546070568</v>
      </c>
      <c r="AL118" s="98" t="str">
        <f t="shared" ca="1" si="134"/>
        <v/>
      </c>
      <c r="AM118" s="98" t="str">
        <f t="shared" ca="1" si="134"/>
        <v/>
      </c>
      <c r="AN118" s="98" t="str">
        <f t="shared" ca="1" si="134"/>
        <v/>
      </c>
      <c r="AO118" s="98" t="str">
        <f t="shared" ca="1" si="134"/>
        <v/>
      </c>
      <c r="AP118" s="98" t="str">
        <f t="shared" ca="1" si="134"/>
        <v/>
      </c>
      <c r="AQ118" s="98" t="str">
        <f t="shared" ca="1" si="134"/>
        <v/>
      </c>
      <c r="AR118" s="98" t="str">
        <f t="shared" ca="1" si="134"/>
        <v/>
      </c>
      <c r="AS118" s="98" t="str">
        <f t="shared" ca="1" si="134"/>
        <v/>
      </c>
      <c r="AT118" s="98" t="str">
        <f t="shared" ca="1" si="134"/>
        <v/>
      </c>
      <c r="AU118" s="98" t="str">
        <f t="shared" ca="1" si="134"/>
        <v/>
      </c>
      <c r="AV118" s="98" t="str">
        <f t="shared" ca="1" si="134"/>
        <v/>
      </c>
      <c r="AW118" s="98" t="str">
        <f t="shared" ca="1" si="134"/>
        <v/>
      </c>
      <c r="AX118" s="98" t="str">
        <f t="shared" ca="1" si="134"/>
        <v/>
      </c>
      <c r="AY118" s="98" t="str">
        <f t="shared" ca="1" si="134"/>
        <v/>
      </c>
      <c r="AZ118" s="98" t="str">
        <f t="shared" ca="1" si="134"/>
        <v/>
      </c>
      <c r="BA118" s="98" t="str">
        <f t="shared" ca="1" si="134"/>
        <v/>
      </c>
      <c r="BB118" s="98" t="str">
        <f t="shared" ca="1" si="134"/>
        <v/>
      </c>
      <c r="BC118" s="98" t="str">
        <f t="shared" ca="1" si="134"/>
        <v/>
      </c>
      <c r="BD118" s="98" t="str">
        <f t="shared" ca="1" si="134"/>
        <v/>
      </c>
      <c r="BE118" s="98" t="str">
        <f t="shared" ca="1" si="134"/>
        <v/>
      </c>
      <c r="BF118" s="98" t="str">
        <f t="shared" ca="1" si="134"/>
        <v/>
      </c>
      <c r="BG118" s="98" t="str">
        <f t="shared" ca="1" si="134"/>
        <v/>
      </c>
      <c r="BH118" s="98" t="str">
        <f t="shared" ca="1" si="134"/>
        <v/>
      </c>
      <c r="BI118" s="98" t="str">
        <f t="shared" ca="1" si="134"/>
        <v/>
      </c>
      <c r="BK118" s="140"/>
      <c r="BL118" s="140"/>
      <c r="BM118" s="140"/>
      <c r="BN118" s="140"/>
      <c r="BO118" s="140"/>
      <c r="BP118" s="140"/>
    </row>
    <row r="119" spans="2:68" ht="15" customHeight="1" outlineLevel="1">
      <c r="P119" s="3"/>
      <c r="Q119" s="1" t="s">
        <v>115</v>
      </c>
      <c r="W119" s="98" t="e">
        <f t="shared" ca="1" si="126"/>
        <v>#N/A</v>
      </c>
      <c r="X119" s="98">
        <f t="shared" ca="1" si="126"/>
        <v>0.19999999999999996</v>
      </c>
      <c r="Y119" s="98">
        <f t="shared" ca="1" si="126"/>
        <v>0.19999999999999996</v>
      </c>
      <c r="Z119" s="98">
        <f t="shared" ca="1" si="126"/>
        <v>0.19999999999999996</v>
      </c>
      <c r="AA119" s="98">
        <f t="shared" ca="1" si="126"/>
        <v>0.19999999999999996</v>
      </c>
      <c r="AB119" s="98">
        <f t="shared" ca="1" si="126"/>
        <v>0.19999999999999996</v>
      </c>
      <c r="AC119" s="257"/>
      <c r="AD119" s="99" t="e">
        <f t="shared" ca="1" si="127"/>
        <v>#N/A</v>
      </c>
      <c r="AF119" s="97" t="e">
        <f t="shared" ref="AF119:BI119" ca="1" si="135">IF($D$2=FALSE,"-",IF(AF$13="","",-AF84*(1-AF87)))</f>
        <v>#N/A</v>
      </c>
      <c r="AG119" s="98">
        <f t="shared" ca="1" si="135"/>
        <v>0.19999999999999996</v>
      </c>
      <c r="AH119" s="98">
        <f t="shared" ca="1" si="135"/>
        <v>0.19999999999999996</v>
      </c>
      <c r="AI119" s="98">
        <f t="shared" ca="1" si="135"/>
        <v>0.19999999999999996</v>
      </c>
      <c r="AJ119" s="98">
        <f t="shared" ca="1" si="135"/>
        <v>0.19999999999999996</v>
      </c>
      <c r="AK119" s="98">
        <f t="shared" ca="1" si="135"/>
        <v>0.19999999999999996</v>
      </c>
      <c r="AL119" s="98" t="str">
        <f t="shared" ca="1" si="135"/>
        <v/>
      </c>
      <c r="AM119" s="98" t="str">
        <f t="shared" ca="1" si="135"/>
        <v/>
      </c>
      <c r="AN119" s="98" t="str">
        <f t="shared" ca="1" si="135"/>
        <v/>
      </c>
      <c r="AO119" s="98" t="str">
        <f t="shared" ca="1" si="135"/>
        <v/>
      </c>
      <c r="AP119" s="98" t="str">
        <f t="shared" ca="1" si="135"/>
        <v/>
      </c>
      <c r="AQ119" s="98" t="str">
        <f t="shared" ca="1" si="135"/>
        <v/>
      </c>
      <c r="AR119" s="98" t="str">
        <f t="shared" ca="1" si="135"/>
        <v/>
      </c>
      <c r="AS119" s="98" t="str">
        <f t="shared" ca="1" si="135"/>
        <v/>
      </c>
      <c r="AT119" s="98" t="str">
        <f t="shared" ca="1" si="135"/>
        <v/>
      </c>
      <c r="AU119" s="98" t="str">
        <f t="shared" ca="1" si="135"/>
        <v/>
      </c>
      <c r="AV119" s="98" t="str">
        <f t="shared" ca="1" si="135"/>
        <v/>
      </c>
      <c r="AW119" s="98" t="str">
        <f t="shared" ca="1" si="135"/>
        <v/>
      </c>
      <c r="AX119" s="98" t="str">
        <f t="shared" ca="1" si="135"/>
        <v/>
      </c>
      <c r="AY119" s="98" t="str">
        <f t="shared" ca="1" si="135"/>
        <v/>
      </c>
      <c r="AZ119" s="98" t="str">
        <f t="shared" ca="1" si="135"/>
        <v/>
      </c>
      <c r="BA119" s="98" t="str">
        <f t="shared" ca="1" si="135"/>
        <v/>
      </c>
      <c r="BB119" s="98" t="str">
        <f t="shared" ca="1" si="135"/>
        <v/>
      </c>
      <c r="BC119" s="98" t="str">
        <f t="shared" ca="1" si="135"/>
        <v/>
      </c>
      <c r="BD119" s="98" t="str">
        <f t="shared" ca="1" si="135"/>
        <v/>
      </c>
      <c r="BE119" s="98" t="str">
        <f t="shared" ca="1" si="135"/>
        <v/>
      </c>
      <c r="BF119" s="98" t="str">
        <f t="shared" ca="1" si="135"/>
        <v/>
      </c>
      <c r="BG119" s="98" t="str">
        <f t="shared" ca="1" si="135"/>
        <v/>
      </c>
      <c r="BH119" s="98" t="str">
        <f t="shared" ca="1" si="135"/>
        <v/>
      </c>
      <c r="BI119" s="98" t="str">
        <f t="shared" ca="1" si="135"/>
        <v/>
      </c>
      <c r="BK119" s="140"/>
      <c r="BL119" s="140"/>
      <c r="BM119" s="140"/>
      <c r="BN119" s="140"/>
      <c r="BO119" s="140"/>
      <c r="BP119" s="140"/>
    </row>
    <row r="120" spans="2:68" ht="15" customHeight="1" outlineLevel="1">
      <c r="P120" s="3"/>
      <c r="Q120" s="100" t="s">
        <v>116</v>
      </c>
      <c r="R120" s="100"/>
      <c r="S120" s="100"/>
      <c r="T120" s="100"/>
      <c r="U120" s="100"/>
      <c r="W120" s="103">
        <f t="shared" ca="1" si="126"/>
        <v>-1</v>
      </c>
      <c r="X120" s="103">
        <f t="shared" ca="1" si="126"/>
        <v>-1</v>
      </c>
      <c r="Y120" s="103">
        <f t="shared" ca="1" si="126"/>
        <v>-1</v>
      </c>
      <c r="Z120" s="103">
        <f t="shared" ca="1" si="126"/>
        <v>-1</v>
      </c>
      <c r="AA120" s="103">
        <f t="shared" ca="1" si="126"/>
        <v>-1</v>
      </c>
      <c r="AB120" s="103">
        <f t="shared" ca="1" si="126"/>
        <v>-1</v>
      </c>
      <c r="AC120" s="257"/>
      <c r="AD120" s="101" t="e">
        <f t="shared" ca="1" si="127"/>
        <v>#N/A</v>
      </c>
      <c r="AF120" s="102">
        <f t="shared" ref="AF120:BI120" ca="1" si="136">IF($D$2=FALSE,"-",IF(AF$13="","",-AF34))</f>
        <v>-1</v>
      </c>
      <c r="AG120" s="103">
        <f t="shared" ca="1" si="136"/>
        <v>-1</v>
      </c>
      <c r="AH120" s="103">
        <f t="shared" ca="1" si="136"/>
        <v>-1</v>
      </c>
      <c r="AI120" s="103">
        <f t="shared" ca="1" si="136"/>
        <v>-1</v>
      </c>
      <c r="AJ120" s="103">
        <f t="shared" ca="1" si="136"/>
        <v>-1</v>
      </c>
      <c r="AK120" s="103">
        <f t="shared" ca="1" si="136"/>
        <v>-1</v>
      </c>
      <c r="AL120" s="103" t="str">
        <f t="shared" ca="1" si="136"/>
        <v/>
      </c>
      <c r="AM120" s="103" t="str">
        <f t="shared" ca="1" si="136"/>
        <v/>
      </c>
      <c r="AN120" s="103" t="str">
        <f t="shared" ca="1" si="136"/>
        <v/>
      </c>
      <c r="AO120" s="103" t="str">
        <f t="shared" ca="1" si="136"/>
        <v/>
      </c>
      <c r="AP120" s="103" t="str">
        <f t="shared" ca="1" si="136"/>
        <v/>
      </c>
      <c r="AQ120" s="103" t="str">
        <f t="shared" ca="1" si="136"/>
        <v/>
      </c>
      <c r="AR120" s="103" t="str">
        <f t="shared" ca="1" si="136"/>
        <v/>
      </c>
      <c r="AS120" s="103" t="str">
        <f t="shared" ca="1" si="136"/>
        <v/>
      </c>
      <c r="AT120" s="103" t="str">
        <f t="shared" ca="1" si="136"/>
        <v/>
      </c>
      <c r="AU120" s="103" t="str">
        <f t="shared" ca="1" si="136"/>
        <v/>
      </c>
      <c r="AV120" s="103" t="str">
        <f t="shared" ca="1" si="136"/>
        <v/>
      </c>
      <c r="AW120" s="103" t="str">
        <f t="shared" ca="1" si="136"/>
        <v/>
      </c>
      <c r="AX120" s="103" t="str">
        <f t="shared" ca="1" si="136"/>
        <v/>
      </c>
      <c r="AY120" s="103" t="str">
        <f t="shared" ca="1" si="136"/>
        <v/>
      </c>
      <c r="AZ120" s="103" t="str">
        <f t="shared" ca="1" si="136"/>
        <v/>
      </c>
      <c r="BA120" s="103" t="str">
        <f t="shared" ca="1" si="136"/>
        <v/>
      </c>
      <c r="BB120" s="103" t="str">
        <f t="shared" ca="1" si="136"/>
        <v/>
      </c>
      <c r="BC120" s="103" t="str">
        <f t="shared" ca="1" si="136"/>
        <v/>
      </c>
      <c r="BD120" s="103" t="str">
        <f t="shared" ca="1" si="136"/>
        <v/>
      </c>
      <c r="BE120" s="103" t="str">
        <f t="shared" ca="1" si="136"/>
        <v/>
      </c>
      <c r="BF120" s="103" t="str">
        <f t="shared" ca="1" si="136"/>
        <v/>
      </c>
      <c r="BG120" s="103" t="str">
        <f t="shared" ca="1" si="136"/>
        <v/>
      </c>
      <c r="BH120" s="103" t="str">
        <f t="shared" ca="1" si="136"/>
        <v/>
      </c>
      <c r="BI120" s="103" t="str">
        <f t="shared" ca="1" si="136"/>
        <v/>
      </c>
      <c r="BK120" s="140"/>
      <c r="BL120" s="140"/>
      <c r="BM120" s="140"/>
      <c r="BN120" s="140"/>
      <c r="BO120" s="140"/>
      <c r="BP120" s="140"/>
    </row>
    <row r="121" spans="2:68" ht="15" customHeight="1" outlineLevel="1">
      <c r="P121" s="3"/>
      <c r="Q121" s="1" t="s">
        <v>117</v>
      </c>
      <c r="W121" s="98" t="e">
        <f t="shared" ca="1" si="126"/>
        <v>#N/A</v>
      </c>
      <c r="X121" s="98">
        <f t="shared" ca="1" si="126"/>
        <v>57.460592500000047</v>
      </c>
      <c r="Y121" s="98">
        <f t="shared" ca="1" si="126"/>
        <v>71.470165844250786</v>
      </c>
      <c r="Z121" s="98">
        <f t="shared" ca="1" si="126"/>
        <v>82.64052004281848</v>
      </c>
      <c r="AA121" s="98">
        <f t="shared" ca="1" si="126"/>
        <v>97.8709476772827</v>
      </c>
      <c r="AB121" s="98">
        <f t="shared" ca="1" si="126"/>
        <v>107.08141582892945</v>
      </c>
      <c r="AC121" s="257"/>
      <c r="AD121" s="99" t="e">
        <f t="shared" ca="1" si="127"/>
        <v>#N/A</v>
      </c>
      <c r="AF121" s="97" t="e">
        <f t="shared" ref="AF121:BI121" ca="1" si="137">IF($D$2=FALSE,"-",IF(AF$13="","",SUM(AF113:AF120)))</f>
        <v>#N/A</v>
      </c>
      <c r="AG121" s="98">
        <f t="shared" ca="1" si="137"/>
        <v>57.460592500000047</v>
      </c>
      <c r="AH121" s="98">
        <f t="shared" ca="1" si="137"/>
        <v>71.470165844250786</v>
      </c>
      <c r="AI121" s="98">
        <f t="shared" ca="1" si="137"/>
        <v>82.64052004281848</v>
      </c>
      <c r="AJ121" s="98">
        <f t="shared" ca="1" si="137"/>
        <v>97.8709476772827</v>
      </c>
      <c r="AK121" s="98">
        <f t="shared" ca="1" si="137"/>
        <v>107.08141582892945</v>
      </c>
      <c r="AL121" s="98" t="str">
        <f t="shared" ca="1" si="137"/>
        <v/>
      </c>
      <c r="AM121" s="98" t="str">
        <f t="shared" ca="1" si="137"/>
        <v/>
      </c>
      <c r="AN121" s="98" t="str">
        <f t="shared" ca="1" si="137"/>
        <v/>
      </c>
      <c r="AO121" s="98" t="str">
        <f t="shared" ca="1" si="137"/>
        <v/>
      </c>
      <c r="AP121" s="98" t="str">
        <f t="shared" ca="1" si="137"/>
        <v/>
      </c>
      <c r="AQ121" s="98" t="str">
        <f t="shared" ca="1" si="137"/>
        <v/>
      </c>
      <c r="AR121" s="98" t="str">
        <f t="shared" ca="1" si="137"/>
        <v/>
      </c>
      <c r="AS121" s="98" t="str">
        <f t="shared" ca="1" si="137"/>
        <v/>
      </c>
      <c r="AT121" s="98" t="str">
        <f t="shared" ca="1" si="137"/>
        <v/>
      </c>
      <c r="AU121" s="98" t="str">
        <f t="shared" ca="1" si="137"/>
        <v/>
      </c>
      <c r="AV121" s="98" t="str">
        <f t="shared" ca="1" si="137"/>
        <v/>
      </c>
      <c r="AW121" s="98" t="str">
        <f t="shared" ca="1" si="137"/>
        <v/>
      </c>
      <c r="AX121" s="98" t="str">
        <f t="shared" ca="1" si="137"/>
        <v/>
      </c>
      <c r="AY121" s="98" t="str">
        <f t="shared" ca="1" si="137"/>
        <v/>
      </c>
      <c r="AZ121" s="98" t="str">
        <f t="shared" ca="1" si="137"/>
        <v/>
      </c>
      <c r="BA121" s="98" t="str">
        <f t="shared" ca="1" si="137"/>
        <v/>
      </c>
      <c r="BB121" s="98" t="str">
        <f t="shared" ca="1" si="137"/>
        <v/>
      </c>
      <c r="BC121" s="98" t="str">
        <f t="shared" ca="1" si="137"/>
        <v/>
      </c>
      <c r="BD121" s="98" t="str">
        <f t="shared" ca="1" si="137"/>
        <v/>
      </c>
      <c r="BE121" s="98" t="str">
        <f t="shared" ca="1" si="137"/>
        <v/>
      </c>
      <c r="BF121" s="98" t="str">
        <f t="shared" ca="1" si="137"/>
        <v/>
      </c>
      <c r="BG121" s="98" t="str">
        <f t="shared" ca="1" si="137"/>
        <v/>
      </c>
      <c r="BH121" s="98" t="str">
        <f t="shared" ca="1" si="137"/>
        <v/>
      </c>
      <c r="BI121" s="98" t="str">
        <f t="shared" ca="1" si="137"/>
        <v/>
      </c>
      <c r="BK121" s="140"/>
      <c r="BL121" s="140"/>
      <c r="BM121" s="140"/>
      <c r="BN121" s="140"/>
      <c r="BO121" s="140"/>
      <c r="BP121" s="140"/>
    </row>
    <row r="122" spans="2:68" ht="15" customHeight="1" outlineLevel="1">
      <c r="P122" s="3"/>
      <c r="Q122" s="1" t="s">
        <v>118</v>
      </c>
      <c r="W122" s="98" t="e">
        <f t="shared" ca="1" si="126"/>
        <v>#N/A</v>
      </c>
      <c r="X122" s="98">
        <f t="shared" ca="1" si="126"/>
        <v>-57.460592500000047</v>
      </c>
      <c r="Y122" s="98">
        <f t="shared" ca="1" si="126"/>
        <v>-70.470165844250786</v>
      </c>
      <c r="Z122" s="98">
        <f t="shared" ca="1" si="126"/>
        <v>-78.64052004281848</v>
      </c>
      <c r="AA122" s="98">
        <f t="shared" ca="1" si="126"/>
        <v>-21.428721612930687</v>
      </c>
      <c r="AB122" s="98">
        <f t="shared" ca="1" si="126"/>
        <v>4</v>
      </c>
      <c r="AD122" s="99" t="e">
        <f t="shared" ca="1" si="127"/>
        <v>#N/A</v>
      </c>
      <c r="AF122" s="97" t="e">
        <f t="shared" ref="AF122:BI122" ca="1" si="138">IF($D$2=FALSE,"-",IF(AF$13="","",+AF138+AF153))</f>
        <v>#N/A</v>
      </c>
      <c r="AG122" s="98">
        <f t="shared" ca="1" si="138"/>
        <v>-57.460592500000047</v>
      </c>
      <c r="AH122" s="98">
        <f t="shared" ca="1" si="138"/>
        <v>-70.470165844250786</v>
      </c>
      <c r="AI122" s="98">
        <f t="shared" ca="1" si="138"/>
        <v>-78.64052004281848</v>
      </c>
      <c r="AJ122" s="98">
        <f t="shared" ca="1" si="138"/>
        <v>-21.428721612930687</v>
      </c>
      <c r="AK122" s="98">
        <f t="shared" ca="1" si="138"/>
        <v>4</v>
      </c>
      <c r="AL122" s="98" t="str">
        <f t="shared" ca="1" si="138"/>
        <v/>
      </c>
      <c r="AM122" s="98" t="str">
        <f t="shared" ca="1" si="138"/>
        <v/>
      </c>
      <c r="AN122" s="98" t="str">
        <f t="shared" ca="1" si="138"/>
        <v/>
      </c>
      <c r="AO122" s="98" t="str">
        <f t="shared" ca="1" si="138"/>
        <v/>
      </c>
      <c r="AP122" s="98" t="str">
        <f t="shared" ca="1" si="138"/>
        <v/>
      </c>
      <c r="AQ122" s="98" t="str">
        <f t="shared" ca="1" si="138"/>
        <v/>
      </c>
      <c r="AR122" s="98" t="str">
        <f t="shared" ca="1" si="138"/>
        <v/>
      </c>
      <c r="AS122" s="98" t="str">
        <f t="shared" ca="1" si="138"/>
        <v/>
      </c>
      <c r="AT122" s="98" t="str">
        <f t="shared" ca="1" si="138"/>
        <v/>
      </c>
      <c r="AU122" s="98" t="str">
        <f t="shared" ca="1" si="138"/>
        <v/>
      </c>
      <c r="AV122" s="98" t="str">
        <f t="shared" ca="1" si="138"/>
        <v/>
      </c>
      <c r="AW122" s="98" t="str">
        <f t="shared" ca="1" si="138"/>
        <v/>
      </c>
      <c r="AX122" s="98" t="str">
        <f t="shared" ca="1" si="138"/>
        <v/>
      </c>
      <c r="AY122" s="98" t="str">
        <f t="shared" ca="1" si="138"/>
        <v/>
      </c>
      <c r="AZ122" s="98" t="str">
        <f t="shared" ca="1" si="138"/>
        <v/>
      </c>
      <c r="BA122" s="98" t="str">
        <f t="shared" ca="1" si="138"/>
        <v/>
      </c>
      <c r="BB122" s="98" t="str">
        <f t="shared" ca="1" si="138"/>
        <v/>
      </c>
      <c r="BC122" s="98" t="str">
        <f t="shared" ca="1" si="138"/>
        <v/>
      </c>
      <c r="BD122" s="98" t="str">
        <f t="shared" ca="1" si="138"/>
        <v/>
      </c>
      <c r="BE122" s="98" t="str">
        <f t="shared" ca="1" si="138"/>
        <v/>
      </c>
      <c r="BF122" s="98" t="str">
        <f t="shared" ca="1" si="138"/>
        <v/>
      </c>
      <c r="BG122" s="98" t="str">
        <f t="shared" ca="1" si="138"/>
        <v/>
      </c>
      <c r="BH122" s="98" t="str">
        <f t="shared" ca="1" si="138"/>
        <v/>
      </c>
      <c r="BI122" s="98" t="str">
        <f t="shared" ca="1" si="138"/>
        <v/>
      </c>
      <c r="BK122" s="140"/>
      <c r="BL122" s="140"/>
      <c r="BM122" s="140"/>
      <c r="BN122" s="140"/>
      <c r="BO122" s="140"/>
      <c r="BP122" s="140"/>
    </row>
    <row r="123" spans="2:68" ht="15" customHeight="1" outlineLevel="1">
      <c r="P123" s="3"/>
      <c r="Q123" s="143" t="s">
        <v>119</v>
      </c>
      <c r="R123" s="143"/>
      <c r="S123" s="143"/>
      <c r="T123" s="143"/>
      <c r="U123" s="143"/>
      <c r="W123" s="146" t="e">
        <f t="shared" ca="1" si="126"/>
        <v>#N/A</v>
      </c>
      <c r="X123" s="146">
        <f t="shared" ca="1" si="126"/>
        <v>0</v>
      </c>
      <c r="Y123" s="146">
        <f t="shared" ca="1" si="126"/>
        <v>1</v>
      </c>
      <c r="Z123" s="146">
        <f t="shared" ca="1" si="126"/>
        <v>4</v>
      </c>
      <c r="AA123" s="146">
        <f t="shared" ca="1" si="126"/>
        <v>76.442226064352013</v>
      </c>
      <c r="AB123" s="146">
        <f t="shared" ca="1" si="126"/>
        <v>111.08141582892945</v>
      </c>
      <c r="AC123" s="257"/>
      <c r="AD123" s="144" t="e">
        <f t="shared" ca="1" si="127"/>
        <v>#N/A</v>
      </c>
      <c r="AF123" s="145" t="e">
        <f t="shared" ref="AF123:BI123" ca="1" si="139">IF($D$2=FALSE,"-",IF(AF$13="","",+AF121+AF122))</f>
        <v>#N/A</v>
      </c>
      <c r="AG123" s="146">
        <f t="shared" ca="1" si="139"/>
        <v>0</v>
      </c>
      <c r="AH123" s="146">
        <f t="shared" ca="1" si="139"/>
        <v>1</v>
      </c>
      <c r="AI123" s="146">
        <f t="shared" ca="1" si="139"/>
        <v>4</v>
      </c>
      <c r="AJ123" s="146">
        <f t="shared" ca="1" si="139"/>
        <v>76.442226064352013</v>
      </c>
      <c r="AK123" s="146">
        <f t="shared" ca="1" si="139"/>
        <v>111.08141582892945</v>
      </c>
      <c r="AL123" s="146" t="str">
        <f t="shared" ca="1" si="139"/>
        <v/>
      </c>
      <c r="AM123" s="146" t="str">
        <f t="shared" ca="1" si="139"/>
        <v/>
      </c>
      <c r="AN123" s="146" t="str">
        <f t="shared" ca="1" si="139"/>
        <v/>
      </c>
      <c r="AO123" s="146" t="str">
        <f t="shared" ca="1" si="139"/>
        <v/>
      </c>
      <c r="AP123" s="146" t="str">
        <f t="shared" ca="1" si="139"/>
        <v/>
      </c>
      <c r="AQ123" s="146" t="str">
        <f t="shared" ca="1" si="139"/>
        <v/>
      </c>
      <c r="AR123" s="146" t="str">
        <f t="shared" ca="1" si="139"/>
        <v/>
      </c>
      <c r="AS123" s="146" t="str">
        <f t="shared" ca="1" si="139"/>
        <v/>
      </c>
      <c r="AT123" s="146" t="str">
        <f t="shared" ca="1" si="139"/>
        <v/>
      </c>
      <c r="AU123" s="146" t="str">
        <f t="shared" ca="1" si="139"/>
        <v/>
      </c>
      <c r="AV123" s="146" t="str">
        <f t="shared" ca="1" si="139"/>
        <v/>
      </c>
      <c r="AW123" s="146" t="str">
        <f t="shared" ca="1" si="139"/>
        <v/>
      </c>
      <c r="AX123" s="146" t="str">
        <f t="shared" ca="1" si="139"/>
        <v/>
      </c>
      <c r="AY123" s="146" t="str">
        <f t="shared" ca="1" si="139"/>
        <v/>
      </c>
      <c r="AZ123" s="146" t="str">
        <f t="shared" ca="1" si="139"/>
        <v/>
      </c>
      <c r="BA123" s="146" t="str">
        <f t="shared" ca="1" si="139"/>
        <v/>
      </c>
      <c r="BB123" s="146" t="str">
        <f t="shared" ca="1" si="139"/>
        <v/>
      </c>
      <c r="BC123" s="146" t="str">
        <f t="shared" ca="1" si="139"/>
        <v/>
      </c>
      <c r="BD123" s="146" t="str">
        <f t="shared" ca="1" si="139"/>
        <v/>
      </c>
      <c r="BE123" s="146" t="str">
        <f t="shared" ca="1" si="139"/>
        <v/>
      </c>
      <c r="BF123" s="146" t="str">
        <f t="shared" ca="1" si="139"/>
        <v/>
      </c>
      <c r="BG123" s="146" t="str">
        <f t="shared" ca="1" si="139"/>
        <v/>
      </c>
      <c r="BH123" s="146" t="str">
        <f t="shared" ca="1" si="139"/>
        <v/>
      </c>
      <c r="BI123" s="146" t="str">
        <f t="shared" ca="1" si="139"/>
        <v/>
      </c>
      <c r="BK123" s="140"/>
      <c r="BL123" s="140"/>
      <c r="BM123" s="140"/>
      <c r="BN123" s="140"/>
      <c r="BO123" s="140"/>
      <c r="BP123" s="140"/>
    </row>
    <row r="124" spans="2:68" ht="15" customHeight="1" outlineLevel="1">
      <c r="P124" s="3"/>
      <c r="Q124" s="100" t="s">
        <v>120</v>
      </c>
      <c r="R124" s="100"/>
      <c r="S124" s="100"/>
      <c r="T124" s="100"/>
      <c r="U124" s="100"/>
      <c r="W124" s="103" t="e">
        <f t="shared" ca="1" si="126"/>
        <v>#N/A</v>
      </c>
      <c r="X124" s="103">
        <f t="shared" ca="1" si="126"/>
        <v>0</v>
      </c>
      <c r="Y124" s="103">
        <f t="shared" ca="1" si="126"/>
        <v>-0.03</v>
      </c>
      <c r="Z124" s="103">
        <f t="shared" ca="1" si="126"/>
        <v>-0.12</v>
      </c>
      <c r="AA124" s="103">
        <f t="shared" ca="1" si="126"/>
        <v>-2.2932667819305603</v>
      </c>
      <c r="AB124" s="103">
        <f t="shared" ca="1" si="126"/>
        <v>-3.3324424748678836</v>
      </c>
      <c r="AC124" s="257"/>
      <c r="AD124" s="101" t="e">
        <f t="shared" ca="1" si="127"/>
        <v>#N/A</v>
      </c>
      <c r="AF124" s="102" t="e">
        <f t="shared" ref="AF124:BI124" ca="1" si="140">IF($D$2=FALSE,"-",IF(AF$13="","",-MAX(0,AF123*AF109)))</f>
        <v>#N/A</v>
      </c>
      <c r="AG124" s="103">
        <f t="shared" ca="1" si="140"/>
        <v>0</v>
      </c>
      <c r="AH124" s="103">
        <f t="shared" ca="1" si="140"/>
        <v>-0.03</v>
      </c>
      <c r="AI124" s="103">
        <f t="shared" ca="1" si="140"/>
        <v>-0.12</v>
      </c>
      <c r="AJ124" s="103">
        <f t="shared" ca="1" si="140"/>
        <v>-2.2932667819305603</v>
      </c>
      <c r="AK124" s="103">
        <f t="shared" ca="1" si="140"/>
        <v>-3.3324424748678836</v>
      </c>
      <c r="AL124" s="103" t="str">
        <f t="shared" ca="1" si="140"/>
        <v/>
      </c>
      <c r="AM124" s="103" t="str">
        <f t="shared" ca="1" si="140"/>
        <v/>
      </c>
      <c r="AN124" s="103" t="str">
        <f t="shared" ca="1" si="140"/>
        <v/>
      </c>
      <c r="AO124" s="103" t="str">
        <f t="shared" ca="1" si="140"/>
        <v/>
      </c>
      <c r="AP124" s="103" t="str">
        <f t="shared" ca="1" si="140"/>
        <v/>
      </c>
      <c r="AQ124" s="103" t="str">
        <f t="shared" ca="1" si="140"/>
        <v/>
      </c>
      <c r="AR124" s="103" t="str">
        <f t="shared" ca="1" si="140"/>
        <v/>
      </c>
      <c r="AS124" s="103" t="str">
        <f t="shared" ca="1" si="140"/>
        <v/>
      </c>
      <c r="AT124" s="103" t="str">
        <f t="shared" ca="1" si="140"/>
        <v/>
      </c>
      <c r="AU124" s="103" t="str">
        <f t="shared" ca="1" si="140"/>
        <v/>
      </c>
      <c r="AV124" s="103" t="str">
        <f t="shared" ca="1" si="140"/>
        <v/>
      </c>
      <c r="AW124" s="103" t="str">
        <f t="shared" ca="1" si="140"/>
        <v/>
      </c>
      <c r="AX124" s="103" t="str">
        <f t="shared" ca="1" si="140"/>
        <v/>
      </c>
      <c r="AY124" s="103" t="str">
        <f t="shared" ca="1" si="140"/>
        <v/>
      </c>
      <c r="AZ124" s="103" t="str">
        <f t="shared" ca="1" si="140"/>
        <v/>
      </c>
      <c r="BA124" s="103" t="str">
        <f t="shared" ca="1" si="140"/>
        <v/>
      </c>
      <c r="BB124" s="103" t="str">
        <f t="shared" ca="1" si="140"/>
        <v/>
      </c>
      <c r="BC124" s="103" t="str">
        <f t="shared" ca="1" si="140"/>
        <v/>
      </c>
      <c r="BD124" s="103" t="str">
        <f t="shared" ca="1" si="140"/>
        <v/>
      </c>
      <c r="BE124" s="103" t="str">
        <f t="shared" ca="1" si="140"/>
        <v/>
      </c>
      <c r="BF124" s="103" t="str">
        <f t="shared" ca="1" si="140"/>
        <v/>
      </c>
      <c r="BG124" s="103" t="str">
        <f t="shared" ca="1" si="140"/>
        <v/>
      </c>
      <c r="BH124" s="103" t="str">
        <f t="shared" ca="1" si="140"/>
        <v/>
      </c>
      <c r="BI124" s="103" t="str">
        <f t="shared" ca="1" si="140"/>
        <v/>
      </c>
      <c r="BK124" s="140"/>
      <c r="BL124" s="140"/>
      <c r="BM124" s="140"/>
      <c r="BN124" s="140"/>
      <c r="BO124" s="140"/>
      <c r="BP124" s="140"/>
    </row>
    <row r="125" spans="2:68" ht="15" customHeight="1" outlineLevel="1">
      <c r="P125" s="3"/>
      <c r="Q125" s="1" t="s">
        <v>121</v>
      </c>
      <c r="W125" s="98" t="e">
        <f t="shared" ca="1" si="126"/>
        <v>#N/A</v>
      </c>
      <c r="X125" s="98">
        <f t="shared" ca="1" si="126"/>
        <v>0</v>
      </c>
      <c r="Y125" s="98">
        <f t="shared" ca="1" si="126"/>
        <v>0.97</v>
      </c>
      <c r="Z125" s="98">
        <f t="shared" ca="1" si="126"/>
        <v>3.88</v>
      </c>
      <c r="AA125" s="98">
        <f t="shared" ca="1" si="126"/>
        <v>74.148959282421458</v>
      </c>
      <c r="AB125" s="98">
        <f t="shared" ca="1" si="126"/>
        <v>107.74897335406156</v>
      </c>
      <c r="AC125" s="257"/>
      <c r="AD125" s="99" t="e">
        <f t="shared" ca="1" si="127"/>
        <v>#N/A</v>
      </c>
      <c r="AF125" s="97" t="e">
        <f t="shared" ref="AF125:BI125" ca="1" si="141">IF($D$2=FALSE,"-",IF(AF$13="","",+SUM(AF123:AF124)))</f>
        <v>#N/A</v>
      </c>
      <c r="AG125" s="98">
        <f t="shared" ca="1" si="141"/>
        <v>0</v>
      </c>
      <c r="AH125" s="98">
        <f t="shared" ca="1" si="141"/>
        <v>0.97</v>
      </c>
      <c r="AI125" s="98">
        <f t="shared" ca="1" si="141"/>
        <v>3.88</v>
      </c>
      <c r="AJ125" s="98">
        <f t="shared" ca="1" si="141"/>
        <v>74.148959282421458</v>
      </c>
      <c r="AK125" s="98">
        <f t="shared" ca="1" si="141"/>
        <v>107.74897335406156</v>
      </c>
      <c r="AL125" s="98" t="str">
        <f t="shared" ca="1" si="141"/>
        <v/>
      </c>
      <c r="AM125" s="98" t="str">
        <f t="shared" ca="1" si="141"/>
        <v/>
      </c>
      <c r="AN125" s="98" t="str">
        <f t="shared" ca="1" si="141"/>
        <v/>
      </c>
      <c r="AO125" s="98" t="str">
        <f t="shared" ca="1" si="141"/>
        <v/>
      </c>
      <c r="AP125" s="98" t="str">
        <f t="shared" ca="1" si="141"/>
        <v/>
      </c>
      <c r="AQ125" s="98" t="str">
        <f t="shared" ca="1" si="141"/>
        <v/>
      </c>
      <c r="AR125" s="98" t="str">
        <f t="shared" ca="1" si="141"/>
        <v/>
      </c>
      <c r="AS125" s="98" t="str">
        <f t="shared" ca="1" si="141"/>
        <v/>
      </c>
      <c r="AT125" s="98" t="str">
        <f t="shared" ca="1" si="141"/>
        <v/>
      </c>
      <c r="AU125" s="98" t="str">
        <f t="shared" ca="1" si="141"/>
        <v/>
      </c>
      <c r="AV125" s="98" t="str">
        <f t="shared" ca="1" si="141"/>
        <v/>
      </c>
      <c r="AW125" s="98" t="str">
        <f t="shared" ca="1" si="141"/>
        <v/>
      </c>
      <c r="AX125" s="98" t="str">
        <f t="shared" ca="1" si="141"/>
        <v/>
      </c>
      <c r="AY125" s="98" t="str">
        <f t="shared" ca="1" si="141"/>
        <v/>
      </c>
      <c r="AZ125" s="98" t="str">
        <f t="shared" ca="1" si="141"/>
        <v/>
      </c>
      <c r="BA125" s="98" t="str">
        <f t="shared" ca="1" si="141"/>
        <v/>
      </c>
      <c r="BB125" s="98" t="str">
        <f t="shared" ca="1" si="141"/>
        <v/>
      </c>
      <c r="BC125" s="98" t="str">
        <f t="shared" ca="1" si="141"/>
        <v/>
      </c>
      <c r="BD125" s="98" t="str">
        <f t="shared" ca="1" si="141"/>
        <v/>
      </c>
      <c r="BE125" s="98" t="str">
        <f t="shared" ca="1" si="141"/>
        <v/>
      </c>
      <c r="BF125" s="98" t="str">
        <f t="shared" ca="1" si="141"/>
        <v/>
      </c>
      <c r="BG125" s="98" t="str">
        <f t="shared" ca="1" si="141"/>
        <v/>
      </c>
      <c r="BH125" s="98" t="str">
        <f t="shared" ca="1" si="141"/>
        <v/>
      </c>
      <c r="BI125" s="98" t="str">
        <f t="shared" ca="1" si="141"/>
        <v/>
      </c>
      <c r="BK125" s="140"/>
      <c r="BL125" s="140"/>
      <c r="BM125" s="140"/>
      <c r="BN125" s="140"/>
      <c r="BO125" s="140"/>
      <c r="BP125" s="140"/>
    </row>
    <row r="126" spans="2:68" ht="15" customHeight="1" outlineLevel="1">
      <c r="BK126" s="140"/>
      <c r="BL126" s="140"/>
      <c r="BM126" s="140"/>
      <c r="BN126" s="140"/>
      <c r="BO126" s="140"/>
      <c r="BP126" s="140"/>
    </row>
    <row r="127" spans="2:68" ht="15" customHeight="1" outlineLevel="1">
      <c r="P127" s="3"/>
      <c r="Q127" s="1" t="s">
        <v>122</v>
      </c>
      <c r="W127" s="99" t="e">
        <f t="shared" ref="W127:AB131" ca="1" si="142">IF($D$2=FALSE,"-",IF(W$13="","",SUM(OFFSET($AF127,0,W$8,1,-$E$5))))</f>
        <v>#N/A</v>
      </c>
      <c r="X127" s="99">
        <f t="shared" ca="1" si="142"/>
        <v>1.1492118500000008</v>
      </c>
      <c r="Y127" s="99">
        <f t="shared" ca="1" si="142"/>
        <v>1.4288033168850154</v>
      </c>
      <c r="Z127" s="99">
        <f t="shared" ca="1" si="142"/>
        <v>1.6504104008563694</v>
      </c>
      <c r="AA127" s="99">
        <f t="shared" ca="1" si="142"/>
        <v>1.9115536179070425</v>
      </c>
      <c r="AB127" s="99">
        <f t="shared" ca="1" si="142"/>
        <v>31.244987218538029</v>
      </c>
      <c r="AD127" s="99" t="e">
        <f ca="1">IF($D$2=FALSE,"-",IF(AD$13="","",SUM(OFFSET($AF127,0,$F$4-AD$7-1,1,-$E$5))+SUM(OFFSET($AF127,0,$F$4-1,1,-AD$7))-SUM(OFFSET($AF127,0,$F$4-$E$5-1,1,-AD$7))))</f>
        <v>#N/A</v>
      </c>
      <c r="AF127" s="97" t="e">
        <f t="shared" ref="AF127:BI127" ca="1" si="143">IF($D$2=FALSE,"-",IF(AF$13="","",AF172))</f>
        <v>#N/A</v>
      </c>
      <c r="AG127" s="98">
        <f t="shared" ca="1" si="143"/>
        <v>1.1492118500000008</v>
      </c>
      <c r="AH127" s="98">
        <f t="shared" ca="1" si="143"/>
        <v>1.4288033168850154</v>
      </c>
      <c r="AI127" s="98">
        <f t="shared" ca="1" si="143"/>
        <v>1.6504104008563694</v>
      </c>
      <c r="AJ127" s="98">
        <f t="shared" ca="1" si="143"/>
        <v>1.9115536179070425</v>
      </c>
      <c r="AK127" s="98">
        <f t="shared" ca="1" si="143"/>
        <v>31.244987218538029</v>
      </c>
      <c r="AL127" s="98" t="str">
        <f t="shared" ca="1" si="143"/>
        <v/>
      </c>
      <c r="AM127" s="98" t="str">
        <f t="shared" ca="1" si="143"/>
        <v/>
      </c>
      <c r="AN127" s="98" t="str">
        <f t="shared" ca="1" si="143"/>
        <v/>
      </c>
      <c r="AO127" s="98" t="str">
        <f t="shared" ca="1" si="143"/>
        <v/>
      </c>
      <c r="AP127" s="98" t="str">
        <f t="shared" ca="1" si="143"/>
        <v/>
      </c>
      <c r="AQ127" s="98" t="str">
        <f t="shared" ca="1" si="143"/>
        <v/>
      </c>
      <c r="AR127" s="98" t="str">
        <f t="shared" ca="1" si="143"/>
        <v/>
      </c>
      <c r="AS127" s="98" t="str">
        <f t="shared" ca="1" si="143"/>
        <v/>
      </c>
      <c r="AT127" s="98" t="str">
        <f t="shared" ca="1" si="143"/>
        <v/>
      </c>
      <c r="AU127" s="98" t="str">
        <f t="shared" ca="1" si="143"/>
        <v/>
      </c>
      <c r="AV127" s="98" t="str">
        <f t="shared" ca="1" si="143"/>
        <v/>
      </c>
      <c r="AW127" s="98" t="str">
        <f t="shared" ca="1" si="143"/>
        <v/>
      </c>
      <c r="AX127" s="98" t="str">
        <f t="shared" ca="1" si="143"/>
        <v/>
      </c>
      <c r="AY127" s="98" t="str">
        <f t="shared" ca="1" si="143"/>
        <v/>
      </c>
      <c r="AZ127" s="98" t="str">
        <f t="shared" ca="1" si="143"/>
        <v/>
      </c>
      <c r="BA127" s="98" t="str">
        <f t="shared" ca="1" si="143"/>
        <v/>
      </c>
      <c r="BB127" s="98" t="str">
        <f t="shared" ca="1" si="143"/>
        <v/>
      </c>
      <c r="BC127" s="98" t="str">
        <f t="shared" ca="1" si="143"/>
        <v/>
      </c>
      <c r="BD127" s="98" t="str">
        <f t="shared" ca="1" si="143"/>
        <v/>
      </c>
      <c r="BE127" s="98" t="str">
        <f t="shared" ca="1" si="143"/>
        <v/>
      </c>
      <c r="BF127" s="98" t="str">
        <f t="shared" ca="1" si="143"/>
        <v/>
      </c>
      <c r="BG127" s="98" t="str">
        <f t="shared" ca="1" si="143"/>
        <v/>
      </c>
      <c r="BH127" s="98" t="str">
        <f t="shared" ca="1" si="143"/>
        <v/>
      </c>
      <c r="BI127" s="98" t="str">
        <f t="shared" ca="1" si="143"/>
        <v/>
      </c>
      <c r="BK127" s="140"/>
      <c r="BL127" s="140"/>
      <c r="BM127" s="140"/>
      <c r="BN127" s="140"/>
      <c r="BO127" s="140"/>
      <c r="BP127" s="140"/>
    </row>
    <row r="128" spans="2:68" ht="15" customHeight="1" outlineLevel="1">
      <c r="P128" s="3"/>
      <c r="Q128" s="100" t="s">
        <v>123</v>
      </c>
      <c r="R128" s="100"/>
      <c r="S128" s="100"/>
      <c r="T128" s="100"/>
      <c r="U128" s="100"/>
      <c r="W128" s="101" t="e">
        <f t="shared" ca="1" si="142"/>
        <v>#N/A</v>
      </c>
      <c r="X128" s="101">
        <f t="shared" ca="1" si="142"/>
        <v>0</v>
      </c>
      <c r="Y128" s="101">
        <f t="shared" ca="1" si="142"/>
        <v>0.03</v>
      </c>
      <c r="Z128" s="101">
        <f t="shared" ca="1" si="142"/>
        <v>0.12</v>
      </c>
      <c r="AA128" s="101">
        <f t="shared" ca="1" si="142"/>
        <v>2.2932667819305603</v>
      </c>
      <c r="AB128" s="101">
        <f t="shared" ca="1" si="142"/>
        <v>3.3324424748678836</v>
      </c>
      <c r="AC128" s="257"/>
      <c r="AD128" s="101" t="e">
        <f ca="1">IF($D$2=FALSE,"-",IF(AD$13="","",SUM(OFFSET($AF128,0,$F$4-AD$7-1,1,-$E$5))+SUM(OFFSET($AF128,0,$F$4-1,1,-AD$7))-SUM(OFFSET($AF128,0,$F$4-$E$5-1,1,-AD$7))))</f>
        <v>#N/A</v>
      </c>
      <c r="AF128" s="102" t="e">
        <f t="shared" ref="AF128:BI128" ca="1" si="144">IF($D$2=FALSE,"-",IF(AF$13="","",-AF124))</f>
        <v>#N/A</v>
      </c>
      <c r="AG128" s="103">
        <f t="shared" ca="1" si="144"/>
        <v>0</v>
      </c>
      <c r="AH128" s="103">
        <f t="shared" ca="1" si="144"/>
        <v>0.03</v>
      </c>
      <c r="AI128" s="103">
        <f t="shared" ca="1" si="144"/>
        <v>0.12</v>
      </c>
      <c r="AJ128" s="103">
        <f t="shared" ca="1" si="144"/>
        <v>2.2932667819305603</v>
      </c>
      <c r="AK128" s="103">
        <f t="shared" ca="1" si="144"/>
        <v>3.3324424748678836</v>
      </c>
      <c r="AL128" s="103" t="str">
        <f t="shared" ca="1" si="144"/>
        <v/>
      </c>
      <c r="AM128" s="103" t="str">
        <f t="shared" ca="1" si="144"/>
        <v/>
      </c>
      <c r="AN128" s="103" t="str">
        <f t="shared" ca="1" si="144"/>
        <v/>
      </c>
      <c r="AO128" s="103" t="str">
        <f t="shared" ca="1" si="144"/>
        <v/>
      </c>
      <c r="AP128" s="103" t="str">
        <f t="shared" ca="1" si="144"/>
        <v/>
      </c>
      <c r="AQ128" s="103" t="str">
        <f t="shared" ca="1" si="144"/>
        <v/>
      </c>
      <c r="AR128" s="103" t="str">
        <f t="shared" ca="1" si="144"/>
        <v/>
      </c>
      <c r="AS128" s="103" t="str">
        <f t="shared" ca="1" si="144"/>
        <v/>
      </c>
      <c r="AT128" s="103" t="str">
        <f t="shared" ca="1" si="144"/>
        <v/>
      </c>
      <c r="AU128" s="103" t="str">
        <f t="shared" ca="1" si="144"/>
        <v/>
      </c>
      <c r="AV128" s="103" t="str">
        <f t="shared" ca="1" si="144"/>
        <v/>
      </c>
      <c r="AW128" s="103" t="str">
        <f t="shared" ca="1" si="144"/>
        <v/>
      </c>
      <c r="AX128" s="103" t="str">
        <f t="shared" ca="1" si="144"/>
        <v/>
      </c>
      <c r="AY128" s="103" t="str">
        <f t="shared" ca="1" si="144"/>
        <v/>
      </c>
      <c r="AZ128" s="103" t="str">
        <f t="shared" ca="1" si="144"/>
        <v/>
      </c>
      <c r="BA128" s="103" t="str">
        <f t="shared" ca="1" si="144"/>
        <v/>
      </c>
      <c r="BB128" s="103" t="str">
        <f t="shared" ca="1" si="144"/>
        <v/>
      </c>
      <c r="BC128" s="103" t="str">
        <f t="shared" ca="1" si="144"/>
        <v/>
      </c>
      <c r="BD128" s="103" t="str">
        <f t="shared" ca="1" si="144"/>
        <v/>
      </c>
      <c r="BE128" s="103" t="str">
        <f t="shared" ca="1" si="144"/>
        <v/>
      </c>
      <c r="BF128" s="103" t="str">
        <f t="shared" ca="1" si="144"/>
        <v/>
      </c>
      <c r="BG128" s="103" t="str">
        <f t="shared" ca="1" si="144"/>
        <v/>
      </c>
      <c r="BH128" s="103" t="str">
        <f t="shared" ca="1" si="144"/>
        <v/>
      </c>
      <c r="BI128" s="103" t="str">
        <f t="shared" ca="1" si="144"/>
        <v/>
      </c>
      <c r="BK128" s="140"/>
      <c r="BL128" s="140"/>
      <c r="BM128" s="140"/>
      <c r="BN128" s="140"/>
      <c r="BO128" s="140"/>
      <c r="BP128" s="140"/>
    </row>
    <row r="129" spans="13:68" ht="15" customHeight="1" outlineLevel="1">
      <c r="P129" s="3"/>
      <c r="Q129" s="142" t="s">
        <v>124</v>
      </c>
      <c r="R129" s="142"/>
      <c r="S129" s="142"/>
      <c r="T129" s="142"/>
      <c r="U129" s="142"/>
      <c r="W129" s="99" t="e">
        <f t="shared" ca="1" si="142"/>
        <v>#N/A</v>
      </c>
      <c r="X129" s="99">
        <f t="shared" ca="1" si="142"/>
        <v>1.1492118500000008</v>
      </c>
      <c r="Y129" s="99">
        <f t="shared" ca="1" si="142"/>
        <v>1.4588033168850154</v>
      </c>
      <c r="Z129" s="99">
        <f t="shared" ca="1" si="142"/>
        <v>1.7704104008563695</v>
      </c>
      <c r="AA129" s="99">
        <f t="shared" ca="1" si="142"/>
        <v>4.2048203998376028</v>
      </c>
      <c r="AB129" s="99">
        <f t="shared" ca="1" si="142"/>
        <v>34.577429693405911</v>
      </c>
      <c r="AC129" s="257"/>
      <c r="AD129" s="99" t="e">
        <f ca="1">IF($D$2=FALSE,"-",IF(AD$13="","",SUM(OFFSET($AF129,0,$F$4-AD$7-1,1,-$E$5))+SUM(OFFSET($AF129,0,$F$4-1,1,-AD$7))-SUM(OFFSET($AF129,0,$F$4-$E$5-1,1,-AD$7))))</f>
        <v>#N/A</v>
      </c>
      <c r="AF129" s="97" t="e">
        <f t="shared" ref="AF129:BI129" ca="1" si="145">IF($D$2=FALSE,"-",IF(AF$13="","",+AF127+AF128))</f>
        <v>#N/A</v>
      </c>
      <c r="AG129" s="98">
        <f t="shared" ca="1" si="145"/>
        <v>1.1492118500000008</v>
      </c>
      <c r="AH129" s="98">
        <f t="shared" ca="1" si="145"/>
        <v>1.4588033168850154</v>
      </c>
      <c r="AI129" s="98">
        <f t="shared" ca="1" si="145"/>
        <v>1.7704104008563695</v>
      </c>
      <c r="AJ129" s="98">
        <f t="shared" ca="1" si="145"/>
        <v>4.2048203998376028</v>
      </c>
      <c r="AK129" s="98">
        <f t="shared" ca="1" si="145"/>
        <v>34.577429693405911</v>
      </c>
      <c r="AL129" s="98" t="str">
        <f t="shared" ca="1" si="145"/>
        <v/>
      </c>
      <c r="AM129" s="98" t="str">
        <f t="shared" ca="1" si="145"/>
        <v/>
      </c>
      <c r="AN129" s="98" t="str">
        <f t="shared" ca="1" si="145"/>
        <v/>
      </c>
      <c r="AO129" s="98" t="str">
        <f t="shared" ca="1" si="145"/>
        <v/>
      </c>
      <c r="AP129" s="98" t="str">
        <f t="shared" ca="1" si="145"/>
        <v/>
      </c>
      <c r="AQ129" s="98" t="str">
        <f t="shared" ca="1" si="145"/>
        <v/>
      </c>
      <c r="AR129" s="98" t="str">
        <f t="shared" ca="1" si="145"/>
        <v/>
      </c>
      <c r="AS129" s="98" t="str">
        <f t="shared" ca="1" si="145"/>
        <v/>
      </c>
      <c r="AT129" s="98" t="str">
        <f t="shared" ca="1" si="145"/>
        <v/>
      </c>
      <c r="AU129" s="98" t="str">
        <f t="shared" ca="1" si="145"/>
        <v/>
      </c>
      <c r="AV129" s="98" t="str">
        <f t="shared" ca="1" si="145"/>
        <v/>
      </c>
      <c r="AW129" s="98" t="str">
        <f t="shared" ca="1" si="145"/>
        <v/>
      </c>
      <c r="AX129" s="98" t="str">
        <f t="shared" ca="1" si="145"/>
        <v/>
      </c>
      <c r="AY129" s="98" t="str">
        <f t="shared" ca="1" si="145"/>
        <v/>
      </c>
      <c r="AZ129" s="98" t="str">
        <f t="shared" ca="1" si="145"/>
        <v/>
      </c>
      <c r="BA129" s="98" t="str">
        <f t="shared" ca="1" si="145"/>
        <v/>
      </c>
      <c r="BB129" s="98" t="str">
        <f t="shared" ca="1" si="145"/>
        <v/>
      </c>
      <c r="BC129" s="98" t="str">
        <f t="shared" ca="1" si="145"/>
        <v/>
      </c>
      <c r="BD129" s="98" t="str">
        <f t="shared" ca="1" si="145"/>
        <v/>
      </c>
      <c r="BE129" s="98" t="str">
        <f t="shared" ca="1" si="145"/>
        <v/>
      </c>
      <c r="BF129" s="98" t="str">
        <f t="shared" ca="1" si="145"/>
        <v/>
      </c>
      <c r="BG129" s="98" t="str">
        <f t="shared" ca="1" si="145"/>
        <v/>
      </c>
      <c r="BH129" s="98" t="str">
        <f t="shared" ca="1" si="145"/>
        <v/>
      </c>
      <c r="BI129" s="98" t="str">
        <f t="shared" ca="1" si="145"/>
        <v/>
      </c>
      <c r="BK129" s="140"/>
      <c r="BL129" s="140"/>
      <c r="BM129" s="140"/>
      <c r="BN129" s="140"/>
      <c r="BO129" s="140"/>
      <c r="BP129" s="140"/>
    </row>
    <row r="130" spans="13:68" ht="15" customHeight="1" outlineLevel="1">
      <c r="P130" s="3"/>
      <c r="Q130" s="100" t="s">
        <v>125</v>
      </c>
      <c r="R130" s="100"/>
      <c r="S130" s="100"/>
      <c r="T130" s="100"/>
      <c r="U130" s="100"/>
      <c r="W130" s="101" t="e">
        <f t="shared" ca="1" si="142"/>
        <v>#N/A</v>
      </c>
      <c r="X130" s="101">
        <f t="shared" ca="1" si="142"/>
        <v>23.03541814385127</v>
      </c>
      <c r="Y130" s="101">
        <f t="shared" ca="1" si="142"/>
        <v>28.329747076893291</v>
      </c>
      <c r="Z130" s="101">
        <f t="shared" ca="1" si="142"/>
        <v>32.486354279651309</v>
      </c>
      <c r="AA130" s="101">
        <f t="shared" ca="1" si="142"/>
        <v>36.144214332235386</v>
      </c>
      <c r="AB130" s="101">
        <f t="shared" ca="1" si="142"/>
        <v>9.4558521673687608</v>
      </c>
      <c r="AC130" s="257"/>
      <c r="AD130" s="101" t="e">
        <f ca="1">IF($D$2=FALSE,"-",IF(AD$13="","",SUM(OFFSET($AF130,0,$F$4-AD$7-1,1,-$E$5))+SUM(OFFSET($AF130,0,$F$4-1,1,-AD$7))-SUM(OFFSET($AF130,0,$F$4-$E$5-1,1,-AD$7))))</f>
        <v>#N/A</v>
      </c>
      <c r="AF130" s="287" t="e">
        <f t="shared" ref="AF130:BI130" ca="1" si="146">IF($D$2=FALSE,"-",IF(AF$13="","",+AF131-AF129))</f>
        <v>#N/A</v>
      </c>
      <c r="AG130" s="288">
        <f t="shared" ca="1" si="146"/>
        <v>23.03541814385127</v>
      </c>
      <c r="AH130" s="288">
        <f t="shared" ca="1" si="146"/>
        <v>28.329747076893291</v>
      </c>
      <c r="AI130" s="288">
        <f t="shared" ca="1" si="146"/>
        <v>32.486354279651309</v>
      </c>
      <c r="AJ130" s="288">
        <f t="shared" ca="1" si="146"/>
        <v>36.144214332235386</v>
      </c>
      <c r="AK130" s="288">
        <f t="shared" ca="1" si="146"/>
        <v>9.4558521673687608</v>
      </c>
      <c r="AL130" s="288" t="str">
        <f t="shared" ca="1" si="146"/>
        <v/>
      </c>
      <c r="AM130" s="288" t="str">
        <f t="shared" ca="1" si="146"/>
        <v/>
      </c>
      <c r="AN130" s="288" t="str">
        <f t="shared" ca="1" si="146"/>
        <v/>
      </c>
      <c r="AO130" s="288" t="str">
        <f t="shared" ca="1" si="146"/>
        <v/>
      </c>
      <c r="AP130" s="288" t="str">
        <f t="shared" ca="1" si="146"/>
        <v/>
      </c>
      <c r="AQ130" s="288" t="str">
        <f t="shared" ca="1" si="146"/>
        <v/>
      </c>
      <c r="AR130" s="288" t="str">
        <f t="shared" ca="1" si="146"/>
        <v/>
      </c>
      <c r="AS130" s="288" t="str">
        <f t="shared" ca="1" si="146"/>
        <v/>
      </c>
      <c r="AT130" s="288" t="str">
        <f t="shared" ca="1" si="146"/>
        <v/>
      </c>
      <c r="AU130" s="288" t="str">
        <f t="shared" ca="1" si="146"/>
        <v/>
      </c>
      <c r="AV130" s="288" t="str">
        <f t="shared" ca="1" si="146"/>
        <v/>
      </c>
      <c r="AW130" s="288" t="str">
        <f t="shared" ca="1" si="146"/>
        <v/>
      </c>
      <c r="AX130" s="288" t="str">
        <f t="shared" ca="1" si="146"/>
        <v/>
      </c>
      <c r="AY130" s="288" t="str">
        <f t="shared" ca="1" si="146"/>
        <v/>
      </c>
      <c r="AZ130" s="288" t="str">
        <f t="shared" ca="1" si="146"/>
        <v/>
      </c>
      <c r="BA130" s="288" t="str">
        <f t="shared" ca="1" si="146"/>
        <v/>
      </c>
      <c r="BB130" s="288" t="str">
        <f t="shared" ca="1" si="146"/>
        <v/>
      </c>
      <c r="BC130" s="288" t="str">
        <f t="shared" ca="1" si="146"/>
        <v/>
      </c>
      <c r="BD130" s="288" t="str">
        <f t="shared" ca="1" si="146"/>
        <v/>
      </c>
      <c r="BE130" s="288" t="str">
        <f t="shared" ca="1" si="146"/>
        <v/>
      </c>
      <c r="BF130" s="288" t="str">
        <f t="shared" ca="1" si="146"/>
        <v/>
      </c>
      <c r="BG130" s="288" t="str">
        <f t="shared" ca="1" si="146"/>
        <v/>
      </c>
      <c r="BH130" s="288" t="str">
        <f t="shared" ca="1" si="146"/>
        <v/>
      </c>
      <c r="BI130" s="288" t="str">
        <f t="shared" ca="1" si="146"/>
        <v/>
      </c>
      <c r="BK130" s="140"/>
      <c r="BL130" s="140"/>
      <c r="BM130" s="140"/>
      <c r="BN130" s="140"/>
      <c r="BO130" s="140"/>
      <c r="BP130" s="140"/>
    </row>
    <row r="131" spans="13:68" ht="15" customHeight="1" outlineLevel="1">
      <c r="P131" s="3"/>
      <c r="Q131" s="1" t="s">
        <v>126</v>
      </c>
      <c r="W131" s="99">
        <f t="shared" ca="1" si="142"/>
        <v>28.4</v>
      </c>
      <c r="X131" s="99">
        <f t="shared" ca="1" si="142"/>
        <v>24.184629993851271</v>
      </c>
      <c r="Y131" s="99">
        <f t="shared" ca="1" si="142"/>
        <v>29.788550393778305</v>
      </c>
      <c r="Z131" s="99">
        <f t="shared" ca="1" si="142"/>
        <v>34.256764680507679</v>
      </c>
      <c r="AA131" s="99">
        <f t="shared" ca="1" si="142"/>
        <v>40.349034732072987</v>
      </c>
      <c r="AB131" s="99">
        <f t="shared" ca="1" si="142"/>
        <v>44.033281860774672</v>
      </c>
      <c r="AC131" s="257"/>
      <c r="AD131" s="99" t="e">
        <f ca="1">IF($D$2=FALSE,"-",IF(AD$13="","",SUM(OFFSET($AF131,0,$F$4-AD$7-1,1,-$E$5))+SUM(OFFSET($AF131,0,$F$4-1,1,-AD$7))-SUM(OFFSET($AF131,0,$F$4-$E$5-1,1,-AD$7))))</f>
        <v>#N/A</v>
      </c>
      <c r="AF131" s="97">
        <f t="shared" ref="AF131:BI131" ca="1" si="147">IF($D$2=FALSE,"-",IF(AF$13="","",AF36))</f>
        <v>28.4</v>
      </c>
      <c r="AG131" s="98">
        <f t="shared" ca="1" si="147"/>
        <v>24.184629993851271</v>
      </c>
      <c r="AH131" s="98">
        <f t="shared" ca="1" si="147"/>
        <v>29.788550393778305</v>
      </c>
      <c r="AI131" s="98">
        <f t="shared" ca="1" si="147"/>
        <v>34.256764680507679</v>
      </c>
      <c r="AJ131" s="98">
        <f t="shared" ca="1" si="147"/>
        <v>40.349034732072987</v>
      </c>
      <c r="AK131" s="98">
        <f t="shared" ca="1" si="147"/>
        <v>44.033281860774672</v>
      </c>
      <c r="AL131" s="98" t="str">
        <f t="shared" ca="1" si="147"/>
        <v/>
      </c>
      <c r="AM131" s="98" t="str">
        <f t="shared" ca="1" si="147"/>
        <v/>
      </c>
      <c r="AN131" s="98" t="str">
        <f t="shared" ca="1" si="147"/>
        <v/>
      </c>
      <c r="AO131" s="98" t="str">
        <f t="shared" ca="1" si="147"/>
        <v/>
      </c>
      <c r="AP131" s="98" t="str">
        <f t="shared" ca="1" si="147"/>
        <v/>
      </c>
      <c r="AQ131" s="98" t="str">
        <f t="shared" ca="1" si="147"/>
        <v/>
      </c>
      <c r="AR131" s="98" t="str">
        <f t="shared" ca="1" si="147"/>
        <v/>
      </c>
      <c r="AS131" s="98" t="str">
        <f t="shared" ca="1" si="147"/>
        <v/>
      </c>
      <c r="AT131" s="98" t="str">
        <f t="shared" ca="1" si="147"/>
        <v/>
      </c>
      <c r="AU131" s="98" t="str">
        <f t="shared" ca="1" si="147"/>
        <v/>
      </c>
      <c r="AV131" s="98" t="str">
        <f t="shared" ca="1" si="147"/>
        <v/>
      </c>
      <c r="AW131" s="98" t="str">
        <f t="shared" ca="1" si="147"/>
        <v/>
      </c>
      <c r="AX131" s="98" t="str">
        <f t="shared" ca="1" si="147"/>
        <v/>
      </c>
      <c r="AY131" s="98" t="str">
        <f t="shared" ca="1" si="147"/>
        <v/>
      </c>
      <c r="AZ131" s="98" t="str">
        <f t="shared" ca="1" si="147"/>
        <v/>
      </c>
      <c r="BA131" s="98" t="str">
        <f t="shared" ca="1" si="147"/>
        <v/>
      </c>
      <c r="BB131" s="98" t="str">
        <f t="shared" ca="1" si="147"/>
        <v/>
      </c>
      <c r="BC131" s="98" t="str">
        <f t="shared" ca="1" si="147"/>
        <v/>
      </c>
      <c r="BD131" s="98" t="str">
        <f t="shared" ca="1" si="147"/>
        <v/>
      </c>
      <c r="BE131" s="98" t="str">
        <f t="shared" ca="1" si="147"/>
        <v/>
      </c>
      <c r="BF131" s="98" t="str">
        <f t="shared" ca="1" si="147"/>
        <v/>
      </c>
      <c r="BG131" s="98" t="str">
        <f t="shared" ca="1" si="147"/>
        <v/>
      </c>
      <c r="BH131" s="98" t="str">
        <f t="shared" ca="1" si="147"/>
        <v/>
      </c>
      <c r="BI131" s="98" t="str">
        <f t="shared" ca="1" si="147"/>
        <v/>
      </c>
      <c r="BK131" s="140"/>
      <c r="BL131" s="140"/>
      <c r="BM131" s="140"/>
      <c r="BN131" s="140"/>
      <c r="BO131" s="140"/>
      <c r="BP131" s="140"/>
    </row>
    <row r="132" spans="13:68" ht="15" customHeight="1" outlineLevel="1">
      <c r="BK132" s="140"/>
      <c r="BL132" s="140"/>
      <c r="BM132" s="140"/>
      <c r="BN132" s="140"/>
      <c r="BO132" s="140"/>
      <c r="BP132" s="140"/>
    </row>
    <row r="133" spans="13:68" ht="15" customHeight="1" outlineLevel="1">
      <c r="Q133" s="68" t="s">
        <v>261</v>
      </c>
      <c r="R133" s="68"/>
      <c r="S133" s="68"/>
      <c r="T133" s="68"/>
      <c r="U133" s="68"/>
      <c r="V133" s="6"/>
      <c r="W133" s="26"/>
      <c r="X133" s="26"/>
      <c r="Y133" s="26"/>
      <c r="Z133" s="26"/>
      <c r="AA133" s="26"/>
      <c r="AB133" s="26"/>
      <c r="AC133" s="6"/>
      <c r="AD133" s="59"/>
      <c r="AE133" s="6"/>
      <c r="AF133" s="152"/>
      <c r="AG133" s="153"/>
      <c r="AH133" s="153"/>
      <c r="AI133" s="153"/>
      <c r="AJ133" s="153"/>
      <c r="AK133" s="153"/>
      <c r="AL133" s="153"/>
      <c r="AM133" s="153"/>
      <c r="AN133" s="153"/>
      <c r="AO133" s="153"/>
      <c r="AP133" s="153"/>
      <c r="AQ133" s="153"/>
      <c r="AR133" s="153"/>
      <c r="AS133" s="153"/>
      <c r="AT133" s="153"/>
      <c r="AU133" s="153"/>
      <c r="AV133" s="153"/>
      <c r="AW133" s="153"/>
      <c r="AX133" s="153"/>
      <c r="AY133" s="153"/>
      <c r="AZ133" s="153"/>
      <c r="BA133" s="153"/>
      <c r="BB133" s="153"/>
      <c r="BC133" s="153"/>
      <c r="BD133" s="153"/>
      <c r="BE133" s="153"/>
      <c r="BF133" s="153"/>
      <c r="BG133" s="153"/>
      <c r="BH133" s="153"/>
      <c r="BI133" s="153"/>
      <c r="BK133" s="140"/>
      <c r="BL133" s="140"/>
      <c r="BM133" s="140"/>
      <c r="BN133" s="140"/>
      <c r="BO133" s="140"/>
      <c r="BP133" s="140"/>
    </row>
    <row r="134" spans="13:68" ht="15" customHeight="1" outlineLevel="1">
      <c r="M134" s="112">
        <v>6</v>
      </c>
      <c r="P134" s="3"/>
      <c r="Q134" s="1" t="s">
        <v>128</v>
      </c>
      <c r="W134" s="261">
        <f t="shared" ref="W134:AB134" ca="1" si="148">IF($D$2=FALSE,"-",IF(W$13="","",OFFSET($AF134,0,W$8)))</f>
        <v>6</v>
      </c>
      <c r="X134" s="261">
        <f t="shared" ca="1" si="148"/>
        <v>5</v>
      </c>
      <c r="Y134" s="261">
        <f t="shared" ca="1" si="148"/>
        <v>4</v>
      </c>
      <c r="Z134" s="261">
        <f t="shared" ca="1" si="148"/>
        <v>3</v>
      </c>
      <c r="AA134" s="261">
        <f t="shared" ca="1" si="148"/>
        <v>2</v>
      </c>
      <c r="AB134" s="261">
        <f t="shared" ca="1" si="148"/>
        <v>1</v>
      </c>
      <c r="AC134" s="257"/>
      <c r="AD134" s="261" t="e">
        <f ca="1">IF($D$2=FALSE,"-",IF(AD$13="","",OFFSET($AF134,0,$F$4-1)))</f>
        <v>#N/A</v>
      </c>
      <c r="AF134" s="262">
        <f ca="1">IF($D$2=FALSE,"-",IF(AF$13="","",IF(AF$4&lt;0,#N/A,IF(AF$4=0,$M134,MAX(0,OFFSET(AF134,0,-1)-AF$6)))))</f>
        <v>6</v>
      </c>
      <c r="AG134" s="263">
        <f t="shared" ref="AG134:BI134" ca="1" si="149">IF($D$2=FALSE,"-",IF(AG$13="","",IF(AG$4&lt;0,#N/A,IF(AG$4=0,$M134,MAX(0,OFFSET(AG134,0,-1)-AG$6)))))</f>
        <v>5</v>
      </c>
      <c r="AH134" s="263">
        <f t="shared" ca="1" si="149"/>
        <v>4</v>
      </c>
      <c r="AI134" s="263">
        <f t="shared" ca="1" si="149"/>
        <v>3</v>
      </c>
      <c r="AJ134" s="263">
        <f t="shared" ca="1" si="149"/>
        <v>2</v>
      </c>
      <c r="AK134" s="263">
        <f t="shared" ca="1" si="149"/>
        <v>1</v>
      </c>
      <c r="AL134" s="263" t="str">
        <f t="shared" ca="1" si="149"/>
        <v/>
      </c>
      <c r="AM134" s="263" t="str">
        <f t="shared" ca="1" si="149"/>
        <v/>
      </c>
      <c r="AN134" s="263" t="str">
        <f t="shared" ca="1" si="149"/>
        <v/>
      </c>
      <c r="AO134" s="263" t="str">
        <f t="shared" ca="1" si="149"/>
        <v/>
      </c>
      <c r="AP134" s="263" t="str">
        <f t="shared" ca="1" si="149"/>
        <v/>
      </c>
      <c r="AQ134" s="263" t="str">
        <f t="shared" ca="1" si="149"/>
        <v/>
      </c>
      <c r="AR134" s="263" t="str">
        <f t="shared" ca="1" si="149"/>
        <v/>
      </c>
      <c r="AS134" s="263" t="str">
        <f t="shared" ca="1" si="149"/>
        <v/>
      </c>
      <c r="AT134" s="263" t="str">
        <f t="shared" ca="1" si="149"/>
        <v/>
      </c>
      <c r="AU134" s="263" t="str">
        <f t="shared" ca="1" si="149"/>
        <v/>
      </c>
      <c r="AV134" s="263" t="str">
        <f t="shared" ca="1" si="149"/>
        <v/>
      </c>
      <c r="AW134" s="263" t="str">
        <f t="shared" ca="1" si="149"/>
        <v/>
      </c>
      <c r="AX134" s="263" t="str">
        <f t="shared" ca="1" si="149"/>
        <v/>
      </c>
      <c r="AY134" s="263" t="str">
        <f t="shared" ca="1" si="149"/>
        <v/>
      </c>
      <c r="AZ134" s="263" t="str">
        <f t="shared" ca="1" si="149"/>
        <v/>
      </c>
      <c r="BA134" s="263" t="str">
        <f t="shared" ca="1" si="149"/>
        <v/>
      </c>
      <c r="BB134" s="263" t="str">
        <f t="shared" ca="1" si="149"/>
        <v/>
      </c>
      <c r="BC134" s="263" t="str">
        <f t="shared" ca="1" si="149"/>
        <v/>
      </c>
      <c r="BD134" s="263" t="str">
        <f t="shared" ca="1" si="149"/>
        <v/>
      </c>
      <c r="BE134" s="263" t="str">
        <f t="shared" ca="1" si="149"/>
        <v/>
      </c>
      <c r="BF134" s="263" t="str">
        <f t="shared" ca="1" si="149"/>
        <v/>
      </c>
      <c r="BG134" s="263" t="str">
        <f t="shared" ca="1" si="149"/>
        <v/>
      </c>
      <c r="BH134" s="263" t="str">
        <f t="shared" ca="1" si="149"/>
        <v/>
      </c>
      <c r="BI134" s="263" t="str">
        <f t="shared" ca="1" si="149"/>
        <v/>
      </c>
      <c r="BK134" s="140"/>
      <c r="BL134" s="140"/>
      <c r="BM134" s="140"/>
      <c r="BN134" s="140"/>
      <c r="BO134" s="140"/>
      <c r="BP134" s="140"/>
    </row>
    <row r="135" spans="13:68" ht="15" customHeight="1" outlineLevel="1"/>
    <row r="136" spans="13:68" ht="15" customHeight="1" outlineLevel="1">
      <c r="Q136" s="139" t="s">
        <v>261</v>
      </c>
      <c r="R136" s="139"/>
      <c r="S136" s="139"/>
      <c r="T136" s="139"/>
      <c r="U136" s="139"/>
    </row>
    <row r="137" spans="13:68" ht="15" customHeight="1" outlineLevel="1">
      <c r="P137" s="3"/>
      <c r="Q137" s="1" t="s">
        <v>129</v>
      </c>
      <c r="W137" s="98">
        <f t="shared" ref="W137:AB137" ca="1" si="150">IF($D$2=FALSE,"-",IF(W$13="","",OFFSET($AF140,0,W$8-$E$5)))</f>
        <v>0</v>
      </c>
      <c r="X137" s="98">
        <f t="shared" ca="1" si="150"/>
        <v>3</v>
      </c>
      <c r="Y137" s="98">
        <f t="shared" ca="1" si="150"/>
        <v>0</v>
      </c>
      <c r="Z137" s="98">
        <f t="shared" ca="1" si="150"/>
        <v>1</v>
      </c>
      <c r="AA137" s="98">
        <f t="shared" ca="1" si="150"/>
        <v>5</v>
      </c>
      <c r="AB137" s="98">
        <f t="shared" ca="1" si="150"/>
        <v>9</v>
      </c>
      <c r="AC137" s="258"/>
      <c r="AD137" s="270" t="e">
        <f ca="1">IF($D$2=FALSE,"-",IF(AD$13="","",+AD140-AD139-AD138))</f>
        <v>#N/A</v>
      </c>
      <c r="AF137" s="97">
        <f t="shared" ref="AF137:BI137" ca="1" si="151">IF($D$2=FALSE,"-",IF(AF$13="","",OFFSET(AF140,0,-1)))</f>
        <v>0</v>
      </c>
      <c r="AG137" s="98">
        <f t="shared" ca="1" si="151"/>
        <v>3</v>
      </c>
      <c r="AH137" s="98">
        <f t="shared" ca="1" si="151"/>
        <v>0</v>
      </c>
      <c r="AI137" s="98">
        <f t="shared" ca="1" si="151"/>
        <v>1</v>
      </c>
      <c r="AJ137" s="98">
        <f t="shared" ca="1" si="151"/>
        <v>5</v>
      </c>
      <c r="AK137" s="98">
        <f t="shared" ca="1" si="151"/>
        <v>9</v>
      </c>
      <c r="AL137" s="98" t="str">
        <f t="shared" ca="1" si="151"/>
        <v/>
      </c>
      <c r="AM137" s="98" t="str">
        <f t="shared" ca="1" si="151"/>
        <v/>
      </c>
      <c r="AN137" s="98" t="str">
        <f t="shared" ca="1" si="151"/>
        <v/>
      </c>
      <c r="AO137" s="98" t="str">
        <f t="shared" ca="1" si="151"/>
        <v/>
      </c>
      <c r="AP137" s="98" t="str">
        <f t="shared" ca="1" si="151"/>
        <v/>
      </c>
      <c r="AQ137" s="98" t="str">
        <f t="shared" ca="1" si="151"/>
        <v/>
      </c>
      <c r="AR137" s="98" t="str">
        <f t="shared" ca="1" si="151"/>
        <v/>
      </c>
      <c r="AS137" s="98" t="str">
        <f t="shared" ca="1" si="151"/>
        <v/>
      </c>
      <c r="AT137" s="98" t="str">
        <f t="shared" ca="1" si="151"/>
        <v/>
      </c>
      <c r="AU137" s="98" t="str">
        <f t="shared" ca="1" si="151"/>
        <v/>
      </c>
      <c r="AV137" s="98" t="str">
        <f t="shared" ca="1" si="151"/>
        <v/>
      </c>
      <c r="AW137" s="98" t="str">
        <f t="shared" ca="1" si="151"/>
        <v/>
      </c>
      <c r="AX137" s="98" t="str">
        <f t="shared" ca="1" si="151"/>
        <v/>
      </c>
      <c r="AY137" s="98" t="str">
        <f t="shared" ca="1" si="151"/>
        <v/>
      </c>
      <c r="AZ137" s="98" t="str">
        <f t="shared" ca="1" si="151"/>
        <v/>
      </c>
      <c r="BA137" s="98" t="str">
        <f t="shared" ca="1" si="151"/>
        <v/>
      </c>
      <c r="BB137" s="98" t="str">
        <f t="shared" ca="1" si="151"/>
        <v/>
      </c>
      <c r="BC137" s="98" t="str">
        <f t="shared" ca="1" si="151"/>
        <v/>
      </c>
      <c r="BD137" s="98" t="str">
        <f t="shared" ca="1" si="151"/>
        <v/>
      </c>
      <c r="BE137" s="98" t="str">
        <f t="shared" ca="1" si="151"/>
        <v/>
      </c>
      <c r="BF137" s="98" t="str">
        <f t="shared" ca="1" si="151"/>
        <v/>
      </c>
      <c r="BG137" s="98" t="str">
        <f t="shared" ca="1" si="151"/>
        <v/>
      </c>
      <c r="BH137" s="98" t="str">
        <f t="shared" ca="1" si="151"/>
        <v/>
      </c>
      <c r="BI137" s="98" t="str">
        <f t="shared" ca="1" si="151"/>
        <v/>
      </c>
      <c r="BK137" s="84"/>
      <c r="BL137" s="84"/>
      <c r="BM137" s="84"/>
      <c r="BN137" s="84"/>
      <c r="BO137" s="84"/>
      <c r="BP137" s="84"/>
    </row>
    <row r="138" spans="13:68" ht="15" customHeight="1" outlineLevel="1">
      <c r="M138" s="96">
        <v>-4</v>
      </c>
      <c r="P138" s="3"/>
      <c r="Q138" s="1" t="s">
        <v>118</v>
      </c>
      <c r="W138" s="99" t="e">
        <f t="shared" ref="W138:AB139" ca="1" si="152">IF($D$2=FALSE,"-",IF(W$13="","",SUM(OFFSET($AF138,0,W$8,1,-$E$5))))</f>
        <v>#N/A</v>
      </c>
      <c r="X138" s="99">
        <f t="shared" ca="1" si="152"/>
        <v>-3</v>
      </c>
      <c r="Y138" s="99">
        <f t="shared" ca="1" si="152"/>
        <v>1</v>
      </c>
      <c r="Z138" s="99">
        <f t="shared" ca="1" si="152"/>
        <v>4</v>
      </c>
      <c r="AA138" s="99">
        <f t="shared" ca="1" si="152"/>
        <v>4</v>
      </c>
      <c r="AB138" s="99">
        <f t="shared" ca="1" si="152"/>
        <v>4</v>
      </c>
      <c r="AC138" s="258"/>
      <c r="AD138" s="99" t="e">
        <f ca="1">IF($D$2=FALSE,"-",IF(AD$13="","",SUM(OFFSET($AF138,0,$F$4-AD$7-1,1,-$E$5))+SUM(OFFSET($AF138,0,$F$4-1,1,-AD$7))-SUM(OFFSET($AF138,0,$F$4-$E$5-1,1,-AD$7))))</f>
        <v>#N/A</v>
      </c>
      <c r="AF138" s="97" t="e">
        <f t="shared" ref="AF138:BI138" ca="1" si="153">IF($D$2=FALSE,"-",IF(AF$13="","",IF(AF121&gt;0,-MIN(AF121,AF137,$M138+AF143),0)))</f>
        <v>#N/A</v>
      </c>
      <c r="AG138" s="98">
        <f t="shared" ca="1" si="153"/>
        <v>-3</v>
      </c>
      <c r="AH138" s="98">
        <f t="shared" ca="1" si="153"/>
        <v>1</v>
      </c>
      <c r="AI138" s="98">
        <f t="shared" ca="1" si="153"/>
        <v>4</v>
      </c>
      <c r="AJ138" s="98">
        <f t="shared" ca="1" si="153"/>
        <v>4</v>
      </c>
      <c r="AK138" s="98">
        <f t="shared" ca="1" si="153"/>
        <v>4</v>
      </c>
      <c r="AL138" s="98" t="str">
        <f t="shared" ca="1" si="153"/>
        <v/>
      </c>
      <c r="AM138" s="98" t="str">
        <f t="shared" ca="1" si="153"/>
        <v/>
      </c>
      <c r="AN138" s="98" t="str">
        <f t="shared" ca="1" si="153"/>
        <v/>
      </c>
      <c r="AO138" s="98" t="str">
        <f t="shared" ca="1" si="153"/>
        <v/>
      </c>
      <c r="AP138" s="98" t="str">
        <f t="shared" ca="1" si="153"/>
        <v/>
      </c>
      <c r="AQ138" s="98" t="str">
        <f t="shared" ca="1" si="153"/>
        <v/>
      </c>
      <c r="AR138" s="98" t="str">
        <f t="shared" ca="1" si="153"/>
        <v/>
      </c>
      <c r="AS138" s="98" t="str">
        <f t="shared" ca="1" si="153"/>
        <v/>
      </c>
      <c r="AT138" s="98" t="str">
        <f t="shared" ca="1" si="153"/>
        <v/>
      </c>
      <c r="AU138" s="98" t="str">
        <f t="shared" ca="1" si="153"/>
        <v/>
      </c>
      <c r="AV138" s="98" t="str">
        <f t="shared" ca="1" si="153"/>
        <v/>
      </c>
      <c r="AW138" s="98" t="str">
        <f t="shared" ca="1" si="153"/>
        <v/>
      </c>
      <c r="AX138" s="98" t="str">
        <f t="shared" ca="1" si="153"/>
        <v/>
      </c>
      <c r="AY138" s="98" t="str">
        <f t="shared" ca="1" si="153"/>
        <v/>
      </c>
      <c r="AZ138" s="98" t="str">
        <f t="shared" ca="1" si="153"/>
        <v/>
      </c>
      <c r="BA138" s="98" t="str">
        <f t="shared" ca="1" si="153"/>
        <v/>
      </c>
      <c r="BB138" s="98" t="str">
        <f t="shared" ca="1" si="153"/>
        <v/>
      </c>
      <c r="BC138" s="98" t="str">
        <f t="shared" ca="1" si="153"/>
        <v/>
      </c>
      <c r="BD138" s="98" t="str">
        <f t="shared" ca="1" si="153"/>
        <v/>
      </c>
      <c r="BE138" s="98" t="str">
        <f t="shared" ca="1" si="153"/>
        <v/>
      </c>
      <c r="BF138" s="98" t="str">
        <f t="shared" ca="1" si="153"/>
        <v/>
      </c>
      <c r="BG138" s="98" t="str">
        <f t="shared" ca="1" si="153"/>
        <v/>
      </c>
      <c r="BH138" s="98" t="str">
        <f t="shared" ca="1" si="153"/>
        <v/>
      </c>
      <c r="BI138" s="98" t="str">
        <f t="shared" ca="1" si="153"/>
        <v/>
      </c>
      <c r="BK138" s="84"/>
      <c r="BL138" s="84"/>
      <c r="BM138" s="84"/>
      <c r="BN138" s="84"/>
      <c r="BO138" s="84"/>
      <c r="BP138" s="84"/>
    </row>
    <row r="139" spans="13:68" ht="15" customHeight="1" outlineLevel="1">
      <c r="P139" s="3"/>
      <c r="Q139" s="100" t="s">
        <v>130</v>
      </c>
      <c r="R139" s="100"/>
      <c r="S139" s="100"/>
      <c r="T139" s="100"/>
      <c r="U139" s="100"/>
      <c r="W139" s="101">
        <f t="shared" ca="1" si="152"/>
        <v>0</v>
      </c>
      <c r="X139" s="101">
        <f t="shared" ca="1" si="152"/>
        <v>0</v>
      </c>
      <c r="Y139" s="101">
        <f t="shared" ca="1" si="152"/>
        <v>0</v>
      </c>
      <c r="Z139" s="101">
        <f t="shared" ca="1" si="152"/>
        <v>0</v>
      </c>
      <c r="AA139" s="101">
        <f t="shared" ca="1" si="152"/>
        <v>0</v>
      </c>
      <c r="AB139" s="101">
        <f t="shared" ca="1" si="152"/>
        <v>0</v>
      </c>
      <c r="AC139" s="258"/>
      <c r="AD139" s="101" t="e">
        <f ca="1">IF($D$2=FALSE,"-",IF(AD$13="","",SUM(OFFSET($AF139,0,$F$4-AD$7-1,1,-$E$5))+SUM(OFFSET($AF139,0,$F$4-1,1,-AD$7))-SUM(OFFSET($AF139,0,$F$4-$E$5-1,1,-AD$7))))</f>
        <v>#N/A</v>
      </c>
      <c r="AF139" s="102">
        <f t="shared" ref="AF139:BI139" ca="1" si="154">IF($D$2=FALSE,"-",IF(AF$13="","",IF(AF134&gt;0,0,-SUM(AF137:AF138))))</f>
        <v>0</v>
      </c>
      <c r="AG139" s="103">
        <f t="shared" ca="1" si="154"/>
        <v>0</v>
      </c>
      <c r="AH139" s="103">
        <f t="shared" ca="1" si="154"/>
        <v>0</v>
      </c>
      <c r="AI139" s="103">
        <f t="shared" ca="1" si="154"/>
        <v>0</v>
      </c>
      <c r="AJ139" s="103">
        <f t="shared" ca="1" si="154"/>
        <v>0</v>
      </c>
      <c r="AK139" s="103">
        <f t="shared" ca="1" si="154"/>
        <v>0</v>
      </c>
      <c r="AL139" s="103" t="str">
        <f t="shared" ca="1" si="154"/>
        <v/>
      </c>
      <c r="AM139" s="103" t="str">
        <f t="shared" ca="1" si="154"/>
        <v/>
      </c>
      <c r="AN139" s="103" t="str">
        <f t="shared" ca="1" si="154"/>
        <v/>
      </c>
      <c r="AO139" s="103" t="str">
        <f t="shared" ca="1" si="154"/>
        <v/>
      </c>
      <c r="AP139" s="103" t="str">
        <f t="shared" ca="1" si="154"/>
        <v/>
      </c>
      <c r="AQ139" s="103" t="str">
        <f t="shared" ca="1" si="154"/>
        <v/>
      </c>
      <c r="AR139" s="103" t="str">
        <f t="shared" ca="1" si="154"/>
        <v/>
      </c>
      <c r="AS139" s="103" t="str">
        <f t="shared" ca="1" si="154"/>
        <v/>
      </c>
      <c r="AT139" s="103" t="str">
        <f t="shared" ca="1" si="154"/>
        <v/>
      </c>
      <c r="AU139" s="103" t="str">
        <f t="shared" ca="1" si="154"/>
        <v/>
      </c>
      <c r="AV139" s="103" t="str">
        <f t="shared" ca="1" si="154"/>
        <v/>
      </c>
      <c r="AW139" s="103" t="str">
        <f t="shared" ca="1" si="154"/>
        <v/>
      </c>
      <c r="AX139" s="103" t="str">
        <f t="shared" ca="1" si="154"/>
        <v/>
      </c>
      <c r="AY139" s="103" t="str">
        <f t="shared" ca="1" si="154"/>
        <v/>
      </c>
      <c r="AZ139" s="103" t="str">
        <f t="shared" ca="1" si="154"/>
        <v/>
      </c>
      <c r="BA139" s="103" t="str">
        <f t="shared" ca="1" si="154"/>
        <v/>
      </c>
      <c r="BB139" s="103" t="str">
        <f t="shared" ca="1" si="154"/>
        <v/>
      </c>
      <c r="BC139" s="103" t="str">
        <f t="shared" ca="1" si="154"/>
        <v/>
      </c>
      <c r="BD139" s="103" t="str">
        <f t="shared" ca="1" si="154"/>
        <v/>
      </c>
      <c r="BE139" s="103" t="str">
        <f t="shared" ca="1" si="154"/>
        <v/>
      </c>
      <c r="BF139" s="103" t="str">
        <f t="shared" ca="1" si="154"/>
        <v/>
      </c>
      <c r="BG139" s="103" t="str">
        <f t="shared" ca="1" si="154"/>
        <v/>
      </c>
      <c r="BH139" s="103" t="str">
        <f t="shared" ca="1" si="154"/>
        <v/>
      </c>
      <c r="BI139" s="103" t="str">
        <f t="shared" ca="1" si="154"/>
        <v/>
      </c>
      <c r="BK139" s="84"/>
      <c r="BL139" s="84"/>
      <c r="BM139" s="84"/>
      <c r="BN139" s="84"/>
      <c r="BO139" s="84"/>
      <c r="BP139" s="84"/>
    </row>
    <row r="140" spans="13:68" ht="15" customHeight="1" outlineLevel="1">
      <c r="M140" s="271">
        <v>3</v>
      </c>
      <c r="P140" s="3"/>
      <c r="Q140" s="1" t="s">
        <v>131</v>
      </c>
      <c r="W140" s="98">
        <f t="shared" ref="W140:AB140" ca="1" si="155">IF($D$2=FALSE,"-",IF(W$13="","",OFFSET($AF140,0,W$8)))</f>
        <v>3</v>
      </c>
      <c r="X140" s="98">
        <f t="shared" ca="1" si="155"/>
        <v>0</v>
      </c>
      <c r="Y140" s="98">
        <f t="shared" ca="1" si="155"/>
        <v>1</v>
      </c>
      <c r="Z140" s="98">
        <f t="shared" ca="1" si="155"/>
        <v>5</v>
      </c>
      <c r="AA140" s="98">
        <f t="shared" ca="1" si="155"/>
        <v>9</v>
      </c>
      <c r="AB140" s="98">
        <f t="shared" ca="1" si="155"/>
        <v>13</v>
      </c>
      <c r="AC140" s="258"/>
      <c r="AD140" s="98" t="e">
        <f ca="1">IF($D$2=FALSE,"-",IF(AD$13="","",OFFSET($AF140,0,$F$4-AD$7-1)+OFFSET($AF140,0,$F$4-1)-OFFSET($AF140,0,$F$4-$E$5-1)))</f>
        <v>#N/A</v>
      </c>
      <c r="AF140" s="249">
        <f t="shared" ref="AF140:BI140" ca="1" si="156">IF($D$2=FALSE,"-",IF(AF$13="","",IF(AF$4&lt;0,#N/A,IF(AF$4=0,$M140,SUM(AF137:AF139)))))</f>
        <v>3</v>
      </c>
      <c r="AG140" s="250">
        <f t="shared" ca="1" si="156"/>
        <v>0</v>
      </c>
      <c r="AH140" s="250">
        <f t="shared" ca="1" si="156"/>
        <v>1</v>
      </c>
      <c r="AI140" s="250">
        <f t="shared" ca="1" si="156"/>
        <v>5</v>
      </c>
      <c r="AJ140" s="250">
        <f t="shared" ca="1" si="156"/>
        <v>9</v>
      </c>
      <c r="AK140" s="250">
        <f t="shared" ca="1" si="156"/>
        <v>13</v>
      </c>
      <c r="AL140" s="250" t="str">
        <f t="shared" ca="1" si="156"/>
        <v/>
      </c>
      <c r="AM140" s="250" t="str">
        <f t="shared" ca="1" si="156"/>
        <v/>
      </c>
      <c r="AN140" s="250" t="str">
        <f t="shared" ca="1" si="156"/>
        <v/>
      </c>
      <c r="AO140" s="250" t="str">
        <f t="shared" ca="1" si="156"/>
        <v/>
      </c>
      <c r="AP140" s="250" t="str">
        <f t="shared" ca="1" si="156"/>
        <v/>
      </c>
      <c r="AQ140" s="250" t="str">
        <f t="shared" ca="1" si="156"/>
        <v/>
      </c>
      <c r="AR140" s="250" t="str">
        <f t="shared" ca="1" si="156"/>
        <v/>
      </c>
      <c r="AS140" s="250" t="str">
        <f t="shared" ca="1" si="156"/>
        <v/>
      </c>
      <c r="AT140" s="250" t="str">
        <f t="shared" ca="1" si="156"/>
        <v/>
      </c>
      <c r="AU140" s="250" t="str">
        <f t="shared" ca="1" si="156"/>
        <v/>
      </c>
      <c r="AV140" s="250" t="str">
        <f t="shared" ca="1" si="156"/>
        <v/>
      </c>
      <c r="AW140" s="250" t="str">
        <f t="shared" ca="1" si="156"/>
        <v/>
      </c>
      <c r="AX140" s="250" t="str">
        <f t="shared" ca="1" si="156"/>
        <v/>
      </c>
      <c r="AY140" s="250" t="str">
        <f t="shared" ca="1" si="156"/>
        <v/>
      </c>
      <c r="AZ140" s="250" t="str">
        <f t="shared" ca="1" si="156"/>
        <v/>
      </c>
      <c r="BA140" s="250" t="str">
        <f t="shared" ca="1" si="156"/>
        <v/>
      </c>
      <c r="BB140" s="250" t="str">
        <f t="shared" ca="1" si="156"/>
        <v/>
      </c>
      <c r="BC140" s="250" t="str">
        <f t="shared" ca="1" si="156"/>
        <v/>
      </c>
      <c r="BD140" s="250" t="str">
        <f t="shared" ca="1" si="156"/>
        <v/>
      </c>
      <c r="BE140" s="250" t="str">
        <f t="shared" ca="1" si="156"/>
        <v/>
      </c>
      <c r="BF140" s="250" t="str">
        <f t="shared" ca="1" si="156"/>
        <v/>
      </c>
      <c r="BG140" s="250" t="str">
        <f t="shared" ca="1" si="156"/>
        <v/>
      </c>
      <c r="BH140" s="250" t="str">
        <f t="shared" ca="1" si="156"/>
        <v/>
      </c>
      <c r="BI140" s="250" t="str">
        <f t="shared" ca="1" si="156"/>
        <v/>
      </c>
      <c r="BK140" s="84"/>
      <c r="BL140" s="84"/>
      <c r="BM140" s="84"/>
      <c r="BN140" s="84"/>
      <c r="BO140" s="84"/>
      <c r="BP140" s="84"/>
    </row>
    <row r="141" spans="13:68" ht="15" customHeight="1" outlineLevel="1"/>
    <row r="142" spans="13:68" ht="15" customHeight="1" outlineLevel="1">
      <c r="Q142" s="139" t="s">
        <v>132</v>
      </c>
      <c r="R142" s="139"/>
      <c r="S142" s="139"/>
      <c r="T142" s="139"/>
      <c r="U142" s="139"/>
    </row>
    <row r="143" spans="13:68" ht="15" customHeight="1" outlineLevel="1">
      <c r="P143" s="3"/>
      <c r="Q143" s="1" t="s">
        <v>129</v>
      </c>
      <c r="W143" s="98">
        <f t="shared" ref="W143:AB143" ca="1" si="157">IF($D$2=FALSE,"-",IF(W$13="","",OFFSET($AF146,0,W$8-$E$5)))</f>
        <v>0</v>
      </c>
      <c r="X143" s="98">
        <f t="shared" ca="1" si="157"/>
        <v>10</v>
      </c>
      <c r="Y143" s="98">
        <f t="shared" ca="1" si="157"/>
        <v>3</v>
      </c>
      <c r="Z143" s="98">
        <f t="shared" ca="1" si="157"/>
        <v>0</v>
      </c>
      <c r="AA143" s="98">
        <f t="shared" ca="1" si="157"/>
        <v>0</v>
      </c>
      <c r="AB143" s="98">
        <f t="shared" ca="1" si="157"/>
        <v>0</v>
      </c>
      <c r="AC143" s="258"/>
      <c r="AD143" s="270" t="e">
        <f ca="1">IF($D$2=FALSE,"-",IF(AD$13="","",+AD146-AD145-AD144))</f>
        <v>#N/A</v>
      </c>
      <c r="AF143" s="97">
        <f t="shared" ref="AF143:BI143" ca="1" si="158">IF($D$2=FALSE,"-",IF(AF$13="","",OFFSET(AF146,0,-1)))</f>
        <v>0</v>
      </c>
      <c r="AG143" s="98">
        <f t="shared" ca="1" si="158"/>
        <v>10</v>
      </c>
      <c r="AH143" s="98">
        <f t="shared" ca="1" si="158"/>
        <v>3</v>
      </c>
      <c r="AI143" s="98">
        <f t="shared" ca="1" si="158"/>
        <v>0</v>
      </c>
      <c r="AJ143" s="98">
        <f t="shared" ca="1" si="158"/>
        <v>0</v>
      </c>
      <c r="AK143" s="98">
        <f t="shared" ca="1" si="158"/>
        <v>0</v>
      </c>
      <c r="AL143" s="98" t="str">
        <f t="shared" ca="1" si="158"/>
        <v/>
      </c>
      <c r="AM143" s="98" t="str">
        <f t="shared" ca="1" si="158"/>
        <v/>
      </c>
      <c r="AN143" s="98" t="str">
        <f t="shared" ca="1" si="158"/>
        <v/>
      </c>
      <c r="AO143" s="98" t="str">
        <f t="shared" ca="1" si="158"/>
        <v/>
      </c>
      <c r="AP143" s="98" t="str">
        <f t="shared" ca="1" si="158"/>
        <v/>
      </c>
      <c r="AQ143" s="98" t="str">
        <f t="shared" ca="1" si="158"/>
        <v/>
      </c>
      <c r="AR143" s="98" t="str">
        <f t="shared" ca="1" si="158"/>
        <v/>
      </c>
      <c r="AS143" s="98" t="str">
        <f t="shared" ca="1" si="158"/>
        <v/>
      </c>
      <c r="AT143" s="98" t="str">
        <f t="shared" ca="1" si="158"/>
        <v/>
      </c>
      <c r="AU143" s="98" t="str">
        <f t="shared" ca="1" si="158"/>
        <v/>
      </c>
      <c r="AV143" s="98" t="str">
        <f t="shared" ca="1" si="158"/>
        <v/>
      </c>
      <c r="AW143" s="98" t="str">
        <f t="shared" ca="1" si="158"/>
        <v/>
      </c>
      <c r="AX143" s="98" t="str">
        <f t="shared" ca="1" si="158"/>
        <v/>
      </c>
      <c r="AY143" s="98" t="str">
        <f t="shared" ca="1" si="158"/>
        <v/>
      </c>
      <c r="AZ143" s="98" t="str">
        <f t="shared" ca="1" si="158"/>
        <v/>
      </c>
      <c r="BA143" s="98" t="str">
        <f t="shared" ca="1" si="158"/>
        <v/>
      </c>
      <c r="BB143" s="98" t="str">
        <f t="shared" ca="1" si="158"/>
        <v/>
      </c>
      <c r="BC143" s="98" t="str">
        <f t="shared" ca="1" si="158"/>
        <v/>
      </c>
      <c r="BD143" s="98" t="str">
        <f t="shared" ca="1" si="158"/>
        <v/>
      </c>
      <c r="BE143" s="98" t="str">
        <f t="shared" ca="1" si="158"/>
        <v/>
      </c>
      <c r="BF143" s="98" t="str">
        <f t="shared" ca="1" si="158"/>
        <v/>
      </c>
      <c r="BG143" s="98" t="str">
        <f t="shared" ca="1" si="158"/>
        <v/>
      </c>
      <c r="BH143" s="98" t="str">
        <f t="shared" ca="1" si="158"/>
        <v/>
      </c>
      <c r="BI143" s="98" t="str">
        <f t="shared" ca="1" si="158"/>
        <v/>
      </c>
      <c r="BK143" s="84"/>
      <c r="BL143" s="84"/>
      <c r="BM143" s="84"/>
      <c r="BN143" s="84"/>
      <c r="BO143" s="84"/>
      <c r="BP143" s="84"/>
    </row>
    <row r="144" spans="13:68" ht="15" customHeight="1" outlineLevel="1">
      <c r="P144" s="3"/>
      <c r="Q144" s="1" t="s">
        <v>133</v>
      </c>
      <c r="W144" s="99" t="e">
        <f t="shared" ref="W144:AB145" ca="1" si="159">IF($D$2=FALSE,"-",IF(W$13="","",SUM(OFFSET($AF144,0,W$8,1,-$E$5))))</f>
        <v>#N/A</v>
      </c>
      <c r="X144" s="99">
        <f t="shared" ca="1" si="159"/>
        <v>0</v>
      </c>
      <c r="Y144" s="99">
        <f t="shared" ca="1" si="159"/>
        <v>0</v>
      </c>
      <c r="Z144" s="99">
        <f t="shared" ca="1" si="159"/>
        <v>0</v>
      </c>
      <c r="AA144" s="99">
        <f t="shared" ca="1" si="159"/>
        <v>0</v>
      </c>
      <c r="AB144" s="99">
        <f t="shared" ca="1" si="159"/>
        <v>0</v>
      </c>
      <c r="AC144" s="258"/>
      <c r="AD144" s="99" t="e">
        <f ca="1">IF($D$2=FALSE,"-",IF(AD$13="","",SUM(OFFSET($AF144,0,$F$4-AD$7-1,1,-$E$5))+SUM(OFFSET($AF144,0,$F$4-1,1,-AD$7))-SUM(OFFSET($AF144,0,$F$4-$E$5-1,1,-AD$7))))</f>
        <v>#N/A</v>
      </c>
      <c r="AF144" s="97" t="e">
        <f t="shared" ref="AF144:BI144" ca="1" si="160">IF($D$2=FALSE,"-",IF(AF$13="","",IF(AF140&gt;0,MAX(0,$M138+AF138),0)))</f>
        <v>#N/A</v>
      </c>
      <c r="AG144" s="98">
        <f t="shared" ca="1" si="160"/>
        <v>0</v>
      </c>
      <c r="AH144" s="98">
        <f t="shared" ca="1" si="160"/>
        <v>0</v>
      </c>
      <c r="AI144" s="98">
        <f t="shared" ca="1" si="160"/>
        <v>0</v>
      </c>
      <c r="AJ144" s="98">
        <f t="shared" ca="1" si="160"/>
        <v>0</v>
      </c>
      <c r="AK144" s="98">
        <f t="shared" ca="1" si="160"/>
        <v>0</v>
      </c>
      <c r="AL144" s="98" t="str">
        <f t="shared" ca="1" si="160"/>
        <v/>
      </c>
      <c r="AM144" s="98" t="str">
        <f t="shared" ca="1" si="160"/>
        <v/>
      </c>
      <c r="AN144" s="98" t="str">
        <f t="shared" ca="1" si="160"/>
        <v/>
      </c>
      <c r="AO144" s="98" t="str">
        <f t="shared" ca="1" si="160"/>
        <v/>
      </c>
      <c r="AP144" s="98" t="str">
        <f t="shared" ca="1" si="160"/>
        <v/>
      </c>
      <c r="AQ144" s="98" t="str">
        <f t="shared" ca="1" si="160"/>
        <v/>
      </c>
      <c r="AR144" s="98" t="str">
        <f t="shared" ca="1" si="160"/>
        <v/>
      </c>
      <c r="AS144" s="98" t="str">
        <f t="shared" ca="1" si="160"/>
        <v/>
      </c>
      <c r="AT144" s="98" t="str">
        <f t="shared" ca="1" si="160"/>
        <v/>
      </c>
      <c r="AU144" s="98" t="str">
        <f t="shared" ca="1" si="160"/>
        <v/>
      </c>
      <c r="AV144" s="98" t="str">
        <f t="shared" ca="1" si="160"/>
        <v/>
      </c>
      <c r="AW144" s="98" t="str">
        <f t="shared" ca="1" si="160"/>
        <v/>
      </c>
      <c r="AX144" s="98" t="str">
        <f t="shared" ca="1" si="160"/>
        <v/>
      </c>
      <c r="AY144" s="98" t="str">
        <f t="shared" ca="1" si="160"/>
        <v/>
      </c>
      <c r="AZ144" s="98" t="str">
        <f t="shared" ca="1" si="160"/>
        <v/>
      </c>
      <c r="BA144" s="98" t="str">
        <f t="shared" ca="1" si="160"/>
        <v/>
      </c>
      <c r="BB144" s="98" t="str">
        <f t="shared" ca="1" si="160"/>
        <v/>
      </c>
      <c r="BC144" s="98" t="str">
        <f t="shared" ca="1" si="160"/>
        <v/>
      </c>
      <c r="BD144" s="98" t="str">
        <f t="shared" ca="1" si="160"/>
        <v/>
      </c>
      <c r="BE144" s="98" t="str">
        <f t="shared" ca="1" si="160"/>
        <v/>
      </c>
      <c r="BF144" s="98" t="str">
        <f t="shared" ca="1" si="160"/>
        <v/>
      </c>
      <c r="BG144" s="98" t="str">
        <f t="shared" ca="1" si="160"/>
        <v/>
      </c>
      <c r="BH144" s="98" t="str">
        <f t="shared" ca="1" si="160"/>
        <v/>
      </c>
      <c r="BI144" s="98" t="str">
        <f t="shared" ca="1" si="160"/>
        <v/>
      </c>
      <c r="BK144" s="84"/>
      <c r="BL144" s="84"/>
      <c r="BM144" s="84"/>
      <c r="BN144" s="84"/>
      <c r="BO144" s="84"/>
      <c r="BP144" s="84"/>
    </row>
    <row r="145" spans="13:68" ht="15" customHeight="1" outlineLevel="1">
      <c r="P145" s="3"/>
      <c r="Q145" s="100" t="s">
        <v>134</v>
      </c>
      <c r="R145" s="100"/>
      <c r="S145" s="100"/>
      <c r="T145" s="100"/>
      <c r="U145" s="100"/>
      <c r="W145" s="101" t="e">
        <f t="shared" ca="1" si="159"/>
        <v>#N/A</v>
      </c>
      <c r="X145" s="101">
        <f t="shared" ca="1" si="159"/>
        <v>-7</v>
      </c>
      <c r="Y145" s="101">
        <f t="shared" ca="1" si="159"/>
        <v>-3</v>
      </c>
      <c r="Z145" s="101">
        <f t="shared" ca="1" si="159"/>
        <v>0</v>
      </c>
      <c r="AA145" s="101">
        <f t="shared" ca="1" si="159"/>
        <v>0</v>
      </c>
      <c r="AB145" s="101">
        <f t="shared" ca="1" si="159"/>
        <v>0</v>
      </c>
      <c r="AC145" s="258"/>
      <c r="AD145" s="101" t="e">
        <f ca="1">IF($D$2=FALSE,"-",IF(AD$13="","",SUM(OFFSET($AF145,0,$F$4-AD$7-1,1,-$E$5))+SUM(OFFSET($AF145,0,$F$4-1,1,-AD$7))-SUM(OFFSET($AF145,0,$F$4-$E$5-1,1,-AD$7))))</f>
        <v>#N/A</v>
      </c>
      <c r="AF145" s="102" t="e">
        <f t="shared" ref="AF145:BI145" ca="1" si="161">IF($D$2=FALSE,"-",IF(AF$13="","",-MAX(0,-AF138-$M138)))</f>
        <v>#N/A</v>
      </c>
      <c r="AG145" s="103">
        <f t="shared" ca="1" si="161"/>
        <v>-7</v>
      </c>
      <c r="AH145" s="103">
        <f t="shared" ca="1" si="161"/>
        <v>-3</v>
      </c>
      <c r="AI145" s="103">
        <f t="shared" ca="1" si="161"/>
        <v>0</v>
      </c>
      <c r="AJ145" s="103">
        <f t="shared" ca="1" si="161"/>
        <v>0</v>
      </c>
      <c r="AK145" s="103">
        <f t="shared" ca="1" si="161"/>
        <v>0</v>
      </c>
      <c r="AL145" s="103" t="str">
        <f t="shared" ca="1" si="161"/>
        <v/>
      </c>
      <c r="AM145" s="103" t="str">
        <f t="shared" ca="1" si="161"/>
        <v/>
      </c>
      <c r="AN145" s="103" t="str">
        <f t="shared" ca="1" si="161"/>
        <v/>
      </c>
      <c r="AO145" s="103" t="str">
        <f t="shared" ca="1" si="161"/>
        <v/>
      </c>
      <c r="AP145" s="103" t="str">
        <f t="shared" ca="1" si="161"/>
        <v/>
      </c>
      <c r="AQ145" s="103" t="str">
        <f t="shared" ca="1" si="161"/>
        <v/>
      </c>
      <c r="AR145" s="103" t="str">
        <f t="shared" ca="1" si="161"/>
        <v/>
      </c>
      <c r="AS145" s="103" t="str">
        <f t="shared" ca="1" si="161"/>
        <v/>
      </c>
      <c r="AT145" s="103" t="str">
        <f t="shared" ca="1" si="161"/>
        <v/>
      </c>
      <c r="AU145" s="103" t="str">
        <f t="shared" ca="1" si="161"/>
        <v/>
      </c>
      <c r="AV145" s="103" t="str">
        <f t="shared" ca="1" si="161"/>
        <v/>
      </c>
      <c r="AW145" s="103" t="str">
        <f t="shared" ca="1" si="161"/>
        <v/>
      </c>
      <c r="AX145" s="103" t="str">
        <f t="shared" ca="1" si="161"/>
        <v/>
      </c>
      <c r="AY145" s="103" t="str">
        <f t="shared" ca="1" si="161"/>
        <v/>
      </c>
      <c r="AZ145" s="103" t="str">
        <f t="shared" ca="1" si="161"/>
        <v/>
      </c>
      <c r="BA145" s="103" t="str">
        <f t="shared" ca="1" si="161"/>
        <v/>
      </c>
      <c r="BB145" s="103" t="str">
        <f t="shared" ca="1" si="161"/>
        <v/>
      </c>
      <c r="BC145" s="103" t="str">
        <f t="shared" ca="1" si="161"/>
        <v/>
      </c>
      <c r="BD145" s="103" t="str">
        <f t="shared" ca="1" si="161"/>
        <v/>
      </c>
      <c r="BE145" s="103" t="str">
        <f t="shared" ca="1" si="161"/>
        <v/>
      </c>
      <c r="BF145" s="103" t="str">
        <f t="shared" ca="1" si="161"/>
        <v/>
      </c>
      <c r="BG145" s="103" t="str">
        <f t="shared" ca="1" si="161"/>
        <v/>
      </c>
      <c r="BH145" s="103" t="str">
        <f t="shared" ca="1" si="161"/>
        <v/>
      </c>
      <c r="BI145" s="103" t="str">
        <f t="shared" ca="1" si="161"/>
        <v/>
      </c>
      <c r="BK145" s="84"/>
      <c r="BL145" s="84"/>
      <c r="BM145" s="84"/>
      <c r="BN145" s="84"/>
      <c r="BO145" s="84"/>
      <c r="BP145" s="84"/>
    </row>
    <row r="146" spans="13:68" ht="15" customHeight="1" outlineLevel="1">
      <c r="M146" s="96">
        <v>10</v>
      </c>
      <c r="P146" s="3"/>
      <c r="Q146" s="1" t="s">
        <v>131</v>
      </c>
      <c r="W146" s="98">
        <f t="shared" ref="W146:AB146" ca="1" si="162">IF($D$2=FALSE,"-",IF(W$13="","",OFFSET($AF146,0,W$8)))</f>
        <v>10</v>
      </c>
      <c r="X146" s="98">
        <f t="shared" ca="1" si="162"/>
        <v>3</v>
      </c>
      <c r="Y146" s="98">
        <f t="shared" ca="1" si="162"/>
        <v>0</v>
      </c>
      <c r="Z146" s="98">
        <f t="shared" ca="1" si="162"/>
        <v>0</v>
      </c>
      <c r="AA146" s="98">
        <f t="shared" ca="1" si="162"/>
        <v>0</v>
      </c>
      <c r="AB146" s="98">
        <f t="shared" ca="1" si="162"/>
        <v>0</v>
      </c>
      <c r="AC146" s="258"/>
      <c r="AD146" s="98" t="e">
        <f ca="1">IF($D$2=FALSE,"-",IF(AD$13="","",OFFSET($AF146,0,$F$4-AD$7-1)+OFFSET($AF146,0,$F$4-1)-OFFSET($AF146,0,$F$4-$E$5-1)))</f>
        <v>#N/A</v>
      </c>
      <c r="AF146" s="249">
        <f t="shared" ref="AF146:BI146" ca="1" si="163">IF($D$2=FALSE,"-",IF(AF$13="","",IF(AF$4&lt;0,#N/A,IF(AF$4=0,$M146,SUM(AF143:AF145)))))</f>
        <v>10</v>
      </c>
      <c r="AG146" s="250">
        <f t="shared" ca="1" si="163"/>
        <v>3</v>
      </c>
      <c r="AH146" s="250">
        <f t="shared" ca="1" si="163"/>
        <v>0</v>
      </c>
      <c r="AI146" s="250">
        <f t="shared" ca="1" si="163"/>
        <v>0</v>
      </c>
      <c r="AJ146" s="250">
        <f t="shared" ca="1" si="163"/>
        <v>0</v>
      </c>
      <c r="AK146" s="250">
        <f t="shared" ca="1" si="163"/>
        <v>0</v>
      </c>
      <c r="AL146" s="250" t="str">
        <f t="shared" ca="1" si="163"/>
        <v/>
      </c>
      <c r="AM146" s="250" t="str">
        <f t="shared" ca="1" si="163"/>
        <v/>
      </c>
      <c r="AN146" s="250" t="str">
        <f t="shared" ca="1" si="163"/>
        <v/>
      </c>
      <c r="AO146" s="250" t="str">
        <f t="shared" ca="1" si="163"/>
        <v/>
      </c>
      <c r="AP146" s="250" t="str">
        <f t="shared" ca="1" si="163"/>
        <v/>
      </c>
      <c r="AQ146" s="250" t="str">
        <f t="shared" ca="1" si="163"/>
        <v/>
      </c>
      <c r="AR146" s="250" t="str">
        <f t="shared" ca="1" si="163"/>
        <v/>
      </c>
      <c r="AS146" s="250" t="str">
        <f t="shared" ca="1" si="163"/>
        <v/>
      </c>
      <c r="AT146" s="250" t="str">
        <f t="shared" ca="1" si="163"/>
        <v/>
      </c>
      <c r="AU146" s="250" t="str">
        <f t="shared" ca="1" si="163"/>
        <v/>
      </c>
      <c r="AV146" s="250" t="str">
        <f t="shared" ca="1" si="163"/>
        <v/>
      </c>
      <c r="AW146" s="250" t="str">
        <f t="shared" ca="1" si="163"/>
        <v/>
      </c>
      <c r="AX146" s="250" t="str">
        <f t="shared" ca="1" si="163"/>
        <v/>
      </c>
      <c r="AY146" s="250" t="str">
        <f t="shared" ca="1" si="163"/>
        <v/>
      </c>
      <c r="AZ146" s="250" t="str">
        <f t="shared" ca="1" si="163"/>
        <v/>
      </c>
      <c r="BA146" s="250" t="str">
        <f t="shared" ca="1" si="163"/>
        <v/>
      </c>
      <c r="BB146" s="250" t="str">
        <f t="shared" ca="1" si="163"/>
        <v/>
      </c>
      <c r="BC146" s="250" t="str">
        <f t="shared" ca="1" si="163"/>
        <v/>
      </c>
      <c r="BD146" s="250" t="str">
        <f t="shared" ca="1" si="163"/>
        <v/>
      </c>
      <c r="BE146" s="250" t="str">
        <f t="shared" ca="1" si="163"/>
        <v/>
      </c>
      <c r="BF146" s="250" t="str">
        <f t="shared" ca="1" si="163"/>
        <v/>
      </c>
      <c r="BG146" s="250" t="str">
        <f t="shared" ca="1" si="163"/>
        <v/>
      </c>
      <c r="BH146" s="250" t="str">
        <f t="shared" ca="1" si="163"/>
        <v/>
      </c>
      <c r="BI146" s="250" t="str">
        <f t="shared" ca="1" si="163"/>
        <v/>
      </c>
      <c r="BK146" s="84"/>
      <c r="BL146" s="84"/>
      <c r="BM146" s="84"/>
      <c r="BN146" s="84"/>
      <c r="BO146" s="84"/>
      <c r="BP146" s="84"/>
    </row>
    <row r="147" spans="13:68" ht="15" customHeight="1" outlineLevel="1"/>
    <row r="148" spans="13:68" ht="15" customHeight="1" outlineLevel="1">
      <c r="Q148" s="68" t="s">
        <v>135</v>
      </c>
      <c r="R148" s="68"/>
      <c r="S148" s="68"/>
      <c r="T148" s="68"/>
      <c r="U148" s="68"/>
      <c r="V148" s="6"/>
      <c r="W148" s="26"/>
      <c r="X148" s="26"/>
      <c r="Y148" s="26"/>
      <c r="Z148" s="26"/>
      <c r="AA148" s="26"/>
      <c r="AB148" s="26"/>
      <c r="AC148" s="6"/>
      <c r="AD148" s="59"/>
      <c r="AE148" s="6"/>
      <c r="AF148" s="152"/>
      <c r="AG148" s="153"/>
      <c r="AH148" s="153"/>
      <c r="AI148" s="153"/>
      <c r="AJ148" s="153"/>
      <c r="AK148" s="153"/>
      <c r="AL148" s="153"/>
      <c r="AM148" s="153"/>
      <c r="AN148" s="153"/>
      <c r="AO148" s="153"/>
      <c r="AP148" s="153"/>
      <c r="AQ148" s="153"/>
      <c r="AR148" s="153"/>
      <c r="AS148" s="153"/>
      <c r="AT148" s="153"/>
      <c r="AU148" s="153"/>
      <c r="AV148" s="153"/>
      <c r="AW148" s="153"/>
      <c r="AX148" s="153"/>
      <c r="AY148" s="153"/>
      <c r="AZ148" s="153"/>
      <c r="BA148" s="153"/>
      <c r="BB148" s="153"/>
      <c r="BC148" s="153"/>
      <c r="BD148" s="153"/>
      <c r="BE148" s="153"/>
      <c r="BF148" s="153"/>
      <c r="BG148" s="153"/>
      <c r="BH148" s="153"/>
      <c r="BI148" s="153"/>
    </row>
    <row r="149" spans="13:68" ht="15" customHeight="1" outlineLevel="1">
      <c r="M149" s="112">
        <v>15</v>
      </c>
      <c r="P149" s="3"/>
      <c r="Q149" s="1" t="s">
        <v>128</v>
      </c>
      <c r="W149" s="261">
        <f t="shared" ref="W149:AB149" ca="1" si="164">IF($D$2=FALSE,"-",IF(W$13="","",OFFSET($AF149,0,W$8)))</f>
        <v>15</v>
      </c>
      <c r="X149" s="261">
        <f t="shared" ca="1" si="164"/>
        <v>14</v>
      </c>
      <c r="Y149" s="261">
        <f t="shared" ca="1" si="164"/>
        <v>13</v>
      </c>
      <c r="Z149" s="261">
        <f t="shared" ca="1" si="164"/>
        <v>12</v>
      </c>
      <c r="AA149" s="261">
        <f t="shared" ca="1" si="164"/>
        <v>11</v>
      </c>
      <c r="AB149" s="261">
        <f t="shared" ca="1" si="164"/>
        <v>10</v>
      </c>
      <c r="AC149" s="257"/>
      <c r="AD149" s="261" t="e">
        <f ca="1">IF($D$2=FALSE,"-",IF(AD$13="","",OFFSET($AF149,0,$F$4-1)))</f>
        <v>#N/A</v>
      </c>
      <c r="AF149" s="262">
        <f ca="1">IF($D$2=FALSE,"-",IF(AF$13="","",IF(AF$4&lt;0,#N/A,IF(AF$4=0,$M149,MAX(0,OFFSET(AF149,0,-1)-AF$6)))))</f>
        <v>15</v>
      </c>
      <c r="AG149" s="263">
        <f t="shared" ref="AG149:BI149" ca="1" si="165">IF($D$2=FALSE,"-",IF(AG$13="","",IF(AG$4&lt;0,#N/A,IF(AG$4=0,$M149,MAX(0,OFFSET(AG149,0,-1)-AG$6)))))</f>
        <v>14</v>
      </c>
      <c r="AH149" s="263">
        <f t="shared" ca="1" si="165"/>
        <v>13</v>
      </c>
      <c r="AI149" s="263">
        <f t="shared" ca="1" si="165"/>
        <v>12</v>
      </c>
      <c r="AJ149" s="263">
        <f t="shared" ca="1" si="165"/>
        <v>11</v>
      </c>
      <c r="AK149" s="263">
        <f t="shared" ca="1" si="165"/>
        <v>10</v>
      </c>
      <c r="AL149" s="263" t="str">
        <f t="shared" ca="1" si="165"/>
        <v/>
      </c>
      <c r="AM149" s="263" t="str">
        <f t="shared" ca="1" si="165"/>
        <v/>
      </c>
      <c r="AN149" s="263" t="str">
        <f t="shared" ca="1" si="165"/>
        <v/>
      </c>
      <c r="AO149" s="263" t="str">
        <f t="shared" ca="1" si="165"/>
        <v/>
      </c>
      <c r="AP149" s="263" t="str">
        <f t="shared" ca="1" si="165"/>
        <v/>
      </c>
      <c r="AQ149" s="263" t="str">
        <f t="shared" ca="1" si="165"/>
        <v/>
      </c>
      <c r="AR149" s="263" t="str">
        <f t="shared" ca="1" si="165"/>
        <v/>
      </c>
      <c r="AS149" s="263" t="str">
        <f t="shared" ca="1" si="165"/>
        <v/>
      </c>
      <c r="AT149" s="263" t="str">
        <f t="shared" ca="1" si="165"/>
        <v/>
      </c>
      <c r="AU149" s="263" t="str">
        <f t="shared" ca="1" si="165"/>
        <v/>
      </c>
      <c r="AV149" s="263" t="str">
        <f t="shared" ca="1" si="165"/>
        <v/>
      </c>
      <c r="AW149" s="263" t="str">
        <f t="shared" ca="1" si="165"/>
        <v/>
      </c>
      <c r="AX149" s="263" t="str">
        <f t="shared" ca="1" si="165"/>
        <v/>
      </c>
      <c r="AY149" s="263" t="str">
        <f t="shared" ca="1" si="165"/>
        <v/>
      </c>
      <c r="AZ149" s="263" t="str">
        <f t="shared" ca="1" si="165"/>
        <v/>
      </c>
      <c r="BA149" s="263" t="str">
        <f t="shared" ca="1" si="165"/>
        <v/>
      </c>
      <c r="BB149" s="263" t="str">
        <f t="shared" ca="1" si="165"/>
        <v/>
      </c>
      <c r="BC149" s="263" t="str">
        <f t="shared" ca="1" si="165"/>
        <v/>
      </c>
      <c r="BD149" s="263" t="str">
        <f t="shared" ca="1" si="165"/>
        <v/>
      </c>
      <c r="BE149" s="263" t="str">
        <f t="shared" ca="1" si="165"/>
        <v/>
      </c>
      <c r="BF149" s="263" t="str">
        <f t="shared" ca="1" si="165"/>
        <v/>
      </c>
      <c r="BG149" s="263" t="str">
        <f t="shared" ca="1" si="165"/>
        <v/>
      </c>
      <c r="BH149" s="263" t="str">
        <f t="shared" ca="1" si="165"/>
        <v/>
      </c>
      <c r="BI149" s="263" t="str">
        <f t="shared" ca="1" si="165"/>
        <v/>
      </c>
      <c r="BK149" s="84"/>
      <c r="BL149" s="84"/>
      <c r="BM149" s="84"/>
      <c r="BN149" s="84"/>
      <c r="BO149" s="84"/>
      <c r="BP149" s="84"/>
    </row>
    <row r="150" spans="13:68" ht="15" customHeight="1" outlineLevel="1"/>
    <row r="151" spans="13:68" ht="15" customHeight="1" outlineLevel="1">
      <c r="P151" s="3"/>
      <c r="Q151" s="1" t="s">
        <v>129</v>
      </c>
      <c r="W151" s="98">
        <f t="shared" ref="W151:AB151" ca="1" si="166">IF($D$2=FALSE,"-",IF(W$13="","",OFFSET($AF155,0,W$8-$E$5)))</f>
        <v>0</v>
      </c>
      <c r="X151" s="98">
        <f t="shared" ca="1" si="166"/>
        <v>234</v>
      </c>
      <c r="Y151" s="98">
        <f t="shared" ca="1" si="166"/>
        <v>179.53940749999995</v>
      </c>
      <c r="Z151" s="98">
        <f t="shared" ca="1" si="166"/>
        <v>108.06924165574917</v>
      </c>
      <c r="AA151" s="98">
        <f t="shared" ca="1" si="166"/>
        <v>25.428721612930687</v>
      </c>
      <c r="AB151" s="98">
        <f t="shared" ca="1" si="166"/>
        <v>0</v>
      </c>
      <c r="AC151" s="258"/>
      <c r="AD151" s="270" t="e">
        <f ca="1">IF($D$2=FALSE,"-",IF(AD$13="","",+AD155-AD154-AD153-AD152))</f>
        <v>#N/A</v>
      </c>
      <c r="AF151" s="97">
        <f t="shared" ref="AF151:BI151" ca="1" si="167">IF($D$2=FALSE,"-",IF(AF$13="","",OFFSET(AF155,0,-1)))</f>
        <v>0</v>
      </c>
      <c r="AG151" s="98">
        <f t="shared" ca="1" si="167"/>
        <v>234</v>
      </c>
      <c r="AH151" s="98">
        <f t="shared" ca="1" si="167"/>
        <v>179.53940749999995</v>
      </c>
      <c r="AI151" s="98">
        <f t="shared" ca="1" si="167"/>
        <v>108.06924165574917</v>
      </c>
      <c r="AJ151" s="98">
        <f t="shared" ca="1" si="167"/>
        <v>25.428721612930687</v>
      </c>
      <c r="AK151" s="98">
        <f t="shared" ca="1" si="167"/>
        <v>0</v>
      </c>
      <c r="AL151" s="98" t="str">
        <f t="shared" ca="1" si="167"/>
        <v/>
      </c>
      <c r="AM151" s="98" t="str">
        <f t="shared" ca="1" si="167"/>
        <v/>
      </c>
      <c r="AN151" s="98" t="str">
        <f t="shared" ca="1" si="167"/>
        <v/>
      </c>
      <c r="AO151" s="98" t="str">
        <f t="shared" ca="1" si="167"/>
        <v/>
      </c>
      <c r="AP151" s="98" t="str">
        <f t="shared" ca="1" si="167"/>
        <v/>
      </c>
      <c r="AQ151" s="98" t="str">
        <f t="shared" ca="1" si="167"/>
        <v/>
      </c>
      <c r="AR151" s="98" t="str">
        <f t="shared" ca="1" si="167"/>
        <v/>
      </c>
      <c r="AS151" s="98" t="str">
        <f t="shared" ca="1" si="167"/>
        <v/>
      </c>
      <c r="AT151" s="98" t="str">
        <f t="shared" ca="1" si="167"/>
        <v/>
      </c>
      <c r="AU151" s="98" t="str">
        <f t="shared" ca="1" si="167"/>
        <v/>
      </c>
      <c r="AV151" s="98" t="str">
        <f t="shared" ca="1" si="167"/>
        <v/>
      </c>
      <c r="AW151" s="98" t="str">
        <f t="shared" ca="1" si="167"/>
        <v/>
      </c>
      <c r="AX151" s="98" t="str">
        <f t="shared" ca="1" si="167"/>
        <v/>
      </c>
      <c r="AY151" s="98" t="str">
        <f t="shared" ca="1" si="167"/>
        <v/>
      </c>
      <c r="AZ151" s="98" t="str">
        <f t="shared" ca="1" si="167"/>
        <v/>
      </c>
      <c r="BA151" s="98" t="str">
        <f t="shared" ca="1" si="167"/>
        <v/>
      </c>
      <c r="BB151" s="98" t="str">
        <f t="shared" ca="1" si="167"/>
        <v/>
      </c>
      <c r="BC151" s="98" t="str">
        <f t="shared" ca="1" si="167"/>
        <v/>
      </c>
      <c r="BD151" s="98" t="str">
        <f t="shared" ca="1" si="167"/>
        <v/>
      </c>
      <c r="BE151" s="98" t="str">
        <f t="shared" ca="1" si="167"/>
        <v/>
      </c>
      <c r="BF151" s="98" t="str">
        <f t="shared" ca="1" si="167"/>
        <v/>
      </c>
      <c r="BG151" s="98" t="str">
        <f t="shared" ca="1" si="167"/>
        <v/>
      </c>
      <c r="BH151" s="98" t="str">
        <f t="shared" ca="1" si="167"/>
        <v/>
      </c>
      <c r="BI151" s="98" t="str">
        <f t="shared" ca="1" si="167"/>
        <v/>
      </c>
      <c r="BK151" s="84"/>
      <c r="BL151" s="84"/>
      <c r="BM151" s="84"/>
      <c r="BN151" s="84"/>
      <c r="BO151" s="84"/>
      <c r="BP151" s="84"/>
    </row>
    <row r="152" spans="13:68" ht="15" customHeight="1" outlineLevel="1">
      <c r="P152" s="3"/>
      <c r="Q152" s="1" t="s">
        <v>136</v>
      </c>
      <c r="W152" s="99" t="e">
        <f t="shared" ref="W152:AB154" ca="1" si="168">IF($D$2=FALSE,"-",IF(W$13="","",SUM(OFFSET($AF152,0,W$8,1,-$E$5))))</f>
        <v>#N/A</v>
      </c>
      <c r="X152" s="99">
        <f t="shared" ca="1" si="168"/>
        <v>0</v>
      </c>
      <c r="Y152" s="99">
        <f t="shared" ca="1" si="168"/>
        <v>0</v>
      </c>
      <c r="Z152" s="99">
        <f t="shared" ca="1" si="168"/>
        <v>0</v>
      </c>
      <c r="AA152" s="99">
        <f t="shared" ca="1" si="168"/>
        <v>0</v>
      </c>
      <c r="AB152" s="99">
        <f t="shared" ca="1" si="168"/>
        <v>0</v>
      </c>
      <c r="AC152" s="258"/>
      <c r="AD152" s="99" t="e">
        <f ca="1">IF($D$2=FALSE,"-",IF(AD$13="","",SUM(OFFSET($AF152,0,$F$4-AD$7-1,1,-$E$5))+SUM(OFFSET($AF152,0,$F$4-1,1,-AD$7))-SUM(OFFSET($AF152,0,$F$4-$E$5-1,1,-AD$7))))</f>
        <v>#N/A</v>
      </c>
      <c r="AF152" s="97" t="e">
        <f t="shared" ref="AF152:BI152" ca="1" si="169">IF($D$2=FALSE,"-",IF(AF$13="","",MAX(0,-AF121)))</f>
        <v>#N/A</v>
      </c>
      <c r="AG152" s="98">
        <f t="shared" ca="1" si="169"/>
        <v>0</v>
      </c>
      <c r="AH152" s="98">
        <f t="shared" ca="1" si="169"/>
        <v>0</v>
      </c>
      <c r="AI152" s="98">
        <f t="shared" ca="1" si="169"/>
        <v>0</v>
      </c>
      <c r="AJ152" s="98">
        <f t="shared" ca="1" si="169"/>
        <v>0</v>
      </c>
      <c r="AK152" s="98">
        <f t="shared" ca="1" si="169"/>
        <v>0</v>
      </c>
      <c r="AL152" s="98" t="str">
        <f t="shared" ca="1" si="169"/>
        <v/>
      </c>
      <c r="AM152" s="98" t="str">
        <f t="shared" ca="1" si="169"/>
        <v/>
      </c>
      <c r="AN152" s="98" t="str">
        <f t="shared" ca="1" si="169"/>
        <v/>
      </c>
      <c r="AO152" s="98" t="str">
        <f t="shared" ca="1" si="169"/>
        <v/>
      </c>
      <c r="AP152" s="98" t="str">
        <f t="shared" ca="1" si="169"/>
        <v/>
      </c>
      <c r="AQ152" s="98" t="str">
        <f t="shared" ca="1" si="169"/>
        <v/>
      </c>
      <c r="AR152" s="98" t="str">
        <f t="shared" ca="1" si="169"/>
        <v/>
      </c>
      <c r="AS152" s="98" t="str">
        <f t="shared" ca="1" si="169"/>
        <v/>
      </c>
      <c r="AT152" s="98" t="str">
        <f t="shared" ca="1" si="169"/>
        <v/>
      </c>
      <c r="AU152" s="98" t="str">
        <f t="shared" ca="1" si="169"/>
        <v/>
      </c>
      <c r="AV152" s="98" t="str">
        <f t="shared" ca="1" si="169"/>
        <v/>
      </c>
      <c r="AW152" s="98" t="str">
        <f t="shared" ca="1" si="169"/>
        <v/>
      </c>
      <c r="AX152" s="98" t="str">
        <f t="shared" ca="1" si="169"/>
        <v/>
      </c>
      <c r="AY152" s="98" t="str">
        <f t="shared" ca="1" si="169"/>
        <v/>
      </c>
      <c r="AZ152" s="98" t="str">
        <f t="shared" ca="1" si="169"/>
        <v/>
      </c>
      <c r="BA152" s="98" t="str">
        <f t="shared" ca="1" si="169"/>
        <v/>
      </c>
      <c r="BB152" s="98" t="str">
        <f t="shared" ca="1" si="169"/>
        <v/>
      </c>
      <c r="BC152" s="98" t="str">
        <f t="shared" ca="1" si="169"/>
        <v/>
      </c>
      <c r="BD152" s="98" t="str">
        <f t="shared" ca="1" si="169"/>
        <v/>
      </c>
      <c r="BE152" s="98" t="str">
        <f t="shared" ca="1" si="169"/>
        <v/>
      </c>
      <c r="BF152" s="98" t="str">
        <f t="shared" ca="1" si="169"/>
        <v/>
      </c>
      <c r="BG152" s="98" t="str">
        <f t="shared" ca="1" si="169"/>
        <v/>
      </c>
      <c r="BH152" s="98" t="str">
        <f t="shared" ca="1" si="169"/>
        <v/>
      </c>
      <c r="BI152" s="98" t="str">
        <f t="shared" ca="1" si="169"/>
        <v/>
      </c>
      <c r="BK152" s="84"/>
      <c r="BL152" s="84"/>
      <c r="BM152" s="84"/>
      <c r="BN152" s="84"/>
      <c r="BO152" s="84"/>
      <c r="BP152" s="84"/>
    </row>
    <row r="153" spans="13:68" ht="15" customHeight="1" outlineLevel="1">
      <c r="P153" s="3"/>
      <c r="Q153" s="1" t="s">
        <v>118</v>
      </c>
      <c r="W153" s="99" t="e">
        <f t="shared" ca="1" si="168"/>
        <v>#N/A</v>
      </c>
      <c r="X153" s="99">
        <f t="shared" ca="1" si="168"/>
        <v>-54.460592500000047</v>
      </c>
      <c r="Y153" s="99">
        <f t="shared" ca="1" si="168"/>
        <v>-71.470165844250786</v>
      </c>
      <c r="Z153" s="99">
        <f t="shared" ca="1" si="168"/>
        <v>-82.64052004281848</v>
      </c>
      <c r="AA153" s="99">
        <f t="shared" ca="1" si="168"/>
        <v>-25.428721612930687</v>
      </c>
      <c r="AB153" s="99">
        <f t="shared" ca="1" si="168"/>
        <v>0</v>
      </c>
      <c r="AC153" s="258"/>
      <c r="AD153" s="99" t="e">
        <f ca="1">IF($D$2=FALSE,"-",IF(AD$13="","",SUM(OFFSET($AF153,0,$F$4-AD$7-1,1,-$E$5))+SUM(OFFSET($AF153,0,$F$4-1,1,-AD$7))-SUM(OFFSET($AF153,0,$F$4-$E$5-1,1,-AD$7))))</f>
        <v>#N/A</v>
      </c>
      <c r="AF153" s="249" t="e">
        <f t="shared" ref="AF153:BI153" ca="1" si="170">IF($D$2=FALSE,"-",IF(AF$13="","",IF(AF$4&lt;=0,#N/A,IF(AF$4=1,IF(AF121+AF138&gt;0,-MIN(AF151+AF152,AF121+AF138),0),-MAXA(0,MINA(AF121,(AF151+AF152)))))))</f>
        <v>#N/A</v>
      </c>
      <c r="AG153" s="250">
        <f t="shared" ca="1" si="170"/>
        <v>-54.460592500000047</v>
      </c>
      <c r="AH153" s="250">
        <f t="shared" ca="1" si="170"/>
        <v>-71.470165844250786</v>
      </c>
      <c r="AI153" s="250">
        <f t="shared" ca="1" si="170"/>
        <v>-82.64052004281848</v>
      </c>
      <c r="AJ153" s="250">
        <f t="shared" ca="1" si="170"/>
        <v>-25.428721612930687</v>
      </c>
      <c r="AK153" s="250">
        <f t="shared" ca="1" si="170"/>
        <v>0</v>
      </c>
      <c r="AL153" s="250" t="str">
        <f t="shared" ca="1" si="170"/>
        <v/>
      </c>
      <c r="AM153" s="250" t="str">
        <f t="shared" ca="1" si="170"/>
        <v/>
      </c>
      <c r="AN153" s="250" t="str">
        <f t="shared" ca="1" si="170"/>
        <v/>
      </c>
      <c r="AO153" s="250" t="str">
        <f t="shared" ca="1" si="170"/>
        <v/>
      </c>
      <c r="AP153" s="250" t="str">
        <f t="shared" ca="1" si="170"/>
        <v/>
      </c>
      <c r="AQ153" s="250" t="str">
        <f t="shared" ca="1" si="170"/>
        <v/>
      </c>
      <c r="AR153" s="250" t="str">
        <f t="shared" ca="1" si="170"/>
        <v/>
      </c>
      <c r="AS153" s="250" t="str">
        <f t="shared" ca="1" si="170"/>
        <v/>
      </c>
      <c r="AT153" s="250" t="str">
        <f t="shared" ca="1" si="170"/>
        <v/>
      </c>
      <c r="AU153" s="250" t="str">
        <f t="shared" ca="1" si="170"/>
        <v/>
      </c>
      <c r="AV153" s="250" t="str">
        <f t="shared" ca="1" si="170"/>
        <v/>
      </c>
      <c r="AW153" s="250" t="str">
        <f t="shared" ca="1" si="170"/>
        <v/>
      </c>
      <c r="AX153" s="250" t="str">
        <f t="shared" ca="1" si="170"/>
        <v/>
      </c>
      <c r="AY153" s="250" t="str">
        <f t="shared" ca="1" si="170"/>
        <v/>
      </c>
      <c r="AZ153" s="250" t="str">
        <f t="shared" ca="1" si="170"/>
        <v/>
      </c>
      <c r="BA153" s="250" t="str">
        <f t="shared" ca="1" si="170"/>
        <v/>
      </c>
      <c r="BB153" s="250" t="str">
        <f t="shared" ca="1" si="170"/>
        <v/>
      </c>
      <c r="BC153" s="250" t="str">
        <f t="shared" ca="1" si="170"/>
        <v/>
      </c>
      <c r="BD153" s="250" t="str">
        <f t="shared" ca="1" si="170"/>
        <v/>
      </c>
      <c r="BE153" s="250" t="str">
        <f t="shared" ca="1" si="170"/>
        <v/>
      </c>
      <c r="BF153" s="250" t="str">
        <f t="shared" ca="1" si="170"/>
        <v/>
      </c>
      <c r="BG153" s="250" t="str">
        <f t="shared" ca="1" si="170"/>
        <v/>
      </c>
      <c r="BH153" s="250" t="str">
        <f t="shared" ca="1" si="170"/>
        <v/>
      </c>
      <c r="BI153" s="250" t="str">
        <f t="shared" ca="1" si="170"/>
        <v/>
      </c>
      <c r="BK153" s="84"/>
      <c r="BL153" s="84"/>
      <c r="BM153" s="84"/>
      <c r="BN153" s="84"/>
      <c r="BO153" s="84"/>
      <c r="BP153" s="84"/>
    </row>
    <row r="154" spans="13:68" ht="15" customHeight="1" outlineLevel="1">
      <c r="P154" s="3"/>
      <c r="Q154" s="100" t="s">
        <v>130</v>
      </c>
      <c r="R154" s="100"/>
      <c r="S154" s="100"/>
      <c r="T154" s="100"/>
      <c r="U154" s="100"/>
      <c r="W154" s="101">
        <f t="shared" ca="1" si="168"/>
        <v>0</v>
      </c>
      <c r="X154" s="101">
        <f t="shared" ca="1" si="168"/>
        <v>0</v>
      </c>
      <c r="Y154" s="101">
        <f t="shared" ca="1" si="168"/>
        <v>0</v>
      </c>
      <c r="Z154" s="101">
        <f t="shared" ca="1" si="168"/>
        <v>0</v>
      </c>
      <c r="AA154" s="101">
        <f t="shared" ca="1" si="168"/>
        <v>0</v>
      </c>
      <c r="AB154" s="101">
        <f t="shared" ca="1" si="168"/>
        <v>0</v>
      </c>
      <c r="AC154" s="258"/>
      <c r="AD154" s="101" t="e">
        <f ca="1">IF($D$2=FALSE,"-",IF(AD$13="","",SUM(OFFSET($AF154,0,$F$4-AD$7-1,1,-$E$5))+SUM(OFFSET($AF154,0,$F$4-1,1,-AD$7))-SUM(OFFSET($AF154,0,$F$4-$E$5-1,1,-AD$7))))</f>
        <v>#N/A</v>
      </c>
      <c r="AF154" s="102">
        <f t="shared" ref="AF154:BI154" ca="1" si="171">IF($D$2=FALSE,"-",IF(AF$13="","",IF(AF149&gt;0,0,-SUM(AF151:AF153))))</f>
        <v>0</v>
      </c>
      <c r="AG154" s="103">
        <f t="shared" ca="1" si="171"/>
        <v>0</v>
      </c>
      <c r="AH154" s="103">
        <f t="shared" ca="1" si="171"/>
        <v>0</v>
      </c>
      <c r="AI154" s="103">
        <f t="shared" ca="1" si="171"/>
        <v>0</v>
      </c>
      <c r="AJ154" s="103">
        <f t="shared" ca="1" si="171"/>
        <v>0</v>
      </c>
      <c r="AK154" s="103">
        <f t="shared" ca="1" si="171"/>
        <v>0</v>
      </c>
      <c r="AL154" s="103" t="str">
        <f t="shared" ca="1" si="171"/>
        <v/>
      </c>
      <c r="AM154" s="103" t="str">
        <f t="shared" ca="1" si="171"/>
        <v/>
      </c>
      <c r="AN154" s="103" t="str">
        <f t="shared" ca="1" si="171"/>
        <v/>
      </c>
      <c r="AO154" s="103" t="str">
        <f t="shared" ca="1" si="171"/>
        <v/>
      </c>
      <c r="AP154" s="103" t="str">
        <f t="shared" ca="1" si="171"/>
        <v/>
      </c>
      <c r="AQ154" s="103" t="str">
        <f t="shared" ca="1" si="171"/>
        <v/>
      </c>
      <c r="AR154" s="103" t="str">
        <f t="shared" ca="1" si="171"/>
        <v/>
      </c>
      <c r="AS154" s="103" t="str">
        <f t="shared" ca="1" si="171"/>
        <v/>
      </c>
      <c r="AT154" s="103" t="str">
        <f t="shared" ca="1" si="171"/>
        <v/>
      </c>
      <c r="AU154" s="103" t="str">
        <f t="shared" ca="1" si="171"/>
        <v/>
      </c>
      <c r="AV154" s="103" t="str">
        <f t="shared" ca="1" si="171"/>
        <v/>
      </c>
      <c r="AW154" s="103" t="str">
        <f t="shared" ca="1" si="171"/>
        <v/>
      </c>
      <c r="AX154" s="103" t="str">
        <f t="shared" ca="1" si="171"/>
        <v/>
      </c>
      <c r="AY154" s="103" t="str">
        <f t="shared" ca="1" si="171"/>
        <v/>
      </c>
      <c r="AZ154" s="103" t="str">
        <f t="shared" ca="1" si="171"/>
        <v/>
      </c>
      <c r="BA154" s="103" t="str">
        <f t="shared" ca="1" si="171"/>
        <v/>
      </c>
      <c r="BB154" s="103" t="str">
        <f t="shared" ca="1" si="171"/>
        <v/>
      </c>
      <c r="BC154" s="103" t="str">
        <f t="shared" ca="1" si="171"/>
        <v/>
      </c>
      <c r="BD154" s="103" t="str">
        <f t="shared" ca="1" si="171"/>
        <v/>
      </c>
      <c r="BE154" s="103" t="str">
        <f t="shared" ca="1" si="171"/>
        <v/>
      </c>
      <c r="BF154" s="103" t="str">
        <f t="shared" ca="1" si="171"/>
        <v/>
      </c>
      <c r="BG154" s="103" t="str">
        <f t="shared" ca="1" si="171"/>
        <v/>
      </c>
      <c r="BH154" s="103" t="str">
        <f t="shared" ca="1" si="171"/>
        <v/>
      </c>
      <c r="BI154" s="103" t="str">
        <f t="shared" ca="1" si="171"/>
        <v/>
      </c>
      <c r="BK154" s="84"/>
      <c r="BL154" s="84"/>
      <c r="BM154" s="84"/>
      <c r="BN154" s="84"/>
      <c r="BO154" s="84"/>
      <c r="BP154" s="84"/>
    </row>
    <row r="155" spans="13:68" ht="15" customHeight="1" outlineLevel="1">
      <c r="M155" s="96">
        <v>234</v>
      </c>
      <c r="P155" s="3"/>
      <c r="Q155" s="1" t="s">
        <v>131</v>
      </c>
      <c r="W155" s="98">
        <f t="shared" ref="W155:AB155" ca="1" si="172">IF($D$2=FALSE,"-",IF(W$13="","",OFFSET($AF155,0,W$8)))</f>
        <v>234</v>
      </c>
      <c r="X155" s="98">
        <f t="shared" ca="1" si="172"/>
        <v>179.53940749999995</v>
      </c>
      <c r="Y155" s="98">
        <f t="shared" ca="1" si="172"/>
        <v>108.06924165574917</v>
      </c>
      <c r="Z155" s="98">
        <f t="shared" ca="1" si="172"/>
        <v>25.428721612930687</v>
      </c>
      <c r="AA155" s="98">
        <f t="shared" ca="1" si="172"/>
        <v>0</v>
      </c>
      <c r="AB155" s="98">
        <f t="shared" ca="1" si="172"/>
        <v>0</v>
      </c>
      <c r="AC155" s="258"/>
      <c r="AD155" s="98" t="e">
        <f ca="1">IF($D$2=FALSE,"-",IF(AD$13="","",OFFSET($AF155,0,$F$4-AD$7-1)+OFFSET($AF155,0,$F$4-1)-OFFSET($AF155,0,$F$4-$E$5-1)))</f>
        <v>#N/A</v>
      </c>
      <c r="AF155" s="249">
        <f t="shared" ref="AF155:BI155" ca="1" si="173">IF($D$2=FALSE,"-",IF(AF$13="","",IF(AF$4&lt;0,#N/A,IF(AF$4=0,$M155,SUM(AF151:AF154)))))</f>
        <v>234</v>
      </c>
      <c r="AG155" s="250">
        <f t="shared" ca="1" si="173"/>
        <v>179.53940749999995</v>
      </c>
      <c r="AH155" s="250">
        <f t="shared" ca="1" si="173"/>
        <v>108.06924165574917</v>
      </c>
      <c r="AI155" s="250">
        <f t="shared" ca="1" si="173"/>
        <v>25.428721612930687</v>
      </c>
      <c r="AJ155" s="250">
        <f t="shared" ca="1" si="173"/>
        <v>0</v>
      </c>
      <c r="AK155" s="250">
        <f t="shared" ca="1" si="173"/>
        <v>0</v>
      </c>
      <c r="AL155" s="250" t="str">
        <f t="shared" ca="1" si="173"/>
        <v/>
      </c>
      <c r="AM155" s="250" t="str">
        <f t="shared" ca="1" si="173"/>
        <v/>
      </c>
      <c r="AN155" s="250" t="str">
        <f t="shared" ca="1" si="173"/>
        <v/>
      </c>
      <c r="AO155" s="250" t="str">
        <f t="shared" ca="1" si="173"/>
        <v/>
      </c>
      <c r="AP155" s="250" t="str">
        <f t="shared" ca="1" si="173"/>
        <v/>
      </c>
      <c r="AQ155" s="250" t="str">
        <f t="shared" ca="1" si="173"/>
        <v/>
      </c>
      <c r="AR155" s="250" t="str">
        <f t="shared" ca="1" si="173"/>
        <v/>
      </c>
      <c r="AS155" s="250" t="str">
        <f t="shared" ca="1" si="173"/>
        <v/>
      </c>
      <c r="AT155" s="250" t="str">
        <f t="shared" ca="1" si="173"/>
        <v/>
      </c>
      <c r="AU155" s="250" t="str">
        <f t="shared" ca="1" si="173"/>
        <v/>
      </c>
      <c r="AV155" s="250" t="str">
        <f t="shared" ca="1" si="173"/>
        <v/>
      </c>
      <c r="AW155" s="250" t="str">
        <f t="shared" ca="1" si="173"/>
        <v/>
      </c>
      <c r="AX155" s="250" t="str">
        <f t="shared" ca="1" si="173"/>
        <v/>
      </c>
      <c r="AY155" s="250" t="str">
        <f t="shared" ca="1" si="173"/>
        <v/>
      </c>
      <c r="AZ155" s="250" t="str">
        <f t="shared" ca="1" si="173"/>
        <v/>
      </c>
      <c r="BA155" s="250" t="str">
        <f t="shared" ca="1" si="173"/>
        <v/>
      </c>
      <c r="BB155" s="250" t="str">
        <f t="shared" ca="1" si="173"/>
        <v/>
      </c>
      <c r="BC155" s="250" t="str">
        <f t="shared" ca="1" si="173"/>
        <v/>
      </c>
      <c r="BD155" s="250" t="str">
        <f t="shared" ca="1" si="173"/>
        <v/>
      </c>
      <c r="BE155" s="250" t="str">
        <f t="shared" ca="1" si="173"/>
        <v/>
      </c>
      <c r="BF155" s="250" t="str">
        <f t="shared" ca="1" si="173"/>
        <v/>
      </c>
      <c r="BG155" s="250" t="str">
        <f t="shared" ca="1" si="173"/>
        <v/>
      </c>
      <c r="BH155" s="250" t="str">
        <f t="shared" ca="1" si="173"/>
        <v/>
      </c>
      <c r="BI155" s="250" t="str">
        <f t="shared" ca="1" si="173"/>
        <v/>
      </c>
      <c r="BK155" s="84"/>
      <c r="BL155" s="84"/>
      <c r="BM155" s="84"/>
      <c r="BN155" s="84"/>
      <c r="BO155" s="84"/>
      <c r="BP155" s="84"/>
    </row>
    <row r="156" spans="13:68" ht="15" customHeight="1" outlineLevel="1"/>
    <row r="157" spans="13:68" ht="15" customHeight="1" outlineLevel="1">
      <c r="Q157" s="68" t="s">
        <v>137</v>
      </c>
      <c r="R157" s="68"/>
      <c r="S157" s="68"/>
      <c r="T157" s="68"/>
      <c r="U157" s="68"/>
      <c r="V157" s="6"/>
      <c r="W157" s="26"/>
      <c r="X157" s="26"/>
      <c r="Y157" s="26"/>
      <c r="Z157" s="26"/>
      <c r="AA157" s="26"/>
      <c r="AB157" s="26"/>
      <c r="AC157" s="6"/>
      <c r="AD157" s="59"/>
      <c r="AE157" s="6"/>
      <c r="AF157" s="152"/>
      <c r="AG157" s="153"/>
      <c r="AH157" s="153"/>
      <c r="AI157" s="153"/>
      <c r="AJ157" s="153"/>
      <c r="AK157" s="153"/>
      <c r="AL157" s="153"/>
      <c r="AM157" s="153"/>
      <c r="AN157" s="153"/>
      <c r="AO157" s="153"/>
      <c r="AP157" s="153"/>
      <c r="AQ157" s="153"/>
      <c r="AR157" s="153"/>
      <c r="AS157" s="153"/>
      <c r="AT157" s="153"/>
      <c r="AU157" s="153"/>
      <c r="AV157" s="153"/>
      <c r="AW157" s="153"/>
      <c r="AX157" s="153"/>
      <c r="AY157" s="153"/>
      <c r="AZ157" s="153"/>
      <c r="BA157" s="153"/>
      <c r="BB157" s="153"/>
      <c r="BC157" s="153"/>
      <c r="BD157" s="153"/>
      <c r="BE157" s="153"/>
      <c r="BF157" s="153"/>
      <c r="BG157" s="153"/>
      <c r="BH157" s="153"/>
      <c r="BI157" s="153"/>
    </row>
    <row r="158" spans="13:68" ht="15" customHeight="1" outlineLevel="1">
      <c r="P158" s="3"/>
      <c r="Q158" s="1" t="s">
        <v>129</v>
      </c>
      <c r="W158" s="98">
        <f t="shared" ref="W158:AB158" ca="1" si="174">IF($D$2=FALSE,"-",IF(W$13="","",OFFSET($AF160,0,W$8-$E$5)))</f>
        <v>0</v>
      </c>
      <c r="X158" s="98">
        <f t="shared" ca="1" si="174"/>
        <v>94.801540500000016</v>
      </c>
      <c r="Y158" s="98">
        <f t="shared" ca="1" si="174"/>
        <v>71.816930006148738</v>
      </c>
      <c r="Z158" s="98">
        <f t="shared" ca="1" si="174"/>
        <v>43.628405612370429</v>
      </c>
      <c r="AA158" s="98">
        <f t="shared" ca="1" si="174"/>
        <v>12.171686431862756</v>
      </c>
      <c r="AB158" s="98">
        <f t="shared" ca="1" si="174"/>
        <v>3.6000584999999958</v>
      </c>
      <c r="AC158" s="258"/>
      <c r="AD158" s="270" t="e">
        <f ca="1">IF($D$2=FALSE,"-",IF(AD$13="","",+AD160-AD159))</f>
        <v>#N/A</v>
      </c>
      <c r="AF158" s="97">
        <f t="shared" ref="AF158:BI158" ca="1" si="175">IF($D$2=FALSE,"-",IF(AF$13="","",OFFSET(AF160,0,-1)))</f>
        <v>0</v>
      </c>
      <c r="AG158" s="98">
        <f t="shared" ca="1" si="175"/>
        <v>94.801540500000016</v>
      </c>
      <c r="AH158" s="98">
        <f t="shared" ca="1" si="175"/>
        <v>71.816930006148738</v>
      </c>
      <c r="AI158" s="98">
        <f t="shared" ca="1" si="175"/>
        <v>43.628405612370429</v>
      </c>
      <c r="AJ158" s="98">
        <f t="shared" ca="1" si="175"/>
        <v>12.171686431862756</v>
      </c>
      <c r="AK158" s="98">
        <f t="shared" ca="1" si="175"/>
        <v>3.6000584999999958</v>
      </c>
      <c r="AL158" s="98" t="str">
        <f t="shared" ca="1" si="175"/>
        <v/>
      </c>
      <c r="AM158" s="98" t="str">
        <f t="shared" ca="1" si="175"/>
        <v/>
      </c>
      <c r="AN158" s="98" t="str">
        <f t="shared" ca="1" si="175"/>
        <v/>
      </c>
      <c r="AO158" s="98" t="str">
        <f t="shared" ca="1" si="175"/>
        <v/>
      </c>
      <c r="AP158" s="98" t="str">
        <f t="shared" ca="1" si="175"/>
        <v/>
      </c>
      <c r="AQ158" s="98" t="str">
        <f t="shared" ca="1" si="175"/>
        <v/>
      </c>
      <c r="AR158" s="98" t="str">
        <f t="shared" ca="1" si="175"/>
        <v/>
      </c>
      <c r="AS158" s="98" t="str">
        <f t="shared" ca="1" si="175"/>
        <v/>
      </c>
      <c r="AT158" s="98" t="str">
        <f t="shared" ca="1" si="175"/>
        <v/>
      </c>
      <c r="AU158" s="98" t="str">
        <f t="shared" ca="1" si="175"/>
        <v/>
      </c>
      <c r="AV158" s="98" t="str">
        <f t="shared" ca="1" si="175"/>
        <v/>
      </c>
      <c r="AW158" s="98" t="str">
        <f t="shared" ca="1" si="175"/>
        <v/>
      </c>
      <c r="AX158" s="98" t="str">
        <f t="shared" ca="1" si="175"/>
        <v/>
      </c>
      <c r="AY158" s="98" t="str">
        <f t="shared" ca="1" si="175"/>
        <v/>
      </c>
      <c r="AZ158" s="98" t="str">
        <f t="shared" ca="1" si="175"/>
        <v/>
      </c>
      <c r="BA158" s="98" t="str">
        <f t="shared" ca="1" si="175"/>
        <v/>
      </c>
      <c r="BB158" s="98" t="str">
        <f t="shared" ca="1" si="175"/>
        <v/>
      </c>
      <c r="BC158" s="98" t="str">
        <f t="shared" ca="1" si="175"/>
        <v/>
      </c>
      <c r="BD158" s="98" t="str">
        <f t="shared" ca="1" si="175"/>
        <v/>
      </c>
      <c r="BE158" s="98" t="str">
        <f t="shared" ca="1" si="175"/>
        <v/>
      </c>
      <c r="BF158" s="98" t="str">
        <f t="shared" ca="1" si="175"/>
        <v/>
      </c>
      <c r="BG158" s="98" t="str">
        <f t="shared" ca="1" si="175"/>
        <v/>
      </c>
      <c r="BH158" s="98" t="str">
        <f t="shared" ca="1" si="175"/>
        <v/>
      </c>
      <c r="BI158" s="98" t="str">
        <f t="shared" ca="1" si="175"/>
        <v/>
      </c>
      <c r="BK158" s="84"/>
      <c r="BL158" s="84"/>
      <c r="BM158" s="84"/>
      <c r="BN158" s="84"/>
      <c r="BO158" s="84"/>
      <c r="BP158" s="84"/>
    </row>
    <row r="159" spans="13:68" ht="15" customHeight="1" outlineLevel="1">
      <c r="P159" s="3"/>
      <c r="Q159" s="100" t="s">
        <v>138</v>
      </c>
      <c r="R159" s="100"/>
      <c r="S159" s="100"/>
      <c r="T159" s="100"/>
      <c r="U159" s="100"/>
      <c r="W159" s="101" t="e">
        <f t="shared" ref="W159:AB159" ca="1" si="176">IF($D$2=FALSE,"-",IF(W$13="","",SUM(OFFSET($AF159,0,W$8,1,-$E$5))))</f>
        <v>#N/A</v>
      </c>
      <c r="X159" s="101">
        <f t="shared" ca="1" si="176"/>
        <v>-22.984610493851271</v>
      </c>
      <c r="Y159" s="101">
        <f t="shared" ca="1" si="176"/>
        <v>-28.188524393778305</v>
      </c>
      <c r="Z159" s="101">
        <f t="shared" ca="1" si="176"/>
        <v>-31.456719180507672</v>
      </c>
      <c r="AA159" s="101">
        <f t="shared" ca="1" si="176"/>
        <v>-8.5716279318627606</v>
      </c>
      <c r="AB159" s="101">
        <f t="shared" ca="1" si="176"/>
        <v>1.6000260000000002</v>
      </c>
      <c r="AC159" s="258"/>
      <c r="AD159" s="101" t="e">
        <f ca="1">IF($D$2=FALSE,"-",IF(AD$13="","",SUM(OFFSET($AF159,0,$F$4-AD$7-1,1,-$E$5))+SUM(OFFSET($AF159,0,$F$4-1,1,-AD$7))-SUM(OFFSET($AF159,0,$F$4-$E$5-1,1,-AD$7))))</f>
        <v>#N/A</v>
      </c>
      <c r="AF159" s="102" t="e">
        <f t="shared" ref="AF159:BI159" ca="1" si="177">IF($D$2=FALSE,"-",IF(AF$13="","",(SUM(AF138:AF139)+SUM(AF152:AF154))*AF110))</f>
        <v>#N/A</v>
      </c>
      <c r="AG159" s="103">
        <f t="shared" ca="1" si="177"/>
        <v>-22.984610493851271</v>
      </c>
      <c r="AH159" s="103">
        <f t="shared" ca="1" si="177"/>
        <v>-28.188524393778305</v>
      </c>
      <c r="AI159" s="103">
        <f t="shared" ca="1" si="177"/>
        <v>-31.456719180507672</v>
      </c>
      <c r="AJ159" s="103">
        <f t="shared" ca="1" si="177"/>
        <v>-8.5716279318627606</v>
      </c>
      <c r="AK159" s="103">
        <f t="shared" ca="1" si="177"/>
        <v>1.6000260000000002</v>
      </c>
      <c r="AL159" s="103" t="str">
        <f t="shared" ca="1" si="177"/>
        <v/>
      </c>
      <c r="AM159" s="103" t="str">
        <f t="shared" ca="1" si="177"/>
        <v/>
      </c>
      <c r="AN159" s="103" t="str">
        <f t="shared" ca="1" si="177"/>
        <v/>
      </c>
      <c r="AO159" s="103" t="str">
        <f t="shared" ca="1" si="177"/>
        <v/>
      </c>
      <c r="AP159" s="103" t="str">
        <f t="shared" ca="1" si="177"/>
        <v/>
      </c>
      <c r="AQ159" s="103" t="str">
        <f t="shared" ca="1" si="177"/>
        <v/>
      </c>
      <c r="AR159" s="103" t="str">
        <f t="shared" ca="1" si="177"/>
        <v/>
      </c>
      <c r="AS159" s="103" t="str">
        <f t="shared" ca="1" si="177"/>
        <v/>
      </c>
      <c r="AT159" s="103" t="str">
        <f t="shared" ca="1" si="177"/>
        <v/>
      </c>
      <c r="AU159" s="103" t="str">
        <f t="shared" ca="1" si="177"/>
        <v/>
      </c>
      <c r="AV159" s="103" t="str">
        <f t="shared" ca="1" si="177"/>
        <v/>
      </c>
      <c r="AW159" s="103" t="str">
        <f t="shared" ca="1" si="177"/>
        <v/>
      </c>
      <c r="AX159" s="103" t="str">
        <f t="shared" ca="1" si="177"/>
        <v/>
      </c>
      <c r="AY159" s="103" t="str">
        <f t="shared" ca="1" si="177"/>
        <v/>
      </c>
      <c r="AZ159" s="103" t="str">
        <f t="shared" ca="1" si="177"/>
        <v/>
      </c>
      <c r="BA159" s="103" t="str">
        <f t="shared" ca="1" si="177"/>
        <v/>
      </c>
      <c r="BB159" s="103" t="str">
        <f t="shared" ca="1" si="177"/>
        <v/>
      </c>
      <c r="BC159" s="103" t="str">
        <f t="shared" ca="1" si="177"/>
        <v/>
      </c>
      <c r="BD159" s="103" t="str">
        <f t="shared" ca="1" si="177"/>
        <v/>
      </c>
      <c r="BE159" s="103" t="str">
        <f t="shared" ca="1" si="177"/>
        <v/>
      </c>
      <c r="BF159" s="103" t="str">
        <f t="shared" ca="1" si="177"/>
        <v/>
      </c>
      <c r="BG159" s="103" t="str">
        <f t="shared" ca="1" si="177"/>
        <v/>
      </c>
      <c r="BH159" s="103" t="str">
        <f t="shared" ca="1" si="177"/>
        <v/>
      </c>
      <c r="BI159" s="103" t="str">
        <f t="shared" ca="1" si="177"/>
        <v/>
      </c>
      <c r="BK159" s="84"/>
      <c r="BL159" s="84"/>
      <c r="BM159" s="84"/>
      <c r="BN159" s="84"/>
      <c r="BO159" s="84"/>
      <c r="BP159" s="84"/>
    </row>
    <row r="160" spans="13:68" ht="15" customHeight="1" outlineLevel="1">
      <c r="M160" s="148">
        <f ca="1">IF($D$2=FALSE,"-",OFFSET($AF160,0,$F$4-1))</f>
        <v>94.801540500000016</v>
      </c>
      <c r="P160" s="3"/>
      <c r="Q160" s="1" t="s">
        <v>131</v>
      </c>
      <c r="W160" s="98">
        <f t="shared" ref="W160:AB160" ca="1" si="178">IF($D$2=FALSE,"-",IF(W$13="","",OFFSET($AF160,0,W$8)))</f>
        <v>94.801540500000016</v>
      </c>
      <c r="X160" s="98">
        <f t="shared" ca="1" si="178"/>
        <v>71.816930006148738</v>
      </c>
      <c r="Y160" s="98">
        <f t="shared" ca="1" si="178"/>
        <v>43.628405612370429</v>
      </c>
      <c r="Z160" s="98">
        <f t="shared" ca="1" si="178"/>
        <v>12.171686431862756</v>
      </c>
      <c r="AA160" s="98">
        <f t="shared" ca="1" si="178"/>
        <v>3.6000584999999958</v>
      </c>
      <c r="AB160" s="98">
        <f t="shared" ca="1" si="178"/>
        <v>5.2000844999999956</v>
      </c>
      <c r="AC160" s="258"/>
      <c r="AD160" s="98" t="e">
        <f ca="1">IF($D$2=FALSE,"-",IF(AD$13="","",OFFSET($AF160,0,$F$4-AD$7-1)+OFFSET($AF160,0,$F$4-1)-OFFSET($AF160,0,$F$4-$E$5-1)))</f>
        <v>#N/A</v>
      </c>
      <c r="AF160" s="249">
        <f t="shared" ref="AF160:BI160" ca="1" si="179">IF($D$2=FALSE,"-",IF(AF$13="","",IF(AF$4&lt;0,#N/A,IF(AF$4=0,(AF155+AF140)*OFFSET(AF110,0,1),SUM(AF158:AF159)))))</f>
        <v>94.801540500000016</v>
      </c>
      <c r="AG160" s="250">
        <f t="shared" ca="1" si="179"/>
        <v>71.816930006148738</v>
      </c>
      <c r="AH160" s="250">
        <f t="shared" ca="1" si="179"/>
        <v>43.628405612370429</v>
      </c>
      <c r="AI160" s="250">
        <f t="shared" ca="1" si="179"/>
        <v>12.171686431862756</v>
      </c>
      <c r="AJ160" s="250">
        <f t="shared" ca="1" si="179"/>
        <v>3.6000584999999958</v>
      </c>
      <c r="AK160" s="250">
        <f t="shared" ca="1" si="179"/>
        <v>5.2000844999999956</v>
      </c>
      <c r="AL160" s="250" t="str">
        <f t="shared" ca="1" si="179"/>
        <v/>
      </c>
      <c r="AM160" s="250" t="str">
        <f t="shared" ca="1" si="179"/>
        <v/>
      </c>
      <c r="AN160" s="250" t="str">
        <f t="shared" ca="1" si="179"/>
        <v/>
      </c>
      <c r="AO160" s="250" t="str">
        <f t="shared" ca="1" si="179"/>
        <v/>
      </c>
      <c r="AP160" s="250" t="str">
        <f t="shared" ca="1" si="179"/>
        <v/>
      </c>
      <c r="AQ160" s="250" t="str">
        <f t="shared" ca="1" si="179"/>
        <v/>
      </c>
      <c r="AR160" s="250" t="str">
        <f t="shared" ca="1" si="179"/>
        <v/>
      </c>
      <c r="AS160" s="250" t="str">
        <f t="shared" ca="1" si="179"/>
        <v/>
      </c>
      <c r="AT160" s="250" t="str">
        <f t="shared" ca="1" si="179"/>
        <v/>
      </c>
      <c r="AU160" s="250" t="str">
        <f t="shared" ca="1" si="179"/>
        <v/>
      </c>
      <c r="AV160" s="250" t="str">
        <f t="shared" ca="1" si="179"/>
        <v/>
      </c>
      <c r="AW160" s="250" t="str">
        <f t="shared" ca="1" si="179"/>
        <v/>
      </c>
      <c r="AX160" s="250" t="str">
        <f t="shared" ca="1" si="179"/>
        <v/>
      </c>
      <c r="AY160" s="250" t="str">
        <f t="shared" ca="1" si="179"/>
        <v/>
      </c>
      <c r="AZ160" s="250" t="str">
        <f t="shared" ca="1" si="179"/>
        <v/>
      </c>
      <c r="BA160" s="250" t="str">
        <f t="shared" ca="1" si="179"/>
        <v/>
      </c>
      <c r="BB160" s="250" t="str">
        <f t="shared" ca="1" si="179"/>
        <v/>
      </c>
      <c r="BC160" s="250" t="str">
        <f t="shared" ca="1" si="179"/>
        <v/>
      </c>
      <c r="BD160" s="250" t="str">
        <f t="shared" ca="1" si="179"/>
        <v/>
      </c>
      <c r="BE160" s="250" t="str">
        <f t="shared" ca="1" si="179"/>
        <v/>
      </c>
      <c r="BF160" s="250" t="str">
        <f t="shared" ca="1" si="179"/>
        <v/>
      </c>
      <c r="BG160" s="250" t="str">
        <f t="shared" ca="1" si="179"/>
        <v/>
      </c>
      <c r="BH160" s="250" t="str">
        <f t="shared" ca="1" si="179"/>
        <v/>
      </c>
      <c r="BI160" s="250" t="str">
        <f t="shared" ca="1" si="179"/>
        <v/>
      </c>
      <c r="BK160" s="84"/>
      <c r="BL160" s="84"/>
      <c r="BM160" s="84"/>
      <c r="BN160" s="84"/>
      <c r="BO160" s="84"/>
      <c r="BP160" s="84"/>
    </row>
    <row r="161" spans="2:68" ht="15" customHeight="1" outlineLevel="1"/>
    <row r="162" spans="2:68" ht="15" customHeight="1" outlineLevel="1">
      <c r="Q162" s="68" t="s">
        <v>139</v>
      </c>
      <c r="R162" s="68"/>
      <c r="S162" s="68"/>
      <c r="T162" s="68"/>
      <c r="U162" s="68"/>
      <c r="V162" s="6"/>
      <c r="W162" s="26"/>
      <c r="X162" s="26"/>
      <c r="Y162" s="26"/>
      <c r="Z162" s="26"/>
      <c r="AA162" s="26"/>
      <c r="AB162" s="26"/>
      <c r="AC162" s="6"/>
      <c r="AD162" s="59"/>
      <c r="AE162" s="6"/>
      <c r="AF162" s="152"/>
      <c r="AG162" s="153"/>
      <c r="AH162" s="153"/>
      <c r="AI162" s="153"/>
      <c r="AJ162" s="153"/>
      <c r="AK162" s="153"/>
      <c r="AL162" s="153"/>
      <c r="AM162" s="153"/>
      <c r="AN162" s="153"/>
      <c r="AO162" s="153"/>
      <c r="AP162" s="153"/>
      <c r="AQ162" s="153"/>
      <c r="AR162" s="153"/>
      <c r="AS162" s="153"/>
      <c r="AT162" s="153"/>
      <c r="AU162" s="153"/>
      <c r="AV162" s="153"/>
      <c r="AW162" s="153"/>
      <c r="AX162" s="153"/>
      <c r="AY162" s="153"/>
      <c r="AZ162" s="153"/>
      <c r="BA162" s="153"/>
      <c r="BB162" s="153"/>
      <c r="BC162" s="153"/>
      <c r="BD162" s="153"/>
      <c r="BE162" s="153"/>
      <c r="BF162" s="153"/>
      <c r="BG162" s="153"/>
      <c r="BH162" s="153"/>
      <c r="BI162" s="153"/>
    </row>
    <row r="163" spans="2:68" ht="15" customHeight="1" outlineLevel="1">
      <c r="B163" s="34">
        <f t="shared" ref="B163:B164" si="180">$B$57</f>
        <v>44926</v>
      </c>
      <c r="C163" s="34">
        <f t="shared" ref="C163:C164" ca="1" si="181">$C$57</f>
        <v>44926</v>
      </c>
      <c r="D163" s="35" t="e">
        <f ca="1">IF($D$2=FALSE,"-",AVERAGE(OFFSET($AF163,0,MATCH(B163,OFFSET($AF$13,0,0,1,$G$4-$E$4+1),0)-1,1,MATCH(C163,OFFSET($AF$13,0,0,1,$G$4-$E$4+1),0)-MATCH(B163,OFFSET($AF$13,0,0,1,$G$4-$E$4+1),0)+1)))</f>
        <v>#N/A</v>
      </c>
      <c r="E163" s="51">
        <v>0.2</v>
      </c>
      <c r="F163" s="36">
        <f t="shared" ref="F163:F164" si="182">IF($D$2=FALSE,"-",IF(E163="",D163,E163))</f>
        <v>0.2</v>
      </c>
      <c r="G163" s="34">
        <f t="shared" ref="G163:G164" si="183">$G$57</f>
        <v>44926</v>
      </c>
      <c r="H163" s="37">
        <f t="shared" ref="H163:H164" ca="1" si="184">$H$57</f>
        <v>44926</v>
      </c>
      <c r="I163" s="35" t="e">
        <f ca="1">IF($D$2=FALSE,"-",AVERAGE(OFFSET($AF163,0,MATCH(G163,OFFSET($AF$13,0,0,1,$G$4-$E$4+1),0)-1,1,MATCH(H163,OFFSET($AF$13,0,0,1,$G$4-$E$4+1),0)-MATCH(G163,OFFSET($AF$13,0,0,1,$G$4-$E$4+1),0)+1)))</f>
        <v>#N/A</v>
      </c>
      <c r="J163" s="51">
        <v>0.2</v>
      </c>
      <c r="K163" s="36">
        <f t="shared" ref="K163:K164" si="185">IF($D$2=FALSE,"-",IF(J163="",I163,J163))</f>
        <v>0.2</v>
      </c>
      <c r="L163" s="112">
        <v>5</v>
      </c>
      <c r="M163" s="81">
        <v>0.1</v>
      </c>
      <c r="N163" s="3"/>
      <c r="P163" s="3"/>
      <c r="Q163" s="1" t="s">
        <v>140</v>
      </c>
      <c r="W163" s="253" t="e">
        <f t="shared" ref="W163:AB163" ca="1" si="186">IF($D$2=FALSE,"-",IF(W$13="","",AVERAGE(OFFSET($AF163,0,W$8,1,-$E$5))))</f>
        <v>#N/A</v>
      </c>
      <c r="X163" s="253">
        <f t="shared" ca="1" si="186"/>
        <v>0.2</v>
      </c>
      <c r="Y163" s="253">
        <f t="shared" ca="1" si="186"/>
        <v>0.2</v>
      </c>
      <c r="Z163" s="253">
        <f t="shared" ca="1" si="186"/>
        <v>0.2</v>
      </c>
      <c r="AA163" s="253">
        <f t="shared" ca="1" si="186"/>
        <v>0.2</v>
      </c>
      <c r="AB163" s="253">
        <f t="shared" ca="1" si="186"/>
        <v>0.2</v>
      </c>
      <c r="AC163" s="272"/>
      <c r="AD163" s="274" t="e">
        <f ca="1">IF($D$2=FALSE,"-",IF(AD$13="","",AVERAGE(OFFSET($AF163,0,$F$4-AD$7-1,1,-$E$5))+AVERAGE(OFFSET($AF163,0,$F$4-1,1,-AD$7))-AVERAGE(OFFSET($AF163,0,$F$4-$E$5-1,1,-AD$7))))</f>
        <v>#N/A</v>
      </c>
      <c r="AF163" s="278" t="e">
        <f t="shared" ref="AF163:AO164" ca="1" si="187">IF($D$2=FALSE,"-",IF(AF$13="","",IF(AF$4&lt;=0,#N/A,IF(AF$4&lt;=$L163,IF($M163=0,$F163-((IF($M163=0,($F163-$K163)/$L163,($K163-$F163)/(EXP(-$M163*$L163)-1)))*(AF$4-1)),($F163-(IF($M163=0,($F163-$K163)/$L163,($K163-$F163)/(EXP(-$M163*$L163)-1))))+((IF($M163=0,($F163-$K163)/$L163,($K163-$F163)/(EXP(-$M163*$L163)-1)))*EXP(-$M163*(AF$4-1)))),$K163))))</f>
        <v>#N/A</v>
      </c>
      <c r="AG163" s="275">
        <f t="shared" ca="1" si="187"/>
        <v>0.2</v>
      </c>
      <c r="AH163" s="275">
        <f t="shared" ca="1" si="187"/>
        <v>0.2</v>
      </c>
      <c r="AI163" s="275">
        <f t="shared" ca="1" si="187"/>
        <v>0.2</v>
      </c>
      <c r="AJ163" s="275">
        <f t="shared" ca="1" si="187"/>
        <v>0.2</v>
      </c>
      <c r="AK163" s="275">
        <f t="shared" ca="1" si="187"/>
        <v>0.2</v>
      </c>
      <c r="AL163" s="275" t="str">
        <f t="shared" ca="1" si="187"/>
        <v/>
      </c>
      <c r="AM163" s="275" t="str">
        <f t="shared" ca="1" si="187"/>
        <v/>
      </c>
      <c r="AN163" s="275" t="str">
        <f t="shared" ca="1" si="187"/>
        <v/>
      </c>
      <c r="AO163" s="275" t="str">
        <f t="shared" ca="1" si="187"/>
        <v/>
      </c>
      <c r="AP163" s="275" t="str">
        <f t="shared" ref="AP163:AY164" ca="1" si="188">IF($D$2=FALSE,"-",IF(AP$13="","",IF(AP$4&lt;=0,#N/A,IF(AP$4&lt;=$L163,IF($M163=0,$F163-((IF($M163=0,($F163-$K163)/$L163,($K163-$F163)/(EXP(-$M163*$L163)-1)))*(AP$4-1)),($F163-(IF($M163=0,($F163-$K163)/$L163,($K163-$F163)/(EXP(-$M163*$L163)-1))))+((IF($M163=0,($F163-$K163)/$L163,($K163-$F163)/(EXP(-$M163*$L163)-1)))*EXP(-$M163*(AP$4-1)))),$K163))))</f>
        <v/>
      </c>
      <c r="AQ163" s="275" t="str">
        <f t="shared" ca="1" si="188"/>
        <v/>
      </c>
      <c r="AR163" s="275" t="str">
        <f t="shared" ca="1" si="188"/>
        <v/>
      </c>
      <c r="AS163" s="275" t="str">
        <f t="shared" ca="1" si="188"/>
        <v/>
      </c>
      <c r="AT163" s="275" t="str">
        <f t="shared" ca="1" si="188"/>
        <v/>
      </c>
      <c r="AU163" s="275" t="str">
        <f t="shared" ca="1" si="188"/>
        <v/>
      </c>
      <c r="AV163" s="275" t="str">
        <f t="shared" ca="1" si="188"/>
        <v/>
      </c>
      <c r="AW163" s="275" t="str">
        <f t="shared" ca="1" si="188"/>
        <v/>
      </c>
      <c r="AX163" s="275" t="str">
        <f t="shared" ca="1" si="188"/>
        <v/>
      </c>
      <c r="AY163" s="275" t="str">
        <f t="shared" ca="1" si="188"/>
        <v/>
      </c>
      <c r="AZ163" s="275" t="str">
        <f t="shared" ref="AZ163:BI164" ca="1" si="189">IF($D$2=FALSE,"-",IF(AZ$13="","",IF(AZ$4&lt;=0,#N/A,IF(AZ$4&lt;=$L163,IF($M163=0,$F163-((IF($M163=0,($F163-$K163)/$L163,($K163-$F163)/(EXP(-$M163*$L163)-1)))*(AZ$4-1)),($F163-(IF($M163=0,($F163-$K163)/$L163,($K163-$F163)/(EXP(-$M163*$L163)-1))))+((IF($M163=0,($F163-$K163)/$L163,($K163-$F163)/(EXP(-$M163*$L163)-1)))*EXP(-$M163*(AZ$4-1)))),$K163))))</f>
        <v/>
      </c>
      <c r="BA163" s="275" t="str">
        <f t="shared" ca="1" si="189"/>
        <v/>
      </c>
      <c r="BB163" s="275" t="str">
        <f t="shared" ca="1" si="189"/>
        <v/>
      </c>
      <c r="BC163" s="275" t="str">
        <f t="shared" ca="1" si="189"/>
        <v/>
      </c>
      <c r="BD163" s="275" t="str">
        <f t="shared" ca="1" si="189"/>
        <v/>
      </c>
      <c r="BE163" s="275" t="str">
        <f t="shared" ca="1" si="189"/>
        <v/>
      </c>
      <c r="BF163" s="275" t="str">
        <f t="shared" ca="1" si="189"/>
        <v/>
      </c>
      <c r="BG163" s="275" t="str">
        <f t="shared" ca="1" si="189"/>
        <v/>
      </c>
      <c r="BH163" s="275" t="str">
        <f t="shared" ca="1" si="189"/>
        <v/>
      </c>
      <c r="BI163" s="275" t="str">
        <f t="shared" ca="1" si="189"/>
        <v/>
      </c>
      <c r="BK163" s="84"/>
      <c r="BL163" s="84"/>
      <c r="BM163" s="84"/>
      <c r="BN163" s="84"/>
      <c r="BO163" s="84"/>
      <c r="BP163" s="84"/>
    </row>
    <row r="164" spans="2:68" ht="15" customHeight="1" outlineLevel="1">
      <c r="B164" s="34">
        <f t="shared" si="180"/>
        <v>44926</v>
      </c>
      <c r="C164" s="34">
        <f t="shared" ca="1" si="181"/>
        <v>44926</v>
      </c>
      <c r="D164" s="35" t="e">
        <f ca="1">IF($D$2=FALSE,"-",AVERAGE(OFFSET($AF164,0,MATCH(B164,OFFSET($AF$13,0,0,1,$G$4-$E$4+1),0)-1,1,MATCH(C164,OFFSET($AF$13,0,0,1,$G$4-$E$4+1),0)-MATCH(B164,OFFSET($AF$13,0,0,1,$G$4-$E$4+1),0)+1)))</f>
        <v>#N/A</v>
      </c>
      <c r="E164" s="51">
        <v>0.9</v>
      </c>
      <c r="F164" s="36">
        <f t="shared" si="182"/>
        <v>0.9</v>
      </c>
      <c r="G164" s="34">
        <f t="shared" si="183"/>
        <v>44926</v>
      </c>
      <c r="H164" s="37">
        <f t="shared" ca="1" si="184"/>
        <v>44926</v>
      </c>
      <c r="I164" s="35" t="e">
        <f ca="1">IF($D$2=FALSE,"-",AVERAGE(OFFSET($AF164,0,MATCH(G164,OFFSET($AF$13,0,0,1,$G$4-$E$4+1),0)-1,1,MATCH(H164,OFFSET($AF$13,0,0,1,$G$4-$E$4+1),0)-MATCH(G164,OFFSET($AF$13,0,0,1,$G$4-$E$4+1),0)+1)))</f>
        <v>#N/A</v>
      </c>
      <c r="J164" s="51">
        <v>0.9</v>
      </c>
      <c r="K164" s="36">
        <f t="shared" si="185"/>
        <v>0.9</v>
      </c>
      <c r="L164" s="112">
        <v>5</v>
      </c>
      <c r="M164" s="81">
        <v>0.1</v>
      </c>
      <c r="N164" s="3"/>
      <c r="P164" s="3"/>
      <c r="Q164" s="100" t="s">
        <v>141</v>
      </c>
      <c r="R164" s="100"/>
      <c r="S164" s="100"/>
      <c r="T164" s="100"/>
      <c r="U164" s="100"/>
      <c r="W164" s="275" t="e">
        <f t="shared" ref="W164:AB164" ca="1" si="190">IF($D$2=FALSE,"-",IF(W$13="","",IF(W163=0,#N/A,1-W165/W163)))</f>
        <v>#N/A</v>
      </c>
      <c r="X164" s="275">
        <f t="shared" ca="1" si="190"/>
        <v>0.9</v>
      </c>
      <c r="Y164" s="275">
        <f t="shared" ca="1" si="190"/>
        <v>0.9</v>
      </c>
      <c r="Z164" s="275">
        <f t="shared" ca="1" si="190"/>
        <v>0.9</v>
      </c>
      <c r="AA164" s="275">
        <f t="shared" ca="1" si="190"/>
        <v>0.9</v>
      </c>
      <c r="AB164" s="275">
        <f t="shared" ca="1" si="190"/>
        <v>0.9</v>
      </c>
      <c r="AC164" s="272"/>
      <c r="AD164" s="275" t="e">
        <f ca="1">IF($D$2=FALSE,"-",IF(AD$13="","",IF(AD163=0,#N/A,1-AD165/AD163)))</f>
        <v>#N/A</v>
      </c>
      <c r="AF164" s="279" t="e">
        <f t="shared" ca="1" si="187"/>
        <v>#N/A</v>
      </c>
      <c r="AG164" s="280">
        <f t="shared" ca="1" si="187"/>
        <v>0.9</v>
      </c>
      <c r="AH164" s="280">
        <f t="shared" ca="1" si="187"/>
        <v>0.9</v>
      </c>
      <c r="AI164" s="280">
        <f t="shared" ca="1" si="187"/>
        <v>0.9</v>
      </c>
      <c r="AJ164" s="280">
        <f t="shared" ca="1" si="187"/>
        <v>0.9</v>
      </c>
      <c r="AK164" s="280">
        <f t="shared" ca="1" si="187"/>
        <v>0.9</v>
      </c>
      <c r="AL164" s="280" t="str">
        <f t="shared" ca="1" si="187"/>
        <v/>
      </c>
      <c r="AM164" s="280" t="str">
        <f t="shared" ca="1" si="187"/>
        <v/>
      </c>
      <c r="AN164" s="280" t="str">
        <f t="shared" ca="1" si="187"/>
        <v/>
      </c>
      <c r="AO164" s="280" t="str">
        <f t="shared" ca="1" si="187"/>
        <v/>
      </c>
      <c r="AP164" s="280" t="str">
        <f t="shared" ca="1" si="188"/>
        <v/>
      </c>
      <c r="AQ164" s="280" t="str">
        <f t="shared" ca="1" si="188"/>
        <v/>
      </c>
      <c r="AR164" s="280" t="str">
        <f t="shared" ca="1" si="188"/>
        <v/>
      </c>
      <c r="AS164" s="280" t="str">
        <f t="shared" ca="1" si="188"/>
        <v/>
      </c>
      <c r="AT164" s="280" t="str">
        <f t="shared" ca="1" si="188"/>
        <v/>
      </c>
      <c r="AU164" s="280" t="str">
        <f t="shared" ca="1" si="188"/>
        <v/>
      </c>
      <c r="AV164" s="280" t="str">
        <f t="shared" ca="1" si="188"/>
        <v/>
      </c>
      <c r="AW164" s="280" t="str">
        <f t="shared" ca="1" si="188"/>
        <v/>
      </c>
      <c r="AX164" s="280" t="str">
        <f t="shared" ca="1" si="188"/>
        <v/>
      </c>
      <c r="AY164" s="280" t="str">
        <f t="shared" ca="1" si="188"/>
        <v/>
      </c>
      <c r="AZ164" s="280" t="str">
        <f t="shared" ca="1" si="189"/>
        <v/>
      </c>
      <c r="BA164" s="280" t="str">
        <f t="shared" ca="1" si="189"/>
        <v/>
      </c>
      <c r="BB164" s="280" t="str">
        <f t="shared" ca="1" si="189"/>
        <v/>
      </c>
      <c r="BC164" s="280" t="str">
        <f t="shared" ca="1" si="189"/>
        <v/>
      </c>
      <c r="BD164" s="280" t="str">
        <f t="shared" ca="1" si="189"/>
        <v/>
      </c>
      <c r="BE164" s="280" t="str">
        <f t="shared" ca="1" si="189"/>
        <v/>
      </c>
      <c r="BF164" s="280" t="str">
        <f t="shared" ca="1" si="189"/>
        <v/>
      </c>
      <c r="BG164" s="280" t="str">
        <f t="shared" ca="1" si="189"/>
        <v/>
      </c>
      <c r="BH164" s="280" t="str">
        <f t="shared" ca="1" si="189"/>
        <v/>
      </c>
      <c r="BI164" s="280" t="str">
        <f t="shared" ca="1" si="189"/>
        <v/>
      </c>
      <c r="BK164" s="84"/>
      <c r="BL164" s="84"/>
      <c r="BM164" s="84"/>
      <c r="BN164" s="84"/>
      <c r="BO164" s="84"/>
      <c r="BP164" s="84"/>
    </row>
    <row r="165" spans="2:68" ht="15" customHeight="1" outlineLevel="1">
      <c r="P165" s="3"/>
      <c r="Q165" s="1" t="s">
        <v>142</v>
      </c>
      <c r="W165" s="273" t="e">
        <f t="shared" ref="W165:AB165" ca="1" si="191">IF($D$2=FALSE,"-",IF(W$13="","",IF((W121+W124)=0,#N/A,W168/(W121+W124))))</f>
        <v>#N/A</v>
      </c>
      <c r="X165" s="273">
        <f t="shared" ca="1" si="191"/>
        <v>1.9999999999999997E-2</v>
      </c>
      <c r="Y165" s="273">
        <f t="shared" ca="1" si="191"/>
        <v>1.9999999999999997E-2</v>
      </c>
      <c r="Z165" s="273">
        <f t="shared" ca="1" si="191"/>
        <v>1.9999999999999997E-2</v>
      </c>
      <c r="AA165" s="273">
        <f t="shared" ca="1" si="191"/>
        <v>1.9999999999999997E-2</v>
      </c>
      <c r="AB165" s="273">
        <f t="shared" ca="1" si="191"/>
        <v>1.9999999999999997E-2</v>
      </c>
      <c r="AC165" s="272"/>
      <c r="AD165" s="273" t="e">
        <f ca="1">IF($D$2=FALSE,"-",IF(AD$13="","",IF((AD121+AD124)=0,#N/A,AD168/(AD121+AD124))))</f>
        <v>#N/A</v>
      </c>
      <c r="AF165" s="21" t="e">
        <f t="shared" ref="AF165:BI165" ca="1" si="192">IF($D$2=FALSE,"-",IF(AF$13="","",AF163*(1-AF164)))</f>
        <v>#N/A</v>
      </c>
      <c r="AG165" s="20">
        <f t="shared" ca="1" si="192"/>
        <v>1.9999999999999997E-2</v>
      </c>
      <c r="AH165" s="20">
        <f t="shared" ca="1" si="192"/>
        <v>1.9999999999999997E-2</v>
      </c>
      <c r="AI165" s="20">
        <f t="shared" ca="1" si="192"/>
        <v>1.9999999999999997E-2</v>
      </c>
      <c r="AJ165" s="20">
        <f t="shared" ca="1" si="192"/>
        <v>1.9999999999999997E-2</v>
      </c>
      <c r="AK165" s="20">
        <f t="shared" ca="1" si="192"/>
        <v>1.9999999999999997E-2</v>
      </c>
      <c r="AL165" s="20" t="str">
        <f t="shared" ca="1" si="192"/>
        <v/>
      </c>
      <c r="AM165" s="20" t="str">
        <f t="shared" ca="1" si="192"/>
        <v/>
      </c>
      <c r="AN165" s="20" t="str">
        <f t="shared" ca="1" si="192"/>
        <v/>
      </c>
      <c r="AO165" s="20" t="str">
        <f t="shared" ca="1" si="192"/>
        <v/>
      </c>
      <c r="AP165" s="20" t="str">
        <f t="shared" ca="1" si="192"/>
        <v/>
      </c>
      <c r="AQ165" s="20" t="str">
        <f t="shared" ca="1" si="192"/>
        <v/>
      </c>
      <c r="AR165" s="20" t="str">
        <f t="shared" ca="1" si="192"/>
        <v/>
      </c>
      <c r="AS165" s="20" t="str">
        <f t="shared" ca="1" si="192"/>
        <v/>
      </c>
      <c r="AT165" s="20" t="str">
        <f t="shared" ca="1" si="192"/>
        <v/>
      </c>
      <c r="AU165" s="20" t="str">
        <f t="shared" ca="1" si="192"/>
        <v/>
      </c>
      <c r="AV165" s="20" t="str">
        <f t="shared" ca="1" si="192"/>
        <v/>
      </c>
      <c r="AW165" s="20" t="str">
        <f t="shared" ca="1" si="192"/>
        <v/>
      </c>
      <c r="AX165" s="20" t="str">
        <f t="shared" ca="1" si="192"/>
        <v/>
      </c>
      <c r="AY165" s="20" t="str">
        <f t="shared" ca="1" si="192"/>
        <v/>
      </c>
      <c r="AZ165" s="20" t="str">
        <f t="shared" ca="1" si="192"/>
        <v/>
      </c>
      <c r="BA165" s="20" t="str">
        <f t="shared" ca="1" si="192"/>
        <v/>
      </c>
      <c r="BB165" s="20" t="str">
        <f t="shared" ca="1" si="192"/>
        <v/>
      </c>
      <c r="BC165" s="20" t="str">
        <f t="shared" ca="1" si="192"/>
        <v/>
      </c>
      <c r="BD165" s="20" t="str">
        <f t="shared" ca="1" si="192"/>
        <v/>
      </c>
      <c r="BE165" s="20" t="str">
        <f t="shared" ca="1" si="192"/>
        <v/>
      </c>
      <c r="BF165" s="20" t="str">
        <f t="shared" ca="1" si="192"/>
        <v/>
      </c>
      <c r="BG165" s="20" t="str">
        <f t="shared" ca="1" si="192"/>
        <v/>
      </c>
      <c r="BH165" s="20" t="str">
        <f t="shared" ca="1" si="192"/>
        <v/>
      </c>
      <c r="BI165" s="20" t="str">
        <f t="shared" ca="1" si="192"/>
        <v/>
      </c>
      <c r="BK165" s="84"/>
      <c r="BL165" s="84"/>
      <c r="BM165" s="84"/>
      <c r="BN165" s="84"/>
      <c r="BO165" s="84"/>
      <c r="BP165" s="84"/>
    </row>
    <row r="166" spans="2:68" ht="15" customHeight="1" outlineLevel="1"/>
    <row r="167" spans="2:68" ht="15" customHeight="1" outlineLevel="1">
      <c r="P167" s="3"/>
      <c r="Q167" s="1" t="s">
        <v>143</v>
      </c>
      <c r="W167" s="98" t="e">
        <f t="shared" ref="W167:AB168" ca="1" si="193">IF($D$2=FALSE,"-",IF(W$13="","",SUM(OFFSET($AF167,0,W$8,1,-$E$5))))</f>
        <v>#N/A</v>
      </c>
      <c r="X167" s="98">
        <f t="shared" ca="1" si="193"/>
        <v>0</v>
      </c>
      <c r="Y167" s="98">
        <f t="shared" ca="1" si="193"/>
        <v>0.37000650000000002</v>
      </c>
      <c r="Z167" s="98">
        <f t="shared" ca="1" si="193"/>
        <v>1.4800260000000001</v>
      </c>
      <c r="AA167" s="98">
        <f t="shared" ca="1" si="193"/>
        <v>28.284120518279668</v>
      </c>
      <c r="AB167" s="98">
        <f t="shared" ca="1" si="193"/>
        <v>41.100845885906786</v>
      </c>
      <c r="AD167" s="98" t="e">
        <f ca="1">IF($D$2=FALSE,"-",IF(AD$13="","",SUM(OFFSET($AF167,0,$F$4-AD$7-1,1,-$E$5))+SUM(OFFSET($AF167,0,$F$4-1,1,-AD$7))-SUM(OFFSET($AF167,0,$F$4-$E$5-1,1,-AD$7))))</f>
        <v>#N/A</v>
      </c>
      <c r="AF167" s="97" t="e">
        <f t="shared" ref="AF167:BI167" ca="1" si="194">IF($D$2=FALSE,"-",IF(AF$13="","",MAX(0,AF125*AF108)))</f>
        <v>#N/A</v>
      </c>
      <c r="AG167" s="98">
        <f t="shared" ca="1" si="194"/>
        <v>0</v>
      </c>
      <c r="AH167" s="98">
        <f t="shared" ca="1" si="194"/>
        <v>0.37000650000000002</v>
      </c>
      <c r="AI167" s="98">
        <f t="shared" ca="1" si="194"/>
        <v>1.4800260000000001</v>
      </c>
      <c r="AJ167" s="98">
        <f t="shared" ca="1" si="194"/>
        <v>28.284120518279668</v>
      </c>
      <c r="AK167" s="98">
        <f t="shared" ca="1" si="194"/>
        <v>41.100845885906786</v>
      </c>
      <c r="AL167" s="98" t="str">
        <f t="shared" ca="1" si="194"/>
        <v/>
      </c>
      <c r="AM167" s="98" t="str">
        <f t="shared" ca="1" si="194"/>
        <v/>
      </c>
      <c r="AN167" s="98" t="str">
        <f t="shared" ca="1" si="194"/>
        <v/>
      </c>
      <c r="AO167" s="98" t="str">
        <f t="shared" ca="1" si="194"/>
        <v/>
      </c>
      <c r="AP167" s="98" t="str">
        <f t="shared" ca="1" si="194"/>
        <v/>
      </c>
      <c r="AQ167" s="98" t="str">
        <f t="shared" ca="1" si="194"/>
        <v/>
      </c>
      <c r="AR167" s="98" t="str">
        <f t="shared" ca="1" si="194"/>
        <v/>
      </c>
      <c r="AS167" s="98" t="str">
        <f t="shared" ca="1" si="194"/>
        <v/>
      </c>
      <c r="AT167" s="98" t="str">
        <f t="shared" ca="1" si="194"/>
        <v/>
      </c>
      <c r="AU167" s="98" t="str">
        <f t="shared" ca="1" si="194"/>
        <v/>
      </c>
      <c r="AV167" s="98" t="str">
        <f t="shared" ca="1" si="194"/>
        <v/>
      </c>
      <c r="AW167" s="98" t="str">
        <f t="shared" ca="1" si="194"/>
        <v/>
      </c>
      <c r="AX167" s="98" t="str">
        <f t="shared" ca="1" si="194"/>
        <v/>
      </c>
      <c r="AY167" s="98" t="str">
        <f t="shared" ca="1" si="194"/>
        <v/>
      </c>
      <c r="AZ167" s="98" t="str">
        <f t="shared" ca="1" si="194"/>
        <v/>
      </c>
      <c r="BA167" s="98" t="str">
        <f t="shared" ca="1" si="194"/>
        <v/>
      </c>
      <c r="BB167" s="98" t="str">
        <f t="shared" ca="1" si="194"/>
        <v/>
      </c>
      <c r="BC167" s="98" t="str">
        <f t="shared" ca="1" si="194"/>
        <v/>
      </c>
      <c r="BD167" s="98" t="str">
        <f t="shared" ca="1" si="194"/>
        <v/>
      </c>
      <c r="BE167" s="98" t="str">
        <f t="shared" ca="1" si="194"/>
        <v/>
      </c>
      <c r="BF167" s="98" t="str">
        <f t="shared" ca="1" si="194"/>
        <v/>
      </c>
      <c r="BG167" s="98" t="str">
        <f t="shared" ca="1" si="194"/>
        <v/>
      </c>
      <c r="BH167" s="98" t="str">
        <f t="shared" ca="1" si="194"/>
        <v/>
      </c>
      <c r="BI167" s="98" t="str">
        <f t="shared" ca="1" si="194"/>
        <v/>
      </c>
      <c r="BK167" s="84"/>
      <c r="BL167" s="84"/>
      <c r="BM167" s="84"/>
      <c r="BN167" s="84"/>
      <c r="BO167" s="84"/>
      <c r="BP167" s="84"/>
    </row>
    <row r="168" spans="2:68" ht="15" customHeight="1" outlineLevel="1">
      <c r="P168" s="3"/>
      <c r="Q168" s="1" t="s">
        <v>144</v>
      </c>
      <c r="W168" s="98" t="e">
        <f t="shared" ca="1" si="193"/>
        <v>#N/A</v>
      </c>
      <c r="X168" s="98">
        <f t="shared" ca="1" si="193"/>
        <v>1.1492118500000008</v>
      </c>
      <c r="Y168" s="98">
        <f t="shared" ca="1" si="193"/>
        <v>1.4288033168850154</v>
      </c>
      <c r="Z168" s="98">
        <f t="shared" ca="1" si="193"/>
        <v>1.6504104008563694</v>
      </c>
      <c r="AA168" s="98">
        <f t="shared" ca="1" si="193"/>
        <v>1.9115536179070427</v>
      </c>
      <c r="AB168" s="98">
        <f t="shared" ca="1" si="193"/>
        <v>2.0749794670812309</v>
      </c>
      <c r="AD168" s="98" t="e">
        <f ca="1">IF($D$2=FALSE,"-",IF(AD$13="","",SUM(OFFSET($AF168,0,$F$4-AD$7-1,1,-$E$5))+SUM(OFFSET($AF168,0,$F$4-1,1,-AD$7))-SUM(OFFSET($AF168,0,$F$4-$E$5-1,1,-AD$7))))</f>
        <v>#N/A</v>
      </c>
      <c r="AF168" s="97" t="e">
        <f t="shared" ref="AF168:BI168" ca="1" si="195">IF($D$2=FALSE,"-",IF(AF$13="","",MAX(0,(AF121+AF124)*AF165)))</f>
        <v>#N/A</v>
      </c>
      <c r="AG168" s="98">
        <f t="shared" ca="1" si="195"/>
        <v>1.1492118500000008</v>
      </c>
      <c r="AH168" s="98">
        <f t="shared" ca="1" si="195"/>
        <v>1.4288033168850154</v>
      </c>
      <c r="AI168" s="98">
        <f t="shared" ca="1" si="195"/>
        <v>1.6504104008563694</v>
      </c>
      <c r="AJ168" s="98">
        <f t="shared" ca="1" si="195"/>
        <v>1.9115536179070427</v>
      </c>
      <c r="AK168" s="98">
        <f t="shared" ca="1" si="195"/>
        <v>2.0749794670812309</v>
      </c>
      <c r="AL168" s="98" t="str">
        <f t="shared" ca="1" si="195"/>
        <v/>
      </c>
      <c r="AM168" s="98" t="str">
        <f t="shared" ca="1" si="195"/>
        <v/>
      </c>
      <c r="AN168" s="98" t="str">
        <f t="shared" ca="1" si="195"/>
        <v/>
      </c>
      <c r="AO168" s="98" t="str">
        <f t="shared" ca="1" si="195"/>
        <v/>
      </c>
      <c r="AP168" s="98" t="str">
        <f t="shared" ca="1" si="195"/>
        <v/>
      </c>
      <c r="AQ168" s="98" t="str">
        <f t="shared" ca="1" si="195"/>
        <v/>
      </c>
      <c r="AR168" s="98" t="str">
        <f t="shared" ca="1" si="195"/>
        <v/>
      </c>
      <c r="AS168" s="98" t="str">
        <f t="shared" ca="1" si="195"/>
        <v/>
      </c>
      <c r="AT168" s="98" t="str">
        <f t="shared" ca="1" si="195"/>
        <v/>
      </c>
      <c r="AU168" s="98" t="str">
        <f t="shared" ca="1" si="195"/>
        <v/>
      </c>
      <c r="AV168" s="98" t="str">
        <f t="shared" ca="1" si="195"/>
        <v/>
      </c>
      <c r="AW168" s="98" t="str">
        <f t="shared" ca="1" si="195"/>
        <v/>
      </c>
      <c r="AX168" s="98" t="str">
        <f t="shared" ca="1" si="195"/>
        <v/>
      </c>
      <c r="AY168" s="98" t="str">
        <f t="shared" ca="1" si="195"/>
        <v/>
      </c>
      <c r="AZ168" s="98" t="str">
        <f t="shared" ca="1" si="195"/>
        <v/>
      </c>
      <c r="BA168" s="98" t="str">
        <f t="shared" ca="1" si="195"/>
        <v/>
      </c>
      <c r="BB168" s="98" t="str">
        <f t="shared" ca="1" si="195"/>
        <v/>
      </c>
      <c r="BC168" s="98" t="str">
        <f t="shared" ca="1" si="195"/>
        <v/>
      </c>
      <c r="BD168" s="98" t="str">
        <f t="shared" ca="1" si="195"/>
        <v/>
      </c>
      <c r="BE168" s="98" t="str">
        <f t="shared" ca="1" si="195"/>
        <v/>
      </c>
      <c r="BF168" s="98" t="str">
        <f t="shared" ca="1" si="195"/>
        <v/>
      </c>
      <c r="BG168" s="98" t="str">
        <f t="shared" ca="1" si="195"/>
        <v/>
      </c>
      <c r="BH168" s="98" t="str">
        <f t="shared" ca="1" si="195"/>
        <v/>
      </c>
      <c r="BI168" s="98" t="str">
        <f t="shared" ca="1" si="195"/>
        <v/>
      </c>
      <c r="BK168" s="84"/>
      <c r="BL168" s="84"/>
      <c r="BM168" s="84"/>
      <c r="BN168" s="84"/>
      <c r="BO168" s="84"/>
      <c r="BP168" s="84"/>
    </row>
    <row r="169" spans="2:68" ht="15" customHeight="1" outlineLevel="1">
      <c r="AB169" s="104"/>
      <c r="AD169" s="104"/>
      <c r="AH169" s="104"/>
    </row>
    <row r="170" spans="2:68" ht="15" customHeight="1" outlineLevel="1">
      <c r="P170" s="3"/>
      <c r="Q170" s="1" t="s">
        <v>145</v>
      </c>
      <c r="W170" s="98" t="e">
        <f t="shared" ref="W170:AB172" ca="1" si="196">IF($D$2=FALSE,"-",IF(W$13="","",SUM(OFFSET($AF170,0,W$8,1,-$E$5))))</f>
        <v>#N/A</v>
      </c>
      <c r="X170" s="98">
        <f t="shared" ca="1" si="196"/>
        <v>1.1492118500000008</v>
      </c>
      <c r="Y170" s="98">
        <f t="shared" ca="1" si="196"/>
        <v>1.4288033168850154</v>
      </c>
      <c r="Z170" s="98">
        <f t="shared" ca="1" si="196"/>
        <v>1.6504104008563694</v>
      </c>
      <c r="AA170" s="98">
        <f t="shared" ca="1" si="196"/>
        <v>28.284120518279668</v>
      </c>
      <c r="AB170" s="98">
        <f t="shared" ca="1" si="196"/>
        <v>41.100845885906786</v>
      </c>
      <c r="AD170" s="98" t="e">
        <f ca="1">IF($D$2=FALSE,"-",IF(AD$13="","",SUM(OFFSET($AF170,0,$F$4-AD$7-1,1,-$E$5))+SUM(OFFSET($AF170,0,$F$4-1,1,-AD$7))-SUM(OFFSET($AF170,0,$F$4-$E$5-1,1,-AD$7))))</f>
        <v>#N/A</v>
      </c>
      <c r="AF170" s="97" t="e">
        <f t="shared" ref="AF170:BI170" ca="1" si="197">IF($D$2=FALSE,"-",IF(AF$13="","",MAX(AF167,AF168)))</f>
        <v>#N/A</v>
      </c>
      <c r="AG170" s="98">
        <f t="shared" ca="1" si="197"/>
        <v>1.1492118500000008</v>
      </c>
      <c r="AH170" s="98">
        <f t="shared" ca="1" si="197"/>
        <v>1.4288033168850154</v>
      </c>
      <c r="AI170" s="98">
        <f t="shared" ca="1" si="197"/>
        <v>1.6504104008563694</v>
      </c>
      <c r="AJ170" s="98">
        <f t="shared" ca="1" si="197"/>
        <v>28.284120518279668</v>
      </c>
      <c r="AK170" s="98">
        <f t="shared" ca="1" si="197"/>
        <v>41.100845885906786</v>
      </c>
      <c r="AL170" s="98" t="str">
        <f t="shared" ca="1" si="197"/>
        <v/>
      </c>
      <c r="AM170" s="98" t="str">
        <f t="shared" ca="1" si="197"/>
        <v/>
      </c>
      <c r="AN170" s="98" t="str">
        <f t="shared" ca="1" si="197"/>
        <v/>
      </c>
      <c r="AO170" s="98" t="str">
        <f t="shared" ca="1" si="197"/>
        <v/>
      </c>
      <c r="AP170" s="98" t="str">
        <f t="shared" ca="1" si="197"/>
        <v/>
      </c>
      <c r="AQ170" s="98" t="str">
        <f t="shared" ca="1" si="197"/>
        <v/>
      </c>
      <c r="AR170" s="98" t="str">
        <f t="shared" ca="1" si="197"/>
        <v/>
      </c>
      <c r="AS170" s="98" t="str">
        <f t="shared" ca="1" si="197"/>
        <v/>
      </c>
      <c r="AT170" s="98" t="str">
        <f t="shared" ca="1" si="197"/>
        <v/>
      </c>
      <c r="AU170" s="98" t="str">
        <f t="shared" ca="1" si="197"/>
        <v/>
      </c>
      <c r="AV170" s="98" t="str">
        <f t="shared" ca="1" si="197"/>
        <v/>
      </c>
      <c r="AW170" s="98" t="str">
        <f t="shared" ca="1" si="197"/>
        <v/>
      </c>
      <c r="AX170" s="98" t="str">
        <f t="shared" ca="1" si="197"/>
        <v/>
      </c>
      <c r="AY170" s="98" t="str">
        <f t="shared" ca="1" si="197"/>
        <v/>
      </c>
      <c r="AZ170" s="98" t="str">
        <f t="shared" ca="1" si="197"/>
        <v/>
      </c>
      <c r="BA170" s="98" t="str">
        <f t="shared" ca="1" si="197"/>
        <v/>
      </c>
      <c r="BB170" s="98" t="str">
        <f t="shared" ca="1" si="197"/>
        <v/>
      </c>
      <c r="BC170" s="98" t="str">
        <f t="shared" ca="1" si="197"/>
        <v/>
      </c>
      <c r="BD170" s="98" t="str">
        <f t="shared" ca="1" si="197"/>
        <v/>
      </c>
      <c r="BE170" s="98" t="str">
        <f t="shared" ca="1" si="197"/>
        <v/>
      </c>
      <c r="BF170" s="98" t="str">
        <f t="shared" ca="1" si="197"/>
        <v/>
      </c>
      <c r="BG170" s="98" t="str">
        <f t="shared" ca="1" si="197"/>
        <v/>
      </c>
      <c r="BH170" s="98" t="str">
        <f t="shared" ca="1" si="197"/>
        <v/>
      </c>
      <c r="BI170" s="98" t="str">
        <f t="shared" ca="1" si="197"/>
        <v/>
      </c>
      <c r="BK170" s="84"/>
      <c r="BL170" s="84"/>
      <c r="BM170" s="84"/>
      <c r="BN170" s="84"/>
      <c r="BO170" s="84"/>
      <c r="BP170" s="84"/>
    </row>
    <row r="171" spans="2:68" ht="15" customHeight="1" outlineLevel="1">
      <c r="P171" s="3"/>
      <c r="Q171" s="100" t="s">
        <v>146</v>
      </c>
      <c r="R171" s="100"/>
      <c r="S171" s="100"/>
      <c r="T171" s="100"/>
      <c r="U171" s="100"/>
      <c r="W171" s="103" t="e">
        <f t="shared" ca="1" si="196"/>
        <v>#N/A</v>
      </c>
      <c r="X171" s="103">
        <f t="shared" ca="1" si="196"/>
        <v>0</v>
      </c>
      <c r="Y171" s="103">
        <f t="shared" ca="1" si="196"/>
        <v>0</v>
      </c>
      <c r="Z171" s="103">
        <f t="shared" ca="1" si="196"/>
        <v>0</v>
      </c>
      <c r="AA171" s="103">
        <f t="shared" ca="1" si="196"/>
        <v>-26.372566900372625</v>
      </c>
      <c r="AB171" s="103">
        <f t="shared" ca="1" si="196"/>
        <v>-9.8558586673687572</v>
      </c>
      <c r="AD171" s="103" t="e">
        <f ca="1">IF($D$2=FALSE,"-",IF(AD$13="","",SUM(OFFSET($AF171,0,$F$4-AD$7-1,1,-$E$5))+SUM(OFFSET($AF171,0,$F$4-1,1,-AD$7))-SUM(OFFSET($AF171,0,$F$4-$E$5-1,1,-AD$7))))</f>
        <v>#N/A</v>
      </c>
      <c r="AF171" s="102" t="e">
        <f t="shared" ref="AF171:BI171" ca="1" si="198">IF($D$2=FALSE,"-",IF(AF$13="","",AF178))</f>
        <v>#N/A</v>
      </c>
      <c r="AG171" s="103">
        <f t="shared" ca="1" si="198"/>
        <v>0</v>
      </c>
      <c r="AH171" s="103">
        <f t="shared" ca="1" si="198"/>
        <v>0</v>
      </c>
      <c r="AI171" s="103">
        <f t="shared" ca="1" si="198"/>
        <v>0</v>
      </c>
      <c r="AJ171" s="103">
        <f t="shared" ca="1" si="198"/>
        <v>-26.372566900372625</v>
      </c>
      <c r="AK171" s="103">
        <f t="shared" ca="1" si="198"/>
        <v>-9.8558586673687572</v>
      </c>
      <c r="AL171" s="103" t="str">
        <f t="shared" ca="1" si="198"/>
        <v/>
      </c>
      <c r="AM171" s="103" t="str">
        <f t="shared" ca="1" si="198"/>
        <v/>
      </c>
      <c r="AN171" s="103" t="str">
        <f t="shared" ca="1" si="198"/>
        <v/>
      </c>
      <c r="AO171" s="103" t="str">
        <f t="shared" ca="1" si="198"/>
        <v/>
      </c>
      <c r="AP171" s="103" t="str">
        <f t="shared" ca="1" si="198"/>
        <v/>
      </c>
      <c r="AQ171" s="103" t="str">
        <f t="shared" ca="1" si="198"/>
        <v/>
      </c>
      <c r="AR171" s="103" t="str">
        <f t="shared" ca="1" si="198"/>
        <v/>
      </c>
      <c r="AS171" s="103" t="str">
        <f t="shared" ca="1" si="198"/>
        <v/>
      </c>
      <c r="AT171" s="103" t="str">
        <f t="shared" ca="1" si="198"/>
        <v/>
      </c>
      <c r="AU171" s="103" t="str">
        <f t="shared" ca="1" si="198"/>
        <v/>
      </c>
      <c r="AV171" s="103" t="str">
        <f t="shared" ca="1" si="198"/>
        <v/>
      </c>
      <c r="AW171" s="103" t="str">
        <f t="shared" ca="1" si="198"/>
        <v/>
      </c>
      <c r="AX171" s="103" t="str">
        <f t="shared" ca="1" si="198"/>
        <v/>
      </c>
      <c r="AY171" s="103" t="str">
        <f t="shared" ca="1" si="198"/>
        <v/>
      </c>
      <c r="AZ171" s="103" t="str">
        <f t="shared" ca="1" si="198"/>
        <v/>
      </c>
      <c r="BA171" s="103" t="str">
        <f t="shared" ca="1" si="198"/>
        <v/>
      </c>
      <c r="BB171" s="103" t="str">
        <f t="shared" ca="1" si="198"/>
        <v/>
      </c>
      <c r="BC171" s="103" t="str">
        <f t="shared" ca="1" si="198"/>
        <v/>
      </c>
      <c r="BD171" s="103" t="str">
        <f t="shared" ca="1" si="198"/>
        <v/>
      </c>
      <c r="BE171" s="103" t="str">
        <f t="shared" ca="1" si="198"/>
        <v/>
      </c>
      <c r="BF171" s="103" t="str">
        <f t="shared" ca="1" si="198"/>
        <v/>
      </c>
      <c r="BG171" s="103" t="str">
        <f t="shared" ca="1" si="198"/>
        <v/>
      </c>
      <c r="BH171" s="103" t="str">
        <f t="shared" ca="1" si="198"/>
        <v/>
      </c>
      <c r="BI171" s="103" t="str">
        <f t="shared" ca="1" si="198"/>
        <v/>
      </c>
      <c r="BK171" s="84"/>
      <c r="BL171" s="84"/>
      <c r="BM171" s="84"/>
      <c r="BN171" s="84"/>
      <c r="BO171" s="84"/>
      <c r="BP171" s="84"/>
    </row>
    <row r="172" spans="2:68" ht="15" customHeight="1" outlineLevel="1">
      <c r="P172" s="3"/>
      <c r="Q172" s="1" t="s">
        <v>122</v>
      </c>
      <c r="W172" s="98" t="e">
        <f t="shared" ca="1" si="196"/>
        <v>#N/A</v>
      </c>
      <c r="X172" s="98">
        <f t="shared" ca="1" si="196"/>
        <v>1.1492118500000008</v>
      </c>
      <c r="Y172" s="98">
        <f t="shared" ca="1" si="196"/>
        <v>1.4288033168850154</v>
      </c>
      <c r="Z172" s="98">
        <f t="shared" ca="1" si="196"/>
        <v>1.6504104008563694</v>
      </c>
      <c r="AA172" s="98">
        <f t="shared" ca="1" si="196"/>
        <v>1.9115536179070425</v>
      </c>
      <c r="AB172" s="98">
        <f t="shared" ca="1" si="196"/>
        <v>31.244987218538029</v>
      </c>
      <c r="AD172" s="98" t="e">
        <f ca="1">IF($D$2=FALSE,"-",IF(AD$13="","",SUM(OFFSET($AF172,0,$F$4-AD$7-1,1,-$E$5))+SUM(OFFSET($AF172,0,$F$4-1,1,-AD$7))-SUM(OFFSET($AF172,0,$F$4-$E$5-1,1,-AD$7))))</f>
        <v>#N/A</v>
      </c>
      <c r="AF172" s="97" t="e">
        <f t="shared" ref="AF172:BI172" ca="1" si="199">IF($D$2=FALSE,"-",IF(AF$13="","",+SUM(AF170:AF171)))</f>
        <v>#N/A</v>
      </c>
      <c r="AG172" s="98">
        <f t="shared" ca="1" si="199"/>
        <v>1.1492118500000008</v>
      </c>
      <c r="AH172" s="98">
        <f t="shared" ca="1" si="199"/>
        <v>1.4288033168850154</v>
      </c>
      <c r="AI172" s="98">
        <f t="shared" ca="1" si="199"/>
        <v>1.6504104008563694</v>
      </c>
      <c r="AJ172" s="98">
        <f t="shared" ca="1" si="199"/>
        <v>1.9115536179070425</v>
      </c>
      <c r="AK172" s="98">
        <f t="shared" ca="1" si="199"/>
        <v>31.244987218538029</v>
      </c>
      <c r="AL172" s="98" t="str">
        <f t="shared" ca="1" si="199"/>
        <v/>
      </c>
      <c r="AM172" s="98" t="str">
        <f t="shared" ca="1" si="199"/>
        <v/>
      </c>
      <c r="AN172" s="98" t="str">
        <f t="shared" ca="1" si="199"/>
        <v/>
      </c>
      <c r="AO172" s="98" t="str">
        <f t="shared" ca="1" si="199"/>
        <v/>
      </c>
      <c r="AP172" s="98" t="str">
        <f t="shared" ca="1" si="199"/>
        <v/>
      </c>
      <c r="AQ172" s="98" t="str">
        <f t="shared" ca="1" si="199"/>
        <v/>
      </c>
      <c r="AR172" s="98" t="str">
        <f t="shared" ca="1" si="199"/>
        <v/>
      </c>
      <c r="AS172" s="98" t="str">
        <f t="shared" ca="1" si="199"/>
        <v/>
      </c>
      <c r="AT172" s="98" t="str">
        <f t="shared" ca="1" si="199"/>
        <v/>
      </c>
      <c r="AU172" s="98" t="str">
        <f t="shared" ca="1" si="199"/>
        <v/>
      </c>
      <c r="AV172" s="98" t="str">
        <f t="shared" ca="1" si="199"/>
        <v/>
      </c>
      <c r="AW172" s="98" t="str">
        <f t="shared" ca="1" si="199"/>
        <v/>
      </c>
      <c r="AX172" s="98" t="str">
        <f t="shared" ca="1" si="199"/>
        <v/>
      </c>
      <c r="AY172" s="98" t="str">
        <f t="shared" ca="1" si="199"/>
        <v/>
      </c>
      <c r="AZ172" s="98" t="str">
        <f t="shared" ca="1" si="199"/>
        <v/>
      </c>
      <c r="BA172" s="98" t="str">
        <f t="shared" ca="1" si="199"/>
        <v/>
      </c>
      <c r="BB172" s="98" t="str">
        <f t="shared" ca="1" si="199"/>
        <v/>
      </c>
      <c r="BC172" s="98" t="str">
        <f t="shared" ca="1" si="199"/>
        <v/>
      </c>
      <c r="BD172" s="98" t="str">
        <f t="shared" ca="1" si="199"/>
        <v/>
      </c>
      <c r="BE172" s="98" t="str">
        <f t="shared" ca="1" si="199"/>
        <v/>
      </c>
      <c r="BF172" s="98" t="str">
        <f t="shared" ca="1" si="199"/>
        <v/>
      </c>
      <c r="BG172" s="98" t="str">
        <f t="shared" ca="1" si="199"/>
        <v/>
      </c>
      <c r="BH172" s="98" t="str">
        <f t="shared" ca="1" si="199"/>
        <v/>
      </c>
      <c r="BI172" s="98" t="str">
        <f t="shared" ca="1" si="199"/>
        <v/>
      </c>
      <c r="BK172" s="84"/>
      <c r="BL172" s="84"/>
      <c r="BM172" s="84"/>
      <c r="BN172" s="84"/>
      <c r="BO172" s="84"/>
      <c r="BP172" s="84"/>
    </row>
    <row r="173" spans="2:68" ht="15" customHeight="1" outlineLevel="1">
      <c r="P173" s="3"/>
      <c r="Q173" s="1" t="s">
        <v>147</v>
      </c>
      <c r="W173" s="20" t="e">
        <f t="shared" ref="W173:AB173" ca="1" si="200">IF($D$2=FALSE,"-",IF(W$13="","",IF((W121+W124)=0,#N/A,W172/(W121+W124))))</f>
        <v>#N/A</v>
      </c>
      <c r="X173" s="20">
        <f t="shared" ca="1" si="200"/>
        <v>1.9999999999999997E-2</v>
      </c>
      <c r="Y173" s="20">
        <f t="shared" ca="1" si="200"/>
        <v>1.9999999999999997E-2</v>
      </c>
      <c r="Z173" s="20">
        <f t="shared" ca="1" si="200"/>
        <v>1.9999999999999997E-2</v>
      </c>
      <c r="AA173" s="20">
        <f t="shared" ca="1" si="200"/>
        <v>1.9999999999999997E-2</v>
      </c>
      <c r="AB173" s="20">
        <f t="shared" ca="1" si="200"/>
        <v>0.30115948339950344</v>
      </c>
      <c r="AD173" s="20" t="e">
        <f ca="1">IF($D$2=FALSE,"-",IF(AD$13="","",IF((AD121+AD124)=0,#N/A,AD172/(AD121+AD124))))</f>
        <v>#N/A</v>
      </c>
      <c r="AF173" s="21" t="e">
        <f t="shared" ref="AF173:BI173" ca="1" si="201">IF($D$2=FALSE,"-",IF(AF$13="","",IF((AF121+AF124)=0,#N/A,AF172/(AF121+AF124))))</f>
        <v>#N/A</v>
      </c>
      <c r="AG173" s="20">
        <f t="shared" ca="1" si="201"/>
        <v>1.9999999999999997E-2</v>
      </c>
      <c r="AH173" s="20">
        <f t="shared" ca="1" si="201"/>
        <v>1.9999999999999997E-2</v>
      </c>
      <c r="AI173" s="20">
        <f t="shared" ca="1" si="201"/>
        <v>1.9999999999999997E-2</v>
      </c>
      <c r="AJ173" s="20">
        <f t="shared" ca="1" si="201"/>
        <v>1.9999999999999997E-2</v>
      </c>
      <c r="AK173" s="20">
        <f t="shared" ca="1" si="201"/>
        <v>0.30115948339950344</v>
      </c>
      <c r="AL173" s="20" t="str">
        <f t="shared" ca="1" si="201"/>
        <v/>
      </c>
      <c r="AM173" s="20" t="str">
        <f t="shared" ca="1" si="201"/>
        <v/>
      </c>
      <c r="AN173" s="20" t="str">
        <f t="shared" ca="1" si="201"/>
        <v/>
      </c>
      <c r="AO173" s="20" t="str">
        <f t="shared" ca="1" si="201"/>
        <v/>
      </c>
      <c r="AP173" s="20" t="str">
        <f t="shared" ca="1" si="201"/>
        <v/>
      </c>
      <c r="AQ173" s="20" t="str">
        <f t="shared" ca="1" si="201"/>
        <v/>
      </c>
      <c r="AR173" s="20" t="str">
        <f t="shared" ca="1" si="201"/>
        <v/>
      </c>
      <c r="AS173" s="20" t="str">
        <f t="shared" ca="1" si="201"/>
        <v/>
      </c>
      <c r="AT173" s="20" t="str">
        <f t="shared" ca="1" si="201"/>
        <v/>
      </c>
      <c r="AU173" s="20" t="str">
        <f t="shared" ca="1" si="201"/>
        <v/>
      </c>
      <c r="AV173" s="20" t="str">
        <f t="shared" ca="1" si="201"/>
        <v/>
      </c>
      <c r="AW173" s="20" t="str">
        <f t="shared" ca="1" si="201"/>
        <v/>
      </c>
      <c r="AX173" s="20" t="str">
        <f t="shared" ca="1" si="201"/>
        <v/>
      </c>
      <c r="AY173" s="20" t="str">
        <f t="shared" ca="1" si="201"/>
        <v/>
      </c>
      <c r="AZ173" s="20" t="str">
        <f t="shared" ca="1" si="201"/>
        <v/>
      </c>
      <c r="BA173" s="20" t="str">
        <f t="shared" ca="1" si="201"/>
        <v/>
      </c>
      <c r="BB173" s="20" t="str">
        <f t="shared" ca="1" si="201"/>
        <v/>
      </c>
      <c r="BC173" s="20" t="str">
        <f t="shared" ca="1" si="201"/>
        <v/>
      </c>
      <c r="BD173" s="20" t="str">
        <f t="shared" ca="1" si="201"/>
        <v/>
      </c>
      <c r="BE173" s="20" t="str">
        <f t="shared" ca="1" si="201"/>
        <v/>
      </c>
      <c r="BF173" s="20" t="str">
        <f t="shared" ca="1" si="201"/>
        <v/>
      </c>
      <c r="BG173" s="20" t="str">
        <f t="shared" ca="1" si="201"/>
        <v/>
      </c>
      <c r="BH173" s="20" t="str">
        <f t="shared" ca="1" si="201"/>
        <v/>
      </c>
      <c r="BI173" s="20" t="str">
        <f t="shared" ca="1" si="201"/>
        <v/>
      </c>
      <c r="BK173" s="84"/>
      <c r="BL173" s="84"/>
      <c r="BM173" s="84"/>
      <c r="BN173" s="84"/>
      <c r="BO173" s="84"/>
      <c r="BP173" s="84"/>
    </row>
    <row r="174" spans="2:68" ht="15" customHeight="1" outlineLevel="1"/>
    <row r="175" spans="2:68" ht="15" customHeight="1" outlineLevel="1">
      <c r="Q175" s="139" t="s">
        <v>148</v>
      </c>
      <c r="R175" s="139"/>
      <c r="S175" s="139"/>
      <c r="T175" s="139"/>
      <c r="U175" s="139"/>
    </row>
    <row r="176" spans="2:68" ht="15" customHeight="1" outlineLevel="1">
      <c r="P176" s="3"/>
      <c r="Q176" s="1" t="s">
        <v>149</v>
      </c>
      <c r="W176" s="98">
        <f t="shared" ref="W176:AB176" ca="1" si="202">IF($D$2=FALSE,"-",IF(W$13="","",OFFSET($AF179,0,W$8-$E$5)))</f>
        <v>0</v>
      </c>
      <c r="X176" s="98">
        <f t="shared" ca="1" si="202"/>
        <v>32</v>
      </c>
      <c r="Y176" s="98">
        <f t="shared" ca="1" si="202"/>
        <v>33.14921185</v>
      </c>
      <c r="Z176" s="98">
        <f t="shared" ca="1" si="202"/>
        <v>34.578015166885017</v>
      </c>
      <c r="AA176" s="98">
        <f t="shared" ca="1" si="202"/>
        <v>36.228425567741382</v>
      </c>
      <c r="AB176" s="98">
        <f t="shared" ca="1" si="202"/>
        <v>9.8558586673687572</v>
      </c>
      <c r="AC176" s="258"/>
      <c r="AD176" s="270" t="e">
        <f ca="1">IF($D$2=FALSE,"-",IF(AD$13="","",+AD179-AD178-AD177))</f>
        <v>#N/A</v>
      </c>
      <c r="AF176" s="97">
        <f t="shared" ref="AF176:BI176" ca="1" si="203">IF($D$2=FALSE,"-",IF(AF$13="","",OFFSET(AF179,0,-1)))</f>
        <v>0</v>
      </c>
      <c r="AG176" s="98">
        <f t="shared" ca="1" si="203"/>
        <v>32</v>
      </c>
      <c r="AH176" s="98">
        <f t="shared" ca="1" si="203"/>
        <v>33.14921185</v>
      </c>
      <c r="AI176" s="98">
        <f t="shared" ca="1" si="203"/>
        <v>34.578015166885017</v>
      </c>
      <c r="AJ176" s="98">
        <f t="shared" ca="1" si="203"/>
        <v>36.228425567741382</v>
      </c>
      <c r="AK176" s="98">
        <f t="shared" ca="1" si="203"/>
        <v>9.8558586673687572</v>
      </c>
      <c r="AL176" s="98" t="str">
        <f t="shared" ca="1" si="203"/>
        <v/>
      </c>
      <c r="AM176" s="98" t="str">
        <f t="shared" ca="1" si="203"/>
        <v/>
      </c>
      <c r="AN176" s="98" t="str">
        <f t="shared" ca="1" si="203"/>
        <v/>
      </c>
      <c r="AO176" s="98" t="str">
        <f t="shared" ca="1" si="203"/>
        <v/>
      </c>
      <c r="AP176" s="98" t="str">
        <f t="shared" ca="1" si="203"/>
        <v/>
      </c>
      <c r="AQ176" s="98" t="str">
        <f t="shared" ca="1" si="203"/>
        <v/>
      </c>
      <c r="AR176" s="98" t="str">
        <f t="shared" ca="1" si="203"/>
        <v/>
      </c>
      <c r="AS176" s="98" t="str">
        <f t="shared" ca="1" si="203"/>
        <v/>
      </c>
      <c r="AT176" s="98" t="str">
        <f t="shared" ca="1" si="203"/>
        <v/>
      </c>
      <c r="AU176" s="98" t="str">
        <f t="shared" ca="1" si="203"/>
        <v/>
      </c>
      <c r="AV176" s="98" t="str">
        <f t="shared" ca="1" si="203"/>
        <v/>
      </c>
      <c r="AW176" s="98" t="str">
        <f t="shared" ca="1" si="203"/>
        <v/>
      </c>
      <c r="AX176" s="98" t="str">
        <f t="shared" ca="1" si="203"/>
        <v/>
      </c>
      <c r="AY176" s="98" t="str">
        <f t="shared" ca="1" si="203"/>
        <v/>
      </c>
      <c r="AZ176" s="98" t="str">
        <f t="shared" ca="1" si="203"/>
        <v/>
      </c>
      <c r="BA176" s="98" t="str">
        <f t="shared" ca="1" si="203"/>
        <v/>
      </c>
      <c r="BB176" s="98" t="str">
        <f t="shared" ca="1" si="203"/>
        <v/>
      </c>
      <c r="BC176" s="98" t="str">
        <f t="shared" ca="1" si="203"/>
        <v/>
      </c>
      <c r="BD176" s="98" t="str">
        <f t="shared" ca="1" si="203"/>
        <v/>
      </c>
      <c r="BE176" s="98" t="str">
        <f t="shared" ca="1" si="203"/>
        <v/>
      </c>
      <c r="BF176" s="98" t="str">
        <f t="shared" ca="1" si="203"/>
        <v/>
      </c>
      <c r="BG176" s="98" t="str">
        <f t="shared" ca="1" si="203"/>
        <v/>
      </c>
      <c r="BH176" s="98" t="str">
        <f t="shared" ca="1" si="203"/>
        <v/>
      </c>
      <c r="BI176" s="98" t="str">
        <f t="shared" ca="1" si="203"/>
        <v/>
      </c>
      <c r="BK176" s="84"/>
      <c r="BL176" s="84"/>
      <c r="BM176" s="84"/>
      <c r="BN176" s="84"/>
      <c r="BO176" s="84"/>
      <c r="BP176" s="84"/>
    </row>
    <row r="177" spans="1:68" ht="15" customHeight="1" outlineLevel="1">
      <c r="P177" s="3"/>
      <c r="Q177" s="1" t="s">
        <v>150</v>
      </c>
      <c r="W177" s="99" t="e">
        <f t="shared" ref="W177:AB178" ca="1" si="204">IF($D$2=FALSE,"-",IF(W$13="","",SUM(OFFSET($AF177,0,W$8,1,-$E$5))))</f>
        <v>#N/A</v>
      </c>
      <c r="X177" s="99">
        <f t="shared" ca="1" si="204"/>
        <v>1.1492118500000008</v>
      </c>
      <c r="Y177" s="99">
        <f t="shared" ca="1" si="204"/>
        <v>1.4288033168850154</v>
      </c>
      <c r="Z177" s="99">
        <f t="shared" ca="1" si="204"/>
        <v>1.6504104008563694</v>
      </c>
      <c r="AA177" s="99">
        <f t="shared" ca="1" si="204"/>
        <v>0</v>
      </c>
      <c r="AB177" s="99">
        <f t="shared" ca="1" si="204"/>
        <v>0</v>
      </c>
      <c r="AC177" s="258"/>
      <c r="AD177" s="99" t="e">
        <f ca="1">IF($D$2=FALSE,"-",IF(AD$13="","",SUM(OFFSET($AF177,0,$F$4-AD$7-1,1,-$E$5))+SUM(OFFSET($AF177,0,$F$4-1,1,-AD$7))-SUM(OFFSET($AF177,0,$F$4-$E$5-1,1,-AD$7))))</f>
        <v>#N/A</v>
      </c>
      <c r="AF177" s="97" t="e">
        <f t="shared" ref="AF177:BI177" ca="1" si="205">IF($D$2=FALSE,"-",IF(AF$13="","",IF(AF168&gt;AF167,AF172,0)))</f>
        <v>#N/A</v>
      </c>
      <c r="AG177" s="98">
        <f t="shared" ca="1" si="205"/>
        <v>1.1492118500000008</v>
      </c>
      <c r="AH177" s="98">
        <f t="shared" ca="1" si="205"/>
        <v>1.4288033168850154</v>
      </c>
      <c r="AI177" s="98">
        <f t="shared" ca="1" si="205"/>
        <v>1.6504104008563694</v>
      </c>
      <c r="AJ177" s="98">
        <f t="shared" ca="1" si="205"/>
        <v>0</v>
      </c>
      <c r="AK177" s="98">
        <f t="shared" ca="1" si="205"/>
        <v>0</v>
      </c>
      <c r="AL177" s="98" t="str">
        <f t="shared" ca="1" si="205"/>
        <v/>
      </c>
      <c r="AM177" s="98" t="str">
        <f t="shared" ca="1" si="205"/>
        <v/>
      </c>
      <c r="AN177" s="98" t="str">
        <f t="shared" ca="1" si="205"/>
        <v/>
      </c>
      <c r="AO177" s="98" t="str">
        <f t="shared" ca="1" si="205"/>
        <v/>
      </c>
      <c r="AP177" s="98" t="str">
        <f t="shared" ca="1" si="205"/>
        <v/>
      </c>
      <c r="AQ177" s="98" t="str">
        <f t="shared" ca="1" si="205"/>
        <v/>
      </c>
      <c r="AR177" s="98" t="str">
        <f t="shared" ca="1" si="205"/>
        <v/>
      </c>
      <c r="AS177" s="98" t="str">
        <f t="shared" ca="1" si="205"/>
        <v/>
      </c>
      <c r="AT177" s="98" t="str">
        <f t="shared" ca="1" si="205"/>
        <v/>
      </c>
      <c r="AU177" s="98" t="str">
        <f t="shared" ca="1" si="205"/>
        <v/>
      </c>
      <c r="AV177" s="98" t="str">
        <f t="shared" ca="1" si="205"/>
        <v/>
      </c>
      <c r="AW177" s="98" t="str">
        <f t="shared" ca="1" si="205"/>
        <v/>
      </c>
      <c r="AX177" s="98" t="str">
        <f t="shared" ca="1" si="205"/>
        <v/>
      </c>
      <c r="AY177" s="98" t="str">
        <f t="shared" ca="1" si="205"/>
        <v/>
      </c>
      <c r="AZ177" s="98" t="str">
        <f t="shared" ca="1" si="205"/>
        <v/>
      </c>
      <c r="BA177" s="98" t="str">
        <f t="shared" ca="1" si="205"/>
        <v/>
      </c>
      <c r="BB177" s="98" t="str">
        <f t="shared" ca="1" si="205"/>
        <v/>
      </c>
      <c r="BC177" s="98" t="str">
        <f t="shared" ca="1" si="205"/>
        <v/>
      </c>
      <c r="BD177" s="98" t="str">
        <f t="shared" ca="1" si="205"/>
        <v/>
      </c>
      <c r="BE177" s="98" t="str">
        <f t="shared" ca="1" si="205"/>
        <v/>
      </c>
      <c r="BF177" s="98" t="str">
        <f t="shared" ca="1" si="205"/>
        <v/>
      </c>
      <c r="BG177" s="98" t="str">
        <f t="shared" ca="1" si="205"/>
        <v/>
      </c>
      <c r="BH177" s="98" t="str">
        <f t="shared" ca="1" si="205"/>
        <v/>
      </c>
      <c r="BI177" s="98" t="str">
        <f t="shared" ca="1" si="205"/>
        <v/>
      </c>
      <c r="BK177" s="84"/>
      <c r="BL177" s="84"/>
      <c r="BM177" s="84"/>
      <c r="BN177" s="84"/>
      <c r="BO177" s="84"/>
      <c r="BP177" s="84"/>
    </row>
    <row r="178" spans="1:68" ht="15" customHeight="1" outlineLevel="1">
      <c r="P178" s="3"/>
      <c r="Q178" s="100" t="s">
        <v>146</v>
      </c>
      <c r="R178" s="100"/>
      <c r="S178" s="100"/>
      <c r="T178" s="100"/>
      <c r="U178" s="100"/>
      <c r="W178" s="101" t="e">
        <f t="shared" ca="1" si="204"/>
        <v>#N/A</v>
      </c>
      <c r="X178" s="101">
        <f t="shared" ca="1" si="204"/>
        <v>0</v>
      </c>
      <c r="Y178" s="101">
        <f t="shared" ca="1" si="204"/>
        <v>0</v>
      </c>
      <c r="Z178" s="101">
        <f t="shared" ca="1" si="204"/>
        <v>0</v>
      </c>
      <c r="AA178" s="101">
        <f t="shared" ca="1" si="204"/>
        <v>-26.372566900372625</v>
      </c>
      <c r="AB178" s="101">
        <f t="shared" ca="1" si="204"/>
        <v>-9.8558586673687572</v>
      </c>
      <c r="AC178" s="258"/>
      <c r="AD178" s="101" t="e">
        <f ca="1">IF($D$2=FALSE,"-",IF(AD$13="","",SUM(OFFSET($AF178,0,$F$4-AD$7-1,1,-$E$5))+SUM(OFFSET($AF178,0,$F$4-1,1,-AD$7))-SUM(OFFSET($AF178,0,$F$4-$E$5-1,1,-AD$7))))</f>
        <v>#N/A</v>
      </c>
      <c r="AF178" s="102" t="e">
        <f t="shared" ref="AF178:BI178" ca="1" si="206">IF($D$2=FALSE,"-",IF(AF$13="","",IF(AF167&gt;AF168,-MIN(AF176,AF170-AF168),0)))</f>
        <v>#N/A</v>
      </c>
      <c r="AG178" s="103">
        <f t="shared" ca="1" si="206"/>
        <v>0</v>
      </c>
      <c r="AH178" s="103">
        <f t="shared" ca="1" si="206"/>
        <v>0</v>
      </c>
      <c r="AI178" s="103">
        <f t="shared" ca="1" si="206"/>
        <v>0</v>
      </c>
      <c r="AJ178" s="103">
        <f t="shared" ca="1" si="206"/>
        <v>-26.372566900372625</v>
      </c>
      <c r="AK178" s="103">
        <f t="shared" ca="1" si="206"/>
        <v>-9.8558586673687572</v>
      </c>
      <c r="AL178" s="103" t="str">
        <f t="shared" ca="1" si="206"/>
        <v/>
      </c>
      <c r="AM178" s="103" t="str">
        <f t="shared" ca="1" si="206"/>
        <v/>
      </c>
      <c r="AN178" s="103" t="str">
        <f t="shared" ca="1" si="206"/>
        <v/>
      </c>
      <c r="AO178" s="103" t="str">
        <f t="shared" ca="1" si="206"/>
        <v/>
      </c>
      <c r="AP178" s="103" t="str">
        <f t="shared" ca="1" si="206"/>
        <v/>
      </c>
      <c r="AQ178" s="103" t="str">
        <f t="shared" ca="1" si="206"/>
        <v/>
      </c>
      <c r="AR178" s="103" t="str">
        <f t="shared" ca="1" si="206"/>
        <v/>
      </c>
      <c r="AS178" s="103" t="str">
        <f t="shared" ca="1" si="206"/>
        <v/>
      </c>
      <c r="AT178" s="103" t="str">
        <f t="shared" ca="1" si="206"/>
        <v/>
      </c>
      <c r="AU178" s="103" t="str">
        <f t="shared" ca="1" si="206"/>
        <v/>
      </c>
      <c r="AV178" s="103" t="str">
        <f t="shared" ca="1" si="206"/>
        <v/>
      </c>
      <c r="AW178" s="103" t="str">
        <f t="shared" ca="1" si="206"/>
        <v/>
      </c>
      <c r="AX178" s="103" t="str">
        <f t="shared" ca="1" si="206"/>
        <v/>
      </c>
      <c r="AY178" s="103" t="str">
        <f t="shared" ca="1" si="206"/>
        <v/>
      </c>
      <c r="AZ178" s="103" t="str">
        <f t="shared" ca="1" si="206"/>
        <v/>
      </c>
      <c r="BA178" s="103" t="str">
        <f t="shared" ca="1" si="206"/>
        <v/>
      </c>
      <c r="BB178" s="103" t="str">
        <f t="shared" ca="1" si="206"/>
        <v/>
      </c>
      <c r="BC178" s="103" t="str">
        <f t="shared" ca="1" si="206"/>
        <v/>
      </c>
      <c r="BD178" s="103" t="str">
        <f t="shared" ca="1" si="206"/>
        <v/>
      </c>
      <c r="BE178" s="103" t="str">
        <f t="shared" ca="1" si="206"/>
        <v/>
      </c>
      <c r="BF178" s="103" t="str">
        <f t="shared" ca="1" si="206"/>
        <v/>
      </c>
      <c r="BG178" s="103" t="str">
        <f t="shared" ca="1" si="206"/>
        <v/>
      </c>
      <c r="BH178" s="103" t="str">
        <f t="shared" ca="1" si="206"/>
        <v/>
      </c>
      <c r="BI178" s="103" t="str">
        <f t="shared" ca="1" si="206"/>
        <v/>
      </c>
      <c r="BK178" s="84"/>
      <c r="BL178" s="84"/>
      <c r="BM178" s="84"/>
      <c r="BN178" s="84"/>
      <c r="BO178" s="84"/>
      <c r="BP178" s="84"/>
    </row>
    <row r="179" spans="1:68" ht="15" customHeight="1" outlineLevel="1">
      <c r="M179" s="96">
        <v>32</v>
      </c>
      <c r="P179" s="3"/>
      <c r="Q179" s="1" t="s">
        <v>151</v>
      </c>
      <c r="W179" s="98">
        <f t="shared" ref="W179:AB179" ca="1" si="207">IF($D$2=FALSE,"-",IF(W$13="","",OFFSET($AF179,0,W$8)))</f>
        <v>32</v>
      </c>
      <c r="X179" s="98">
        <f t="shared" ca="1" si="207"/>
        <v>33.14921185</v>
      </c>
      <c r="Y179" s="98">
        <f t="shared" ca="1" si="207"/>
        <v>34.578015166885017</v>
      </c>
      <c r="Z179" s="98">
        <f t="shared" ca="1" si="207"/>
        <v>36.228425567741382</v>
      </c>
      <c r="AA179" s="98">
        <f t="shared" ca="1" si="207"/>
        <v>9.8558586673687572</v>
      </c>
      <c r="AB179" s="98">
        <f t="shared" ca="1" si="207"/>
        <v>0</v>
      </c>
      <c r="AC179" s="258"/>
      <c r="AD179" s="98" t="e">
        <f ca="1">IF($D$2=FALSE,"-",IF(AD$13="","",OFFSET($AF179,0,$F$4-AD$7-1)+OFFSET($AF179,0,$F$4-1)-OFFSET($AF179,0,$F$4-$E$5-1)))</f>
        <v>#N/A</v>
      </c>
      <c r="AF179" s="249">
        <f t="shared" ref="AF179:BI179" ca="1" si="208">IF($D$2=FALSE,"-",IF(AF$13="","",IF(AF$4&lt;0,#N/A,IF(AF$4=0,$M179,SUM(AF176:AF178)))))</f>
        <v>32</v>
      </c>
      <c r="AG179" s="250">
        <f t="shared" ca="1" si="208"/>
        <v>33.14921185</v>
      </c>
      <c r="AH179" s="250">
        <f t="shared" ca="1" si="208"/>
        <v>34.578015166885017</v>
      </c>
      <c r="AI179" s="250">
        <f t="shared" ca="1" si="208"/>
        <v>36.228425567741382</v>
      </c>
      <c r="AJ179" s="250">
        <f t="shared" ca="1" si="208"/>
        <v>9.8558586673687572</v>
      </c>
      <c r="AK179" s="250">
        <f t="shared" ca="1" si="208"/>
        <v>0</v>
      </c>
      <c r="AL179" s="250" t="str">
        <f t="shared" ca="1" si="208"/>
        <v/>
      </c>
      <c r="AM179" s="250" t="str">
        <f t="shared" ca="1" si="208"/>
        <v/>
      </c>
      <c r="AN179" s="250" t="str">
        <f t="shared" ca="1" si="208"/>
        <v/>
      </c>
      <c r="AO179" s="250" t="str">
        <f t="shared" ca="1" si="208"/>
        <v/>
      </c>
      <c r="AP179" s="250" t="str">
        <f t="shared" ca="1" si="208"/>
        <v/>
      </c>
      <c r="AQ179" s="250" t="str">
        <f t="shared" ca="1" si="208"/>
        <v/>
      </c>
      <c r="AR179" s="250" t="str">
        <f t="shared" ca="1" si="208"/>
        <v/>
      </c>
      <c r="AS179" s="250" t="str">
        <f t="shared" ca="1" si="208"/>
        <v/>
      </c>
      <c r="AT179" s="250" t="str">
        <f t="shared" ca="1" si="208"/>
        <v/>
      </c>
      <c r="AU179" s="250" t="str">
        <f t="shared" ca="1" si="208"/>
        <v/>
      </c>
      <c r="AV179" s="250" t="str">
        <f t="shared" ca="1" si="208"/>
        <v/>
      </c>
      <c r="AW179" s="250" t="str">
        <f t="shared" ca="1" si="208"/>
        <v/>
      </c>
      <c r="AX179" s="250" t="str">
        <f t="shared" ca="1" si="208"/>
        <v/>
      </c>
      <c r="AY179" s="250" t="str">
        <f t="shared" ca="1" si="208"/>
        <v/>
      </c>
      <c r="AZ179" s="250" t="str">
        <f t="shared" ca="1" si="208"/>
        <v/>
      </c>
      <c r="BA179" s="250" t="str">
        <f t="shared" ca="1" si="208"/>
        <v/>
      </c>
      <c r="BB179" s="250" t="str">
        <f t="shared" ca="1" si="208"/>
        <v/>
      </c>
      <c r="BC179" s="250" t="str">
        <f t="shared" ca="1" si="208"/>
        <v/>
      </c>
      <c r="BD179" s="250" t="str">
        <f t="shared" ca="1" si="208"/>
        <v/>
      </c>
      <c r="BE179" s="250" t="str">
        <f t="shared" ca="1" si="208"/>
        <v/>
      </c>
      <c r="BF179" s="250" t="str">
        <f t="shared" ca="1" si="208"/>
        <v/>
      </c>
      <c r="BG179" s="250" t="str">
        <f t="shared" ca="1" si="208"/>
        <v/>
      </c>
      <c r="BH179" s="250" t="str">
        <f t="shared" ca="1" si="208"/>
        <v/>
      </c>
      <c r="BI179" s="250" t="str">
        <f t="shared" ca="1" si="208"/>
        <v/>
      </c>
      <c r="BK179" s="84"/>
      <c r="BL179" s="84"/>
      <c r="BM179" s="84"/>
      <c r="BN179" s="84"/>
      <c r="BO179" s="84"/>
      <c r="BP179" s="84"/>
    </row>
    <row r="180" spans="1:68" ht="15" customHeight="1" outlineLevel="1">
      <c r="M180" s="246"/>
      <c r="P180" s="3"/>
      <c r="AF180" s="97"/>
      <c r="AG180" s="98"/>
      <c r="AH180" s="98"/>
      <c r="AI180" s="98"/>
      <c r="AJ180" s="98"/>
      <c r="AK180" s="98"/>
      <c r="AL180" s="98"/>
      <c r="AM180" s="98"/>
      <c r="AN180" s="98"/>
      <c r="AO180" s="98"/>
      <c r="AP180" s="98"/>
      <c r="AQ180" s="98"/>
      <c r="AR180" s="98"/>
      <c r="AS180" s="98"/>
      <c r="AT180" s="98"/>
      <c r="AU180" s="98"/>
      <c r="AV180" s="98"/>
      <c r="AW180" s="98"/>
      <c r="AX180" s="98"/>
      <c r="AY180" s="98"/>
      <c r="AZ180" s="98"/>
      <c r="BA180" s="98"/>
      <c r="BB180" s="98"/>
      <c r="BC180" s="98"/>
      <c r="BD180" s="98"/>
      <c r="BE180" s="98"/>
      <c r="BF180" s="98"/>
      <c r="BG180" s="98"/>
      <c r="BH180" s="98"/>
      <c r="BI180" s="98"/>
      <c r="BK180" s="84"/>
      <c r="BL180" s="84"/>
      <c r="BM180" s="84"/>
      <c r="BN180" s="84"/>
      <c r="BO180" s="84"/>
      <c r="BP180" s="84"/>
    </row>
    <row r="181" spans="1:68" ht="15" customHeight="1" outlineLevel="1">
      <c r="Q181" s="25" t="s">
        <v>28</v>
      </c>
      <c r="R181" s="25"/>
      <c r="S181" s="25"/>
      <c r="T181" s="25"/>
      <c r="U181" s="25"/>
      <c r="W181" s="59"/>
      <c r="X181" s="59"/>
      <c r="Y181" s="59"/>
      <c r="Z181" s="59"/>
      <c r="AA181" s="59"/>
      <c r="AB181" s="59"/>
      <c r="AD181" s="59"/>
      <c r="AF181" s="158"/>
      <c r="AG181" s="159"/>
      <c r="AH181" s="159"/>
      <c r="AI181" s="159"/>
      <c r="AJ181" s="159"/>
      <c r="AK181" s="159"/>
      <c r="AL181" s="159"/>
      <c r="AM181" s="159"/>
      <c r="AN181" s="159"/>
      <c r="AO181" s="159"/>
      <c r="AP181" s="159"/>
      <c r="AQ181" s="159"/>
      <c r="AR181" s="159"/>
      <c r="AS181" s="159"/>
      <c r="AT181" s="159"/>
      <c r="AU181" s="159"/>
      <c r="AV181" s="159"/>
      <c r="AW181" s="159"/>
      <c r="AX181" s="159"/>
      <c r="AY181" s="159"/>
      <c r="AZ181" s="159"/>
      <c r="BA181" s="159"/>
      <c r="BB181" s="159"/>
      <c r="BC181" s="159"/>
      <c r="BD181" s="159"/>
      <c r="BE181" s="159"/>
      <c r="BF181" s="159"/>
      <c r="BG181" s="159"/>
      <c r="BH181" s="159"/>
      <c r="BI181" s="159"/>
      <c r="BK181" s="105"/>
      <c r="BL181" s="105"/>
      <c r="BM181" s="105"/>
      <c r="BN181" s="105"/>
      <c r="BO181" s="105"/>
      <c r="BP181" s="105"/>
    </row>
    <row r="182" spans="1:68" ht="15" customHeight="1" outlineLevel="1">
      <c r="Q182" s="244" t="str">
        <f ca="1">IF($D$2=FALSE,"-",IF(W$13="","",Q40))</f>
        <v>GAAP net income available to common</v>
      </c>
      <c r="R182" s="244"/>
      <c r="S182" s="244"/>
      <c r="T182" s="244"/>
      <c r="U182" s="244"/>
      <c r="W182" s="116" t="e">
        <f t="shared" ref="W182:AB185" ca="1" si="209">IF($D$2=FALSE,"-",IF(W$13="","",OFFSET($AF182,0,W$8)))</f>
        <v>#N/A</v>
      </c>
      <c r="X182" s="116">
        <f t="shared" ca="1" si="209"/>
        <v>24.82596250614877</v>
      </c>
      <c r="Y182" s="116">
        <f t="shared" ca="1" si="209"/>
        <v>33.334115450472474</v>
      </c>
      <c r="Z182" s="116">
        <f t="shared" ca="1" si="209"/>
        <v>40.138755362310796</v>
      </c>
      <c r="AA182" s="116">
        <f t="shared" ca="1" si="209"/>
        <v>49.379412945209708</v>
      </c>
      <c r="AB182" s="116">
        <f t="shared" ca="1" si="209"/>
        <v>55.008133968154766</v>
      </c>
      <c r="AC182" s="114"/>
      <c r="AD182" s="116" t="e">
        <f ca="1">IF($D$2=FALSE,"-",IF(AD$13="","",OFFSET($AF182,0,$F$4-AD$7-1)+OFFSET($AF182,0,$F$4-1)-OFFSET($AF182,0,$F$4-$E$5-1)))</f>
        <v>#N/A</v>
      </c>
      <c r="AF182" s="124" t="e">
        <f t="shared" ref="AF182:BI182" ca="1" si="210">IF($D$2=FALSE,"-",IF(AF$13="","",SUM(OFFSET(AF40,0,-AF$7+1,1,AF$7))))</f>
        <v>#N/A</v>
      </c>
      <c r="AG182" s="125">
        <f t="shared" ca="1" si="210"/>
        <v>24.82596250614877</v>
      </c>
      <c r="AH182" s="125">
        <f t="shared" ca="1" si="210"/>
        <v>33.334115450472474</v>
      </c>
      <c r="AI182" s="125">
        <f t="shared" ca="1" si="210"/>
        <v>40.138755362310796</v>
      </c>
      <c r="AJ182" s="125">
        <f t="shared" ca="1" si="210"/>
        <v>49.379412945209708</v>
      </c>
      <c r="AK182" s="125">
        <f t="shared" ca="1" si="210"/>
        <v>55.008133968154766</v>
      </c>
      <c r="AL182" s="125" t="str">
        <f t="shared" ca="1" si="210"/>
        <v/>
      </c>
      <c r="AM182" s="125" t="str">
        <f t="shared" ca="1" si="210"/>
        <v/>
      </c>
      <c r="AN182" s="125" t="str">
        <f t="shared" ca="1" si="210"/>
        <v/>
      </c>
      <c r="AO182" s="125" t="str">
        <f t="shared" ca="1" si="210"/>
        <v/>
      </c>
      <c r="AP182" s="125" t="str">
        <f t="shared" ca="1" si="210"/>
        <v/>
      </c>
      <c r="AQ182" s="125" t="str">
        <f t="shared" ca="1" si="210"/>
        <v/>
      </c>
      <c r="AR182" s="125" t="str">
        <f t="shared" ca="1" si="210"/>
        <v/>
      </c>
      <c r="AS182" s="125" t="str">
        <f t="shared" ca="1" si="210"/>
        <v/>
      </c>
      <c r="AT182" s="125" t="str">
        <f t="shared" ca="1" si="210"/>
        <v/>
      </c>
      <c r="AU182" s="125" t="str">
        <f t="shared" ca="1" si="210"/>
        <v/>
      </c>
      <c r="AV182" s="125" t="str">
        <f t="shared" ca="1" si="210"/>
        <v/>
      </c>
      <c r="AW182" s="125" t="str">
        <f t="shared" ca="1" si="210"/>
        <v/>
      </c>
      <c r="AX182" s="125" t="str">
        <f t="shared" ca="1" si="210"/>
        <v/>
      </c>
      <c r="AY182" s="125" t="str">
        <f t="shared" ca="1" si="210"/>
        <v/>
      </c>
      <c r="AZ182" s="125" t="str">
        <f t="shared" ca="1" si="210"/>
        <v/>
      </c>
      <c r="BA182" s="125" t="str">
        <f t="shared" ca="1" si="210"/>
        <v/>
      </c>
      <c r="BB182" s="125" t="str">
        <f t="shared" ca="1" si="210"/>
        <v/>
      </c>
      <c r="BC182" s="125" t="str">
        <f t="shared" ca="1" si="210"/>
        <v/>
      </c>
      <c r="BD182" s="125" t="str">
        <f t="shared" ca="1" si="210"/>
        <v/>
      </c>
      <c r="BE182" s="125" t="str">
        <f t="shared" ca="1" si="210"/>
        <v/>
      </c>
      <c r="BF182" s="125" t="str">
        <f t="shared" ca="1" si="210"/>
        <v/>
      </c>
      <c r="BG182" s="125" t="str">
        <f t="shared" ca="1" si="210"/>
        <v/>
      </c>
      <c r="BH182" s="125" t="str">
        <f t="shared" ca="1" si="210"/>
        <v/>
      </c>
      <c r="BI182" s="125" t="str">
        <f t="shared" ca="1" si="210"/>
        <v/>
      </c>
      <c r="BK182" s="105"/>
      <c r="BL182" s="105"/>
      <c r="BM182" s="105"/>
      <c r="BN182" s="105"/>
      <c r="BO182" s="105"/>
      <c r="BP182" s="105"/>
    </row>
    <row r="183" spans="1:68" ht="15" customHeight="1" outlineLevel="1">
      <c r="Q183" s="1" t="str">
        <f ca="1">IF($D$2=FALSE,"-",IF(W$13="","",Q22))</f>
        <v>Stock-based comp</v>
      </c>
      <c r="W183" s="116" t="e">
        <f t="shared" ca="1" si="209"/>
        <v>#N/A</v>
      </c>
      <c r="X183" s="116">
        <f t="shared" ca="1" si="209"/>
        <v>11.34</v>
      </c>
      <c r="Y183" s="116">
        <f t="shared" ca="1" si="209"/>
        <v>11.907</v>
      </c>
      <c r="Z183" s="116">
        <f t="shared" ca="1" si="209"/>
        <v>12.50235</v>
      </c>
      <c r="AA183" s="116">
        <f t="shared" ca="1" si="209"/>
        <v>13.1274675</v>
      </c>
      <c r="AB183" s="116">
        <f t="shared" ca="1" si="209"/>
        <v>13.783840875000001</v>
      </c>
      <c r="AC183" s="114"/>
      <c r="AD183" s="116" t="e">
        <f ca="1">IF($D$2=FALSE,"-",IF(AD$13="","",OFFSET($AF183,0,$F$4-AD$7-1)+OFFSET($AF183,0,$F$4-1)-OFFSET($AF183,0,$F$4-$E$5-1)))</f>
        <v>#N/A</v>
      </c>
      <c r="AF183" s="124" t="e">
        <f t="shared" ref="AF183:BI183" ca="1" si="211">IF($D$2=FALSE,"-",IF(AF$13="","",SUM(OFFSET(AF22,0,-AF$7+1,1,AF$7))))</f>
        <v>#N/A</v>
      </c>
      <c r="AG183" s="125">
        <f t="shared" ca="1" si="211"/>
        <v>11.34</v>
      </c>
      <c r="AH183" s="125">
        <f t="shared" ca="1" si="211"/>
        <v>11.907</v>
      </c>
      <c r="AI183" s="125">
        <f t="shared" ca="1" si="211"/>
        <v>12.50235</v>
      </c>
      <c r="AJ183" s="125">
        <f t="shared" ca="1" si="211"/>
        <v>13.1274675</v>
      </c>
      <c r="AK183" s="125">
        <f t="shared" ca="1" si="211"/>
        <v>13.783840875000001</v>
      </c>
      <c r="AL183" s="125" t="str">
        <f t="shared" ca="1" si="211"/>
        <v/>
      </c>
      <c r="AM183" s="125" t="str">
        <f t="shared" ca="1" si="211"/>
        <v/>
      </c>
      <c r="AN183" s="125" t="str">
        <f t="shared" ca="1" si="211"/>
        <v/>
      </c>
      <c r="AO183" s="125" t="str">
        <f t="shared" ca="1" si="211"/>
        <v/>
      </c>
      <c r="AP183" s="125" t="str">
        <f t="shared" ca="1" si="211"/>
        <v/>
      </c>
      <c r="AQ183" s="125" t="str">
        <f t="shared" ca="1" si="211"/>
        <v/>
      </c>
      <c r="AR183" s="125" t="str">
        <f t="shared" ca="1" si="211"/>
        <v/>
      </c>
      <c r="AS183" s="125" t="str">
        <f t="shared" ca="1" si="211"/>
        <v/>
      </c>
      <c r="AT183" s="125" t="str">
        <f t="shared" ca="1" si="211"/>
        <v/>
      </c>
      <c r="AU183" s="125" t="str">
        <f t="shared" ca="1" si="211"/>
        <v/>
      </c>
      <c r="AV183" s="125" t="str">
        <f t="shared" ca="1" si="211"/>
        <v/>
      </c>
      <c r="AW183" s="125" t="str">
        <f t="shared" ca="1" si="211"/>
        <v/>
      </c>
      <c r="AX183" s="125" t="str">
        <f t="shared" ca="1" si="211"/>
        <v/>
      </c>
      <c r="AY183" s="125" t="str">
        <f t="shared" ca="1" si="211"/>
        <v/>
      </c>
      <c r="AZ183" s="125" t="str">
        <f t="shared" ca="1" si="211"/>
        <v/>
      </c>
      <c r="BA183" s="125" t="str">
        <f t="shared" ca="1" si="211"/>
        <v/>
      </c>
      <c r="BB183" s="125" t="str">
        <f t="shared" ca="1" si="211"/>
        <v/>
      </c>
      <c r="BC183" s="125" t="str">
        <f t="shared" ca="1" si="211"/>
        <v/>
      </c>
      <c r="BD183" s="125" t="str">
        <f t="shared" ca="1" si="211"/>
        <v/>
      </c>
      <c r="BE183" s="125" t="str">
        <f t="shared" ca="1" si="211"/>
        <v/>
      </c>
      <c r="BF183" s="125" t="str">
        <f t="shared" ca="1" si="211"/>
        <v/>
      </c>
      <c r="BG183" s="125" t="str">
        <f t="shared" ca="1" si="211"/>
        <v/>
      </c>
      <c r="BH183" s="125" t="str">
        <f t="shared" ca="1" si="211"/>
        <v/>
      </c>
      <c r="BI183" s="125" t="str">
        <f t="shared" ca="1" si="211"/>
        <v/>
      </c>
      <c r="BK183" s="105"/>
      <c r="BL183" s="105"/>
      <c r="BM183" s="105"/>
      <c r="BN183" s="105"/>
      <c r="BO183" s="105"/>
      <c r="BP183" s="105"/>
    </row>
    <row r="184" spans="1:68" ht="15" customHeight="1" outlineLevel="1">
      <c r="Q184" s="100" t="str">
        <f ca="1">IF($D$2=FALSE,"-",IF(W$13="","",Q53))</f>
        <v>Common dividends</v>
      </c>
      <c r="R184" s="100"/>
      <c r="S184" s="100"/>
      <c r="T184" s="100"/>
      <c r="U184" s="100"/>
      <c r="W184" s="219" t="e">
        <f t="shared" ca="1" si="209"/>
        <v>#N/A</v>
      </c>
      <c r="X184" s="219">
        <f t="shared" ca="1" si="209"/>
        <v>-0.35340000000000005</v>
      </c>
      <c r="Y184" s="219">
        <f t="shared" ca="1" si="209"/>
        <v>-0.35340000000000005</v>
      </c>
      <c r="Z184" s="219">
        <f t="shared" ca="1" si="209"/>
        <v>-0.35340000000000005</v>
      </c>
      <c r="AA184" s="219">
        <f t="shared" ca="1" si="209"/>
        <v>-0.35340000000000005</v>
      </c>
      <c r="AB184" s="219">
        <f t="shared" ca="1" si="209"/>
        <v>-0.35340000000000005</v>
      </c>
      <c r="AC184" s="136"/>
      <c r="AD184" s="219" t="e">
        <f ca="1">IF($D$2=FALSE,"-",IF(AD$13="","",OFFSET($AF184,0,$F$4-AD$7-1)+OFFSET($AF184,0,$F$4-1)-OFFSET($AF184,0,$F$4-$E$5-1)))</f>
        <v>#N/A</v>
      </c>
      <c r="AF184" s="102" t="e">
        <f t="shared" ref="AF184:BI184" ca="1" si="212">IF($D$2=FALSE,"-",IF(AF$13="","",SUM(OFFSET(AF53,0,-AF$7+1,1,AF$7))))</f>
        <v>#N/A</v>
      </c>
      <c r="AG184" s="103">
        <f t="shared" ca="1" si="212"/>
        <v>-0.35340000000000005</v>
      </c>
      <c r="AH184" s="103">
        <f t="shared" ca="1" si="212"/>
        <v>-0.35340000000000005</v>
      </c>
      <c r="AI184" s="103">
        <f t="shared" ca="1" si="212"/>
        <v>-0.35340000000000005</v>
      </c>
      <c r="AJ184" s="103">
        <f t="shared" ca="1" si="212"/>
        <v>-0.35340000000000005</v>
      </c>
      <c r="AK184" s="103">
        <f t="shared" ca="1" si="212"/>
        <v>-0.35340000000000005</v>
      </c>
      <c r="AL184" s="103" t="str">
        <f t="shared" ca="1" si="212"/>
        <v/>
      </c>
      <c r="AM184" s="103" t="str">
        <f t="shared" ca="1" si="212"/>
        <v/>
      </c>
      <c r="AN184" s="103" t="str">
        <f t="shared" ca="1" si="212"/>
        <v/>
      </c>
      <c r="AO184" s="103" t="str">
        <f t="shared" ca="1" si="212"/>
        <v/>
      </c>
      <c r="AP184" s="103" t="str">
        <f t="shared" ca="1" si="212"/>
        <v/>
      </c>
      <c r="AQ184" s="103" t="str">
        <f t="shared" ca="1" si="212"/>
        <v/>
      </c>
      <c r="AR184" s="103" t="str">
        <f t="shared" ca="1" si="212"/>
        <v/>
      </c>
      <c r="AS184" s="103" t="str">
        <f t="shared" ca="1" si="212"/>
        <v/>
      </c>
      <c r="AT184" s="103" t="str">
        <f t="shared" ca="1" si="212"/>
        <v/>
      </c>
      <c r="AU184" s="103" t="str">
        <f t="shared" ca="1" si="212"/>
        <v/>
      </c>
      <c r="AV184" s="103" t="str">
        <f t="shared" ca="1" si="212"/>
        <v/>
      </c>
      <c r="AW184" s="103" t="str">
        <f t="shared" ca="1" si="212"/>
        <v/>
      </c>
      <c r="AX184" s="103" t="str">
        <f t="shared" ca="1" si="212"/>
        <v/>
      </c>
      <c r="AY184" s="103" t="str">
        <f t="shared" ca="1" si="212"/>
        <v/>
      </c>
      <c r="AZ184" s="103" t="str">
        <f t="shared" ca="1" si="212"/>
        <v/>
      </c>
      <c r="BA184" s="103" t="str">
        <f t="shared" ca="1" si="212"/>
        <v/>
      </c>
      <c r="BB184" s="103" t="str">
        <f t="shared" ca="1" si="212"/>
        <v/>
      </c>
      <c r="BC184" s="103" t="str">
        <f t="shared" ca="1" si="212"/>
        <v/>
      </c>
      <c r="BD184" s="103" t="str">
        <f t="shared" ca="1" si="212"/>
        <v/>
      </c>
      <c r="BE184" s="103" t="str">
        <f t="shared" ca="1" si="212"/>
        <v/>
      </c>
      <c r="BF184" s="103" t="str">
        <f t="shared" ca="1" si="212"/>
        <v/>
      </c>
      <c r="BG184" s="103" t="str">
        <f t="shared" ca="1" si="212"/>
        <v/>
      </c>
      <c r="BH184" s="103" t="str">
        <f t="shared" ca="1" si="212"/>
        <v/>
      </c>
      <c r="BI184" s="103" t="str">
        <f t="shared" ca="1" si="212"/>
        <v/>
      </c>
      <c r="BK184" s="105"/>
      <c r="BL184" s="105"/>
      <c r="BM184" s="105"/>
      <c r="BN184" s="105"/>
      <c r="BO184" s="105"/>
      <c r="BP184" s="105"/>
    </row>
    <row r="185" spans="1:68" ht="15" customHeight="1" outlineLevel="1">
      <c r="A185" s="6"/>
      <c r="I185" s="3"/>
      <c r="J185" s="3"/>
      <c r="K185" s="3"/>
      <c r="N185" s="6"/>
      <c r="P185" s="6"/>
      <c r="Q185" s="17" t="str">
        <f ca="1">IF($D$2=FALSE,"-",IF(W$13="","",Q181))</f>
        <v>Additions to RE</v>
      </c>
      <c r="R185" s="17"/>
      <c r="S185" s="17"/>
      <c r="T185" s="17"/>
      <c r="U185" s="17"/>
      <c r="V185" s="6"/>
      <c r="W185" s="116" t="e">
        <f t="shared" ca="1" si="209"/>
        <v>#N/A</v>
      </c>
      <c r="X185" s="116">
        <f t="shared" ca="1" si="209"/>
        <v>35.812562506148772</v>
      </c>
      <c r="Y185" s="116">
        <f t="shared" ca="1" si="209"/>
        <v>44.887715450472477</v>
      </c>
      <c r="Z185" s="116">
        <f t="shared" ca="1" si="209"/>
        <v>52.287705362310795</v>
      </c>
      <c r="AA185" s="116">
        <f t="shared" ca="1" si="209"/>
        <v>62.153480445209709</v>
      </c>
      <c r="AB185" s="116">
        <f t="shared" ca="1" si="209"/>
        <v>68.438574843154768</v>
      </c>
      <c r="AC185" s="114"/>
      <c r="AD185" s="116" t="e">
        <f ca="1">IF($D$2=FALSE,"-",IF(AD$13="","",OFFSET($AF185,0,$F$4-AD$7-1)+OFFSET($AF185,0,$F$4-1)-OFFSET($AF185,0,$F$4-$E$5-1)))</f>
        <v>#N/A</v>
      </c>
      <c r="AF185" s="124" t="e">
        <f t="shared" ref="AF185:BI185" ca="1" si="213">IF($D$2=FALSE,"-",IF(AF$13="","",+SUM(AF182:AF184)))</f>
        <v>#N/A</v>
      </c>
      <c r="AG185" s="125">
        <f t="shared" ca="1" si="213"/>
        <v>35.812562506148772</v>
      </c>
      <c r="AH185" s="125">
        <f t="shared" ca="1" si="213"/>
        <v>44.887715450472477</v>
      </c>
      <c r="AI185" s="125">
        <f t="shared" ca="1" si="213"/>
        <v>52.287705362310795</v>
      </c>
      <c r="AJ185" s="125">
        <f t="shared" ca="1" si="213"/>
        <v>62.153480445209709</v>
      </c>
      <c r="AK185" s="125">
        <f t="shared" ca="1" si="213"/>
        <v>68.438574843154768</v>
      </c>
      <c r="AL185" s="125" t="str">
        <f t="shared" ca="1" si="213"/>
        <v/>
      </c>
      <c r="AM185" s="125" t="str">
        <f t="shared" ca="1" si="213"/>
        <v/>
      </c>
      <c r="AN185" s="125" t="str">
        <f t="shared" ca="1" si="213"/>
        <v/>
      </c>
      <c r="AO185" s="125" t="str">
        <f t="shared" ca="1" si="213"/>
        <v/>
      </c>
      <c r="AP185" s="125" t="str">
        <f t="shared" ca="1" si="213"/>
        <v/>
      </c>
      <c r="AQ185" s="125" t="str">
        <f t="shared" ca="1" si="213"/>
        <v/>
      </c>
      <c r="AR185" s="125" t="str">
        <f t="shared" ca="1" si="213"/>
        <v/>
      </c>
      <c r="AS185" s="125" t="str">
        <f t="shared" ca="1" si="213"/>
        <v/>
      </c>
      <c r="AT185" s="125" t="str">
        <f t="shared" ca="1" si="213"/>
        <v/>
      </c>
      <c r="AU185" s="125" t="str">
        <f t="shared" ca="1" si="213"/>
        <v/>
      </c>
      <c r="AV185" s="125" t="str">
        <f t="shared" ca="1" si="213"/>
        <v/>
      </c>
      <c r="AW185" s="125" t="str">
        <f t="shared" ca="1" si="213"/>
        <v/>
      </c>
      <c r="AX185" s="125" t="str">
        <f t="shared" ca="1" si="213"/>
        <v/>
      </c>
      <c r="AY185" s="125" t="str">
        <f t="shared" ca="1" si="213"/>
        <v/>
      </c>
      <c r="AZ185" s="125" t="str">
        <f t="shared" ca="1" si="213"/>
        <v/>
      </c>
      <c r="BA185" s="125" t="str">
        <f t="shared" ca="1" si="213"/>
        <v/>
      </c>
      <c r="BB185" s="125" t="str">
        <f t="shared" ca="1" si="213"/>
        <v/>
      </c>
      <c r="BC185" s="125" t="str">
        <f t="shared" ca="1" si="213"/>
        <v/>
      </c>
      <c r="BD185" s="125" t="str">
        <f t="shared" ca="1" si="213"/>
        <v/>
      </c>
      <c r="BE185" s="125" t="str">
        <f t="shared" ca="1" si="213"/>
        <v/>
      </c>
      <c r="BF185" s="125" t="str">
        <f t="shared" ca="1" si="213"/>
        <v/>
      </c>
      <c r="BG185" s="125" t="str">
        <f t="shared" ca="1" si="213"/>
        <v/>
      </c>
      <c r="BH185" s="125" t="str">
        <f t="shared" ca="1" si="213"/>
        <v/>
      </c>
      <c r="BI185" s="125" t="str">
        <f t="shared" ca="1" si="213"/>
        <v/>
      </c>
      <c r="BK185" s="84"/>
      <c r="BL185" s="84"/>
      <c r="BM185" s="84"/>
      <c r="BN185" s="84"/>
      <c r="BO185" s="84"/>
      <c r="BP185" s="84"/>
    </row>
    <row r="186" spans="1:68" ht="15" customHeight="1" outlineLevel="1">
      <c r="A186" s="111"/>
      <c r="B186" s="111"/>
      <c r="C186" s="111"/>
      <c r="D186" s="111"/>
      <c r="E186" s="111"/>
      <c r="F186" s="111"/>
      <c r="G186" s="111"/>
      <c r="H186" s="111"/>
      <c r="I186" s="111"/>
      <c r="J186" s="111"/>
      <c r="K186" s="111"/>
      <c r="L186" s="111"/>
      <c r="M186" s="111"/>
      <c r="N186" s="111"/>
      <c r="O186" s="111"/>
      <c r="P186" s="222"/>
      <c r="Q186" s="6"/>
      <c r="R186" s="6"/>
      <c r="S186" s="6"/>
      <c r="T186" s="6"/>
      <c r="U186" s="6"/>
      <c r="V186" s="17"/>
      <c r="W186" s="69"/>
      <c r="X186" s="69"/>
      <c r="Y186" s="69"/>
      <c r="Z186" s="69"/>
      <c r="AA186" s="69"/>
      <c r="AB186" s="69"/>
      <c r="AC186" s="17"/>
      <c r="AD186" s="20"/>
      <c r="AE186" s="17"/>
      <c r="AF186" s="21"/>
      <c r="AG186" s="20"/>
      <c r="AH186" s="20"/>
      <c r="AI186" s="20"/>
      <c r="AJ186" s="20"/>
      <c r="AK186" s="20"/>
      <c r="AL186" s="20"/>
      <c r="AM186" s="20"/>
      <c r="AN186" s="20"/>
      <c r="AO186" s="20"/>
      <c r="AP186" s="20"/>
      <c r="AQ186" s="20"/>
      <c r="AR186" s="20"/>
      <c r="AS186" s="20"/>
      <c r="AT186" s="20"/>
      <c r="AU186" s="20"/>
      <c r="AV186" s="20"/>
      <c r="AW186" s="20"/>
      <c r="AX186" s="20"/>
      <c r="AY186" s="20"/>
      <c r="AZ186" s="20"/>
      <c r="BA186" s="20"/>
      <c r="BB186" s="20"/>
      <c r="BC186" s="20"/>
      <c r="BD186" s="20"/>
      <c r="BE186" s="20"/>
      <c r="BF186" s="20"/>
      <c r="BG186" s="20"/>
      <c r="BH186" s="20"/>
      <c r="BI186" s="20"/>
      <c r="BK186" s="239"/>
      <c r="BL186" s="239"/>
      <c r="BM186" s="239"/>
      <c r="BN186" s="239"/>
      <c r="BO186" s="239"/>
      <c r="BP186" s="239"/>
    </row>
    <row r="187" spans="1:68" ht="15" customHeight="1" outlineLevel="1">
      <c r="M187" s="246"/>
      <c r="P187" s="3"/>
      <c r="AF187" s="97"/>
      <c r="AG187" s="98"/>
      <c r="AH187" s="98"/>
      <c r="AI187" s="98"/>
      <c r="AJ187" s="98"/>
      <c r="AK187" s="98"/>
      <c r="AL187" s="98"/>
      <c r="AM187" s="98"/>
      <c r="AN187" s="98"/>
      <c r="AO187" s="98"/>
      <c r="AP187" s="98"/>
      <c r="AQ187" s="98"/>
      <c r="AR187" s="98"/>
      <c r="AS187" s="98"/>
      <c r="AT187" s="98"/>
      <c r="AU187" s="98"/>
      <c r="AV187" s="98"/>
      <c r="AW187" s="98"/>
      <c r="AX187" s="98"/>
      <c r="AY187" s="98"/>
      <c r="AZ187" s="98"/>
      <c r="BA187" s="98"/>
      <c r="BB187" s="98"/>
      <c r="BC187" s="98"/>
      <c r="BD187" s="98"/>
      <c r="BE187" s="98"/>
      <c r="BF187" s="98"/>
      <c r="BG187" s="98"/>
      <c r="BH187" s="98"/>
      <c r="BI187" s="98"/>
      <c r="BK187" s="84"/>
      <c r="BL187" s="84"/>
      <c r="BM187" s="84"/>
      <c r="BN187" s="84"/>
      <c r="BO187" s="84"/>
      <c r="BP187" s="84"/>
    </row>
    <row r="188" spans="1:68" ht="15" customHeight="1" outlineLevel="1"/>
    <row r="191" spans="1:68" ht="15" customHeight="1">
      <c r="W191" s="7" t="str">
        <f t="shared" ref="W191:AB191" ca="1" si="214">IF($D$2=FALSE,"-",IF(W$11="","",W$11))</f>
        <v>ACT.</v>
      </c>
      <c r="X191" s="7" t="str">
        <f t="shared" ca="1" si="214"/>
        <v>EST.</v>
      </c>
      <c r="Y191" s="7" t="str">
        <f t="shared" ca="1" si="214"/>
        <v>EST.</v>
      </c>
      <c r="Z191" s="7" t="str">
        <f t="shared" ca="1" si="214"/>
        <v>EST.</v>
      </c>
      <c r="AA191" s="7" t="str">
        <f t="shared" ca="1" si="214"/>
        <v>EST.</v>
      </c>
      <c r="AB191" s="7" t="str">
        <f t="shared" ca="1" si="214"/>
        <v>EST.</v>
      </c>
      <c r="AD191" s="7" t="e">
        <f ca="1">IF($D$2=FALSE,"-",IF(AD$11="","",AD$11))</f>
        <v>#N/A</v>
      </c>
      <c r="AF191" s="8" t="str">
        <f t="shared" ref="AF191:BI191" ca="1" si="215">IF($D$2=FALSE,"-",IF(AF$11="","",AF$11))</f>
        <v>ACT.</v>
      </c>
      <c r="AG191" s="7" t="str">
        <f t="shared" ca="1" si="215"/>
        <v>EST.</v>
      </c>
      <c r="AH191" s="7" t="str">
        <f t="shared" ca="1" si="215"/>
        <v>EST.</v>
      </c>
      <c r="AI191" s="7" t="str">
        <f t="shared" ca="1" si="215"/>
        <v>EST.</v>
      </c>
      <c r="AJ191" s="7" t="str">
        <f t="shared" ca="1" si="215"/>
        <v>EST.</v>
      </c>
      <c r="AK191" s="7" t="str">
        <f t="shared" ca="1" si="215"/>
        <v>EST.</v>
      </c>
      <c r="AL191" s="7" t="str">
        <f t="shared" ca="1" si="215"/>
        <v/>
      </c>
      <c r="AM191" s="7" t="str">
        <f t="shared" ca="1" si="215"/>
        <v/>
      </c>
      <c r="AN191" s="7" t="str">
        <f t="shared" ca="1" si="215"/>
        <v/>
      </c>
      <c r="AO191" s="7" t="str">
        <f t="shared" ca="1" si="215"/>
        <v/>
      </c>
      <c r="AP191" s="7" t="str">
        <f t="shared" ca="1" si="215"/>
        <v/>
      </c>
      <c r="AQ191" s="7" t="str">
        <f t="shared" ca="1" si="215"/>
        <v/>
      </c>
      <c r="AR191" s="7" t="str">
        <f t="shared" ca="1" si="215"/>
        <v/>
      </c>
      <c r="AS191" s="7" t="str">
        <f t="shared" ca="1" si="215"/>
        <v/>
      </c>
      <c r="AT191" s="7" t="str">
        <f t="shared" ca="1" si="215"/>
        <v/>
      </c>
      <c r="AU191" s="7" t="str">
        <f t="shared" ca="1" si="215"/>
        <v/>
      </c>
      <c r="AV191" s="7" t="str">
        <f t="shared" ca="1" si="215"/>
        <v/>
      </c>
      <c r="AW191" s="7" t="str">
        <f t="shared" ca="1" si="215"/>
        <v/>
      </c>
      <c r="AX191" s="7" t="str">
        <f t="shared" ca="1" si="215"/>
        <v/>
      </c>
      <c r="AY191" s="7" t="str">
        <f t="shared" ca="1" si="215"/>
        <v/>
      </c>
      <c r="AZ191" s="7" t="str">
        <f t="shared" ca="1" si="215"/>
        <v/>
      </c>
      <c r="BA191" s="7" t="str">
        <f t="shared" ca="1" si="215"/>
        <v/>
      </c>
      <c r="BB191" s="7" t="str">
        <f t="shared" ca="1" si="215"/>
        <v/>
      </c>
      <c r="BC191" s="7" t="str">
        <f t="shared" ca="1" si="215"/>
        <v/>
      </c>
      <c r="BD191" s="7" t="str">
        <f t="shared" ca="1" si="215"/>
        <v/>
      </c>
      <c r="BE191" s="7" t="str">
        <f t="shared" ca="1" si="215"/>
        <v/>
      </c>
      <c r="BF191" s="7" t="str">
        <f t="shared" ca="1" si="215"/>
        <v/>
      </c>
      <c r="BG191" s="7" t="str">
        <f t="shared" ca="1" si="215"/>
        <v/>
      </c>
      <c r="BH191" s="7" t="str">
        <f t="shared" ca="1" si="215"/>
        <v/>
      </c>
      <c r="BI191" s="7" t="str">
        <f t="shared" ca="1" si="215"/>
        <v/>
      </c>
    </row>
    <row r="192" spans="1:68" ht="5" customHeight="1">
      <c r="AD192" s="62"/>
      <c r="AG192" s="3"/>
      <c r="AH192" s="3"/>
      <c r="AI192" s="3"/>
      <c r="AJ192" s="3"/>
      <c r="AK192" s="3"/>
      <c r="AL192" s="3"/>
      <c r="AM192" s="3"/>
      <c r="AN192" s="3"/>
      <c r="AO192" s="3"/>
      <c r="AP192" s="3"/>
      <c r="AQ192" s="3"/>
      <c r="AR192" s="3"/>
      <c r="AS192" s="3"/>
      <c r="AT192" s="3"/>
      <c r="AU192" s="3"/>
      <c r="AV192" s="3"/>
      <c r="AW192" s="3"/>
      <c r="AX192" s="3"/>
      <c r="AY192" s="3"/>
      <c r="AZ192" s="3"/>
      <c r="BA192" s="3"/>
      <c r="BB192" s="3"/>
      <c r="BC192" s="3"/>
      <c r="BD192" s="3"/>
      <c r="BE192" s="3"/>
      <c r="BF192" s="3"/>
      <c r="BG192" s="3"/>
      <c r="BH192" s="3"/>
      <c r="BI192" s="3"/>
    </row>
    <row r="193" spans="1:68" ht="15" customHeight="1">
      <c r="A193" s="13"/>
      <c r="N193" s="13"/>
      <c r="P193" s="295" t="s">
        <v>219</v>
      </c>
      <c r="Q193" s="43" t="s">
        <v>14</v>
      </c>
      <c r="R193" s="43"/>
      <c r="S193" s="43"/>
      <c r="T193" s="43"/>
      <c r="U193" s="43"/>
      <c r="V193" s="13"/>
      <c r="W193" s="7">
        <f t="shared" ref="W193:AB193" ca="1" si="216">IF($D$2=FALSE,"-",IF(W$13="","",W$13))</f>
        <v>44926</v>
      </c>
      <c r="X193" s="7">
        <f t="shared" ca="1" si="216"/>
        <v>45291</v>
      </c>
      <c r="Y193" s="7">
        <f t="shared" ca="1" si="216"/>
        <v>45657</v>
      </c>
      <c r="Z193" s="7">
        <f t="shared" ca="1" si="216"/>
        <v>46022</v>
      </c>
      <c r="AA193" s="7">
        <f t="shared" ca="1" si="216"/>
        <v>46387</v>
      </c>
      <c r="AB193" s="7">
        <f t="shared" ca="1" si="216"/>
        <v>46752</v>
      </c>
      <c r="AC193" s="13"/>
      <c r="AD193" s="7" t="e">
        <f ca="1">IF($D$2=FALSE,"-",IF(AD$13="","",AD$13))</f>
        <v>#N/A</v>
      </c>
      <c r="AE193" s="13"/>
      <c r="AF193" s="8">
        <f t="shared" ref="AF193:BI193" ca="1" si="217">IF($D$2=FALSE,"-",IF(AF$13="","",AF$13))</f>
        <v>44926</v>
      </c>
      <c r="AG193" s="7">
        <f t="shared" ca="1" si="217"/>
        <v>45291</v>
      </c>
      <c r="AH193" s="7">
        <f t="shared" ca="1" si="217"/>
        <v>45657</v>
      </c>
      <c r="AI193" s="7">
        <f t="shared" ca="1" si="217"/>
        <v>46022</v>
      </c>
      <c r="AJ193" s="7">
        <f t="shared" ca="1" si="217"/>
        <v>46387</v>
      </c>
      <c r="AK193" s="7">
        <f t="shared" ca="1" si="217"/>
        <v>46752</v>
      </c>
      <c r="AL193" s="7" t="str">
        <f t="shared" ca="1" si="217"/>
        <v/>
      </c>
      <c r="AM193" s="7" t="str">
        <f t="shared" ca="1" si="217"/>
        <v/>
      </c>
      <c r="AN193" s="7" t="str">
        <f t="shared" ca="1" si="217"/>
        <v/>
      </c>
      <c r="AO193" s="7" t="str">
        <f t="shared" ca="1" si="217"/>
        <v/>
      </c>
      <c r="AP193" s="7" t="str">
        <f t="shared" ca="1" si="217"/>
        <v/>
      </c>
      <c r="AQ193" s="7" t="str">
        <f t="shared" ca="1" si="217"/>
        <v/>
      </c>
      <c r="AR193" s="7" t="str">
        <f t="shared" ca="1" si="217"/>
        <v/>
      </c>
      <c r="AS193" s="7" t="str">
        <f t="shared" ca="1" si="217"/>
        <v/>
      </c>
      <c r="AT193" s="7" t="str">
        <f t="shared" ca="1" si="217"/>
        <v/>
      </c>
      <c r="AU193" s="7" t="str">
        <f t="shared" ca="1" si="217"/>
        <v/>
      </c>
      <c r="AV193" s="7" t="str">
        <f t="shared" ca="1" si="217"/>
        <v/>
      </c>
      <c r="AW193" s="7" t="str">
        <f t="shared" ca="1" si="217"/>
        <v/>
      </c>
      <c r="AX193" s="7" t="str">
        <f t="shared" ca="1" si="217"/>
        <v/>
      </c>
      <c r="AY193" s="7" t="str">
        <f t="shared" ca="1" si="217"/>
        <v/>
      </c>
      <c r="AZ193" s="7" t="str">
        <f t="shared" ca="1" si="217"/>
        <v/>
      </c>
      <c r="BA193" s="7" t="str">
        <f t="shared" ca="1" si="217"/>
        <v/>
      </c>
      <c r="BB193" s="7" t="str">
        <f t="shared" ca="1" si="217"/>
        <v/>
      </c>
      <c r="BC193" s="7" t="str">
        <f t="shared" ca="1" si="217"/>
        <v/>
      </c>
      <c r="BD193" s="7" t="str">
        <f t="shared" ca="1" si="217"/>
        <v/>
      </c>
      <c r="BE193" s="7" t="str">
        <f t="shared" ca="1" si="217"/>
        <v/>
      </c>
      <c r="BF193" s="7" t="str">
        <f t="shared" ca="1" si="217"/>
        <v/>
      </c>
      <c r="BG193" s="7" t="str">
        <f t="shared" ca="1" si="217"/>
        <v/>
      </c>
      <c r="BH193" s="7" t="str">
        <f t="shared" ca="1" si="217"/>
        <v/>
      </c>
      <c r="BI193" s="7" t="str">
        <f t="shared" ca="1" si="217"/>
        <v/>
      </c>
    </row>
    <row r="194" spans="1:68" ht="15" customHeight="1" outlineLevel="1">
      <c r="AG194" s="23"/>
      <c r="AH194" s="23"/>
      <c r="AI194" s="23"/>
      <c r="AJ194" s="23"/>
      <c r="AK194" s="23"/>
      <c r="AL194" s="23"/>
      <c r="AM194" s="23"/>
      <c r="AN194" s="23"/>
      <c r="AO194" s="23"/>
      <c r="AP194" s="23"/>
      <c r="AQ194" s="23"/>
      <c r="AR194" s="23"/>
      <c r="AS194" s="23"/>
      <c r="AT194" s="23"/>
      <c r="AU194" s="23"/>
      <c r="AV194" s="23"/>
      <c r="AW194" s="23"/>
      <c r="AX194" s="23"/>
      <c r="AY194" s="23"/>
      <c r="AZ194" s="23"/>
      <c r="BA194" s="23"/>
      <c r="BB194" s="23"/>
      <c r="BC194" s="23"/>
      <c r="BD194" s="23"/>
      <c r="BE194" s="23"/>
      <c r="BF194" s="23"/>
      <c r="BG194" s="23"/>
      <c r="BH194" s="23"/>
      <c r="BI194" s="23"/>
    </row>
    <row r="195" spans="1:68" ht="15" customHeight="1" outlineLevel="1">
      <c r="Q195" s="25" t="s">
        <v>15</v>
      </c>
      <c r="R195" s="25"/>
      <c r="S195" s="25"/>
      <c r="T195" s="25"/>
      <c r="U195" s="25"/>
      <c r="W195" s="25"/>
      <c r="X195" s="25"/>
      <c r="Y195" s="25"/>
      <c r="Z195" s="25"/>
      <c r="AA195" s="25"/>
      <c r="AB195" s="25"/>
      <c r="AD195" s="59"/>
      <c r="AF195" s="60"/>
      <c r="AG195" s="61"/>
      <c r="AH195" s="61"/>
      <c r="AI195" s="61"/>
      <c r="AJ195" s="61"/>
      <c r="AK195" s="61"/>
      <c r="AL195" s="61"/>
      <c r="AM195" s="61"/>
      <c r="AN195" s="61"/>
      <c r="AO195" s="61"/>
      <c r="AP195" s="61"/>
      <c r="AQ195" s="61"/>
      <c r="AR195" s="61"/>
      <c r="AS195" s="61"/>
      <c r="AT195" s="61"/>
      <c r="AU195" s="61"/>
      <c r="AV195" s="61"/>
      <c r="AW195" s="61"/>
      <c r="AX195" s="61"/>
      <c r="AY195" s="61"/>
      <c r="AZ195" s="61"/>
      <c r="BA195" s="61"/>
      <c r="BB195" s="61"/>
      <c r="BC195" s="61"/>
      <c r="BD195" s="61"/>
      <c r="BE195" s="61"/>
      <c r="BF195" s="61"/>
      <c r="BG195" s="61"/>
      <c r="BH195" s="61"/>
      <c r="BI195" s="61"/>
    </row>
    <row r="196" spans="1:68" ht="15" customHeight="1" outlineLevel="1">
      <c r="O196" s="11">
        <f>O52+4</f>
        <v>25</v>
      </c>
      <c r="P196" s="222"/>
      <c r="Q196" s="87" t="s">
        <v>16</v>
      </c>
      <c r="R196" s="87"/>
      <c r="S196" s="87"/>
      <c r="T196" s="87"/>
      <c r="U196" s="87"/>
      <c r="W196" s="113">
        <f t="shared" ref="W196:AB209" ca="1" si="218">IF($D$2=FALSE,"-",IF(W$13="","",OFFSET($AF196,0,W$8)))</f>
        <v>157.10599999999999</v>
      </c>
      <c r="X196" s="113">
        <f t="shared" ca="1" si="218"/>
        <v>99.646600000000007</v>
      </c>
      <c r="Y196" s="113">
        <f t="shared" ca="1" si="218"/>
        <v>99.646600000000007</v>
      </c>
      <c r="Z196" s="113">
        <f t="shared" ca="1" si="218"/>
        <v>182.16748935057788</v>
      </c>
      <c r="AA196" s="113">
        <f t="shared" ca="1" si="218"/>
        <v>272.32200000927304</v>
      </c>
      <c r="AB196" s="113">
        <f t="shared" ca="1" si="218"/>
        <v>339.14053369510907</v>
      </c>
      <c r="AC196" s="257"/>
      <c r="AD196" s="116" t="e">
        <f t="shared" ref="AD196:AD209" ca="1" si="219">IF($D$2=FALSE,"-",IF(AD$13="","",OFFSET($AF196,0,$F$4-AD$7-1)+OFFSET($AF196,0,$F$4-1)-OFFSET($AF196,0,$F$4-$E$5-1)))</f>
        <v>#N/A</v>
      </c>
      <c r="AF196" s="297">
        <f t="shared" ref="AF196:BI196" ca="1" si="220">IF($D$2=FALSE,"-",IF(AF$13="","",IF(AF$4&lt;=0,OFFSET(INDIRECT($D$3),$O196-1,$E$10-1+AF$3),MAX(0,OFFSET(AF196,0,-AF$7)+AF309))))</f>
        <v>157.10599999999999</v>
      </c>
      <c r="AG196" s="298">
        <f t="shared" ca="1" si="220"/>
        <v>99.646600000000007</v>
      </c>
      <c r="AH196" s="298">
        <f t="shared" ca="1" si="220"/>
        <v>99.646600000000007</v>
      </c>
      <c r="AI196" s="298">
        <f t="shared" ca="1" si="220"/>
        <v>182.16748935057788</v>
      </c>
      <c r="AJ196" s="298">
        <f t="shared" ca="1" si="220"/>
        <v>272.32200000927304</v>
      </c>
      <c r="AK196" s="298">
        <f t="shared" ca="1" si="220"/>
        <v>339.14053369510907</v>
      </c>
      <c r="AL196" s="298" t="str">
        <f t="shared" ca="1" si="220"/>
        <v/>
      </c>
      <c r="AM196" s="298" t="str">
        <f t="shared" ca="1" si="220"/>
        <v/>
      </c>
      <c r="AN196" s="298" t="str">
        <f t="shared" ca="1" si="220"/>
        <v/>
      </c>
      <c r="AO196" s="298" t="str">
        <f t="shared" ca="1" si="220"/>
        <v/>
      </c>
      <c r="AP196" s="298" t="str">
        <f t="shared" ca="1" si="220"/>
        <v/>
      </c>
      <c r="AQ196" s="298" t="str">
        <f t="shared" ca="1" si="220"/>
        <v/>
      </c>
      <c r="AR196" s="298" t="str">
        <f t="shared" ca="1" si="220"/>
        <v/>
      </c>
      <c r="AS196" s="298" t="str">
        <f t="shared" ca="1" si="220"/>
        <v/>
      </c>
      <c r="AT196" s="298" t="str">
        <f t="shared" ca="1" si="220"/>
        <v/>
      </c>
      <c r="AU196" s="298" t="str">
        <f t="shared" ca="1" si="220"/>
        <v/>
      </c>
      <c r="AV196" s="298" t="str">
        <f t="shared" ca="1" si="220"/>
        <v/>
      </c>
      <c r="AW196" s="298" t="str">
        <f t="shared" ca="1" si="220"/>
        <v/>
      </c>
      <c r="AX196" s="298" t="str">
        <f t="shared" ca="1" si="220"/>
        <v/>
      </c>
      <c r="AY196" s="298" t="str">
        <f t="shared" ca="1" si="220"/>
        <v/>
      </c>
      <c r="AZ196" s="298" t="str">
        <f t="shared" ca="1" si="220"/>
        <v/>
      </c>
      <c r="BA196" s="298" t="str">
        <f t="shared" ca="1" si="220"/>
        <v/>
      </c>
      <c r="BB196" s="298" t="str">
        <f t="shared" ca="1" si="220"/>
        <v/>
      </c>
      <c r="BC196" s="298" t="str">
        <f t="shared" ca="1" si="220"/>
        <v/>
      </c>
      <c r="BD196" s="298" t="str">
        <f t="shared" ca="1" si="220"/>
        <v/>
      </c>
      <c r="BE196" s="298" t="str">
        <f t="shared" ca="1" si="220"/>
        <v/>
      </c>
      <c r="BF196" s="298" t="str">
        <f t="shared" ca="1" si="220"/>
        <v/>
      </c>
      <c r="BG196" s="298" t="str">
        <f t="shared" ca="1" si="220"/>
        <v/>
      </c>
      <c r="BH196" s="298" t="str">
        <f t="shared" ca="1" si="220"/>
        <v/>
      </c>
      <c r="BI196" s="298" t="str">
        <f t="shared" ca="1" si="220"/>
        <v/>
      </c>
      <c r="BK196" s="84"/>
      <c r="BL196" s="84"/>
      <c r="BM196" s="84"/>
      <c r="BN196" s="84"/>
      <c r="BO196" s="84"/>
      <c r="BP196" s="84"/>
    </row>
    <row r="197" spans="1:68" ht="15" customHeight="1" outlineLevel="1">
      <c r="I197" s="3"/>
      <c r="J197" s="3"/>
      <c r="K197" s="3"/>
      <c r="O197" s="11">
        <f>O196+1</f>
        <v>26</v>
      </c>
      <c r="P197" s="222"/>
      <c r="Q197" s="87" t="s">
        <v>17</v>
      </c>
      <c r="R197" s="87"/>
      <c r="S197" s="87"/>
      <c r="T197" s="87"/>
      <c r="U197" s="87"/>
      <c r="W197" s="116">
        <f t="shared" ca="1" si="218"/>
        <v>136.44300000000001</v>
      </c>
      <c r="X197" s="116">
        <f t="shared" ca="1" si="218"/>
        <v>143.26515000000003</v>
      </c>
      <c r="Y197" s="116">
        <f t="shared" ca="1" si="218"/>
        <v>150.42840750000002</v>
      </c>
      <c r="Z197" s="116">
        <f t="shared" ca="1" si="218"/>
        <v>157.94982787500004</v>
      </c>
      <c r="AA197" s="116">
        <f t="shared" ca="1" si="218"/>
        <v>165.84731926875003</v>
      </c>
      <c r="AB197" s="116">
        <f t="shared" ca="1" si="218"/>
        <v>174.13968523218753</v>
      </c>
      <c r="AC197" s="114"/>
      <c r="AD197" s="116" t="e">
        <f t="shared" ca="1" si="219"/>
        <v>#N/A</v>
      </c>
      <c r="AE197" s="6"/>
      <c r="AF197" s="118">
        <f t="shared" ref="AF197:BI197" ca="1" si="221">IF($D$2=FALSE,"-",IF(AF$13="","",IF(AF$4&lt;=0,OFFSET(INDIRECT($D$3),$O197-1,$E$10-1+AF$3),AF236)))</f>
        <v>136.44300000000001</v>
      </c>
      <c r="AG197" s="116">
        <f t="shared" ca="1" si="221"/>
        <v>143.26515000000003</v>
      </c>
      <c r="AH197" s="116">
        <f t="shared" ca="1" si="221"/>
        <v>150.42840750000002</v>
      </c>
      <c r="AI197" s="116">
        <f t="shared" ca="1" si="221"/>
        <v>157.94982787500004</v>
      </c>
      <c r="AJ197" s="116">
        <f t="shared" ca="1" si="221"/>
        <v>165.84731926875003</v>
      </c>
      <c r="AK197" s="116">
        <f t="shared" ca="1" si="221"/>
        <v>174.13968523218753</v>
      </c>
      <c r="AL197" s="116" t="str">
        <f t="shared" ca="1" si="221"/>
        <v/>
      </c>
      <c r="AM197" s="116" t="str">
        <f t="shared" ca="1" si="221"/>
        <v/>
      </c>
      <c r="AN197" s="116" t="str">
        <f t="shared" ca="1" si="221"/>
        <v/>
      </c>
      <c r="AO197" s="116" t="str">
        <f t="shared" ca="1" si="221"/>
        <v/>
      </c>
      <c r="AP197" s="116" t="str">
        <f t="shared" ca="1" si="221"/>
        <v/>
      </c>
      <c r="AQ197" s="116" t="str">
        <f t="shared" ca="1" si="221"/>
        <v/>
      </c>
      <c r="AR197" s="116" t="str">
        <f t="shared" ca="1" si="221"/>
        <v/>
      </c>
      <c r="AS197" s="116" t="str">
        <f t="shared" ca="1" si="221"/>
        <v/>
      </c>
      <c r="AT197" s="116" t="str">
        <f t="shared" ca="1" si="221"/>
        <v/>
      </c>
      <c r="AU197" s="116" t="str">
        <f t="shared" ca="1" si="221"/>
        <v/>
      </c>
      <c r="AV197" s="116" t="str">
        <f t="shared" ca="1" si="221"/>
        <v/>
      </c>
      <c r="AW197" s="116" t="str">
        <f t="shared" ca="1" si="221"/>
        <v/>
      </c>
      <c r="AX197" s="116" t="str">
        <f t="shared" ca="1" si="221"/>
        <v/>
      </c>
      <c r="AY197" s="116" t="str">
        <f t="shared" ca="1" si="221"/>
        <v/>
      </c>
      <c r="AZ197" s="116" t="str">
        <f t="shared" ca="1" si="221"/>
        <v/>
      </c>
      <c r="BA197" s="116" t="str">
        <f t="shared" ca="1" si="221"/>
        <v/>
      </c>
      <c r="BB197" s="116" t="str">
        <f t="shared" ca="1" si="221"/>
        <v/>
      </c>
      <c r="BC197" s="116" t="str">
        <f t="shared" ca="1" si="221"/>
        <v/>
      </c>
      <c r="BD197" s="116" t="str">
        <f t="shared" ca="1" si="221"/>
        <v/>
      </c>
      <c r="BE197" s="116" t="str">
        <f t="shared" ca="1" si="221"/>
        <v/>
      </c>
      <c r="BF197" s="116" t="str">
        <f t="shared" ca="1" si="221"/>
        <v/>
      </c>
      <c r="BG197" s="116" t="str">
        <f t="shared" ca="1" si="221"/>
        <v/>
      </c>
      <c r="BH197" s="116" t="str">
        <f t="shared" ca="1" si="221"/>
        <v/>
      </c>
      <c r="BI197" s="116" t="str">
        <f t="shared" ca="1" si="221"/>
        <v/>
      </c>
      <c r="BK197" s="84"/>
      <c r="BL197" s="84"/>
      <c r="BM197" s="84"/>
      <c r="BN197" s="84"/>
      <c r="BO197" s="84"/>
      <c r="BP197" s="84"/>
    </row>
    <row r="198" spans="1:68" ht="15" customHeight="1" outlineLevel="1">
      <c r="O198" s="11">
        <f>O197+1</f>
        <v>27</v>
      </c>
      <c r="P198" s="222"/>
      <c r="Q198" s="87" t="s">
        <v>30</v>
      </c>
      <c r="R198" s="87"/>
      <c r="S198" s="87"/>
      <c r="T198" s="87"/>
      <c r="U198" s="87"/>
      <c r="W198" s="116">
        <f t="shared" ca="1" si="218"/>
        <v>5</v>
      </c>
      <c r="X198" s="116">
        <f t="shared" ca="1" si="218"/>
        <v>5.25</v>
      </c>
      <c r="Y198" s="116">
        <f t="shared" ca="1" si="218"/>
        <v>5.5124999999999993</v>
      </c>
      <c r="Z198" s="116">
        <f t="shared" ca="1" si="218"/>
        <v>5.788125</v>
      </c>
      <c r="AA198" s="116">
        <f t="shared" ca="1" si="218"/>
        <v>6.0775312499999998</v>
      </c>
      <c r="AB198" s="116">
        <f t="shared" ca="1" si="218"/>
        <v>6.3814078125</v>
      </c>
      <c r="AC198" s="114"/>
      <c r="AD198" s="116" t="e">
        <f t="shared" ca="1" si="219"/>
        <v>#N/A</v>
      </c>
      <c r="AE198" s="6"/>
      <c r="AF198" s="118">
        <f t="shared" ref="AF198:BI198" ca="1" si="222">IF($D$2=FALSE,"-",IF(AF$13="","",IF(AF$4&lt;=0,OFFSET(INDIRECT($D$3),$O198-1,$E$10-1+AF$3),AF237)))</f>
        <v>5</v>
      </c>
      <c r="AG198" s="116">
        <f t="shared" ca="1" si="222"/>
        <v>5.25</v>
      </c>
      <c r="AH198" s="116">
        <f t="shared" ca="1" si="222"/>
        <v>5.5124999999999993</v>
      </c>
      <c r="AI198" s="116">
        <f t="shared" ca="1" si="222"/>
        <v>5.788125</v>
      </c>
      <c r="AJ198" s="116">
        <f t="shared" ca="1" si="222"/>
        <v>6.0775312499999998</v>
      </c>
      <c r="AK198" s="116">
        <f t="shared" ca="1" si="222"/>
        <v>6.3814078125</v>
      </c>
      <c r="AL198" s="116" t="str">
        <f t="shared" ca="1" si="222"/>
        <v/>
      </c>
      <c r="AM198" s="116" t="str">
        <f t="shared" ca="1" si="222"/>
        <v/>
      </c>
      <c r="AN198" s="116" t="str">
        <f t="shared" ca="1" si="222"/>
        <v/>
      </c>
      <c r="AO198" s="116" t="str">
        <f t="shared" ca="1" si="222"/>
        <v/>
      </c>
      <c r="AP198" s="116" t="str">
        <f t="shared" ca="1" si="222"/>
        <v/>
      </c>
      <c r="AQ198" s="116" t="str">
        <f t="shared" ca="1" si="222"/>
        <v/>
      </c>
      <c r="AR198" s="116" t="str">
        <f t="shared" ca="1" si="222"/>
        <v/>
      </c>
      <c r="AS198" s="116" t="str">
        <f t="shared" ca="1" si="222"/>
        <v/>
      </c>
      <c r="AT198" s="116" t="str">
        <f t="shared" ca="1" si="222"/>
        <v/>
      </c>
      <c r="AU198" s="116" t="str">
        <f t="shared" ca="1" si="222"/>
        <v/>
      </c>
      <c r="AV198" s="116" t="str">
        <f t="shared" ca="1" si="222"/>
        <v/>
      </c>
      <c r="AW198" s="116" t="str">
        <f t="shared" ca="1" si="222"/>
        <v/>
      </c>
      <c r="AX198" s="116" t="str">
        <f t="shared" ca="1" si="222"/>
        <v/>
      </c>
      <c r="AY198" s="116" t="str">
        <f t="shared" ca="1" si="222"/>
        <v/>
      </c>
      <c r="AZ198" s="116" t="str">
        <f t="shared" ca="1" si="222"/>
        <v/>
      </c>
      <c r="BA198" s="116" t="str">
        <f t="shared" ca="1" si="222"/>
        <v/>
      </c>
      <c r="BB198" s="116" t="str">
        <f t="shared" ca="1" si="222"/>
        <v/>
      </c>
      <c r="BC198" s="116" t="str">
        <f t="shared" ca="1" si="222"/>
        <v/>
      </c>
      <c r="BD198" s="116" t="str">
        <f t="shared" ca="1" si="222"/>
        <v/>
      </c>
      <c r="BE198" s="116" t="str">
        <f t="shared" ca="1" si="222"/>
        <v/>
      </c>
      <c r="BF198" s="116" t="str">
        <f t="shared" ca="1" si="222"/>
        <v/>
      </c>
      <c r="BG198" s="116" t="str">
        <f t="shared" ca="1" si="222"/>
        <v/>
      </c>
      <c r="BH198" s="116" t="str">
        <f t="shared" ca="1" si="222"/>
        <v/>
      </c>
      <c r="BI198" s="116" t="str">
        <f t="shared" ca="1" si="222"/>
        <v/>
      </c>
      <c r="BK198" s="84"/>
      <c r="BL198" s="84"/>
      <c r="BM198" s="84"/>
      <c r="BN198" s="84"/>
      <c r="BO198" s="84"/>
      <c r="BP198" s="84"/>
    </row>
    <row r="199" spans="1:68" ht="15" customHeight="1" outlineLevel="1">
      <c r="A199" s="6"/>
      <c r="I199" s="3"/>
      <c r="J199" s="3"/>
      <c r="K199" s="3"/>
      <c r="N199" s="6"/>
      <c r="O199" s="11">
        <f>O198+1</f>
        <v>28</v>
      </c>
      <c r="P199" s="222"/>
      <c r="Q199" s="87" t="s">
        <v>48</v>
      </c>
      <c r="R199" s="87"/>
      <c r="S199" s="87"/>
      <c r="T199" s="87"/>
      <c r="U199" s="87"/>
      <c r="V199" s="6"/>
      <c r="W199" s="116">
        <f t="shared" ca="1" si="218"/>
        <v>8.8279999999999994</v>
      </c>
      <c r="X199" s="116">
        <f t="shared" ca="1" si="218"/>
        <v>9.2693999999999992</v>
      </c>
      <c r="Y199" s="116">
        <f t="shared" ca="1" si="218"/>
        <v>9.7328700000000001</v>
      </c>
      <c r="Z199" s="116">
        <f t="shared" ca="1" si="218"/>
        <v>10.2195135</v>
      </c>
      <c r="AA199" s="116">
        <f t="shared" ca="1" si="218"/>
        <v>10.730489174999999</v>
      </c>
      <c r="AB199" s="116">
        <f t="shared" ca="1" si="218"/>
        <v>11.26701363375</v>
      </c>
      <c r="AC199" s="114"/>
      <c r="AD199" s="116" t="e">
        <f t="shared" ca="1" si="219"/>
        <v>#N/A</v>
      </c>
      <c r="AE199" s="6"/>
      <c r="AF199" s="118">
        <f t="shared" ref="AF199:BI199" ca="1" si="223">IF($D$2=FALSE,"-",IF(AF$13="","",IF(AF$4&lt;=0,OFFSET(INDIRECT($D$3),$O199-1,$E$10-1+AF$3),AF238)))</f>
        <v>8.8279999999999994</v>
      </c>
      <c r="AG199" s="116">
        <f t="shared" ca="1" si="223"/>
        <v>9.2693999999999992</v>
      </c>
      <c r="AH199" s="116">
        <f t="shared" ca="1" si="223"/>
        <v>9.7328700000000001</v>
      </c>
      <c r="AI199" s="116">
        <f t="shared" ca="1" si="223"/>
        <v>10.2195135</v>
      </c>
      <c r="AJ199" s="116">
        <f t="shared" ca="1" si="223"/>
        <v>10.730489174999999</v>
      </c>
      <c r="AK199" s="116">
        <f t="shared" ca="1" si="223"/>
        <v>11.26701363375</v>
      </c>
      <c r="AL199" s="116" t="str">
        <f t="shared" ca="1" si="223"/>
        <v/>
      </c>
      <c r="AM199" s="116" t="str">
        <f t="shared" ca="1" si="223"/>
        <v/>
      </c>
      <c r="AN199" s="116" t="str">
        <f t="shared" ca="1" si="223"/>
        <v/>
      </c>
      <c r="AO199" s="116" t="str">
        <f t="shared" ca="1" si="223"/>
        <v/>
      </c>
      <c r="AP199" s="116" t="str">
        <f t="shared" ca="1" si="223"/>
        <v/>
      </c>
      <c r="AQ199" s="116" t="str">
        <f t="shared" ca="1" si="223"/>
        <v/>
      </c>
      <c r="AR199" s="116" t="str">
        <f t="shared" ca="1" si="223"/>
        <v/>
      </c>
      <c r="AS199" s="116" t="str">
        <f t="shared" ca="1" si="223"/>
        <v/>
      </c>
      <c r="AT199" s="116" t="str">
        <f t="shared" ca="1" si="223"/>
        <v/>
      </c>
      <c r="AU199" s="116" t="str">
        <f t="shared" ca="1" si="223"/>
        <v/>
      </c>
      <c r="AV199" s="116" t="str">
        <f t="shared" ca="1" si="223"/>
        <v/>
      </c>
      <c r="AW199" s="116" t="str">
        <f t="shared" ca="1" si="223"/>
        <v/>
      </c>
      <c r="AX199" s="116" t="str">
        <f t="shared" ca="1" si="223"/>
        <v/>
      </c>
      <c r="AY199" s="116" t="str">
        <f t="shared" ca="1" si="223"/>
        <v/>
      </c>
      <c r="AZ199" s="116" t="str">
        <f t="shared" ca="1" si="223"/>
        <v/>
      </c>
      <c r="BA199" s="116" t="str">
        <f t="shared" ca="1" si="223"/>
        <v/>
      </c>
      <c r="BB199" s="116" t="str">
        <f t="shared" ca="1" si="223"/>
        <v/>
      </c>
      <c r="BC199" s="116" t="str">
        <f t="shared" ca="1" si="223"/>
        <v/>
      </c>
      <c r="BD199" s="116" t="str">
        <f t="shared" ca="1" si="223"/>
        <v/>
      </c>
      <c r="BE199" s="116" t="str">
        <f t="shared" ca="1" si="223"/>
        <v/>
      </c>
      <c r="BF199" s="116" t="str">
        <f t="shared" ca="1" si="223"/>
        <v/>
      </c>
      <c r="BG199" s="116" t="str">
        <f t="shared" ca="1" si="223"/>
        <v/>
      </c>
      <c r="BH199" s="116" t="str">
        <f t="shared" ca="1" si="223"/>
        <v/>
      </c>
      <c r="BI199" s="116" t="str">
        <f t="shared" ca="1" si="223"/>
        <v/>
      </c>
      <c r="BK199" s="84"/>
      <c r="BL199" s="84"/>
      <c r="BM199" s="84"/>
      <c r="BN199" s="84"/>
      <c r="BO199" s="84"/>
      <c r="BP199" s="84"/>
    </row>
    <row r="200" spans="1:68" ht="15" customHeight="1" outlineLevel="1">
      <c r="A200" s="6"/>
      <c r="I200" s="3"/>
      <c r="J200" s="3"/>
      <c r="K200" s="3"/>
      <c r="N200" s="6"/>
      <c r="O200" s="11">
        <f>O199+1</f>
        <v>29</v>
      </c>
      <c r="P200" s="222"/>
      <c r="Q200" s="87" t="s">
        <v>49</v>
      </c>
      <c r="R200" s="87"/>
      <c r="S200" s="87"/>
      <c r="T200" s="87"/>
      <c r="U200" s="87"/>
      <c r="V200" s="6"/>
      <c r="W200" s="116">
        <f t="shared" ca="1" si="218"/>
        <v>8.2230000000000008</v>
      </c>
      <c r="X200" s="116">
        <f t="shared" ca="1" si="218"/>
        <v>8.6341500000000018</v>
      </c>
      <c r="Y200" s="116">
        <f t="shared" ca="1" si="218"/>
        <v>9.0658574999999999</v>
      </c>
      <c r="Z200" s="116">
        <f t="shared" ca="1" si="218"/>
        <v>9.5191503750000024</v>
      </c>
      <c r="AA200" s="116">
        <f t="shared" ca="1" si="218"/>
        <v>9.9951078937500011</v>
      </c>
      <c r="AB200" s="116">
        <f t="shared" ca="1" si="218"/>
        <v>10.494863288437502</v>
      </c>
      <c r="AC200" s="114"/>
      <c r="AD200" s="116" t="e">
        <f t="shared" ca="1" si="219"/>
        <v>#N/A</v>
      </c>
      <c r="AE200" s="6"/>
      <c r="AF200" s="118">
        <f t="shared" ref="AF200:BI200" ca="1" si="224">IF($D$2=FALSE,"-",IF(AF$13="","",IF(AF$4&lt;=0,OFFSET(INDIRECT($D$3),$O200-1,$E$10-1+AF$3),AF239)))</f>
        <v>8.2230000000000008</v>
      </c>
      <c r="AG200" s="116">
        <f t="shared" ca="1" si="224"/>
        <v>8.6341500000000018</v>
      </c>
      <c r="AH200" s="116">
        <f t="shared" ca="1" si="224"/>
        <v>9.0658574999999999</v>
      </c>
      <c r="AI200" s="116">
        <f t="shared" ca="1" si="224"/>
        <v>9.5191503750000024</v>
      </c>
      <c r="AJ200" s="116">
        <f t="shared" ca="1" si="224"/>
        <v>9.9951078937500011</v>
      </c>
      <c r="AK200" s="116">
        <f t="shared" ca="1" si="224"/>
        <v>10.494863288437502</v>
      </c>
      <c r="AL200" s="116" t="str">
        <f t="shared" ca="1" si="224"/>
        <v/>
      </c>
      <c r="AM200" s="116" t="str">
        <f t="shared" ca="1" si="224"/>
        <v/>
      </c>
      <c r="AN200" s="116" t="str">
        <f t="shared" ca="1" si="224"/>
        <v/>
      </c>
      <c r="AO200" s="116" t="str">
        <f t="shared" ca="1" si="224"/>
        <v/>
      </c>
      <c r="AP200" s="116" t="str">
        <f t="shared" ca="1" si="224"/>
        <v/>
      </c>
      <c r="AQ200" s="116" t="str">
        <f t="shared" ca="1" si="224"/>
        <v/>
      </c>
      <c r="AR200" s="116" t="str">
        <f t="shared" ca="1" si="224"/>
        <v/>
      </c>
      <c r="AS200" s="116" t="str">
        <f t="shared" ca="1" si="224"/>
        <v/>
      </c>
      <c r="AT200" s="116" t="str">
        <f t="shared" ca="1" si="224"/>
        <v/>
      </c>
      <c r="AU200" s="116" t="str">
        <f t="shared" ca="1" si="224"/>
        <v/>
      </c>
      <c r="AV200" s="116" t="str">
        <f t="shared" ca="1" si="224"/>
        <v/>
      </c>
      <c r="AW200" s="116" t="str">
        <f t="shared" ca="1" si="224"/>
        <v/>
      </c>
      <c r="AX200" s="116" t="str">
        <f t="shared" ca="1" si="224"/>
        <v/>
      </c>
      <c r="AY200" s="116" t="str">
        <f t="shared" ca="1" si="224"/>
        <v/>
      </c>
      <c r="AZ200" s="116" t="str">
        <f t="shared" ca="1" si="224"/>
        <v/>
      </c>
      <c r="BA200" s="116" t="str">
        <f t="shared" ca="1" si="224"/>
        <v/>
      </c>
      <c r="BB200" s="116" t="str">
        <f t="shared" ca="1" si="224"/>
        <v/>
      </c>
      <c r="BC200" s="116" t="str">
        <f t="shared" ca="1" si="224"/>
        <v/>
      </c>
      <c r="BD200" s="116" t="str">
        <f t="shared" ca="1" si="224"/>
        <v/>
      </c>
      <c r="BE200" s="116" t="str">
        <f t="shared" ca="1" si="224"/>
        <v/>
      </c>
      <c r="BF200" s="116" t="str">
        <f t="shared" ca="1" si="224"/>
        <v/>
      </c>
      <c r="BG200" s="116" t="str">
        <f t="shared" ca="1" si="224"/>
        <v/>
      </c>
      <c r="BH200" s="116" t="str">
        <f t="shared" ca="1" si="224"/>
        <v/>
      </c>
      <c r="BI200" s="116" t="str">
        <f t="shared" ca="1" si="224"/>
        <v/>
      </c>
      <c r="BK200" s="84"/>
      <c r="BL200" s="84"/>
      <c r="BM200" s="84"/>
      <c r="BN200" s="84"/>
      <c r="BO200" s="84"/>
      <c r="BP200" s="84"/>
    </row>
    <row r="201" spans="1:68" ht="15" customHeight="1" outlineLevel="1">
      <c r="A201" s="6"/>
      <c r="I201" s="3"/>
      <c r="J201" s="3"/>
      <c r="K201" s="3"/>
      <c r="N201" s="6"/>
      <c r="P201" s="222"/>
      <c r="Q201" s="16" t="s">
        <v>18</v>
      </c>
      <c r="R201" s="16"/>
      <c r="S201" s="16"/>
      <c r="T201" s="16"/>
      <c r="U201" s="16"/>
      <c r="V201" s="6"/>
      <c r="W201" s="119">
        <f t="shared" ca="1" si="218"/>
        <v>315.59999999999997</v>
      </c>
      <c r="X201" s="119">
        <f t="shared" ca="1" si="218"/>
        <v>266.06530000000004</v>
      </c>
      <c r="Y201" s="119">
        <f t="shared" ca="1" si="218"/>
        <v>274.386235</v>
      </c>
      <c r="Z201" s="119">
        <f t="shared" ca="1" si="218"/>
        <v>365.64410610057791</v>
      </c>
      <c r="AA201" s="119">
        <f t="shared" ca="1" si="218"/>
        <v>464.97244759677307</v>
      </c>
      <c r="AB201" s="119">
        <f t="shared" ca="1" si="218"/>
        <v>541.42350366198411</v>
      </c>
      <c r="AC201" s="114"/>
      <c r="AD201" s="119" t="e">
        <f t="shared" ca="1" si="219"/>
        <v>#N/A</v>
      </c>
      <c r="AE201" s="6"/>
      <c r="AF201" s="120">
        <f t="shared" ref="AF201:BI201" ca="1" si="225">IF($D$2=FALSE,"-",IF(AF$13="","",+SUM(AF196:AF200)))</f>
        <v>315.59999999999997</v>
      </c>
      <c r="AG201" s="119">
        <f t="shared" ca="1" si="225"/>
        <v>266.06530000000004</v>
      </c>
      <c r="AH201" s="119">
        <f t="shared" ca="1" si="225"/>
        <v>274.386235</v>
      </c>
      <c r="AI201" s="119">
        <f t="shared" ca="1" si="225"/>
        <v>365.64410610057791</v>
      </c>
      <c r="AJ201" s="119">
        <f t="shared" ca="1" si="225"/>
        <v>464.97244759677307</v>
      </c>
      <c r="AK201" s="119">
        <f t="shared" ca="1" si="225"/>
        <v>541.42350366198411</v>
      </c>
      <c r="AL201" s="119" t="str">
        <f t="shared" ca="1" si="225"/>
        <v/>
      </c>
      <c r="AM201" s="119" t="str">
        <f t="shared" ca="1" si="225"/>
        <v/>
      </c>
      <c r="AN201" s="119" t="str">
        <f t="shared" ca="1" si="225"/>
        <v/>
      </c>
      <c r="AO201" s="119" t="str">
        <f t="shared" ca="1" si="225"/>
        <v/>
      </c>
      <c r="AP201" s="119" t="str">
        <f t="shared" ca="1" si="225"/>
        <v/>
      </c>
      <c r="AQ201" s="119" t="str">
        <f t="shared" ca="1" si="225"/>
        <v/>
      </c>
      <c r="AR201" s="119" t="str">
        <f t="shared" ca="1" si="225"/>
        <v/>
      </c>
      <c r="AS201" s="119" t="str">
        <f t="shared" ca="1" si="225"/>
        <v/>
      </c>
      <c r="AT201" s="119" t="str">
        <f t="shared" ca="1" si="225"/>
        <v/>
      </c>
      <c r="AU201" s="119" t="str">
        <f t="shared" ca="1" si="225"/>
        <v/>
      </c>
      <c r="AV201" s="119" t="str">
        <f t="shared" ca="1" si="225"/>
        <v/>
      </c>
      <c r="AW201" s="119" t="str">
        <f t="shared" ca="1" si="225"/>
        <v/>
      </c>
      <c r="AX201" s="119" t="str">
        <f t="shared" ca="1" si="225"/>
        <v/>
      </c>
      <c r="AY201" s="119" t="str">
        <f t="shared" ca="1" si="225"/>
        <v/>
      </c>
      <c r="AZ201" s="119" t="str">
        <f t="shared" ca="1" si="225"/>
        <v/>
      </c>
      <c r="BA201" s="119" t="str">
        <f t="shared" ca="1" si="225"/>
        <v/>
      </c>
      <c r="BB201" s="119" t="str">
        <f t="shared" ca="1" si="225"/>
        <v/>
      </c>
      <c r="BC201" s="119" t="str">
        <f t="shared" ca="1" si="225"/>
        <v/>
      </c>
      <c r="BD201" s="119" t="str">
        <f t="shared" ca="1" si="225"/>
        <v/>
      </c>
      <c r="BE201" s="119" t="str">
        <f t="shared" ca="1" si="225"/>
        <v/>
      </c>
      <c r="BF201" s="119" t="str">
        <f t="shared" ca="1" si="225"/>
        <v/>
      </c>
      <c r="BG201" s="119" t="str">
        <f t="shared" ca="1" si="225"/>
        <v/>
      </c>
      <c r="BH201" s="119" t="str">
        <f t="shared" ca="1" si="225"/>
        <v/>
      </c>
      <c r="BI201" s="119" t="str">
        <f t="shared" ca="1" si="225"/>
        <v/>
      </c>
      <c r="BK201" s="84"/>
      <c r="BL201" s="84"/>
      <c r="BM201" s="84"/>
      <c r="BN201" s="84"/>
      <c r="BO201" s="84"/>
      <c r="BP201" s="84"/>
    </row>
    <row r="202" spans="1:68" ht="15" customHeight="1" outlineLevel="1">
      <c r="A202" s="6"/>
      <c r="I202" s="3"/>
      <c r="J202" s="3"/>
      <c r="K202" s="3"/>
      <c r="N202" s="6"/>
      <c r="O202" s="11">
        <f>O200+1</f>
        <v>30</v>
      </c>
      <c r="P202" s="222"/>
      <c r="Q202" s="87" t="s">
        <v>50</v>
      </c>
      <c r="R202" s="87"/>
      <c r="S202" s="87"/>
      <c r="T202" s="87"/>
      <c r="U202" s="87"/>
      <c r="V202" s="6"/>
      <c r="W202" s="116">
        <f t="shared" ca="1" si="218"/>
        <v>44</v>
      </c>
      <c r="X202" s="116">
        <f t="shared" ca="1" si="218"/>
        <v>59.96</v>
      </c>
      <c r="Y202" s="116">
        <f t="shared" ca="1" si="218"/>
        <v>76.718000000000004</v>
      </c>
      <c r="Z202" s="116">
        <f t="shared" ca="1" si="218"/>
        <v>94.313900000000004</v>
      </c>
      <c r="AA202" s="116">
        <f t="shared" ca="1" si="218"/>
        <v>112.78959500000001</v>
      </c>
      <c r="AB202" s="116">
        <f t="shared" ca="1" si="218"/>
        <v>132.18907475</v>
      </c>
      <c r="AC202" s="114"/>
      <c r="AD202" s="116" t="e">
        <f t="shared" ca="1" si="219"/>
        <v>#N/A</v>
      </c>
      <c r="AE202" s="6"/>
      <c r="AF202" s="297">
        <f t="shared" ref="AF202:BI202" ca="1" si="226">IF($D$2=FALSE,"-",IF(AF$13="","",IF(AF$4&lt;=0,OFFSET(INDIRECT($D$3),$O202-1,$E$10-1+AF$3),OFFSET(AF202,0,-AF$7)+(-AF297))))</f>
        <v>44</v>
      </c>
      <c r="AG202" s="298">
        <f t="shared" ca="1" si="226"/>
        <v>59.96</v>
      </c>
      <c r="AH202" s="298">
        <f t="shared" ca="1" si="226"/>
        <v>76.718000000000004</v>
      </c>
      <c r="AI202" s="298">
        <f t="shared" ca="1" si="226"/>
        <v>94.313900000000004</v>
      </c>
      <c r="AJ202" s="298">
        <f t="shared" ca="1" si="226"/>
        <v>112.78959500000001</v>
      </c>
      <c r="AK202" s="298">
        <f t="shared" ca="1" si="226"/>
        <v>132.18907475</v>
      </c>
      <c r="AL202" s="298" t="str">
        <f t="shared" ca="1" si="226"/>
        <v/>
      </c>
      <c r="AM202" s="298" t="str">
        <f t="shared" ca="1" si="226"/>
        <v/>
      </c>
      <c r="AN202" s="298" t="str">
        <f t="shared" ca="1" si="226"/>
        <v/>
      </c>
      <c r="AO202" s="298" t="str">
        <f t="shared" ca="1" si="226"/>
        <v/>
      </c>
      <c r="AP202" s="298" t="str">
        <f t="shared" ca="1" si="226"/>
        <v/>
      </c>
      <c r="AQ202" s="298" t="str">
        <f t="shared" ca="1" si="226"/>
        <v/>
      </c>
      <c r="AR202" s="298" t="str">
        <f t="shared" ca="1" si="226"/>
        <v/>
      </c>
      <c r="AS202" s="298" t="str">
        <f t="shared" ca="1" si="226"/>
        <v/>
      </c>
      <c r="AT202" s="298" t="str">
        <f t="shared" ca="1" si="226"/>
        <v/>
      </c>
      <c r="AU202" s="298" t="str">
        <f t="shared" ca="1" si="226"/>
        <v/>
      </c>
      <c r="AV202" s="298" t="str">
        <f t="shared" ca="1" si="226"/>
        <v/>
      </c>
      <c r="AW202" s="298" t="str">
        <f t="shared" ca="1" si="226"/>
        <v/>
      </c>
      <c r="AX202" s="298" t="str">
        <f t="shared" ca="1" si="226"/>
        <v/>
      </c>
      <c r="AY202" s="298" t="str">
        <f t="shared" ca="1" si="226"/>
        <v/>
      </c>
      <c r="AZ202" s="298" t="str">
        <f t="shared" ca="1" si="226"/>
        <v/>
      </c>
      <c r="BA202" s="298" t="str">
        <f t="shared" ca="1" si="226"/>
        <v/>
      </c>
      <c r="BB202" s="298" t="str">
        <f t="shared" ca="1" si="226"/>
        <v/>
      </c>
      <c r="BC202" s="298" t="str">
        <f t="shared" ca="1" si="226"/>
        <v/>
      </c>
      <c r="BD202" s="298" t="str">
        <f t="shared" ca="1" si="226"/>
        <v/>
      </c>
      <c r="BE202" s="298" t="str">
        <f t="shared" ca="1" si="226"/>
        <v/>
      </c>
      <c r="BF202" s="298" t="str">
        <f t="shared" ca="1" si="226"/>
        <v/>
      </c>
      <c r="BG202" s="298" t="str">
        <f t="shared" ca="1" si="226"/>
        <v/>
      </c>
      <c r="BH202" s="298" t="str">
        <f t="shared" ca="1" si="226"/>
        <v/>
      </c>
      <c r="BI202" s="298" t="str">
        <f t="shared" ca="1" si="226"/>
        <v/>
      </c>
      <c r="BK202" s="84"/>
      <c r="BL202" s="84"/>
      <c r="BM202" s="84"/>
      <c r="BN202" s="84"/>
      <c r="BO202" s="84"/>
      <c r="BP202" s="84"/>
    </row>
    <row r="203" spans="1:68" ht="15" customHeight="1" outlineLevel="1">
      <c r="A203" s="6"/>
      <c r="I203" s="3"/>
      <c r="J203" s="3"/>
      <c r="K203" s="3"/>
      <c r="N203" s="6"/>
      <c r="O203" s="6"/>
      <c r="P203" s="222"/>
      <c r="Q203" s="87" t="s">
        <v>154</v>
      </c>
      <c r="R203" s="87"/>
      <c r="S203" s="87"/>
      <c r="T203" s="87"/>
      <c r="U203" s="87"/>
      <c r="V203" s="6"/>
      <c r="W203" s="116">
        <f t="shared" ca="1" si="218"/>
        <v>-6.0300000000000011</v>
      </c>
      <c r="X203" s="116">
        <f t="shared" ca="1" si="218"/>
        <v>-20.730000000000004</v>
      </c>
      <c r="Y203" s="116">
        <f t="shared" ca="1" si="218"/>
        <v>-36.165000000000006</v>
      </c>
      <c r="Z203" s="116">
        <f t="shared" ca="1" si="218"/>
        <v>-52.371750000000006</v>
      </c>
      <c r="AA203" s="116">
        <f t="shared" ca="1" si="218"/>
        <v>-69.388837500000008</v>
      </c>
      <c r="AB203" s="116">
        <f t="shared" ca="1" si="218"/>
        <v>-87.256779375000008</v>
      </c>
      <c r="AC203" s="114"/>
      <c r="AD203" s="116" t="e">
        <f t="shared" ca="1" si="219"/>
        <v>#N/A</v>
      </c>
      <c r="AE203" s="6"/>
      <c r="AF203" s="297">
        <f t="shared" ref="AF203:BI203" ca="1" si="227">IF($D$2=FALSE,"-",IF(AF$13="","",IF(AF$4&lt;=0,AF204-AF202,OFFSET(AF203,0,-AF$7)-AF281)))</f>
        <v>-6.0300000000000011</v>
      </c>
      <c r="AG203" s="298">
        <f t="shared" ca="1" si="227"/>
        <v>-20.730000000000004</v>
      </c>
      <c r="AH203" s="298">
        <f t="shared" ca="1" si="227"/>
        <v>-36.165000000000006</v>
      </c>
      <c r="AI203" s="298">
        <f t="shared" ca="1" si="227"/>
        <v>-52.371750000000006</v>
      </c>
      <c r="AJ203" s="298">
        <f t="shared" ca="1" si="227"/>
        <v>-69.388837500000008</v>
      </c>
      <c r="AK203" s="298">
        <f t="shared" ca="1" si="227"/>
        <v>-87.256779375000008</v>
      </c>
      <c r="AL203" s="298" t="str">
        <f t="shared" ca="1" si="227"/>
        <v/>
      </c>
      <c r="AM203" s="298" t="str">
        <f t="shared" ca="1" si="227"/>
        <v/>
      </c>
      <c r="AN203" s="298" t="str">
        <f t="shared" ca="1" si="227"/>
        <v/>
      </c>
      <c r="AO203" s="298" t="str">
        <f t="shared" ca="1" si="227"/>
        <v/>
      </c>
      <c r="AP203" s="298" t="str">
        <f t="shared" ca="1" si="227"/>
        <v/>
      </c>
      <c r="AQ203" s="298" t="str">
        <f t="shared" ca="1" si="227"/>
        <v/>
      </c>
      <c r="AR203" s="298" t="str">
        <f t="shared" ca="1" si="227"/>
        <v/>
      </c>
      <c r="AS203" s="298" t="str">
        <f t="shared" ca="1" si="227"/>
        <v/>
      </c>
      <c r="AT203" s="298" t="str">
        <f t="shared" ca="1" si="227"/>
        <v/>
      </c>
      <c r="AU203" s="298" t="str">
        <f t="shared" ca="1" si="227"/>
        <v/>
      </c>
      <c r="AV203" s="298" t="str">
        <f t="shared" ca="1" si="227"/>
        <v/>
      </c>
      <c r="AW203" s="298" t="str">
        <f t="shared" ca="1" si="227"/>
        <v/>
      </c>
      <c r="AX203" s="298" t="str">
        <f t="shared" ca="1" si="227"/>
        <v/>
      </c>
      <c r="AY203" s="298" t="str">
        <f t="shared" ca="1" si="227"/>
        <v/>
      </c>
      <c r="AZ203" s="298" t="str">
        <f t="shared" ca="1" si="227"/>
        <v/>
      </c>
      <c r="BA203" s="298" t="str">
        <f t="shared" ca="1" si="227"/>
        <v/>
      </c>
      <c r="BB203" s="298" t="str">
        <f t="shared" ca="1" si="227"/>
        <v/>
      </c>
      <c r="BC203" s="298" t="str">
        <f t="shared" ca="1" si="227"/>
        <v/>
      </c>
      <c r="BD203" s="298" t="str">
        <f t="shared" ca="1" si="227"/>
        <v/>
      </c>
      <c r="BE203" s="298" t="str">
        <f t="shared" ca="1" si="227"/>
        <v/>
      </c>
      <c r="BF203" s="298" t="str">
        <f t="shared" ca="1" si="227"/>
        <v/>
      </c>
      <c r="BG203" s="298" t="str">
        <f t="shared" ca="1" si="227"/>
        <v/>
      </c>
      <c r="BH203" s="298" t="str">
        <f t="shared" ca="1" si="227"/>
        <v/>
      </c>
      <c r="BI203" s="298" t="str">
        <f t="shared" ca="1" si="227"/>
        <v/>
      </c>
      <c r="BK203" s="84"/>
      <c r="BL203" s="84"/>
      <c r="BM203" s="84"/>
      <c r="BN203" s="84"/>
      <c r="BO203" s="84"/>
      <c r="BP203" s="84"/>
    </row>
    <row r="204" spans="1:68" ht="15" customHeight="1" outlineLevel="1">
      <c r="A204" s="6"/>
      <c r="I204" s="3"/>
      <c r="J204" s="3"/>
      <c r="K204" s="3"/>
      <c r="N204" s="6"/>
      <c r="O204" s="11">
        <f>O202+1</f>
        <v>31</v>
      </c>
      <c r="P204" s="222"/>
      <c r="Q204" s="6" t="s">
        <v>51</v>
      </c>
      <c r="R204" s="6"/>
      <c r="S204" s="6"/>
      <c r="T204" s="6"/>
      <c r="U204" s="6"/>
      <c r="V204" s="6"/>
      <c r="W204" s="116">
        <f t="shared" ca="1" si="218"/>
        <v>37.97</v>
      </c>
      <c r="X204" s="116">
        <f t="shared" ca="1" si="218"/>
        <v>39.229999999999997</v>
      </c>
      <c r="Y204" s="116">
        <f t="shared" ca="1" si="218"/>
        <v>40.552999999999997</v>
      </c>
      <c r="Z204" s="116">
        <f t="shared" ca="1" si="218"/>
        <v>41.942149999999998</v>
      </c>
      <c r="AA204" s="116">
        <f t="shared" ca="1" si="218"/>
        <v>43.400757499999997</v>
      </c>
      <c r="AB204" s="116">
        <f t="shared" ca="1" si="218"/>
        <v>44.932295374999995</v>
      </c>
      <c r="AC204" s="114"/>
      <c r="AD204" s="116" t="e">
        <f t="shared" ca="1" si="219"/>
        <v>#N/A</v>
      </c>
      <c r="AE204" s="6"/>
      <c r="AF204" s="118">
        <f t="shared" ref="AF204:BI204" ca="1" si="228">IF($D$2=FALSE,"-",IF(AF$13="","",IF(AF$4&lt;=0,OFFSET(INDIRECT($D$3),$O204-1,$E$10-1+AF$3),+SUM(AF202:AF203))))</f>
        <v>37.97</v>
      </c>
      <c r="AG204" s="116">
        <f t="shared" ca="1" si="228"/>
        <v>39.229999999999997</v>
      </c>
      <c r="AH204" s="116">
        <f t="shared" ca="1" si="228"/>
        <v>40.552999999999997</v>
      </c>
      <c r="AI204" s="116">
        <f t="shared" ca="1" si="228"/>
        <v>41.942149999999998</v>
      </c>
      <c r="AJ204" s="116">
        <f t="shared" ca="1" si="228"/>
        <v>43.400757499999997</v>
      </c>
      <c r="AK204" s="116">
        <f t="shared" ca="1" si="228"/>
        <v>44.932295374999995</v>
      </c>
      <c r="AL204" s="116" t="str">
        <f t="shared" ca="1" si="228"/>
        <v/>
      </c>
      <c r="AM204" s="116" t="str">
        <f t="shared" ca="1" si="228"/>
        <v/>
      </c>
      <c r="AN204" s="116" t="str">
        <f t="shared" ca="1" si="228"/>
        <v/>
      </c>
      <c r="AO204" s="116" t="str">
        <f t="shared" ca="1" si="228"/>
        <v/>
      </c>
      <c r="AP204" s="116" t="str">
        <f t="shared" ca="1" si="228"/>
        <v/>
      </c>
      <c r="AQ204" s="116" t="str">
        <f t="shared" ca="1" si="228"/>
        <v/>
      </c>
      <c r="AR204" s="116" t="str">
        <f t="shared" ca="1" si="228"/>
        <v/>
      </c>
      <c r="AS204" s="116" t="str">
        <f t="shared" ca="1" si="228"/>
        <v/>
      </c>
      <c r="AT204" s="116" t="str">
        <f t="shared" ca="1" si="228"/>
        <v/>
      </c>
      <c r="AU204" s="116" t="str">
        <f t="shared" ca="1" si="228"/>
        <v/>
      </c>
      <c r="AV204" s="116" t="str">
        <f t="shared" ca="1" si="228"/>
        <v/>
      </c>
      <c r="AW204" s="116" t="str">
        <f t="shared" ca="1" si="228"/>
        <v/>
      </c>
      <c r="AX204" s="116" t="str">
        <f t="shared" ca="1" si="228"/>
        <v/>
      </c>
      <c r="AY204" s="116" t="str">
        <f t="shared" ca="1" si="228"/>
        <v/>
      </c>
      <c r="AZ204" s="116" t="str">
        <f t="shared" ca="1" si="228"/>
        <v/>
      </c>
      <c r="BA204" s="116" t="str">
        <f t="shared" ca="1" si="228"/>
        <v/>
      </c>
      <c r="BB204" s="116" t="str">
        <f t="shared" ca="1" si="228"/>
        <v/>
      </c>
      <c r="BC204" s="116" t="str">
        <f t="shared" ca="1" si="228"/>
        <v/>
      </c>
      <c r="BD204" s="116" t="str">
        <f t="shared" ca="1" si="228"/>
        <v/>
      </c>
      <c r="BE204" s="116" t="str">
        <f t="shared" ca="1" si="228"/>
        <v/>
      </c>
      <c r="BF204" s="116" t="str">
        <f t="shared" ca="1" si="228"/>
        <v/>
      </c>
      <c r="BG204" s="116" t="str">
        <f t="shared" ca="1" si="228"/>
        <v/>
      </c>
      <c r="BH204" s="116" t="str">
        <f t="shared" ca="1" si="228"/>
        <v/>
      </c>
      <c r="BI204" s="116" t="str">
        <f t="shared" ca="1" si="228"/>
        <v/>
      </c>
      <c r="BK204" s="84"/>
      <c r="BL204" s="84"/>
      <c r="BM204" s="84"/>
      <c r="BN204" s="84"/>
      <c r="BO204" s="84"/>
      <c r="BP204" s="84"/>
    </row>
    <row r="205" spans="1:68" ht="15" customHeight="1" outlineLevel="1">
      <c r="A205" s="6"/>
      <c r="B205" s="34">
        <f>$B$57</f>
        <v>44926</v>
      </c>
      <c r="C205" s="34">
        <f ca="1">$C$57</f>
        <v>44926</v>
      </c>
      <c r="D205" s="107">
        <f ca="1">IF($D$2=FALSE,"-",AVERAGE(OFFSET($AF205,0,MATCH(B205,OFFSET($AF$13,0,0,1,$G$4-$E$4+1),0)-1,1,MATCH(C205,OFFSET($AF$13,0,0,1,$G$4-$E$4+1),0)-MATCH(B205,OFFSET($AF$13,0,0,1,$G$4-$E$4+1),0)+1)))</f>
        <v>61.094000000000001</v>
      </c>
      <c r="E205" s="96">
        <f ca="1">IF($D$2=FALSE,0,J205)</f>
        <v>61.094000000000001</v>
      </c>
      <c r="F205" s="107">
        <f t="shared" ref="F205" ca="1" si="229">IF($D$2=FALSE,"-",IF(E205="",D205,E205))</f>
        <v>61.094000000000001</v>
      </c>
      <c r="G205" s="34">
        <f>$G$57</f>
        <v>44926</v>
      </c>
      <c r="H205" s="37">
        <f ca="1">$H$57</f>
        <v>44926</v>
      </c>
      <c r="I205" s="107">
        <f ca="1">IF($D$2=FALSE,"-",AVERAGE(OFFSET($AF205,0,MATCH(G205,OFFSET($AF$13,0,0,1,$G$4-$E$4+1),0)-1,1,MATCH(H205,OFFSET($AF$13,0,0,1,$G$4-$E$4+1),0)-MATCH(G205,OFFSET($AF$13,0,0,1,$G$4-$E$4+1),0)+1)))</f>
        <v>61.094000000000001</v>
      </c>
      <c r="J205" s="96">
        <f ca="1">IF($D$2=FALSE,0,OFFSET($AF205,0,$F$4-1))</f>
        <v>61.094000000000001</v>
      </c>
      <c r="K205" s="127">
        <f ca="1">IF($D$2=FALSE,"-",IF(J205="",I205,J205))</f>
        <v>61.094000000000001</v>
      </c>
      <c r="L205" s="126">
        <v>5</v>
      </c>
      <c r="M205" s="81">
        <v>0.1</v>
      </c>
      <c r="O205" s="11">
        <f>O204+1</f>
        <v>32</v>
      </c>
      <c r="P205" s="222"/>
      <c r="Q205" s="6" t="s">
        <v>52</v>
      </c>
      <c r="R205" s="6"/>
      <c r="S205" s="6"/>
      <c r="T205" s="6"/>
      <c r="U205" s="6"/>
      <c r="V205" s="6"/>
      <c r="W205" s="116">
        <f t="shared" ca="1" si="218"/>
        <v>61.094000000000001</v>
      </c>
      <c r="X205" s="116">
        <f t="shared" ca="1" si="218"/>
        <v>61.094000000000001</v>
      </c>
      <c r="Y205" s="116">
        <f t="shared" ca="1" si="218"/>
        <v>61.094000000000001</v>
      </c>
      <c r="Z205" s="116">
        <f t="shared" ca="1" si="218"/>
        <v>61.094000000000001</v>
      </c>
      <c r="AA205" s="116">
        <f t="shared" ca="1" si="218"/>
        <v>61.094000000000001</v>
      </c>
      <c r="AB205" s="116">
        <f t="shared" ca="1" si="218"/>
        <v>61.094000000000001</v>
      </c>
      <c r="AC205" s="114"/>
      <c r="AD205" s="116" t="e">
        <f t="shared" ca="1" si="219"/>
        <v>#N/A</v>
      </c>
      <c r="AE205" s="6"/>
      <c r="AF205" s="252">
        <f t="shared" ref="AF205:BI205" ca="1" si="230">IF($D$2=FALSE,"-",IF(AF$13="","",IF(AF$4&lt;=0,OFFSET(INDIRECT($D$3),$O205-1,$E$10-1+AF$3),IF(AF$4&lt;=$L205,IF($M205=0,$F205-((IF($M205=0,($F205-$K205)/$L205,($K205-$F205)/(EXP(-$M205*$L205)-1)))*(AF$4-1)),($F205-(IF($M205=0,($F205-$K205)/$L205,($K205-$F205)/(EXP(-$M205*$L205)-1))))+((IF($M205=0,($F205-$K205)/$L205,($K205-$F205)/(EXP(-$M205*$L205)-1)))*EXP(-$M205*(AF$4-1)))),$K205))))</f>
        <v>61.094000000000001</v>
      </c>
      <c r="AG205" s="299">
        <f t="shared" ca="1" si="230"/>
        <v>61.094000000000001</v>
      </c>
      <c r="AH205" s="252">
        <f t="shared" ca="1" si="230"/>
        <v>61.094000000000001</v>
      </c>
      <c r="AI205" s="252">
        <f t="shared" ca="1" si="230"/>
        <v>61.094000000000001</v>
      </c>
      <c r="AJ205" s="252">
        <f t="shared" ca="1" si="230"/>
        <v>61.094000000000001</v>
      </c>
      <c r="AK205" s="252">
        <f t="shared" ca="1" si="230"/>
        <v>61.094000000000001</v>
      </c>
      <c r="AL205" s="252" t="str">
        <f t="shared" ca="1" si="230"/>
        <v/>
      </c>
      <c r="AM205" s="252" t="str">
        <f t="shared" ca="1" si="230"/>
        <v/>
      </c>
      <c r="AN205" s="252" t="str">
        <f t="shared" ca="1" si="230"/>
        <v/>
      </c>
      <c r="AO205" s="252" t="str">
        <f t="shared" ca="1" si="230"/>
        <v/>
      </c>
      <c r="AP205" s="252" t="str">
        <f t="shared" ca="1" si="230"/>
        <v/>
      </c>
      <c r="AQ205" s="252" t="str">
        <f t="shared" ca="1" si="230"/>
        <v/>
      </c>
      <c r="AR205" s="252" t="str">
        <f t="shared" ca="1" si="230"/>
        <v/>
      </c>
      <c r="AS205" s="252" t="str">
        <f t="shared" ca="1" si="230"/>
        <v/>
      </c>
      <c r="AT205" s="252" t="str">
        <f t="shared" ca="1" si="230"/>
        <v/>
      </c>
      <c r="AU205" s="252" t="str">
        <f t="shared" ca="1" si="230"/>
        <v/>
      </c>
      <c r="AV205" s="252" t="str">
        <f t="shared" ca="1" si="230"/>
        <v/>
      </c>
      <c r="AW205" s="252" t="str">
        <f t="shared" ca="1" si="230"/>
        <v/>
      </c>
      <c r="AX205" s="252" t="str">
        <f t="shared" ca="1" si="230"/>
        <v/>
      </c>
      <c r="AY205" s="252" t="str">
        <f t="shared" ca="1" si="230"/>
        <v/>
      </c>
      <c r="AZ205" s="252" t="str">
        <f t="shared" ca="1" si="230"/>
        <v/>
      </c>
      <c r="BA205" s="252" t="str">
        <f t="shared" ca="1" si="230"/>
        <v/>
      </c>
      <c r="BB205" s="252" t="str">
        <f t="shared" ca="1" si="230"/>
        <v/>
      </c>
      <c r="BC205" s="252" t="str">
        <f t="shared" ca="1" si="230"/>
        <v/>
      </c>
      <c r="BD205" s="252" t="str">
        <f t="shared" ca="1" si="230"/>
        <v/>
      </c>
      <c r="BE205" s="252" t="str">
        <f t="shared" ca="1" si="230"/>
        <v/>
      </c>
      <c r="BF205" s="252" t="str">
        <f t="shared" ca="1" si="230"/>
        <v/>
      </c>
      <c r="BG205" s="252" t="str">
        <f t="shared" ca="1" si="230"/>
        <v/>
      </c>
      <c r="BH205" s="252" t="str">
        <f t="shared" ca="1" si="230"/>
        <v/>
      </c>
      <c r="BI205" s="252" t="str">
        <f t="shared" ca="1" si="230"/>
        <v/>
      </c>
      <c r="BK205" s="84"/>
      <c r="BL205" s="84"/>
      <c r="BM205" s="84"/>
      <c r="BN205" s="84"/>
      <c r="BO205" s="84"/>
      <c r="BP205" s="84"/>
    </row>
    <row r="206" spans="1:68" ht="15" customHeight="1" outlineLevel="1">
      <c r="A206" s="6"/>
      <c r="I206" s="3"/>
      <c r="J206" s="3"/>
      <c r="K206" s="3"/>
      <c r="M206" s="110"/>
      <c r="N206" s="6"/>
      <c r="O206" s="11">
        <f>O205+1</f>
        <v>33</v>
      </c>
      <c r="P206" s="222"/>
      <c r="Q206" s="6" t="s">
        <v>53</v>
      </c>
      <c r="R206" s="6"/>
      <c r="S206" s="6"/>
      <c r="T206" s="6"/>
      <c r="U206" s="6"/>
      <c r="V206" s="6"/>
      <c r="W206" s="116">
        <f t="shared" ca="1" si="218"/>
        <v>37.491</v>
      </c>
      <c r="X206" s="116">
        <f t="shared" ca="1" si="218"/>
        <v>25.890999999999998</v>
      </c>
      <c r="Y206" s="116">
        <f t="shared" ca="1" si="218"/>
        <v>14.290999999999999</v>
      </c>
      <c r="Z206" s="116">
        <f t="shared" ca="1" si="218"/>
        <v>2.6909999999999989</v>
      </c>
      <c r="AA206" s="116">
        <f t="shared" ca="1" si="218"/>
        <v>0</v>
      </c>
      <c r="AB206" s="116">
        <f t="shared" ca="1" si="218"/>
        <v>0</v>
      </c>
      <c r="AC206" s="114"/>
      <c r="AD206" s="116" t="e">
        <f t="shared" ca="1" si="219"/>
        <v>#N/A</v>
      </c>
      <c r="AE206" s="6"/>
      <c r="AF206" s="297">
        <f t="shared" ref="AF206:BI206" ca="1" si="231">IF($D$2=FALSE,"-",IF(AF$13="","",IF(AF$4&lt;=0,OFFSET(INDIRECT($D$3),$O206-1,$E$10-1+AF$3),OFFSET(AF206,0,-AF$7)-AF282)))</f>
        <v>37.491</v>
      </c>
      <c r="AG206" s="298">
        <f t="shared" ca="1" si="231"/>
        <v>25.890999999999998</v>
      </c>
      <c r="AH206" s="298">
        <f t="shared" ca="1" si="231"/>
        <v>14.290999999999999</v>
      </c>
      <c r="AI206" s="298">
        <f t="shared" ca="1" si="231"/>
        <v>2.6909999999999989</v>
      </c>
      <c r="AJ206" s="298">
        <f t="shared" ca="1" si="231"/>
        <v>0</v>
      </c>
      <c r="AK206" s="298">
        <f t="shared" ca="1" si="231"/>
        <v>0</v>
      </c>
      <c r="AL206" s="298" t="str">
        <f t="shared" ca="1" si="231"/>
        <v/>
      </c>
      <c r="AM206" s="298" t="str">
        <f t="shared" ca="1" si="231"/>
        <v/>
      </c>
      <c r="AN206" s="298" t="str">
        <f t="shared" ca="1" si="231"/>
        <v/>
      </c>
      <c r="AO206" s="298" t="str">
        <f t="shared" ca="1" si="231"/>
        <v/>
      </c>
      <c r="AP206" s="298" t="str">
        <f t="shared" ca="1" si="231"/>
        <v/>
      </c>
      <c r="AQ206" s="298" t="str">
        <f t="shared" ca="1" si="231"/>
        <v/>
      </c>
      <c r="AR206" s="298" t="str">
        <f t="shared" ca="1" si="231"/>
        <v/>
      </c>
      <c r="AS206" s="298" t="str">
        <f t="shared" ca="1" si="231"/>
        <v/>
      </c>
      <c r="AT206" s="298" t="str">
        <f t="shared" ca="1" si="231"/>
        <v/>
      </c>
      <c r="AU206" s="298" t="str">
        <f t="shared" ca="1" si="231"/>
        <v/>
      </c>
      <c r="AV206" s="298" t="str">
        <f t="shared" ca="1" si="231"/>
        <v/>
      </c>
      <c r="AW206" s="298" t="str">
        <f t="shared" ca="1" si="231"/>
        <v/>
      </c>
      <c r="AX206" s="298" t="str">
        <f t="shared" ca="1" si="231"/>
        <v/>
      </c>
      <c r="AY206" s="298" t="str">
        <f t="shared" ca="1" si="231"/>
        <v/>
      </c>
      <c r="AZ206" s="298" t="str">
        <f t="shared" ca="1" si="231"/>
        <v/>
      </c>
      <c r="BA206" s="298" t="str">
        <f t="shared" ca="1" si="231"/>
        <v/>
      </c>
      <c r="BB206" s="298" t="str">
        <f t="shared" ca="1" si="231"/>
        <v/>
      </c>
      <c r="BC206" s="298" t="str">
        <f t="shared" ca="1" si="231"/>
        <v/>
      </c>
      <c r="BD206" s="298" t="str">
        <f t="shared" ca="1" si="231"/>
        <v/>
      </c>
      <c r="BE206" s="298" t="str">
        <f t="shared" ca="1" si="231"/>
        <v/>
      </c>
      <c r="BF206" s="298" t="str">
        <f t="shared" ca="1" si="231"/>
        <v/>
      </c>
      <c r="BG206" s="298" t="str">
        <f t="shared" ca="1" si="231"/>
        <v/>
      </c>
      <c r="BH206" s="298" t="str">
        <f t="shared" ca="1" si="231"/>
        <v/>
      </c>
      <c r="BI206" s="298" t="str">
        <f t="shared" ca="1" si="231"/>
        <v/>
      </c>
      <c r="BK206" s="84"/>
      <c r="BL206" s="84"/>
      <c r="BM206" s="84"/>
      <c r="BN206" s="84"/>
      <c r="BO206" s="84"/>
      <c r="BP206" s="84"/>
    </row>
    <row r="207" spans="1:68" ht="15" customHeight="1" outlineLevel="1">
      <c r="A207" s="6"/>
      <c r="I207" s="3"/>
      <c r="J207" s="3"/>
      <c r="K207" s="3"/>
      <c r="M207" s="110"/>
      <c r="N207" s="6"/>
      <c r="O207" s="11">
        <f>O206+1</f>
        <v>34</v>
      </c>
      <c r="P207" s="222"/>
      <c r="Q207" s="6" t="s">
        <v>54</v>
      </c>
      <c r="R207" s="6"/>
      <c r="S207" s="6"/>
      <c r="T207" s="6"/>
      <c r="U207" s="6"/>
      <c r="V207" s="6"/>
      <c r="W207" s="116">
        <f t="shared" ca="1" si="218"/>
        <v>195</v>
      </c>
      <c r="X207" s="116">
        <f t="shared" ca="1" si="218"/>
        <v>199</v>
      </c>
      <c r="Y207" s="116">
        <f t="shared" ca="1" si="218"/>
        <v>203</v>
      </c>
      <c r="Z207" s="116">
        <f t="shared" ca="1" si="218"/>
        <v>207</v>
      </c>
      <c r="AA207" s="116">
        <f t="shared" ca="1" si="218"/>
        <v>211</v>
      </c>
      <c r="AB207" s="116">
        <f t="shared" ca="1" si="218"/>
        <v>215</v>
      </c>
      <c r="AC207" s="114"/>
      <c r="AD207" s="116" t="e">
        <f t="shared" ca="1" si="219"/>
        <v>#N/A</v>
      </c>
      <c r="AE207" s="6"/>
      <c r="AF207" s="289">
        <f t="shared" ref="AF207:BI207" ca="1" si="232">IF($D$2=FALSE,"-",IF(AF$13="","",IF(AF$4&lt;=0,OFFSET(INDIRECT($D$3),$O207-1,$E$10-1+AF$3),OFFSET(AF207,0,-AF$7)+SUM(OFFSET(AF85,0,-AF$7+1,1,AF$7)))))</f>
        <v>195</v>
      </c>
      <c r="AG207" s="290">
        <f t="shared" ca="1" si="232"/>
        <v>199</v>
      </c>
      <c r="AH207" s="290">
        <f t="shared" ca="1" si="232"/>
        <v>203</v>
      </c>
      <c r="AI207" s="290">
        <f t="shared" ca="1" si="232"/>
        <v>207</v>
      </c>
      <c r="AJ207" s="290">
        <f t="shared" ca="1" si="232"/>
        <v>211</v>
      </c>
      <c r="AK207" s="290">
        <f t="shared" ca="1" si="232"/>
        <v>215</v>
      </c>
      <c r="AL207" s="290" t="str">
        <f t="shared" ca="1" si="232"/>
        <v/>
      </c>
      <c r="AM207" s="290" t="str">
        <f t="shared" ca="1" si="232"/>
        <v/>
      </c>
      <c r="AN207" s="290" t="str">
        <f t="shared" ca="1" si="232"/>
        <v/>
      </c>
      <c r="AO207" s="290" t="str">
        <f t="shared" ca="1" si="232"/>
        <v/>
      </c>
      <c r="AP207" s="290" t="str">
        <f t="shared" ca="1" si="232"/>
        <v/>
      </c>
      <c r="AQ207" s="290" t="str">
        <f t="shared" ca="1" si="232"/>
        <v/>
      </c>
      <c r="AR207" s="290" t="str">
        <f t="shared" ca="1" si="232"/>
        <v/>
      </c>
      <c r="AS207" s="290" t="str">
        <f t="shared" ca="1" si="232"/>
        <v/>
      </c>
      <c r="AT207" s="290" t="str">
        <f t="shared" ca="1" si="232"/>
        <v/>
      </c>
      <c r="AU207" s="290" t="str">
        <f t="shared" ca="1" si="232"/>
        <v/>
      </c>
      <c r="AV207" s="290" t="str">
        <f t="shared" ca="1" si="232"/>
        <v/>
      </c>
      <c r="AW207" s="290" t="str">
        <f t="shared" ca="1" si="232"/>
        <v/>
      </c>
      <c r="AX207" s="290" t="str">
        <f t="shared" ca="1" si="232"/>
        <v/>
      </c>
      <c r="AY207" s="290" t="str">
        <f t="shared" ca="1" si="232"/>
        <v/>
      </c>
      <c r="AZ207" s="290" t="str">
        <f t="shared" ca="1" si="232"/>
        <v/>
      </c>
      <c r="BA207" s="290" t="str">
        <f t="shared" ca="1" si="232"/>
        <v/>
      </c>
      <c r="BB207" s="290" t="str">
        <f t="shared" ca="1" si="232"/>
        <v/>
      </c>
      <c r="BC207" s="290" t="str">
        <f t="shared" ca="1" si="232"/>
        <v/>
      </c>
      <c r="BD207" s="290" t="str">
        <f t="shared" ca="1" si="232"/>
        <v/>
      </c>
      <c r="BE207" s="290" t="str">
        <f t="shared" ca="1" si="232"/>
        <v/>
      </c>
      <c r="BF207" s="290" t="str">
        <f t="shared" ca="1" si="232"/>
        <v/>
      </c>
      <c r="BG207" s="290" t="str">
        <f t="shared" ca="1" si="232"/>
        <v/>
      </c>
      <c r="BH207" s="290" t="str">
        <f t="shared" ca="1" si="232"/>
        <v/>
      </c>
      <c r="BI207" s="290" t="str">
        <f t="shared" ca="1" si="232"/>
        <v/>
      </c>
      <c r="BK207" s="84"/>
      <c r="BL207" s="84"/>
      <c r="BM207" s="84"/>
      <c r="BN207" s="84"/>
      <c r="BO207" s="84"/>
      <c r="BP207" s="84"/>
    </row>
    <row r="208" spans="1:68" ht="15" customHeight="1" outlineLevel="1">
      <c r="A208" s="6"/>
      <c r="B208" s="34">
        <f>$B$57</f>
        <v>44926</v>
      </c>
      <c r="C208" s="34">
        <f ca="1">$C$57</f>
        <v>44926</v>
      </c>
      <c r="D208" s="107">
        <f ca="1">IF($D$2=FALSE,"-",AVERAGE(OFFSET($AF208,0,MATCH(B208,OFFSET($AF$13,0,0,1,$G$4-$E$4+1),0)-1,1,MATCH(C208,OFFSET($AF$13,0,0,1,$G$4-$E$4+1),0)-MATCH(B208,OFFSET($AF$13,0,0,1,$G$4-$E$4+1),0)+1)))</f>
        <v>114.29</v>
      </c>
      <c r="E208" s="96">
        <f ca="1">IF($D$2=FALSE,0,J208)</f>
        <v>114.29</v>
      </c>
      <c r="F208" s="107">
        <f t="shared" ref="F208" ca="1" si="233">IF($D$2=FALSE,"-",IF(E208="",D208,E208))</f>
        <v>114.29</v>
      </c>
      <c r="G208" s="34">
        <f>$G$57</f>
        <v>44926</v>
      </c>
      <c r="H208" s="37">
        <f ca="1">$H$57</f>
        <v>44926</v>
      </c>
      <c r="I208" s="107">
        <f ca="1">IF($D$2=FALSE,"-",AVERAGE(OFFSET($AF208,0,MATCH(G208,OFFSET($AF$13,0,0,1,$G$4-$E$4+1),0)-1,1,MATCH(H208,OFFSET($AF$13,0,0,1,$G$4-$E$4+1),0)-MATCH(G208,OFFSET($AF$13,0,0,1,$G$4-$E$4+1),0)+1)))</f>
        <v>114.29</v>
      </c>
      <c r="J208" s="96">
        <f ca="1">IF($D$2=FALSE,0,OFFSET($AF208,0,$F$4-1))</f>
        <v>114.29</v>
      </c>
      <c r="K208" s="127">
        <f ca="1">IF($D$2=FALSE,"-",IF(J208="",I208,J208))</f>
        <v>114.29</v>
      </c>
      <c r="L208" s="126">
        <v>5</v>
      </c>
      <c r="M208" s="81">
        <v>0.1</v>
      </c>
      <c r="O208" s="11">
        <f>O207+1</f>
        <v>35</v>
      </c>
      <c r="P208" s="222"/>
      <c r="Q208" s="6" t="s">
        <v>55</v>
      </c>
      <c r="R208" s="6"/>
      <c r="S208" s="6"/>
      <c r="T208" s="6"/>
      <c r="U208" s="6"/>
      <c r="V208" s="6"/>
      <c r="W208" s="116">
        <f t="shared" ca="1" si="218"/>
        <v>114.29</v>
      </c>
      <c r="X208" s="116">
        <f t="shared" ca="1" si="218"/>
        <v>114.29</v>
      </c>
      <c r="Y208" s="116">
        <f t="shared" ca="1" si="218"/>
        <v>114.29</v>
      </c>
      <c r="Z208" s="116">
        <f t="shared" ca="1" si="218"/>
        <v>114.29</v>
      </c>
      <c r="AA208" s="116">
        <f t="shared" ca="1" si="218"/>
        <v>114.29</v>
      </c>
      <c r="AB208" s="116">
        <f t="shared" ca="1" si="218"/>
        <v>114.29</v>
      </c>
      <c r="AC208" s="114"/>
      <c r="AD208" s="116" t="e">
        <f t="shared" ca="1" si="219"/>
        <v>#N/A</v>
      </c>
      <c r="AE208" s="6"/>
      <c r="AF208" s="252">
        <f t="shared" ref="AF208:BI208" ca="1" si="234">IF($D$2=FALSE,"-",IF(AF$13="","",IF(AF$4&lt;=0,OFFSET(INDIRECT($D$3),$O208-1,$E$10-1+AF$3),IF(AF$4&lt;=$L208,IF($M208=0,$F208-((IF($M208=0,($F208-$K208)/$L208,($K208-$F208)/(EXP(-$M208*$L208)-1)))*(AF$4-1)),($F208-(IF($M208=0,($F208-$K208)/$L208,($K208-$F208)/(EXP(-$M208*$L208)-1))))+((IF($M208=0,($F208-$K208)/$L208,($K208-$F208)/(EXP(-$M208*$L208)-1)))*EXP(-$M208*(AF$4-1)))),$K208))))</f>
        <v>114.29</v>
      </c>
      <c r="AG208" s="299">
        <f t="shared" ca="1" si="234"/>
        <v>114.29</v>
      </c>
      <c r="AH208" s="252">
        <f t="shared" ca="1" si="234"/>
        <v>114.29</v>
      </c>
      <c r="AI208" s="252">
        <f t="shared" ca="1" si="234"/>
        <v>114.29</v>
      </c>
      <c r="AJ208" s="252">
        <f t="shared" ca="1" si="234"/>
        <v>114.29</v>
      </c>
      <c r="AK208" s="252">
        <f t="shared" ca="1" si="234"/>
        <v>114.29</v>
      </c>
      <c r="AL208" s="252" t="str">
        <f t="shared" ca="1" si="234"/>
        <v/>
      </c>
      <c r="AM208" s="252" t="str">
        <f t="shared" ca="1" si="234"/>
        <v/>
      </c>
      <c r="AN208" s="252" t="str">
        <f t="shared" ca="1" si="234"/>
        <v/>
      </c>
      <c r="AO208" s="252" t="str">
        <f t="shared" ca="1" si="234"/>
        <v/>
      </c>
      <c r="AP208" s="252" t="str">
        <f t="shared" ca="1" si="234"/>
        <v/>
      </c>
      <c r="AQ208" s="252" t="str">
        <f t="shared" ca="1" si="234"/>
        <v/>
      </c>
      <c r="AR208" s="252" t="str">
        <f t="shared" ca="1" si="234"/>
        <v/>
      </c>
      <c r="AS208" s="252" t="str">
        <f t="shared" ca="1" si="234"/>
        <v/>
      </c>
      <c r="AT208" s="252" t="str">
        <f t="shared" ca="1" si="234"/>
        <v/>
      </c>
      <c r="AU208" s="252" t="str">
        <f t="shared" ca="1" si="234"/>
        <v/>
      </c>
      <c r="AV208" s="252" t="str">
        <f t="shared" ca="1" si="234"/>
        <v/>
      </c>
      <c r="AW208" s="252" t="str">
        <f t="shared" ca="1" si="234"/>
        <v/>
      </c>
      <c r="AX208" s="252" t="str">
        <f t="shared" ca="1" si="234"/>
        <v/>
      </c>
      <c r="AY208" s="252" t="str">
        <f t="shared" ca="1" si="234"/>
        <v/>
      </c>
      <c r="AZ208" s="252" t="str">
        <f t="shared" ca="1" si="234"/>
        <v/>
      </c>
      <c r="BA208" s="252" t="str">
        <f t="shared" ca="1" si="234"/>
        <v/>
      </c>
      <c r="BB208" s="252" t="str">
        <f t="shared" ca="1" si="234"/>
        <v/>
      </c>
      <c r="BC208" s="252" t="str">
        <f t="shared" ca="1" si="234"/>
        <v/>
      </c>
      <c r="BD208" s="252" t="str">
        <f t="shared" ca="1" si="234"/>
        <v/>
      </c>
      <c r="BE208" s="252" t="str">
        <f t="shared" ca="1" si="234"/>
        <v/>
      </c>
      <c r="BF208" s="252" t="str">
        <f t="shared" ca="1" si="234"/>
        <v/>
      </c>
      <c r="BG208" s="252" t="str">
        <f t="shared" ca="1" si="234"/>
        <v/>
      </c>
      <c r="BH208" s="252" t="str">
        <f t="shared" ca="1" si="234"/>
        <v/>
      </c>
      <c r="BI208" s="252" t="str">
        <f t="shared" ca="1" si="234"/>
        <v/>
      </c>
      <c r="BK208" s="84"/>
      <c r="BL208" s="84"/>
      <c r="BM208" s="84"/>
      <c r="BN208" s="84"/>
      <c r="BO208" s="84"/>
      <c r="BP208" s="84"/>
    </row>
    <row r="209" spans="1:68" ht="15" customHeight="1" outlineLevel="1">
      <c r="A209" s="6"/>
      <c r="I209" s="3"/>
      <c r="J209" s="3"/>
      <c r="K209" s="3"/>
      <c r="N209" s="6"/>
      <c r="P209" s="6"/>
      <c r="Q209" s="94" t="s">
        <v>31</v>
      </c>
      <c r="R209" s="94"/>
      <c r="S209" s="94"/>
      <c r="T209" s="94"/>
      <c r="U209" s="94"/>
      <c r="V209" s="6"/>
      <c r="W209" s="113">
        <f t="shared" ca="1" si="218"/>
        <v>761.44499999999994</v>
      </c>
      <c r="X209" s="113">
        <f t="shared" ca="1" si="218"/>
        <v>705.57030000000009</v>
      </c>
      <c r="Y209" s="113">
        <f t="shared" ca="1" si="218"/>
        <v>707.61423500000001</v>
      </c>
      <c r="Z209" s="113">
        <f t="shared" ca="1" si="218"/>
        <v>792.66125610057793</v>
      </c>
      <c r="AA209" s="113">
        <f t="shared" ca="1" si="218"/>
        <v>894.75720509677308</v>
      </c>
      <c r="AB209" s="113">
        <f t="shared" ca="1" si="218"/>
        <v>976.7397990369841</v>
      </c>
      <c r="AC209" s="114"/>
      <c r="AD209" s="113" t="e">
        <f t="shared" ca="1" si="219"/>
        <v>#N/A</v>
      </c>
      <c r="AE209" s="6"/>
      <c r="AF209" s="115">
        <f t="shared" ref="AF209:BI209" ca="1" si="235">IF($D$2=FALSE,"-",IF(AF$13="","",+AF201+SUM(AF204:AF208)))</f>
        <v>761.44499999999994</v>
      </c>
      <c r="AG209" s="113">
        <f t="shared" ca="1" si="235"/>
        <v>705.57030000000009</v>
      </c>
      <c r="AH209" s="113">
        <f t="shared" ca="1" si="235"/>
        <v>707.61423500000001</v>
      </c>
      <c r="AI209" s="113">
        <f t="shared" ca="1" si="235"/>
        <v>792.66125610057793</v>
      </c>
      <c r="AJ209" s="113">
        <f t="shared" ca="1" si="235"/>
        <v>894.75720509677308</v>
      </c>
      <c r="AK209" s="113">
        <f t="shared" ca="1" si="235"/>
        <v>976.7397990369841</v>
      </c>
      <c r="AL209" s="113" t="str">
        <f t="shared" ca="1" si="235"/>
        <v/>
      </c>
      <c r="AM209" s="113" t="str">
        <f t="shared" ca="1" si="235"/>
        <v/>
      </c>
      <c r="AN209" s="113" t="str">
        <f t="shared" ca="1" si="235"/>
        <v/>
      </c>
      <c r="AO209" s="113" t="str">
        <f t="shared" ca="1" si="235"/>
        <v/>
      </c>
      <c r="AP209" s="113" t="str">
        <f t="shared" ca="1" si="235"/>
        <v/>
      </c>
      <c r="AQ209" s="113" t="str">
        <f t="shared" ca="1" si="235"/>
        <v/>
      </c>
      <c r="AR209" s="113" t="str">
        <f t="shared" ca="1" si="235"/>
        <v/>
      </c>
      <c r="AS209" s="113" t="str">
        <f t="shared" ca="1" si="235"/>
        <v/>
      </c>
      <c r="AT209" s="113" t="str">
        <f t="shared" ca="1" si="235"/>
        <v/>
      </c>
      <c r="AU209" s="113" t="str">
        <f t="shared" ca="1" si="235"/>
        <v/>
      </c>
      <c r="AV209" s="113" t="str">
        <f t="shared" ca="1" si="235"/>
        <v/>
      </c>
      <c r="AW209" s="113" t="str">
        <f t="shared" ca="1" si="235"/>
        <v/>
      </c>
      <c r="AX209" s="113" t="str">
        <f t="shared" ca="1" si="235"/>
        <v/>
      </c>
      <c r="AY209" s="113" t="str">
        <f t="shared" ca="1" si="235"/>
        <v/>
      </c>
      <c r="AZ209" s="113" t="str">
        <f t="shared" ca="1" si="235"/>
        <v/>
      </c>
      <c r="BA209" s="113" t="str">
        <f t="shared" ca="1" si="235"/>
        <v/>
      </c>
      <c r="BB209" s="113" t="str">
        <f t="shared" ca="1" si="235"/>
        <v/>
      </c>
      <c r="BC209" s="113" t="str">
        <f t="shared" ca="1" si="235"/>
        <v/>
      </c>
      <c r="BD209" s="113" t="str">
        <f t="shared" ca="1" si="235"/>
        <v/>
      </c>
      <c r="BE209" s="113" t="str">
        <f t="shared" ca="1" si="235"/>
        <v/>
      </c>
      <c r="BF209" s="113" t="str">
        <f t="shared" ca="1" si="235"/>
        <v/>
      </c>
      <c r="BG209" s="113" t="str">
        <f t="shared" ca="1" si="235"/>
        <v/>
      </c>
      <c r="BH209" s="113" t="str">
        <f t="shared" ca="1" si="235"/>
        <v/>
      </c>
      <c r="BI209" s="113" t="str">
        <f t="shared" ca="1" si="235"/>
        <v/>
      </c>
      <c r="BK209" s="84"/>
      <c r="BL209" s="84"/>
      <c r="BM209" s="84"/>
      <c r="BN209" s="84"/>
      <c r="BO209" s="84"/>
      <c r="BP209" s="84"/>
    </row>
    <row r="210" spans="1:68" ht="15" customHeight="1" outlineLevel="1">
      <c r="A210" s="6"/>
      <c r="I210" s="3"/>
      <c r="J210" s="3"/>
      <c r="K210" s="3"/>
      <c r="N210" s="6"/>
      <c r="P210" s="6"/>
      <c r="V210" s="6"/>
      <c r="W210" s="125"/>
      <c r="X210" s="125"/>
      <c r="Y210" s="125"/>
      <c r="Z210" s="125"/>
      <c r="AA210" s="125"/>
      <c r="AB210" s="125"/>
      <c r="AC210" s="114"/>
      <c r="AD210" s="125"/>
      <c r="AE210" s="6"/>
      <c r="AF210" s="124"/>
      <c r="AG210" s="125"/>
      <c r="AH210" s="125"/>
      <c r="AI210" s="125"/>
      <c r="AJ210" s="125"/>
      <c r="AK210" s="125"/>
      <c r="AL210" s="125"/>
      <c r="AM210" s="125"/>
      <c r="AN210" s="125"/>
      <c r="AO210" s="125"/>
      <c r="AP210" s="125"/>
      <c r="AQ210" s="125"/>
      <c r="AR210" s="125"/>
      <c r="AS210" s="125"/>
      <c r="AT210" s="125"/>
      <c r="AU210" s="125"/>
      <c r="AV210" s="125"/>
      <c r="AW210" s="125"/>
      <c r="AX210" s="125"/>
      <c r="AY210" s="125"/>
      <c r="AZ210" s="125"/>
      <c r="BA210" s="125"/>
      <c r="BB210" s="125"/>
      <c r="BC210" s="125"/>
      <c r="BD210" s="125"/>
      <c r="BE210" s="125"/>
      <c r="BF210" s="125"/>
      <c r="BG210" s="125"/>
      <c r="BH210" s="125"/>
      <c r="BI210" s="125"/>
    </row>
    <row r="211" spans="1:68" ht="15" customHeight="1" outlineLevel="1">
      <c r="A211" s="24"/>
      <c r="I211" s="3"/>
      <c r="J211" s="3"/>
      <c r="K211" s="3"/>
      <c r="N211" s="24"/>
      <c r="P211" s="24"/>
      <c r="Q211" s="25" t="s">
        <v>155</v>
      </c>
      <c r="R211" s="25"/>
      <c r="S211" s="25"/>
      <c r="T211" s="25"/>
      <c r="U211" s="25"/>
      <c r="V211" s="24"/>
      <c r="W211" s="159"/>
      <c r="X211" s="159"/>
      <c r="Y211" s="159"/>
      <c r="Z211" s="159"/>
      <c r="AA211" s="159"/>
      <c r="AB211" s="159"/>
      <c r="AC211" s="114"/>
      <c r="AD211" s="159"/>
      <c r="AE211" s="6"/>
      <c r="AF211" s="158"/>
      <c r="AG211" s="159"/>
      <c r="AH211" s="159"/>
      <c r="AI211" s="159"/>
      <c r="AJ211" s="159"/>
      <c r="AK211" s="159"/>
      <c r="AL211" s="159"/>
      <c r="AM211" s="159"/>
      <c r="AN211" s="159"/>
      <c r="AO211" s="159"/>
      <c r="AP211" s="159"/>
      <c r="AQ211" s="159"/>
      <c r="AR211" s="159"/>
      <c r="AS211" s="159"/>
      <c r="AT211" s="159"/>
      <c r="AU211" s="159"/>
      <c r="AV211" s="159"/>
      <c r="AW211" s="159"/>
      <c r="AX211" s="159"/>
      <c r="AY211" s="159"/>
      <c r="AZ211" s="159"/>
      <c r="BA211" s="159"/>
      <c r="BB211" s="159"/>
      <c r="BC211" s="159"/>
      <c r="BD211" s="159"/>
      <c r="BE211" s="159"/>
      <c r="BF211" s="159"/>
      <c r="BG211" s="159"/>
      <c r="BH211" s="159"/>
      <c r="BI211" s="159"/>
    </row>
    <row r="212" spans="1:68" ht="15" customHeight="1" outlineLevel="1">
      <c r="I212" s="3"/>
      <c r="J212" s="3"/>
      <c r="K212" s="3"/>
      <c r="O212" s="11">
        <f>O208+1</f>
        <v>36</v>
      </c>
      <c r="P212" s="222"/>
      <c r="Q212" s="87" t="s">
        <v>20</v>
      </c>
      <c r="R212" s="87"/>
      <c r="S212" s="87"/>
      <c r="T212" s="87"/>
      <c r="U212" s="87"/>
      <c r="W212" s="116">
        <f t="shared" ref="W212:AB221" ca="1" si="236">IF($D$2=FALSE,"-",IF(W$13="","",OFFSET($AF212,0,W$8)))</f>
        <v>25.661999999999999</v>
      </c>
      <c r="X212" s="116">
        <f t="shared" ca="1" si="236"/>
        <v>26.9451</v>
      </c>
      <c r="Y212" s="116">
        <f t="shared" ca="1" si="236"/>
        <v>28.292354999999997</v>
      </c>
      <c r="Z212" s="116">
        <f t="shared" ca="1" si="236"/>
        <v>29.706972749999998</v>
      </c>
      <c r="AA212" s="116">
        <f t="shared" ca="1" si="236"/>
        <v>31.192321387499998</v>
      </c>
      <c r="AB212" s="116">
        <f t="shared" ca="1" si="236"/>
        <v>32.751937456874998</v>
      </c>
      <c r="AC212" s="114"/>
      <c r="AD212" s="116" t="e">
        <f t="shared" ref="AD212:AD231" ca="1" si="237">IF($D$2=FALSE,"-",IF(AD$13="","",OFFSET($AF212,0,$F$4-AD$7-1)+OFFSET($AF212,0,$F$4-1)-OFFSET($AF212,0,$F$4-$E$5-1)))</f>
        <v>#N/A</v>
      </c>
      <c r="AE212" s="6"/>
      <c r="AF212" s="118">
        <f t="shared" ref="AF212:BI212" ca="1" si="238">IF($D$2=FALSE,"-",IF(AF$13="","",IF(AF$4&lt;=0,OFFSET(INDIRECT($D$3),$O212-1,$E$10-1+AF$3),AF241)))</f>
        <v>25.661999999999999</v>
      </c>
      <c r="AG212" s="116">
        <f t="shared" ca="1" si="238"/>
        <v>26.9451</v>
      </c>
      <c r="AH212" s="116">
        <f t="shared" ca="1" si="238"/>
        <v>28.292354999999997</v>
      </c>
      <c r="AI212" s="116">
        <f t="shared" ca="1" si="238"/>
        <v>29.706972749999998</v>
      </c>
      <c r="AJ212" s="116">
        <f t="shared" ca="1" si="238"/>
        <v>31.192321387499998</v>
      </c>
      <c r="AK212" s="116">
        <f t="shared" ca="1" si="238"/>
        <v>32.751937456874998</v>
      </c>
      <c r="AL212" s="116" t="str">
        <f t="shared" ca="1" si="238"/>
        <v/>
      </c>
      <c r="AM212" s="116" t="str">
        <f t="shared" ca="1" si="238"/>
        <v/>
      </c>
      <c r="AN212" s="116" t="str">
        <f t="shared" ca="1" si="238"/>
        <v/>
      </c>
      <c r="AO212" s="116" t="str">
        <f t="shared" ca="1" si="238"/>
        <v/>
      </c>
      <c r="AP212" s="116" t="str">
        <f t="shared" ca="1" si="238"/>
        <v/>
      </c>
      <c r="AQ212" s="116" t="str">
        <f t="shared" ca="1" si="238"/>
        <v/>
      </c>
      <c r="AR212" s="116" t="str">
        <f t="shared" ca="1" si="238"/>
        <v/>
      </c>
      <c r="AS212" s="116" t="str">
        <f t="shared" ca="1" si="238"/>
        <v/>
      </c>
      <c r="AT212" s="116" t="str">
        <f t="shared" ca="1" si="238"/>
        <v/>
      </c>
      <c r="AU212" s="116" t="str">
        <f t="shared" ca="1" si="238"/>
        <v/>
      </c>
      <c r="AV212" s="116" t="str">
        <f t="shared" ca="1" si="238"/>
        <v/>
      </c>
      <c r="AW212" s="116" t="str">
        <f t="shared" ca="1" si="238"/>
        <v/>
      </c>
      <c r="AX212" s="116" t="str">
        <f t="shared" ca="1" si="238"/>
        <v/>
      </c>
      <c r="AY212" s="116" t="str">
        <f t="shared" ca="1" si="238"/>
        <v/>
      </c>
      <c r="AZ212" s="116" t="str">
        <f t="shared" ca="1" si="238"/>
        <v/>
      </c>
      <c r="BA212" s="116" t="str">
        <f t="shared" ca="1" si="238"/>
        <v/>
      </c>
      <c r="BB212" s="116" t="str">
        <f t="shared" ca="1" si="238"/>
        <v/>
      </c>
      <c r="BC212" s="116" t="str">
        <f t="shared" ca="1" si="238"/>
        <v/>
      </c>
      <c r="BD212" s="116" t="str">
        <f t="shared" ca="1" si="238"/>
        <v/>
      </c>
      <c r="BE212" s="116" t="str">
        <f t="shared" ca="1" si="238"/>
        <v/>
      </c>
      <c r="BF212" s="116" t="str">
        <f t="shared" ca="1" si="238"/>
        <v/>
      </c>
      <c r="BG212" s="116" t="str">
        <f t="shared" ca="1" si="238"/>
        <v/>
      </c>
      <c r="BH212" s="116" t="str">
        <f t="shared" ca="1" si="238"/>
        <v/>
      </c>
      <c r="BI212" s="116" t="str">
        <f t="shared" ca="1" si="238"/>
        <v/>
      </c>
      <c r="BK212" s="84"/>
      <c r="BL212" s="84"/>
      <c r="BM212" s="84"/>
      <c r="BN212" s="84"/>
      <c r="BO212" s="84"/>
      <c r="BP212" s="84"/>
    </row>
    <row r="213" spans="1:68" ht="15" customHeight="1" outlineLevel="1">
      <c r="A213" s="6"/>
      <c r="I213" s="3"/>
      <c r="J213" s="3"/>
      <c r="K213" s="3"/>
      <c r="N213" s="6"/>
      <c r="O213" s="11">
        <f>O212+1</f>
        <v>37</v>
      </c>
      <c r="P213" s="222"/>
      <c r="Q213" s="87" t="s">
        <v>56</v>
      </c>
      <c r="R213" s="87"/>
      <c r="S213" s="87"/>
      <c r="T213" s="87"/>
      <c r="U213" s="87"/>
      <c r="V213" s="6"/>
      <c r="W213" s="116">
        <f t="shared" ca="1" si="236"/>
        <v>15.38</v>
      </c>
      <c r="X213" s="116">
        <f t="shared" ca="1" si="236"/>
        <v>16.149000000000001</v>
      </c>
      <c r="Y213" s="116">
        <f t="shared" ca="1" si="236"/>
        <v>16.956449999999997</v>
      </c>
      <c r="Z213" s="116">
        <f t="shared" ca="1" si="236"/>
        <v>17.8042725</v>
      </c>
      <c r="AA213" s="116">
        <f t="shared" ca="1" si="236"/>
        <v>18.694486125000001</v>
      </c>
      <c r="AB213" s="116">
        <f t="shared" ca="1" si="236"/>
        <v>19.629210431250002</v>
      </c>
      <c r="AC213" s="114"/>
      <c r="AD213" s="116" t="e">
        <f t="shared" ca="1" si="237"/>
        <v>#N/A</v>
      </c>
      <c r="AE213" s="6"/>
      <c r="AF213" s="118">
        <f t="shared" ref="AF213:BI213" ca="1" si="239">IF($D$2=FALSE,"-",IF(AF$13="","",IF(AF$4&lt;=0,OFFSET(INDIRECT($D$3),$O213-1,$E$10-1+AF$3),AF242)))</f>
        <v>15.38</v>
      </c>
      <c r="AG213" s="116">
        <f t="shared" ca="1" si="239"/>
        <v>16.149000000000001</v>
      </c>
      <c r="AH213" s="116">
        <f t="shared" ca="1" si="239"/>
        <v>16.956449999999997</v>
      </c>
      <c r="AI213" s="116">
        <f t="shared" ca="1" si="239"/>
        <v>17.8042725</v>
      </c>
      <c r="AJ213" s="116">
        <f t="shared" ca="1" si="239"/>
        <v>18.694486125000001</v>
      </c>
      <c r="AK213" s="116">
        <f t="shared" ca="1" si="239"/>
        <v>19.629210431250002</v>
      </c>
      <c r="AL213" s="116" t="str">
        <f t="shared" ca="1" si="239"/>
        <v/>
      </c>
      <c r="AM213" s="116" t="str">
        <f t="shared" ca="1" si="239"/>
        <v/>
      </c>
      <c r="AN213" s="116" t="str">
        <f t="shared" ca="1" si="239"/>
        <v/>
      </c>
      <c r="AO213" s="116" t="str">
        <f t="shared" ca="1" si="239"/>
        <v/>
      </c>
      <c r="AP213" s="116" t="str">
        <f t="shared" ca="1" si="239"/>
        <v/>
      </c>
      <c r="AQ213" s="116" t="str">
        <f t="shared" ca="1" si="239"/>
        <v/>
      </c>
      <c r="AR213" s="116" t="str">
        <f t="shared" ca="1" si="239"/>
        <v/>
      </c>
      <c r="AS213" s="116" t="str">
        <f t="shared" ca="1" si="239"/>
        <v/>
      </c>
      <c r="AT213" s="116" t="str">
        <f t="shared" ca="1" si="239"/>
        <v/>
      </c>
      <c r="AU213" s="116" t="str">
        <f t="shared" ca="1" si="239"/>
        <v/>
      </c>
      <c r="AV213" s="116" t="str">
        <f t="shared" ca="1" si="239"/>
        <v/>
      </c>
      <c r="AW213" s="116" t="str">
        <f t="shared" ca="1" si="239"/>
        <v/>
      </c>
      <c r="AX213" s="116" t="str">
        <f t="shared" ca="1" si="239"/>
        <v/>
      </c>
      <c r="AY213" s="116" t="str">
        <f t="shared" ca="1" si="239"/>
        <v/>
      </c>
      <c r="AZ213" s="116" t="str">
        <f t="shared" ca="1" si="239"/>
        <v/>
      </c>
      <c r="BA213" s="116" t="str">
        <f t="shared" ca="1" si="239"/>
        <v/>
      </c>
      <c r="BB213" s="116" t="str">
        <f t="shared" ca="1" si="239"/>
        <v/>
      </c>
      <c r="BC213" s="116" t="str">
        <f t="shared" ca="1" si="239"/>
        <v/>
      </c>
      <c r="BD213" s="116" t="str">
        <f t="shared" ca="1" si="239"/>
        <v/>
      </c>
      <c r="BE213" s="116" t="str">
        <f t="shared" ca="1" si="239"/>
        <v/>
      </c>
      <c r="BF213" s="116" t="str">
        <f t="shared" ca="1" si="239"/>
        <v/>
      </c>
      <c r="BG213" s="116" t="str">
        <f t="shared" ca="1" si="239"/>
        <v/>
      </c>
      <c r="BH213" s="116" t="str">
        <f t="shared" ca="1" si="239"/>
        <v/>
      </c>
      <c r="BI213" s="116" t="str">
        <f t="shared" ca="1" si="239"/>
        <v/>
      </c>
      <c r="BK213" s="84"/>
      <c r="BL213" s="84"/>
      <c r="BM213" s="84"/>
      <c r="BN213" s="84"/>
      <c r="BO213" s="84"/>
      <c r="BP213" s="84"/>
    </row>
    <row r="214" spans="1:68" ht="15" customHeight="1" outlineLevel="1">
      <c r="A214" s="6"/>
      <c r="I214" s="3"/>
      <c r="J214" s="3"/>
      <c r="K214" s="3"/>
      <c r="N214" s="6"/>
      <c r="O214" s="11">
        <f t="shared" ref="O214:O218" si="240">O213+1</f>
        <v>38</v>
      </c>
      <c r="P214" s="222"/>
      <c r="Q214" s="87" t="s">
        <v>57</v>
      </c>
      <c r="R214" s="87"/>
      <c r="S214" s="87"/>
      <c r="T214" s="87"/>
      <c r="U214" s="87"/>
      <c r="V214" s="6"/>
      <c r="W214" s="116">
        <f t="shared" ca="1" si="236"/>
        <v>0</v>
      </c>
      <c r="X214" s="116">
        <f t="shared" ca="1" si="236"/>
        <v>0</v>
      </c>
      <c r="Y214" s="116">
        <f t="shared" ca="1" si="236"/>
        <v>0</v>
      </c>
      <c r="Z214" s="116">
        <f t="shared" ca="1" si="236"/>
        <v>0</v>
      </c>
      <c r="AA214" s="116">
        <f t="shared" ca="1" si="236"/>
        <v>0</v>
      </c>
      <c r="AB214" s="116">
        <f t="shared" ca="1" si="236"/>
        <v>0</v>
      </c>
      <c r="AC214" s="114"/>
      <c r="AD214" s="116" t="e">
        <f t="shared" ca="1" si="237"/>
        <v>#N/A</v>
      </c>
      <c r="AE214" s="6"/>
      <c r="AF214" s="118">
        <f t="shared" ref="AF214:BI214" ca="1" si="241">IF($D$2=FALSE,"-",IF(AF$13="","",IF(AF$4&lt;=0,OFFSET(INDIRECT($D$3),$O214-1,$E$10-1+AF$3),AF243)))</f>
        <v>0</v>
      </c>
      <c r="AG214" s="116">
        <f t="shared" ca="1" si="241"/>
        <v>0</v>
      </c>
      <c r="AH214" s="116">
        <f t="shared" ca="1" si="241"/>
        <v>0</v>
      </c>
      <c r="AI214" s="116">
        <f t="shared" ca="1" si="241"/>
        <v>0</v>
      </c>
      <c r="AJ214" s="116">
        <f t="shared" ca="1" si="241"/>
        <v>0</v>
      </c>
      <c r="AK214" s="116">
        <f t="shared" ca="1" si="241"/>
        <v>0</v>
      </c>
      <c r="AL214" s="116" t="str">
        <f t="shared" ca="1" si="241"/>
        <v/>
      </c>
      <c r="AM214" s="116" t="str">
        <f t="shared" ca="1" si="241"/>
        <v/>
      </c>
      <c r="AN214" s="116" t="str">
        <f t="shared" ca="1" si="241"/>
        <v/>
      </c>
      <c r="AO214" s="116" t="str">
        <f t="shared" ca="1" si="241"/>
        <v/>
      </c>
      <c r="AP214" s="116" t="str">
        <f t="shared" ca="1" si="241"/>
        <v/>
      </c>
      <c r="AQ214" s="116" t="str">
        <f t="shared" ca="1" si="241"/>
        <v/>
      </c>
      <c r="AR214" s="116" t="str">
        <f t="shared" ca="1" si="241"/>
        <v/>
      </c>
      <c r="AS214" s="116" t="str">
        <f t="shared" ca="1" si="241"/>
        <v/>
      </c>
      <c r="AT214" s="116" t="str">
        <f t="shared" ca="1" si="241"/>
        <v/>
      </c>
      <c r="AU214" s="116" t="str">
        <f t="shared" ca="1" si="241"/>
        <v/>
      </c>
      <c r="AV214" s="116" t="str">
        <f t="shared" ca="1" si="241"/>
        <v/>
      </c>
      <c r="AW214" s="116" t="str">
        <f t="shared" ca="1" si="241"/>
        <v/>
      </c>
      <c r="AX214" s="116" t="str">
        <f t="shared" ca="1" si="241"/>
        <v/>
      </c>
      <c r="AY214" s="116" t="str">
        <f t="shared" ca="1" si="241"/>
        <v/>
      </c>
      <c r="AZ214" s="116" t="str">
        <f t="shared" ca="1" si="241"/>
        <v/>
      </c>
      <c r="BA214" s="116" t="str">
        <f t="shared" ca="1" si="241"/>
        <v/>
      </c>
      <c r="BB214" s="116" t="str">
        <f t="shared" ca="1" si="241"/>
        <v/>
      </c>
      <c r="BC214" s="116" t="str">
        <f t="shared" ca="1" si="241"/>
        <v/>
      </c>
      <c r="BD214" s="116" t="str">
        <f t="shared" ca="1" si="241"/>
        <v/>
      </c>
      <c r="BE214" s="116" t="str">
        <f t="shared" ca="1" si="241"/>
        <v/>
      </c>
      <c r="BF214" s="116" t="str">
        <f t="shared" ca="1" si="241"/>
        <v/>
      </c>
      <c r="BG214" s="116" t="str">
        <f t="shared" ca="1" si="241"/>
        <v/>
      </c>
      <c r="BH214" s="116" t="str">
        <f t="shared" ca="1" si="241"/>
        <v/>
      </c>
      <c r="BI214" s="116" t="str">
        <f t="shared" ca="1" si="241"/>
        <v/>
      </c>
      <c r="BK214" s="84"/>
      <c r="BL214" s="84"/>
      <c r="BM214" s="84"/>
      <c r="BN214" s="84"/>
      <c r="BO214" s="84"/>
      <c r="BP214" s="84"/>
    </row>
    <row r="215" spans="1:68" ht="15" customHeight="1" outlineLevel="1">
      <c r="A215" s="6"/>
      <c r="I215" s="3"/>
      <c r="J215" s="3"/>
      <c r="K215" s="3"/>
      <c r="N215" s="6"/>
      <c r="O215" s="11">
        <f t="shared" si="240"/>
        <v>39</v>
      </c>
      <c r="P215" s="222"/>
      <c r="Q215" s="87" t="s">
        <v>58</v>
      </c>
      <c r="R215" s="87"/>
      <c r="S215" s="87"/>
      <c r="T215" s="87"/>
      <c r="U215" s="87"/>
      <c r="V215" s="6"/>
      <c r="W215" s="116">
        <f t="shared" ca="1" si="236"/>
        <v>2.9359999999999999</v>
      </c>
      <c r="X215" s="116">
        <f t="shared" ca="1" si="236"/>
        <v>3.0827999999999998</v>
      </c>
      <c r="Y215" s="116">
        <f t="shared" ca="1" si="236"/>
        <v>3.2369399999999997</v>
      </c>
      <c r="Z215" s="116">
        <f t="shared" ca="1" si="236"/>
        <v>3.398787</v>
      </c>
      <c r="AA215" s="116">
        <f t="shared" ca="1" si="236"/>
        <v>3.5687263499999999</v>
      </c>
      <c r="AB215" s="116">
        <f t="shared" ca="1" si="236"/>
        <v>3.7471626674999996</v>
      </c>
      <c r="AC215" s="114"/>
      <c r="AD215" s="116" t="e">
        <f t="shared" ca="1" si="237"/>
        <v>#N/A</v>
      </c>
      <c r="AE215" s="6"/>
      <c r="AF215" s="118">
        <f t="shared" ref="AF215:BI215" ca="1" si="242">IF($D$2=FALSE,"-",IF(AF$13="","",IF(AF$4&lt;=0,OFFSET(INDIRECT($D$3),$O215-1,$E$10-1+AF$3),AF244)))</f>
        <v>2.9359999999999999</v>
      </c>
      <c r="AG215" s="116">
        <f t="shared" ca="1" si="242"/>
        <v>3.0827999999999998</v>
      </c>
      <c r="AH215" s="116">
        <f t="shared" ca="1" si="242"/>
        <v>3.2369399999999997</v>
      </c>
      <c r="AI215" s="116">
        <f t="shared" ca="1" si="242"/>
        <v>3.398787</v>
      </c>
      <c r="AJ215" s="116">
        <f t="shared" ca="1" si="242"/>
        <v>3.5687263499999999</v>
      </c>
      <c r="AK215" s="116">
        <f t="shared" ca="1" si="242"/>
        <v>3.7471626674999996</v>
      </c>
      <c r="AL215" s="116" t="str">
        <f t="shared" ca="1" si="242"/>
        <v/>
      </c>
      <c r="AM215" s="116" t="str">
        <f t="shared" ca="1" si="242"/>
        <v/>
      </c>
      <c r="AN215" s="116" t="str">
        <f t="shared" ca="1" si="242"/>
        <v/>
      </c>
      <c r="AO215" s="116" t="str">
        <f t="shared" ca="1" si="242"/>
        <v/>
      </c>
      <c r="AP215" s="116" t="str">
        <f t="shared" ca="1" si="242"/>
        <v/>
      </c>
      <c r="AQ215" s="116" t="str">
        <f t="shared" ca="1" si="242"/>
        <v/>
      </c>
      <c r="AR215" s="116" t="str">
        <f t="shared" ca="1" si="242"/>
        <v/>
      </c>
      <c r="AS215" s="116" t="str">
        <f t="shared" ca="1" si="242"/>
        <v/>
      </c>
      <c r="AT215" s="116" t="str">
        <f t="shared" ca="1" si="242"/>
        <v/>
      </c>
      <c r="AU215" s="116" t="str">
        <f t="shared" ca="1" si="242"/>
        <v/>
      </c>
      <c r="AV215" s="116" t="str">
        <f t="shared" ca="1" si="242"/>
        <v/>
      </c>
      <c r="AW215" s="116" t="str">
        <f t="shared" ca="1" si="242"/>
        <v/>
      </c>
      <c r="AX215" s="116" t="str">
        <f t="shared" ca="1" si="242"/>
        <v/>
      </c>
      <c r="AY215" s="116" t="str">
        <f t="shared" ca="1" si="242"/>
        <v/>
      </c>
      <c r="AZ215" s="116" t="str">
        <f t="shared" ca="1" si="242"/>
        <v/>
      </c>
      <c r="BA215" s="116" t="str">
        <f t="shared" ca="1" si="242"/>
        <v/>
      </c>
      <c r="BB215" s="116" t="str">
        <f t="shared" ca="1" si="242"/>
        <v/>
      </c>
      <c r="BC215" s="116" t="str">
        <f t="shared" ca="1" si="242"/>
        <v/>
      </c>
      <c r="BD215" s="116" t="str">
        <f t="shared" ca="1" si="242"/>
        <v/>
      </c>
      <c r="BE215" s="116" t="str">
        <f t="shared" ca="1" si="242"/>
        <v/>
      </c>
      <c r="BF215" s="116" t="str">
        <f t="shared" ca="1" si="242"/>
        <v/>
      </c>
      <c r="BG215" s="116" t="str">
        <f t="shared" ca="1" si="242"/>
        <v/>
      </c>
      <c r="BH215" s="116" t="str">
        <f t="shared" ca="1" si="242"/>
        <v/>
      </c>
      <c r="BI215" s="116" t="str">
        <f t="shared" ca="1" si="242"/>
        <v/>
      </c>
      <c r="BK215" s="84"/>
      <c r="BL215" s="84"/>
      <c r="BM215" s="84"/>
      <c r="BN215" s="84"/>
      <c r="BO215" s="84"/>
      <c r="BP215" s="84"/>
    </row>
    <row r="216" spans="1:68" ht="15" customHeight="1" outlineLevel="1">
      <c r="A216" s="6"/>
      <c r="I216" s="3"/>
      <c r="J216" s="3"/>
      <c r="K216" s="3"/>
      <c r="N216" s="6"/>
      <c r="O216" s="11">
        <f t="shared" si="240"/>
        <v>40</v>
      </c>
      <c r="P216" s="222"/>
      <c r="Q216" s="87" t="s">
        <v>59</v>
      </c>
      <c r="R216" s="87"/>
      <c r="S216" s="87"/>
      <c r="T216" s="87"/>
      <c r="U216" s="87"/>
      <c r="V216" s="6"/>
      <c r="W216" s="116">
        <f t="shared" ca="1" si="236"/>
        <v>20.013000000000002</v>
      </c>
      <c r="X216" s="116">
        <f t="shared" ca="1" si="236"/>
        <v>21.013650000000002</v>
      </c>
      <c r="Y216" s="116">
        <f t="shared" ca="1" si="236"/>
        <v>22.064332500000003</v>
      </c>
      <c r="Z216" s="116">
        <f t="shared" ca="1" si="236"/>
        <v>23.167549125000001</v>
      </c>
      <c r="AA216" s="116">
        <f t="shared" ca="1" si="236"/>
        <v>24.325926581250002</v>
      </c>
      <c r="AB216" s="116">
        <f t="shared" ca="1" si="236"/>
        <v>25.542222910312503</v>
      </c>
      <c r="AC216" s="114"/>
      <c r="AD216" s="116" t="e">
        <f t="shared" ca="1" si="237"/>
        <v>#N/A</v>
      </c>
      <c r="AE216" s="6"/>
      <c r="AF216" s="118">
        <f t="shared" ref="AF216:BI216" ca="1" si="243">IF($D$2=FALSE,"-",IF(AF$13="","",IF(AF$4&lt;=0,OFFSET(INDIRECT($D$3),$O216-1,$E$10-1+AF$3),AF245)))</f>
        <v>20.013000000000002</v>
      </c>
      <c r="AG216" s="116">
        <f t="shared" ca="1" si="243"/>
        <v>21.013650000000002</v>
      </c>
      <c r="AH216" s="116">
        <f t="shared" ca="1" si="243"/>
        <v>22.064332500000003</v>
      </c>
      <c r="AI216" s="116">
        <f t="shared" ca="1" si="243"/>
        <v>23.167549125000001</v>
      </c>
      <c r="AJ216" s="116">
        <f t="shared" ca="1" si="243"/>
        <v>24.325926581250002</v>
      </c>
      <c r="AK216" s="116">
        <f t="shared" ca="1" si="243"/>
        <v>25.542222910312503</v>
      </c>
      <c r="AL216" s="116" t="str">
        <f t="shared" ca="1" si="243"/>
        <v/>
      </c>
      <c r="AM216" s="116" t="str">
        <f t="shared" ca="1" si="243"/>
        <v/>
      </c>
      <c r="AN216" s="116" t="str">
        <f t="shared" ca="1" si="243"/>
        <v/>
      </c>
      <c r="AO216" s="116" t="str">
        <f t="shared" ca="1" si="243"/>
        <v/>
      </c>
      <c r="AP216" s="116" t="str">
        <f t="shared" ca="1" si="243"/>
        <v/>
      </c>
      <c r="AQ216" s="116" t="str">
        <f t="shared" ca="1" si="243"/>
        <v/>
      </c>
      <c r="AR216" s="116" t="str">
        <f t="shared" ca="1" si="243"/>
        <v/>
      </c>
      <c r="AS216" s="116" t="str">
        <f t="shared" ca="1" si="243"/>
        <v/>
      </c>
      <c r="AT216" s="116" t="str">
        <f t="shared" ca="1" si="243"/>
        <v/>
      </c>
      <c r="AU216" s="116" t="str">
        <f t="shared" ca="1" si="243"/>
        <v/>
      </c>
      <c r="AV216" s="116" t="str">
        <f t="shared" ca="1" si="243"/>
        <v/>
      </c>
      <c r="AW216" s="116" t="str">
        <f t="shared" ca="1" si="243"/>
        <v/>
      </c>
      <c r="AX216" s="116" t="str">
        <f t="shared" ca="1" si="243"/>
        <v/>
      </c>
      <c r="AY216" s="116" t="str">
        <f t="shared" ca="1" si="243"/>
        <v/>
      </c>
      <c r="AZ216" s="116" t="str">
        <f t="shared" ca="1" si="243"/>
        <v/>
      </c>
      <c r="BA216" s="116" t="str">
        <f t="shared" ca="1" si="243"/>
        <v/>
      </c>
      <c r="BB216" s="116" t="str">
        <f t="shared" ca="1" si="243"/>
        <v/>
      </c>
      <c r="BC216" s="116" t="str">
        <f t="shared" ca="1" si="243"/>
        <v/>
      </c>
      <c r="BD216" s="116" t="str">
        <f t="shared" ca="1" si="243"/>
        <v/>
      </c>
      <c r="BE216" s="116" t="str">
        <f t="shared" ca="1" si="243"/>
        <v/>
      </c>
      <c r="BF216" s="116" t="str">
        <f t="shared" ca="1" si="243"/>
        <v/>
      </c>
      <c r="BG216" s="116" t="str">
        <f t="shared" ca="1" si="243"/>
        <v/>
      </c>
      <c r="BH216" s="116" t="str">
        <f t="shared" ca="1" si="243"/>
        <v/>
      </c>
      <c r="BI216" s="116" t="str">
        <f t="shared" ca="1" si="243"/>
        <v/>
      </c>
      <c r="BK216" s="84"/>
      <c r="BL216" s="84"/>
      <c r="BM216" s="84"/>
      <c r="BN216" s="84"/>
      <c r="BO216" s="84"/>
      <c r="BP216" s="84"/>
    </row>
    <row r="217" spans="1:68" ht="15" customHeight="1" outlineLevel="1">
      <c r="A217" s="6"/>
      <c r="I217" s="3"/>
      <c r="J217" s="3"/>
      <c r="K217" s="3"/>
      <c r="N217" s="6"/>
      <c r="O217" s="11">
        <f t="shared" si="240"/>
        <v>41</v>
      </c>
      <c r="P217" s="222"/>
      <c r="Q217" s="87" t="s">
        <v>60</v>
      </c>
      <c r="R217" s="87"/>
      <c r="S217" s="87"/>
      <c r="T217" s="87"/>
      <c r="U217" s="87"/>
      <c r="V217" s="6"/>
      <c r="W217" s="116">
        <f t="shared" ca="1" si="236"/>
        <v>36.183999999999997</v>
      </c>
      <c r="X217" s="116">
        <f t="shared" ca="1" si="236"/>
        <v>37.993199999999995</v>
      </c>
      <c r="Y217" s="116">
        <f t="shared" ca="1" si="236"/>
        <v>39.892859999999992</v>
      </c>
      <c r="Z217" s="116">
        <f t="shared" ca="1" si="236"/>
        <v>41.887502999999995</v>
      </c>
      <c r="AA217" s="116">
        <f t="shared" ca="1" si="236"/>
        <v>43.98187815</v>
      </c>
      <c r="AB217" s="116">
        <f t="shared" ca="1" si="236"/>
        <v>46.180972057499993</v>
      </c>
      <c r="AC217" s="114"/>
      <c r="AD217" s="116" t="e">
        <f t="shared" ca="1" si="237"/>
        <v>#N/A</v>
      </c>
      <c r="AE217" s="6"/>
      <c r="AF217" s="118">
        <f t="shared" ref="AF217:BI217" ca="1" si="244">IF($D$2=FALSE,"-",IF(AF$13="","",IF(AF$4&lt;=0,OFFSET(INDIRECT($D$3),$O217-1,$E$10-1+AF$3),AF246)))</f>
        <v>36.183999999999997</v>
      </c>
      <c r="AG217" s="116">
        <f t="shared" ca="1" si="244"/>
        <v>37.993199999999995</v>
      </c>
      <c r="AH217" s="116">
        <f t="shared" ca="1" si="244"/>
        <v>39.892859999999992</v>
      </c>
      <c r="AI217" s="116">
        <f t="shared" ca="1" si="244"/>
        <v>41.887502999999995</v>
      </c>
      <c r="AJ217" s="116">
        <f t="shared" ca="1" si="244"/>
        <v>43.98187815</v>
      </c>
      <c r="AK217" s="116">
        <f t="shared" ca="1" si="244"/>
        <v>46.180972057499993</v>
      </c>
      <c r="AL217" s="116" t="str">
        <f t="shared" ca="1" si="244"/>
        <v/>
      </c>
      <c r="AM217" s="116" t="str">
        <f t="shared" ca="1" si="244"/>
        <v/>
      </c>
      <c r="AN217" s="116" t="str">
        <f t="shared" ca="1" si="244"/>
        <v/>
      </c>
      <c r="AO217" s="116" t="str">
        <f t="shared" ca="1" si="244"/>
        <v/>
      </c>
      <c r="AP217" s="116" t="str">
        <f t="shared" ca="1" si="244"/>
        <v/>
      </c>
      <c r="AQ217" s="116" t="str">
        <f t="shared" ca="1" si="244"/>
        <v/>
      </c>
      <c r="AR217" s="116" t="str">
        <f t="shared" ca="1" si="244"/>
        <v/>
      </c>
      <c r="AS217" s="116" t="str">
        <f t="shared" ca="1" si="244"/>
        <v/>
      </c>
      <c r="AT217" s="116" t="str">
        <f t="shared" ca="1" si="244"/>
        <v/>
      </c>
      <c r="AU217" s="116" t="str">
        <f t="shared" ca="1" si="244"/>
        <v/>
      </c>
      <c r="AV217" s="116" t="str">
        <f t="shared" ca="1" si="244"/>
        <v/>
      </c>
      <c r="AW217" s="116" t="str">
        <f t="shared" ca="1" si="244"/>
        <v/>
      </c>
      <c r="AX217" s="116" t="str">
        <f t="shared" ca="1" si="244"/>
        <v/>
      </c>
      <c r="AY217" s="116" t="str">
        <f t="shared" ca="1" si="244"/>
        <v/>
      </c>
      <c r="AZ217" s="116" t="str">
        <f t="shared" ca="1" si="244"/>
        <v/>
      </c>
      <c r="BA217" s="116" t="str">
        <f t="shared" ca="1" si="244"/>
        <v/>
      </c>
      <c r="BB217" s="116" t="str">
        <f t="shared" ca="1" si="244"/>
        <v/>
      </c>
      <c r="BC217" s="116" t="str">
        <f t="shared" ca="1" si="244"/>
        <v/>
      </c>
      <c r="BD217" s="116" t="str">
        <f t="shared" ca="1" si="244"/>
        <v/>
      </c>
      <c r="BE217" s="116" t="str">
        <f t="shared" ca="1" si="244"/>
        <v/>
      </c>
      <c r="BF217" s="116" t="str">
        <f t="shared" ca="1" si="244"/>
        <v/>
      </c>
      <c r="BG217" s="116" t="str">
        <f t="shared" ca="1" si="244"/>
        <v/>
      </c>
      <c r="BH217" s="116" t="str">
        <f t="shared" ca="1" si="244"/>
        <v/>
      </c>
      <c r="BI217" s="116" t="str">
        <f t="shared" ca="1" si="244"/>
        <v/>
      </c>
      <c r="BK217" s="84"/>
      <c r="BL217" s="84"/>
      <c r="BM217" s="84"/>
      <c r="BN217" s="84"/>
      <c r="BO217" s="84"/>
      <c r="BP217" s="84"/>
    </row>
    <row r="218" spans="1:68" ht="15" customHeight="1" outlineLevel="1">
      <c r="A218" s="6"/>
      <c r="B218" s="34">
        <f>$B$57</f>
        <v>44926</v>
      </c>
      <c r="C218" s="34">
        <f ca="1">$C$57</f>
        <v>44926</v>
      </c>
      <c r="D218" s="107">
        <f ca="1">IF($D$2=FALSE,"-",AVERAGE(OFFSET($AF218,0,MATCH(B218,OFFSET($AF$13,0,0,1,$G$4-$E$4+1),0)-1,1,MATCH(C218,OFFSET($AF$13,0,0,1,$G$4-$E$4+1),0)-MATCH(B218,OFFSET($AF$13,0,0,1,$G$4-$E$4+1),0)+1)))</f>
        <v>0</v>
      </c>
      <c r="E218" s="96">
        <f>IF($D$2=FALSE,0,J218)</f>
        <v>0</v>
      </c>
      <c r="F218" s="107">
        <f t="shared" ref="F218" si="245">IF($D$2=FALSE,"-",IF(E218="",D218,E218))</f>
        <v>0</v>
      </c>
      <c r="G218" s="34">
        <f>$G$57</f>
        <v>44926</v>
      </c>
      <c r="H218" s="37">
        <f ca="1">$H$57</f>
        <v>44926</v>
      </c>
      <c r="I218" s="107">
        <f ca="1">IF($D$2=FALSE,"-",AVERAGE(OFFSET($AF218,0,MATCH(G218,OFFSET($AF$13,0,0,1,$G$4-$E$4+1),0)-1,1,MATCH(H218,OFFSET($AF$13,0,0,1,$G$4-$E$4+1),0)-MATCH(G218,OFFSET($AF$13,0,0,1,$G$4-$E$4+1),0)+1)))</f>
        <v>0</v>
      </c>
      <c r="J218" s="96">
        <v>0</v>
      </c>
      <c r="K218" s="127">
        <f>IF($D$2=FALSE,"-",IF(J218="",I218,J218))</f>
        <v>0</v>
      </c>
      <c r="L218" s="126">
        <v>5</v>
      </c>
      <c r="M218" s="81">
        <v>0.1</v>
      </c>
      <c r="O218" s="11">
        <f t="shared" si="240"/>
        <v>42</v>
      </c>
      <c r="P218" s="222"/>
      <c r="Q218" s="87" t="s">
        <v>19</v>
      </c>
      <c r="R218" s="87"/>
      <c r="S218" s="87"/>
      <c r="T218" s="87"/>
      <c r="U218" s="87"/>
      <c r="V218" s="6"/>
      <c r="W218" s="116">
        <f t="shared" ca="1" si="236"/>
        <v>0</v>
      </c>
      <c r="X218" s="116">
        <f t="shared" ca="1" si="236"/>
        <v>0</v>
      </c>
      <c r="Y218" s="116">
        <f t="shared" ca="1" si="236"/>
        <v>0</v>
      </c>
      <c r="Z218" s="116">
        <f t="shared" ca="1" si="236"/>
        <v>0</v>
      </c>
      <c r="AA218" s="116">
        <f t="shared" ca="1" si="236"/>
        <v>0</v>
      </c>
      <c r="AB218" s="116">
        <f t="shared" ca="1" si="236"/>
        <v>0</v>
      </c>
      <c r="AC218" s="114"/>
      <c r="AD218" s="116" t="e">
        <f t="shared" ca="1" si="237"/>
        <v>#N/A</v>
      </c>
      <c r="AE218" s="6"/>
      <c r="AF218" s="252">
        <f t="shared" ref="AF218:BI218" ca="1" si="246">IF($D$2=FALSE,"-",IF(AF$13="","",IF(AF$4&lt;=0,OFFSET(INDIRECT($D$3),$O218-1,$E$10-1+AF$3),IF(AF$4&lt;=$L218,IF($M218=0,$F218-((IF($M218=0,($F218-$K218)/$L218,($K218-$F218)/(EXP(-$M218*$L218)-1)))*(AF$4-1)),($F218-(IF($M218=0,($F218-$K218)/$L218,($K218-$F218)/(EXP(-$M218*$L218)-1))))+((IF($M218=0,($F218-$K218)/$L218,($K218-$F218)/(EXP(-$M218*$L218)-1)))*EXP(-$M218*(AF$4-1)))),$K218))))</f>
        <v>0</v>
      </c>
      <c r="AG218" s="299">
        <f t="shared" ca="1" si="246"/>
        <v>0</v>
      </c>
      <c r="AH218" s="252">
        <f t="shared" ca="1" si="246"/>
        <v>0</v>
      </c>
      <c r="AI218" s="252">
        <f t="shared" ca="1" si="246"/>
        <v>0</v>
      </c>
      <c r="AJ218" s="252">
        <f t="shared" ca="1" si="246"/>
        <v>0</v>
      </c>
      <c r="AK218" s="252">
        <f t="shared" ca="1" si="246"/>
        <v>0</v>
      </c>
      <c r="AL218" s="252" t="str">
        <f t="shared" ca="1" si="246"/>
        <v/>
      </c>
      <c r="AM218" s="252" t="str">
        <f t="shared" ca="1" si="246"/>
        <v/>
      </c>
      <c r="AN218" s="252" t="str">
        <f t="shared" ca="1" si="246"/>
        <v/>
      </c>
      <c r="AO218" s="252" t="str">
        <f t="shared" ca="1" si="246"/>
        <v/>
      </c>
      <c r="AP218" s="252" t="str">
        <f t="shared" ca="1" si="246"/>
        <v/>
      </c>
      <c r="AQ218" s="252" t="str">
        <f t="shared" ca="1" si="246"/>
        <v/>
      </c>
      <c r="AR218" s="252" t="str">
        <f t="shared" ca="1" si="246"/>
        <v/>
      </c>
      <c r="AS218" s="252" t="str">
        <f t="shared" ca="1" si="246"/>
        <v/>
      </c>
      <c r="AT218" s="252" t="str">
        <f t="shared" ca="1" si="246"/>
        <v/>
      </c>
      <c r="AU218" s="252" t="str">
        <f t="shared" ca="1" si="246"/>
        <v/>
      </c>
      <c r="AV218" s="252" t="str">
        <f t="shared" ca="1" si="246"/>
        <v/>
      </c>
      <c r="AW218" s="252" t="str">
        <f t="shared" ca="1" si="246"/>
        <v/>
      </c>
      <c r="AX218" s="252" t="str">
        <f t="shared" ca="1" si="246"/>
        <v/>
      </c>
      <c r="AY218" s="252" t="str">
        <f t="shared" ca="1" si="246"/>
        <v/>
      </c>
      <c r="AZ218" s="252" t="str">
        <f t="shared" ca="1" si="246"/>
        <v/>
      </c>
      <c r="BA218" s="252" t="str">
        <f t="shared" ca="1" si="246"/>
        <v/>
      </c>
      <c r="BB218" s="252" t="str">
        <f t="shared" ca="1" si="246"/>
        <v/>
      </c>
      <c r="BC218" s="252" t="str">
        <f t="shared" ca="1" si="246"/>
        <v/>
      </c>
      <c r="BD218" s="252" t="str">
        <f t="shared" ca="1" si="246"/>
        <v/>
      </c>
      <c r="BE218" s="252" t="str">
        <f t="shared" ca="1" si="246"/>
        <v/>
      </c>
      <c r="BF218" s="252" t="str">
        <f t="shared" ca="1" si="246"/>
        <v/>
      </c>
      <c r="BG218" s="252" t="str">
        <f t="shared" ca="1" si="246"/>
        <v/>
      </c>
      <c r="BH218" s="252" t="str">
        <f t="shared" ca="1" si="246"/>
        <v/>
      </c>
      <c r="BI218" s="252" t="str">
        <f t="shared" ca="1" si="246"/>
        <v/>
      </c>
      <c r="BK218" s="84"/>
      <c r="BL218" s="84"/>
      <c r="BM218" s="84"/>
      <c r="BN218" s="84"/>
      <c r="BO218" s="84"/>
      <c r="BP218" s="84"/>
    </row>
    <row r="219" spans="1:68" ht="15" customHeight="1" outlineLevel="1">
      <c r="A219" s="6"/>
      <c r="I219" s="3"/>
      <c r="J219" s="3"/>
      <c r="K219" s="3"/>
      <c r="N219" s="6"/>
      <c r="P219" s="222"/>
      <c r="Q219" s="16" t="s">
        <v>2</v>
      </c>
      <c r="R219" s="16"/>
      <c r="S219" s="16"/>
      <c r="T219" s="16"/>
      <c r="U219" s="16"/>
      <c r="V219" s="6"/>
      <c r="W219" s="119">
        <f t="shared" ca="1" si="236"/>
        <v>100.175</v>
      </c>
      <c r="X219" s="119">
        <f t="shared" ca="1" si="236"/>
        <v>105.18375</v>
      </c>
      <c r="Y219" s="119">
        <f t="shared" ca="1" si="236"/>
        <v>110.44293749999997</v>
      </c>
      <c r="Z219" s="119">
        <f t="shared" ca="1" si="236"/>
        <v>115.96508437499999</v>
      </c>
      <c r="AA219" s="119">
        <f t="shared" ca="1" si="236"/>
        <v>121.76333859375001</v>
      </c>
      <c r="AB219" s="119">
        <f t="shared" ca="1" si="236"/>
        <v>127.85150552343748</v>
      </c>
      <c r="AC219" s="114"/>
      <c r="AD219" s="119" t="e">
        <f t="shared" ca="1" si="237"/>
        <v>#N/A</v>
      </c>
      <c r="AE219" s="6"/>
      <c r="AF219" s="120">
        <f t="shared" ref="AF219:BI219" ca="1" si="247">IF($D$2=FALSE,"-",IF(AF$13="","",+SUM(AF212:AF218)))</f>
        <v>100.175</v>
      </c>
      <c r="AG219" s="119">
        <f t="shared" ca="1" si="247"/>
        <v>105.18375</v>
      </c>
      <c r="AH219" s="119">
        <f t="shared" ca="1" si="247"/>
        <v>110.44293749999997</v>
      </c>
      <c r="AI219" s="119">
        <f t="shared" ca="1" si="247"/>
        <v>115.96508437499999</v>
      </c>
      <c r="AJ219" s="119">
        <f t="shared" ca="1" si="247"/>
        <v>121.76333859375001</v>
      </c>
      <c r="AK219" s="119">
        <f t="shared" ca="1" si="247"/>
        <v>127.85150552343748</v>
      </c>
      <c r="AL219" s="119" t="str">
        <f t="shared" ca="1" si="247"/>
        <v/>
      </c>
      <c r="AM219" s="119" t="str">
        <f t="shared" ca="1" si="247"/>
        <v/>
      </c>
      <c r="AN219" s="119" t="str">
        <f t="shared" ca="1" si="247"/>
        <v/>
      </c>
      <c r="AO219" s="119" t="str">
        <f t="shared" ca="1" si="247"/>
        <v/>
      </c>
      <c r="AP219" s="119" t="str">
        <f t="shared" ca="1" si="247"/>
        <v/>
      </c>
      <c r="AQ219" s="119" t="str">
        <f t="shared" ca="1" si="247"/>
        <v/>
      </c>
      <c r="AR219" s="119" t="str">
        <f t="shared" ca="1" si="247"/>
        <v/>
      </c>
      <c r="AS219" s="119" t="str">
        <f t="shared" ca="1" si="247"/>
        <v/>
      </c>
      <c r="AT219" s="119" t="str">
        <f t="shared" ca="1" si="247"/>
        <v/>
      </c>
      <c r="AU219" s="119" t="str">
        <f t="shared" ca="1" si="247"/>
        <v/>
      </c>
      <c r="AV219" s="119" t="str">
        <f t="shared" ca="1" si="247"/>
        <v/>
      </c>
      <c r="AW219" s="119" t="str">
        <f t="shared" ca="1" si="247"/>
        <v/>
      </c>
      <c r="AX219" s="119" t="str">
        <f t="shared" ca="1" si="247"/>
        <v/>
      </c>
      <c r="AY219" s="119" t="str">
        <f t="shared" ca="1" si="247"/>
        <v/>
      </c>
      <c r="AZ219" s="119" t="str">
        <f t="shared" ca="1" si="247"/>
        <v/>
      </c>
      <c r="BA219" s="119" t="str">
        <f t="shared" ca="1" si="247"/>
        <v/>
      </c>
      <c r="BB219" s="119" t="str">
        <f t="shared" ca="1" si="247"/>
        <v/>
      </c>
      <c r="BC219" s="119" t="str">
        <f t="shared" ca="1" si="247"/>
        <v/>
      </c>
      <c r="BD219" s="119" t="str">
        <f t="shared" ca="1" si="247"/>
        <v/>
      </c>
      <c r="BE219" s="119" t="str">
        <f t="shared" ca="1" si="247"/>
        <v/>
      </c>
      <c r="BF219" s="119" t="str">
        <f t="shared" ca="1" si="247"/>
        <v/>
      </c>
      <c r="BG219" s="119" t="str">
        <f t="shared" ca="1" si="247"/>
        <v/>
      </c>
      <c r="BH219" s="119" t="str">
        <f t="shared" ca="1" si="247"/>
        <v/>
      </c>
      <c r="BI219" s="119" t="str">
        <f t="shared" ca="1" si="247"/>
        <v/>
      </c>
      <c r="BK219" s="84"/>
      <c r="BL219" s="84"/>
      <c r="BM219" s="84"/>
      <c r="BN219" s="84"/>
      <c r="BO219" s="84"/>
      <c r="BP219" s="84"/>
    </row>
    <row r="220" spans="1:68" ht="15" customHeight="1" outlineLevel="1">
      <c r="A220" s="6"/>
      <c r="I220" s="3"/>
      <c r="J220" s="3"/>
      <c r="K220" s="3"/>
      <c r="N220" s="6"/>
      <c r="O220" s="11">
        <f>O218+1</f>
        <v>43</v>
      </c>
      <c r="P220" s="222"/>
      <c r="Q220" s="155" t="s">
        <v>61</v>
      </c>
      <c r="R220" s="155"/>
      <c r="S220" s="155"/>
      <c r="T220" s="155"/>
      <c r="U220" s="155"/>
      <c r="V220" s="6"/>
      <c r="W220" s="116">
        <f t="shared" ca="1" si="236"/>
        <v>200</v>
      </c>
      <c r="X220" s="116">
        <f t="shared" ca="1" si="236"/>
        <v>81.568569349999947</v>
      </c>
      <c r="Y220" s="116">
        <f t="shared" ca="1" si="236"/>
        <v>6.0546668226341609</v>
      </c>
      <c r="Z220" s="116">
        <f t="shared" ca="1" si="236"/>
        <v>0</v>
      </c>
      <c r="AA220" s="116">
        <f t="shared" ca="1" si="236"/>
        <v>0</v>
      </c>
      <c r="AB220" s="116">
        <f t="shared" ca="1" si="236"/>
        <v>0</v>
      </c>
      <c r="AC220" s="114"/>
      <c r="AD220" s="116" t="e">
        <f t="shared" ca="1" si="237"/>
        <v>#N/A</v>
      </c>
      <c r="AE220" s="6"/>
      <c r="AF220" s="297">
        <f t="shared" ref="AF220:BI220" ca="1" si="248">IF($D$2=FALSE,"-",IF(AF$13="","",IF(AF$4&lt;=0,OFFSET(INDIRECT($D$3),$O220-1,$E$10-1+AF$3),AF329)))</f>
        <v>200</v>
      </c>
      <c r="AG220" s="298">
        <f t="shared" ca="1" si="248"/>
        <v>81.568569349999947</v>
      </c>
      <c r="AH220" s="298">
        <f t="shared" ca="1" si="248"/>
        <v>6.0546668226341609</v>
      </c>
      <c r="AI220" s="298">
        <f t="shared" ca="1" si="248"/>
        <v>0</v>
      </c>
      <c r="AJ220" s="298">
        <f t="shared" ca="1" si="248"/>
        <v>0</v>
      </c>
      <c r="AK220" s="298">
        <f t="shared" ca="1" si="248"/>
        <v>0</v>
      </c>
      <c r="AL220" s="298" t="str">
        <f t="shared" ca="1" si="248"/>
        <v/>
      </c>
      <c r="AM220" s="298" t="str">
        <f t="shared" ca="1" si="248"/>
        <v/>
      </c>
      <c r="AN220" s="298" t="str">
        <f t="shared" ca="1" si="248"/>
        <v/>
      </c>
      <c r="AO220" s="298" t="str">
        <f t="shared" ca="1" si="248"/>
        <v/>
      </c>
      <c r="AP220" s="298" t="str">
        <f t="shared" ca="1" si="248"/>
        <v/>
      </c>
      <c r="AQ220" s="298" t="str">
        <f t="shared" ca="1" si="248"/>
        <v/>
      </c>
      <c r="AR220" s="298" t="str">
        <f t="shared" ca="1" si="248"/>
        <v/>
      </c>
      <c r="AS220" s="298" t="str">
        <f t="shared" ca="1" si="248"/>
        <v/>
      </c>
      <c r="AT220" s="298" t="str">
        <f t="shared" ca="1" si="248"/>
        <v/>
      </c>
      <c r="AU220" s="298" t="str">
        <f t="shared" ca="1" si="248"/>
        <v/>
      </c>
      <c r="AV220" s="298" t="str">
        <f t="shared" ca="1" si="248"/>
        <v/>
      </c>
      <c r="AW220" s="298" t="str">
        <f t="shared" ca="1" si="248"/>
        <v/>
      </c>
      <c r="AX220" s="298" t="str">
        <f t="shared" ca="1" si="248"/>
        <v/>
      </c>
      <c r="AY220" s="298" t="str">
        <f t="shared" ca="1" si="248"/>
        <v/>
      </c>
      <c r="AZ220" s="298" t="str">
        <f t="shared" ca="1" si="248"/>
        <v/>
      </c>
      <c r="BA220" s="298" t="str">
        <f t="shared" ca="1" si="248"/>
        <v/>
      </c>
      <c r="BB220" s="298" t="str">
        <f t="shared" ca="1" si="248"/>
        <v/>
      </c>
      <c r="BC220" s="298" t="str">
        <f t="shared" ca="1" si="248"/>
        <v/>
      </c>
      <c r="BD220" s="298" t="str">
        <f t="shared" ca="1" si="248"/>
        <v/>
      </c>
      <c r="BE220" s="298" t="str">
        <f t="shared" ca="1" si="248"/>
        <v/>
      </c>
      <c r="BF220" s="298" t="str">
        <f t="shared" ca="1" si="248"/>
        <v/>
      </c>
      <c r="BG220" s="298" t="str">
        <f t="shared" ca="1" si="248"/>
        <v/>
      </c>
      <c r="BH220" s="298" t="str">
        <f t="shared" ca="1" si="248"/>
        <v/>
      </c>
      <c r="BI220" s="298" t="str">
        <f t="shared" ca="1" si="248"/>
        <v/>
      </c>
      <c r="BK220" s="84"/>
      <c r="BL220" s="84"/>
      <c r="BM220" s="84"/>
      <c r="BN220" s="84"/>
      <c r="BO220" s="84"/>
      <c r="BP220" s="84"/>
    </row>
    <row r="221" spans="1:68" ht="15" customHeight="1" outlineLevel="1">
      <c r="A221" s="6"/>
      <c r="I221" s="3"/>
      <c r="J221" s="3"/>
      <c r="K221" s="3"/>
      <c r="N221" s="6"/>
      <c r="O221" s="11">
        <f>O220+1</f>
        <v>44</v>
      </c>
      <c r="P221" s="222"/>
      <c r="Q221" s="155" t="s">
        <v>62</v>
      </c>
      <c r="R221" s="155"/>
      <c r="S221" s="155"/>
      <c r="T221" s="155"/>
      <c r="U221" s="155"/>
      <c r="V221" s="6"/>
      <c r="W221" s="116">
        <f t="shared" ca="1" si="236"/>
        <v>10</v>
      </c>
      <c r="X221" s="116">
        <f t="shared" ca="1" si="236"/>
        <v>8.5</v>
      </c>
      <c r="Y221" s="116">
        <f t="shared" ca="1" si="236"/>
        <v>7</v>
      </c>
      <c r="Z221" s="116">
        <f t="shared" ca="1" si="236"/>
        <v>0</v>
      </c>
      <c r="AA221" s="116">
        <f t="shared" ca="1" si="236"/>
        <v>0</v>
      </c>
      <c r="AB221" s="116">
        <f t="shared" ca="1" si="236"/>
        <v>0</v>
      </c>
      <c r="AC221" s="114"/>
      <c r="AD221" s="116" t="e">
        <f t="shared" ca="1" si="237"/>
        <v>#N/A</v>
      </c>
      <c r="AE221" s="6"/>
      <c r="AF221" s="297">
        <f t="shared" ref="AF221:BI221" ca="1" si="249">IF($D$2=FALSE,"-",IF(AF$13="","",IF(AF$4&lt;=0,OFFSET(INDIRECT($D$3),$O221-1,$E$10-1+AF$3),AF339)))</f>
        <v>10</v>
      </c>
      <c r="AG221" s="298">
        <f t="shared" ca="1" si="249"/>
        <v>8.5</v>
      </c>
      <c r="AH221" s="298">
        <f t="shared" ca="1" si="249"/>
        <v>7</v>
      </c>
      <c r="AI221" s="298">
        <f t="shared" ca="1" si="249"/>
        <v>0</v>
      </c>
      <c r="AJ221" s="298">
        <f t="shared" ca="1" si="249"/>
        <v>0</v>
      </c>
      <c r="AK221" s="298">
        <f t="shared" ca="1" si="249"/>
        <v>0</v>
      </c>
      <c r="AL221" s="298" t="str">
        <f t="shared" ca="1" si="249"/>
        <v/>
      </c>
      <c r="AM221" s="298" t="str">
        <f t="shared" ca="1" si="249"/>
        <v/>
      </c>
      <c r="AN221" s="298" t="str">
        <f t="shared" ca="1" si="249"/>
        <v/>
      </c>
      <c r="AO221" s="298" t="str">
        <f t="shared" ca="1" si="249"/>
        <v/>
      </c>
      <c r="AP221" s="298" t="str">
        <f t="shared" ca="1" si="249"/>
        <v/>
      </c>
      <c r="AQ221" s="298" t="str">
        <f t="shared" ca="1" si="249"/>
        <v/>
      </c>
      <c r="AR221" s="298" t="str">
        <f t="shared" ca="1" si="249"/>
        <v/>
      </c>
      <c r="AS221" s="298" t="str">
        <f t="shared" ca="1" si="249"/>
        <v/>
      </c>
      <c r="AT221" s="298" t="str">
        <f t="shared" ca="1" si="249"/>
        <v/>
      </c>
      <c r="AU221" s="298" t="str">
        <f t="shared" ca="1" si="249"/>
        <v/>
      </c>
      <c r="AV221" s="298" t="str">
        <f t="shared" ca="1" si="249"/>
        <v/>
      </c>
      <c r="AW221" s="298" t="str">
        <f t="shared" ca="1" si="249"/>
        <v/>
      </c>
      <c r="AX221" s="298" t="str">
        <f t="shared" ca="1" si="249"/>
        <v/>
      </c>
      <c r="AY221" s="298" t="str">
        <f t="shared" ca="1" si="249"/>
        <v/>
      </c>
      <c r="AZ221" s="298" t="str">
        <f t="shared" ca="1" si="249"/>
        <v/>
      </c>
      <c r="BA221" s="298" t="str">
        <f t="shared" ca="1" si="249"/>
        <v/>
      </c>
      <c r="BB221" s="298" t="str">
        <f t="shared" ca="1" si="249"/>
        <v/>
      </c>
      <c r="BC221" s="298" t="str">
        <f t="shared" ca="1" si="249"/>
        <v/>
      </c>
      <c r="BD221" s="298" t="str">
        <f t="shared" ca="1" si="249"/>
        <v/>
      </c>
      <c r="BE221" s="298" t="str">
        <f t="shared" ca="1" si="249"/>
        <v/>
      </c>
      <c r="BF221" s="298" t="str">
        <f t="shared" ca="1" si="249"/>
        <v/>
      </c>
      <c r="BG221" s="298" t="str">
        <f t="shared" ca="1" si="249"/>
        <v/>
      </c>
      <c r="BH221" s="298" t="str">
        <f t="shared" ca="1" si="249"/>
        <v/>
      </c>
      <c r="BI221" s="298" t="str">
        <f t="shared" ca="1" si="249"/>
        <v/>
      </c>
      <c r="BK221" s="84"/>
      <c r="BL221" s="84"/>
      <c r="BM221" s="84"/>
      <c r="BN221" s="84"/>
      <c r="BO221" s="84"/>
      <c r="BP221" s="84"/>
    </row>
    <row r="222" spans="1:68" ht="15" customHeight="1" outlineLevel="1">
      <c r="A222" s="6"/>
      <c r="I222" s="3"/>
      <c r="J222" s="3"/>
      <c r="K222" s="3"/>
      <c r="N222" s="6"/>
      <c r="O222" s="11">
        <f>O221+1</f>
        <v>45</v>
      </c>
      <c r="P222" s="222"/>
      <c r="Q222" s="155" t="s">
        <v>63</v>
      </c>
      <c r="R222" s="155"/>
      <c r="S222" s="155"/>
      <c r="T222" s="155"/>
      <c r="U222" s="155"/>
      <c r="V222" s="6"/>
      <c r="W222" s="116">
        <f t="shared" ref="W222:AB231" ca="1" si="250">IF($D$2=FALSE,"-",IF(W$13="","",OFFSET($AF222,0,W$8)))</f>
        <v>45.5</v>
      </c>
      <c r="X222" s="116">
        <f t="shared" ca="1" si="250"/>
        <v>38.674999999999997</v>
      </c>
      <c r="Y222" s="116">
        <f t="shared" ca="1" si="250"/>
        <v>31.849999999999998</v>
      </c>
      <c r="Z222" s="116">
        <f t="shared" ca="1" si="250"/>
        <v>31.849999999999998</v>
      </c>
      <c r="AA222" s="116">
        <f t="shared" ca="1" si="250"/>
        <v>31.849999999999998</v>
      </c>
      <c r="AB222" s="116">
        <f t="shared" ca="1" si="250"/>
        <v>31.849999999999998</v>
      </c>
      <c r="AC222" s="114"/>
      <c r="AD222" s="116" t="e">
        <f t="shared" ca="1" si="237"/>
        <v>#N/A</v>
      </c>
      <c r="AE222" s="6"/>
      <c r="AF222" s="297">
        <f t="shared" ref="AF222:BI222" ca="1" si="251">IF($D$2=FALSE,"-",IF(AF$13="","",IF(AF$4&lt;=0,OFFSET(INDIRECT($D$3),$O222-1,$E$10-1+AF$3),AF346)))</f>
        <v>45.5</v>
      </c>
      <c r="AG222" s="298">
        <f t="shared" ca="1" si="251"/>
        <v>38.674999999999997</v>
      </c>
      <c r="AH222" s="298">
        <f t="shared" ca="1" si="251"/>
        <v>31.849999999999998</v>
      </c>
      <c r="AI222" s="298">
        <f t="shared" ca="1" si="251"/>
        <v>31.849999999999998</v>
      </c>
      <c r="AJ222" s="298">
        <f t="shared" ca="1" si="251"/>
        <v>31.849999999999998</v>
      </c>
      <c r="AK222" s="298">
        <f t="shared" ca="1" si="251"/>
        <v>31.849999999999998</v>
      </c>
      <c r="AL222" s="298" t="str">
        <f t="shared" ca="1" si="251"/>
        <v/>
      </c>
      <c r="AM222" s="298" t="str">
        <f t="shared" ca="1" si="251"/>
        <v/>
      </c>
      <c r="AN222" s="298" t="str">
        <f t="shared" ca="1" si="251"/>
        <v/>
      </c>
      <c r="AO222" s="298" t="str">
        <f t="shared" ca="1" si="251"/>
        <v/>
      </c>
      <c r="AP222" s="298" t="str">
        <f t="shared" ca="1" si="251"/>
        <v/>
      </c>
      <c r="AQ222" s="298" t="str">
        <f t="shared" ca="1" si="251"/>
        <v/>
      </c>
      <c r="AR222" s="298" t="str">
        <f t="shared" ca="1" si="251"/>
        <v/>
      </c>
      <c r="AS222" s="298" t="str">
        <f t="shared" ca="1" si="251"/>
        <v/>
      </c>
      <c r="AT222" s="298" t="str">
        <f t="shared" ca="1" si="251"/>
        <v/>
      </c>
      <c r="AU222" s="298" t="str">
        <f t="shared" ca="1" si="251"/>
        <v/>
      </c>
      <c r="AV222" s="298" t="str">
        <f t="shared" ca="1" si="251"/>
        <v/>
      </c>
      <c r="AW222" s="298" t="str">
        <f t="shared" ca="1" si="251"/>
        <v/>
      </c>
      <c r="AX222" s="298" t="str">
        <f t="shared" ca="1" si="251"/>
        <v/>
      </c>
      <c r="AY222" s="298" t="str">
        <f t="shared" ca="1" si="251"/>
        <v/>
      </c>
      <c r="AZ222" s="298" t="str">
        <f t="shared" ca="1" si="251"/>
        <v/>
      </c>
      <c r="BA222" s="298" t="str">
        <f t="shared" ca="1" si="251"/>
        <v/>
      </c>
      <c r="BB222" s="298" t="str">
        <f t="shared" ca="1" si="251"/>
        <v/>
      </c>
      <c r="BC222" s="298" t="str">
        <f t="shared" ca="1" si="251"/>
        <v/>
      </c>
      <c r="BD222" s="298" t="str">
        <f t="shared" ca="1" si="251"/>
        <v/>
      </c>
      <c r="BE222" s="298" t="str">
        <f t="shared" ca="1" si="251"/>
        <v/>
      </c>
      <c r="BF222" s="298" t="str">
        <f t="shared" ca="1" si="251"/>
        <v/>
      </c>
      <c r="BG222" s="298" t="str">
        <f t="shared" ca="1" si="251"/>
        <v/>
      </c>
      <c r="BH222" s="298" t="str">
        <f t="shared" ca="1" si="251"/>
        <v/>
      </c>
      <c r="BI222" s="298" t="str">
        <f t="shared" ca="1" si="251"/>
        <v/>
      </c>
      <c r="BK222" s="84"/>
      <c r="BL222" s="84"/>
      <c r="BM222" s="84"/>
      <c r="BN222" s="84"/>
      <c r="BO222" s="84"/>
      <c r="BP222" s="84"/>
    </row>
    <row r="223" spans="1:68" ht="15" customHeight="1" outlineLevel="1">
      <c r="A223" s="6"/>
      <c r="I223" s="3"/>
      <c r="J223" s="3"/>
      <c r="K223" s="3"/>
      <c r="N223" s="6"/>
      <c r="O223" s="11">
        <f>O222+1</f>
        <v>46</v>
      </c>
      <c r="P223" s="222"/>
      <c r="Q223" s="177" t="s">
        <v>64</v>
      </c>
      <c r="R223" s="177"/>
      <c r="S223" s="177"/>
      <c r="T223" s="177"/>
      <c r="U223" s="177"/>
      <c r="V223" s="6"/>
      <c r="W223" s="121">
        <f t="shared" ca="1" si="250"/>
        <v>190</v>
      </c>
      <c r="X223" s="121">
        <f t="shared" ca="1" si="250"/>
        <v>198.02500000000001</v>
      </c>
      <c r="Y223" s="121">
        <f t="shared" ca="1" si="250"/>
        <v>206.43118749999999</v>
      </c>
      <c r="Z223" s="121">
        <f t="shared" ca="1" si="250"/>
        <v>215.23666890625</v>
      </c>
      <c r="AA223" s="121">
        <f t="shared" ca="1" si="250"/>
        <v>214.23666890625</v>
      </c>
      <c r="AB223" s="121">
        <f t="shared" ca="1" si="250"/>
        <v>213.23666890625</v>
      </c>
      <c r="AC223" s="114"/>
      <c r="AD223" s="121" t="e">
        <f t="shared" ca="1" si="237"/>
        <v>#N/A</v>
      </c>
      <c r="AE223" s="6"/>
      <c r="AF223" s="297">
        <f t="shared" ref="AF223:BI223" ca="1" si="252">IF($D$2=FALSE,"-",IF(AF$13="","",IF(AF$4&lt;=0,OFFSET(INDIRECT($D$3),$O223-1,$E$10-1+AF$3),AF353)))</f>
        <v>190</v>
      </c>
      <c r="AG223" s="298">
        <f t="shared" ca="1" si="252"/>
        <v>198.02500000000001</v>
      </c>
      <c r="AH223" s="298">
        <f t="shared" ca="1" si="252"/>
        <v>206.43118749999999</v>
      </c>
      <c r="AI223" s="298">
        <f t="shared" ca="1" si="252"/>
        <v>215.23666890625</v>
      </c>
      <c r="AJ223" s="298">
        <f t="shared" ca="1" si="252"/>
        <v>214.23666890625</v>
      </c>
      <c r="AK223" s="298">
        <f t="shared" ca="1" si="252"/>
        <v>213.23666890625</v>
      </c>
      <c r="AL223" s="298" t="str">
        <f t="shared" ca="1" si="252"/>
        <v/>
      </c>
      <c r="AM223" s="298" t="str">
        <f t="shared" ca="1" si="252"/>
        <v/>
      </c>
      <c r="AN223" s="298" t="str">
        <f t="shared" ca="1" si="252"/>
        <v/>
      </c>
      <c r="AO223" s="298" t="str">
        <f t="shared" ca="1" si="252"/>
        <v/>
      </c>
      <c r="AP223" s="298" t="str">
        <f t="shared" ca="1" si="252"/>
        <v/>
      </c>
      <c r="AQ223" s="298" t="str">
        <f t="shared" ca="1" si="252"/>
        <v/>
      </c>
      <c r="AR223" s="298" t="str">
        <f t="shared" ca="1" si="252"/>
        <v/>
      </c>
      <c r="AS223" s="298" t="str">
        <f t="shared" ca="1" si="252"/>
        <v/>
      </c>
      <c r="AT223" s="298" t="str">
        <f t="shared" ca="1" si="252"/>
        <v/>
      </c>
      <c r="AU223" s="298" t="str">
        <f t="shared" ca="1" si="252"/>
        <v/>
      </c>
      <c r="AV223" s="298" t="str">
        <f t="shared" ca="1" si="252"/>
        <v/>
      </c>
      <c r="AW223" s="298" t="str">
        <f t="shared" ca="1" si="252"/>
        <v/>
      </c>
      <c r="AX223" s="298" t="str">
        <f t="shared" ca="1" si="252"/>
        <v/>
      </c>
      <c r="AY223" s="298" t="str">
        <f t="shared" ca="1" si="252"/>
        <v/>
      </c>
      <c r="AZ223" s="298" t="str">
        <f t="shared" ca="1" si="252"/>
        <v/>
      </c>
      <c r="BA223" s="298" t="str">
        <f t="shared" ca="1" si="252"/>
        <v/>
      </c>
      <c r="BB223" s="298" t="str">
        <f t="shared" ca="1" si="252"/>
        <v/>
      </c>
      <c r="BC223" s="298" t="str">
        <f t="shared" ca="1" si="252"/>
        <v/>
      </c>
      <c r="BD223" s="298" t="str">
        <f t="shared" ca="1" si="252"/>
        <v/>
      </c>
      <c r="BE223" s="298" t="str">
        <f t="shared" ca="1" si="252"/>
        <v/>
      </c>
      <c r="BF223" s="298" t="str">
        <f t="shared" ca="1" si="252"/>
        <v/>
      </c>
      <c r="BG223" s="298" t="str">
        <f t="shared" ca="1" si="252"/>
        <v/>
      </c>
      <c r="BH223" s="298" t="str">
        <f t="shared" ca="1" si="252"/>
        <v/>
      </c>
      <c r="BI223" s="298" t="str">
        <f t="shared" ca="1" si="252"/>
        <v/>
      </c>
      <c r="BK223" s="84"/>
      <c r="BL223" s="84"/>
      <c r="BM223" s="84"/>
      <c r="BN223" s="84"/>
      <c r="BO223" s="84"/>
      <c r="BP223" s="84"/>
    </row>
    <row r="224" spans="1:68" ht="15" customHeight="1" outlineLevel="1">
      <c r="A224" s="6"/>
      <c r="I224" s="3"/>
      <c r="J224" s="3"/>
      <c r="K224" s="3"/>
      <c r="N224" s="6"/>
      <c r="O224" s="110"/>
      <c r="P224" s="222"/>
      <c r="Q224" s="6" t="s">
        <v>156</v>
      </c>
      <c r="R224" s="6"/>
      <c r="S224" s="6"/>
      <c r="T224" s="6"/>
      <c r="U224" s="6"/>
      <c r="V224" s="6"/>
      <c r="W224" s="116">
        <f t="shared" ca="1" si="250"/>
        <v>445.5</v>
      </c>
      <c r="X224" s="116">
        <f t="shared" ca="1" si="250"/>
        <v>326.76856934999995</v>
      </c>
      <c r="Y224" s="116">
        <f t="shared" ca="1" si="250"/>
        <v>251.33585432263413</v>
      </c>
      <c r="Z224" s="116">
        <f t="shared" ca="1" si="250"/>
        <v>247.08666890625</v>
      </c>
      <c r="AA224" s="116">
        <f t="shared" ca="1" si="250"/>
        <v>246.08666890625</v>
      </c>
      <c r="AB224" s="116">
        <f t="shared" ca="1" si="250"/>
        <v>245.08666890625</v>
      </c>
      <c r="AC224" s="114"/>
      <c r="AD224" s="116" t="e">
        <f t="shared" ca="1" si="237"/>
        <v>#N/A</v>
      </c>
      <c r="AE224" s="6"/>
      <c r="AF224" s="120">
        <f t="shared" ref="AF224:BI224" ca="1" si="253">IF($D$2=FALSE,"-",IF(AF$13="","",+SUM(AF220:AF223)))</f>
        <v>445.5</v>
      </c>
      <c r="AG224" s="119">
        <f t="shared" ca="1" si="253"/>
        <v>326.76856934999995</v>
      </c>
      <c r="AH224" s="119">
        <f t="shared" ca="1" si="253"/>
        <v>251.33585432263413</v>
      </c>
      <c r="AI224" s="119">
        <f t="shared" ca="1" si="253"/>
        <v>247.08666890625</v>
      </c>
      <c r="AJ224" s="119">
        <f t="shared" ca="1" si="253"/>
        <v>246.08666890625</v>
      </c>
      <c r="AK224" s="119">
        <f t="shared" ca="1" si="253"/>
        <v>245.08666890625</v>
      </c>
      <c r="AL224" s="119" t="str">
        <f t="shared" ca="1" si="253"/>
        <v/>
      </c>
      <c r="AM224" s="119" t="str">
        <f t="shared" ca="1" si="253"/>
        <v/>
      </c>
      <c r="AN224" s="119" t="str">
        <f t="shared" ca="1" si="253"/>
        <v/>
      </c>
      <c r="AO224" s="119" t="str">
        <f t="shared" ca="1" si="253"/>
        <v/>
      </c>
      <c r="AP224" s="119" t="str">
        <f t="shared" ca="1" si="253"/>
        <v/>
      </c>
      <c r="AQ224" s="119" t="str">
        <f t="shared" ca="1" si="253"/>
        <v/>
      </c>
      <c r="AR224" s="119" t="str">
        <f t="shared" ca="1" si="253"/>
        <v/>
      </c>
      <c r="AS224" s="119" t="str">
        <f t="shared" ca="1" si="253"/>
        <v/>
      </c>
      <c r="AT224" s="119" t="str">
        <f t="shared" ca="1" si="253"/>
        <v/>
      </c>
      <c r="AU224" s="119" t="str">
        <f t="shared" ca="1" si="253"/>
        <v/>
      </c>
      <c r="AV224" s="119" t="str">
        <f t="shared" ca="1" si="253"/>
        <v/>
      </c>
      <c r="AW224" s="119" t="str">
        <f t="shared" ca="1" si="253"/>
        <v/>
      </c>
      <c r="AX224" s="119" t="str">
        <f t="shared" ca="1" si="253"/>
        <v/>
      </c>
      <c r="AY224" s="119" t="str">
        <f t="shared" ca="1" si="253"/>
        <v/>
      </c>
      <c r="AZ224" s="119" t="str">
        <f t="shared" ca="1" si="253"/>
        <v/>
      </c>
      <c r="BA224" s="119" t="str">
        <f t="shared" ca="1" si="253"/>
        <v/>
      </c>
      <c r="BB224" s="119" t="str">
        <f t="shared" ca="1" si="253"/>
        <v/>
      </c>
      <c r="BC224" s="119" t="str">
        <f t="shared" ca="1" si="253"/>
        <v/>
      </c>
      <c r="BD224" s="119" t="str">
        <f t="shared" ca="1" si="253"/>
        <v/>
      </c>
      <c r="BE224" s="119" t="str">
        <f t="shared" ca="1" si="253"/>
        <v/>
      </c>
      <c r="BF224" s="119" t="str">
        <f t="shared" ca="1" si="253"/>
        <v/>
      </c>
      <c r="BG224" s="119" t="str">
        <f t="shared" ca="1" si="253"/>
        <v/>
      </c>
      <c r="BH224" s="119" t="str">
        <f t="shared" ca="1" si="253"/>
        <v/>
      </c>
      <c r="BI224" s="119" t="str">
        <f t="shared" ca="1" si="253"/>
        <v/>
      </c>
      <c r="BK224" s="84"/>
      <c r="BL224" s="84"/>
      <c r="BM224" s="84"/>
      <c r="BN224" s="84"/>
      <c r="BO224" s="84"/>
      <c r="BP224" s="84"/>
    </row>
    <row r="225" spans="1:68" ht="15" customHeight="1" outlineLevel="1">
      <c r="A225" s="6"/>
      <c r="I225" s="3"/>
      <c r="J225" s="3"/>
      <c r="K225" s="3"/>
      <c r="N225" s="6"/>
      <c r="O225" s="11">
        <f>O223+1</f>
        <v>47</v>
      </c>
      <c r="P225" s="222"/>
      <c r="Q225" s="6" t="s">
        <v>65</v>
      </c>
      <c r="R225" s="6"/>
      <c r="S225" s="6"/>
      <c r="T225" s="6"/>
      <c r="U225" s="6"/>
      <c r="V225" s="6"/>
      <c r="W225" s="116">
        <f t="shared" ca="1" si="250"/>
        <v>-15.4</v>
      </c>
      <c r="X225" s="116">
        <f t="shared" ca="1" si="250"/>
        <v>7.63541814385127</v>
      </c>
      <c r="Y225" s="116">
        <f t="shared" ca="1" si="250"/>
        <v>35.965165220744559</v>
      </c>
      <c r="Z225" s="116">
        <f t="shared" ca="1" si="250"/>
        <v>68.451519500395875</v>
      </c>
      <c r="AA225" s="116">
        <f t="shared" ca="1" si="250"/>
        <v>104.59573383263125</v>
      </c>
      <c r="AB225" s="116">
        <f t="shared" ca="1" si="250"/>
        <v>114.05158600000001</v>
      </c>
      <c r="AC225" s="114"/>
      <c r="AD225" s="116" t="e">
        <f t="shared" ca="1" si="237"/>
        <v>#N/A</v>
      </c>
      <c r="AE225" s="6"/>
      <c r="AF225" s="289">
        <f t="shared" ref="AF225:BI225" ca="1" si="254">IF($D$2=FALSE,"-",IF(AF$13="","",IF(AF$4&lt;=0,OFFSET(INDIRECT($D$3),$O225-1,$E$10-1+AF$3),OFFSET(AF225,0,-AF$7)+SUM(OFFSET(AF130,0,-AF$7+1,1,AF$7)))))</f>
        <v>-15.4</v>
      </c>
      <c r="AG225" s="290">
        <f t="shared" ca="1" si="254"/>
        <v>7.63541814385127</v>
      </c>
      <c r="AH225" s="290">
        <f t="shared" ca="1" si="254"/>
        <v>35.965165220744559</v>
      </c>
      <c r="AI225" s="290">
        <f t="shared" ca="1" si="254"/>
        <v>68.451519500395875</v>
      </c>
      <c r="AJ225" s="290">
        <f t="shared" ca="1" si="254"/>
        <v>104.59573383263125</v>
      </c>
      <c r="AK225" s="290">
        <f t="shared" ca="1" si="254"/>
        <v>114.05158600000001</v>
      </c>
      <c r="AL225" s="290" t="str">
        <f t="shared" ca="1" si="254"/>
        <v/>
      </c>
      <c r="AM225" s="290" t="str">
        <f t="shared" ca="1" si="254"/>
        <v/>
      </c>
      <c r="AN225" s="290" t="str">
        <f t="shared" ca="1" si="254"/>
        <v/>
      </c>
      <c r="AO225" s="290" t="str">
        <f t="shared" ca="1" si="254"/>
        <v/>
      </c>
      <c r="AP225" s="290" t="str">
        <f t="shared" ca="1" si="254"/>
        <v/>
      </c>
      <c r="AQ225" s="290" t="str">
        <f t="shared" ca="1" si="254"/>
        <v/>
      </c>
      <c r="AR225" s="290" t="str">
        <f t="shared" ca="1" si="254"/>
        <v/>
      </c>
      <c r="AS225" s="290" t="str">
        <f t="shared" ca="1" si="254"/>
        <v/>
      </c>
      <c r="AT225" s="290" t="str">
        <f t="shared" ca="1" si="254"/>
        <v/>
      </c>
      <c r="AU225" s="290" t="str">
        <f t="shared" ca="1" si="254"/>
        <v/>
      </c>
      <c r="AV225" s="290" t="str">
        <f t="shared" ca="1" si="254"/>
        <v/>
      </c>
      <c r="AW225" s="290" t="str">
        <f t="shared" ca="1" si="254"/>
        <v/>
      </c>
      <c r="AX225" s="290" t="str">
        <f t="shared" ca="1" si="254"/>
        <v/>
      </c>
      <c r="AY225" s="290" t="str">
        <f t="shared" ca="1" si="254"/>
        <v/>
      </c>
      <c r="AZ225" s="290" t="str">
        <f t="shared" ca="1" si="254"/>
        <v/>
      </c>
      <c r="BA225" s="290" t="str">
        <f t="shared" ca="1" si="254"/>
        <v/>
      </c>
      <c r="BB225" s="290" t="str">
        <f t="shared" ca="1" si="254"/>
        <v/>
      </c>
      <c r="BC225" s="290" t="str">
        <f t="shared" ca="1" si="254"/>
        <v/>
      </c>
      <c r="BD225" s="290" t="str">
        <f t="shared" ca="1" si="254"/>
        <v/>
      </c>
      <c r="BE225" s="290" t="str">
        <f t="shared" ca="1" si="254"/>
        <v/>
      </c>
      <c r="BF225" s="290" t="str">
        <f t="shared" ca="1" si="254"/>
        <v/>
      </c>
      <c r="BG225" s="290" t="str">
        <f t="shared" ca="1" si="254"/>
        <v/>
      </c>
      <c r="BH225" s="290" t="str">
        <f t="shared" ca="1" si="254"/>
        <v/>
      </c>
      <c r="BI225" s="290" t="str">
        <f t="shared" ca="1" si="254"/>
        <v/>
      </c>
      <c r="BK225" s="84"/>
      <c r="BL225" s="84"/>
      <c r="BM225" s="84"/>
      <c r="BN225" s="84"/>
      <c r="BO225" s="84"/>
      <c r="BP225" s="84"/>
    </row>
    <row r="226" spans="1:68" ht="15" customHeight="1" outlineLevel="1">
      <c r="A226" s="6"/>
      <c r="B226" s="34">
        <f>$B$57</f>
        <v>44926</v>
      </c>
      <c r="C226" s="34">
        <f ca="1">$C$57</f>
        <v>44926</v>
      </c>
      <c r="D226" s="107">
        <f ca="1">IF($D$2=FALSE,"-",AVERAGE(OFFSET($AF226,0,MATCH(B226,OFFSET($AF$13,0,0,1,$G$4-$E$4+1),0)-1,1,MATCH(C226,OFFSET($AF$13,0,0,1,$G$4-$E$4+1),0)-MATCH(B226,OFFSET($AF$13,0,0,1,$G$4-$E$4+1),0)+1)))</f>
        <v>17.917000000000002</v>
      </c>
      <c r="E226" s="96">
        <f ca="1">IF($D$2=FALSE,0,J226)</f>
        <v>17.917000000000002</v>
      </c>
      <c r="F226" s="107">
        <f t="shared" ref="F226" ca="1" si="255">IF($D$2=FALSE,"-",IF(E226="",D226,E226))</f>
        <v>17.917000000000002</v>
      </c>
      <c r="G226" s="34">
        <f>$G$57</f>
        <v>44926</v>
      </c>
      <c r="H226" s="37">
        <f ca="1">$H$57</f>
        <v>44926</v>
      </c>
      <c r="I226" s="107">
        <f ca="1">IF($D$2=FALSE,"-",AVERAGE(OFFSET($AF226,0,MATCH(G226,OFFSET($AF$13,0,0,1,$G$4-$E$4+1),0)-1,1,MATCH(H226,OFFSET($AF$13,0,0,1,$G$4-$E$4+1),0)-MATCH(G226,OFFSET($AF$13,0,0,1,$G$4-$E$4+1),0)+1)))</f>
        <v>17.917000000000002</v>
      </c>
      <c r="J226" s="96">
        <f ca="1">IF($D$2=FALSE,0,OFFSET($AF226,0,$F$4-1))</f>
        <v>17.917000000000002</v>
      </c>
      <c r="K226" s="127">
        <f ca="1">IF($D$2=FALSE,"-",IF(J226="",I226,J226))</f>
        <v>17.917000000000002</v>
      </c>
      <c r="L226" s="126">
        <v>5</v>
      </c>
      <c r="M226" s="81">
        <v>0.1</v>
      </c>
      <c r="O226" s="11">
        <f>O225+1</f>
        <v>48</v>
      </c>
      <c r="P226" s="222"/>
      <c r="Q226" s="6" t="s">
        <v>21</v>
      </c>
      <c r="R226" s="6"/>
      <c r="S226" s="6"/>
      <c r="T226" s="6"/>
      <c r="U226" s="6"/>
      <c r="V226" s="6"/>
      <c r="W226" s="116">
        <f t="shared" ca="1" si="250"/>
        <v>17.917000000000002</v>
      </c>
      <c r="X226" s="116">
        <f t="shared" ca="1" si="250"/>
        <v>17.917000000000002</v>
      </c>
      <c r="Y226" s="116">
        <f t="shared" ca="1" si="250"/>
        <v>17.917000000000002</v>
      </c>
      <c r="Z226" s="116">
        <f t="shared" ca="1" si="250"/>
        <v>17.917000000000002</v>
      </c>
      <c r="AA226" s="116">
        <f t="shared" ca="1" si="250"/>
        <v>17.917000000000002</v>
      </c>
      <c r="AB226" s="116">
        <f t="shared" ca="1" si="250"/>
        <v>17.917000000000002</v>
      </c>
      <c r="AC226" s="114"/>
      <c r="AD226" s="116" t="e">
        <f t="shared" ca="1" si="237"/>
        <v>#N/A</v>
      </c>
      <c r="AE226" s="6"/>
      <c r="AF226" s="252">
        <f t="shared" ref="AF226:BI226" ca="1" si="256">IF($D$2=FALSE,"-",IF(AF$13="","",IF(AF$4&lt;=0,OFFSET(INDIRECT($D$3),$O226-1,$E$10-1+AF$3),IF(AF$4&lt;=$L226,IF($M226=0,$F226-((IF($M226=0,($F226-$K226)/$L226,($K226-$F226)/(EXP(-$M226*$L226)-1)))*(AF$4-1)),($F226-(IF($M226=0,($F226-$K226)/$L226,($K226-$F226)/(EXP(-$M226*$L226)-1))))+((IF($M226=0,($F226-$K226)/$L226,($K226-$F226)/(EXP(-$M226*$L226)-1)))*EXP(-$M226*(AF$4-1)))),$K226))))</f>
        <v>17.917000000000002</v>
      </c>
      <c r="AG226" s="299">
        <f t="shared" ca="1" si="256"/>
        <v>17.917000000000002</v>
      </c>
      <c r="AH226" s="252">
        <f t="shared" ca="1" si="256"/>
        <v>17.917000000000002</v>
      </c>
      <c r="AI226" s="252">
        <f t="shared" ca="1" si="256"/>
        <v>17.917000000000002</v>
      </c>
      <c r="AJ226" s="252">
        <f t="shared" ca="1" si="256"/>
        <v>17.917000000000002</v>
      </c>
      <c r="AK226" s="252">
        <f t="shared" ca="1" si="256"/>
        <v>17.917000000000002</v>
      </c>
      <c r="AL226" s="252" t="str">
        <f t="shared" ca="1" si="256"/>
        <v/>
      </c>
      <c r="AM226" s="252" t="str">
        <f t="shared" ca="1" si="256"/>
        <v/>
      </c>
      <c r="AN226" s="252" t="str">
        <f t="shared" ca="1" si="256"/>
        <v/>
      </c>
      <c r="AO226" s="252" t="str">
        <f t="shared" ca="1" si="256"/>
        <v/>
      </c>
      <c r="AP226" s="252" t="str">
        <f t="shared" ca="1" si="256"/>
        <v/>
      </c>
      <c r="AQ226" s="252" t="str">
        <f t="shared" ca="1" si="256"/>
        <v/>
      </c>
      <c r="AR226" s="252" t="str">
        <f t="shared" ca="1" si="256"/>
        <v/>
      </c>
      <c r="AS226" s="252" t="str">
        <f t="shared" ca="1" si="256"/>
        <v/>
      </c>
      <c r="AT226" s="252" t="str">
        <f t="shared" ca="1" si="256"/>
        <v/>
      </c>
      <c r="AU226" s="252" t="str">
        <f t="shared" ca="1" si="256"/>
        <v/>
      </c>
      <c r="AV226" s="252" t="str">
        <f t="shared" ca="1" si="256"/>
        <v/>
      </c>
      <c r="AW226" s="252" t="str">
        <f t="shared" ca="1" si="256"/>
        <v/>
      </c>
      <c r="AX226" s="252" t="str">
        <f t="shared" ca="1" si="256"/>
        <v/>
      </c>
      <c r="AY226" s="252" t="str">
        <f t="shared" ca="1" si="256"/>
        <v/>
      </c>
      <c r="AZ226" s="252" t="str">
        <f t="shared" ca="1" si="256"/>
        <v/>
      </c>
      <c r="BA226" s="252" t="str">
        <f t="shared" ca="1" si="256"/>
        <v/>
      </c>
      <c r="BB226" s="252" t="str">
        <f t="shared" ca="1" si="256"/>
        <v/>
      </c>
      <c r="BC226" s="252" t="str">
        <f t="shared" ca="1" si="256"/>
        <v/>
      </c>
      <c r="BD226" s="252" t="str">
        <f t="shared" ca="1" si="256"/>
        <v/>
      </c>
      <c r="BE226" s="252" t="str">
        <f t="shared" ca="1" si="256"/>
        <v/>
      </c>
      <c r="BF226" s="252" t="str">
        <f t="shared" ca="1" si="256"/>
        <v/>
      </c>
      <c r="BG226" s="252" t="str">
        <f t="shared" ca="1" si="256"/>
        <v/>
      </c>
      <c r="BH226" s="252" t="str">
        <f t="shared" ca="1" si="256"/>
        <v/>
      </c>
      <c r="BI226" s="252" t="str">
        <f t="shared" ca="1" si="256"/>
        <v/>
      </c>
      <c r="BK226" s="84"/>
      <c r="BL226" s="84"/>
      <c r="BM226" s="84"/>
      <c r="BN226" s="84"/>
      <c r="BO226" s="84"/>
      <c r="BP226" s="84"/>
    </row>
    <row r="227" spans="1:68" ht="15" customHeight="1" outlineLevel="1">
      <c r="A227" s="6"/>
      <c r="I227" s="3"/>
      <c r="J227" s="3"/>
      <c r="K227" s="3"/>
      <c r="N227" s="6"/>
      <c r="P227" s="222"/>
      <c r="Q227" s="63" t="s">
        <v>32</v>
      </c>
      <c r="R227" s="63"/>
      <c r="S227" s="63"/>
      <c r="T227" s="63"/>
      <c r="U227" s="63"/>
      <c r="V227" s="6"/>
      <c r="W227" s="161">
        <f t="shared" ca="1" si="250"/>
        <v>548.19200000000001</v>
      </c>
      <c r="X227" s="161">
        <f t="shared" ca="1" si="250"/>
        <v>457.50473749385128</v>
      </c>
      <c r="Y227" s="161">
        <f t="shared" ca="1" si="250"/>
        <v>415.66095704337863</v>
      </c>
      <c r="Z227" s="161">
        <f t="shared" ca="1" si="250"/>
        <v>449.42027278164591</v>
      </c>
      <c r="AA227" s="161">
        <f t="shared" ca="1" si="250"/>
        <v>490.36274133263129</v>
      </c>
      <c r="AB227" s="161">
        <f t="shared" ca="1" si="250"/>
        <v>504.90676042968755</v>
      </c>
      <c r="AC227" s="114"/>
      <c r="AD227" s="161" t="e">
        <f t="shared" ca="1" si="237"/>
        <v>#N/A</v>
      </c>
      <c r="AE227" s="6"/>
      <c r="AF227" s="160">
        <f t="shared" ref="AF227:BI227" ca="1" si="257">IF($D$2=FALSE,"-",IF(AF$13="","",+AF219+SUM(AF224:AF226)))</f>
        <v>548.19200000000001</v>
      </c>
      <c r="AG227" s="161">
        <f t="shared" ca="1" si="257"/>
        <v>457.50473749385128</v>
      </c>
      <c r="AH227" s="161">
        <f t="shared" ca="1" si="257"/>
        <v>415.66095704337863</v>
      </c>
      <c r="AI227" s="161">
        <f t="shared" ca="1" si="257"/>
        <v>449.42027278164591</v>
      </c>
      <c r="AJ227" s="161">
        <f t="shared" ca="1" si="257"/>
        <v>490.36274133263129</v>
      </c>
      <c r="AK227" s="161">
        <f t="shared" ca="1" si="257"/>
        <v>504.90676042968755</v>
      </c>
      <c r="AL227" s="161" t="str">
        <f t="shared" ca="1" si="257"/>
        <v/>
      </c>
      <c r="AM227" s="161" t="str">
        <f t="shared" ca="1" si="257"/>
        <v/>
      </c>
      <c r="AN227" s="161" t="str">
        <f t="shared" ca="1" si="257"/>
        <v/>
      </c>
      <c r="AO227" s="161" t="str">
        <f t="shared" ca="1" si="257"/>
        <v/>
      </c>
      <c r="AP227" s="161" t="str">
        <f t="shared" ca="1" si="257"/>
        <v/>
      </c>
      <c r="AQ227" s="161" t="str">
        <f t="shared" ca="1" si="257"/>
        <v/>
      </c>
      <c r="AR227" s="161" t="str">
        <f t="shared" ca="1" si="257"/>
        <v/>
      </c>
      <c r="AS227" s="161" t="str">
        <f t="shared" ca="1" si="257"/>
        <v/>
      </c>
      <c r="AT227" s="161" t="str">
        <f t="shared" ca="1" si="257"/>
        <v/>
      </c>
      <c r="AU227" s="161" t="str">
        <f t="shared" ca="1" si="257"/>
        <v/>
      </c>
      <c r="AV227" s="161" t="str">
        <f t="shared" ca="1" si="257"/>
        <v/>
      </c>
      <c r="AW227" s="161" t="str">
        <f t="shared" ca="1" si="257"/>
        <v/>
      </c>
      <c r="AX227" s="161" t="str">
        <f t="shared" ca="1" si="257"/>
        <v/>
      </c>
      <c r="AY227" s="161" t="str">
        <f t="shared" ca="1" si="257"/>
        <v/>
      </c>
      <c r="AZ227" s="161" t="str">
        <f t="shared" ca="1" si="257"/>
        <v/>
      </c>
      <c r="BA227" s="161" t="str">
        <f t="shared" ca="1" si="257"/>
        <v/>
      </c>
      <c r="BB227" s="161" t="str">
        <f t="shared" ca="1" si="257"/>
        <v/>
      </c>
      <c r="BC227" s="161" t="str">
        <f t="shared" ca="1" si="257"/>
        <v/>
      </c>
      <c r="BD227" s="161" t="str">
        <f t="shared" ca="1" si="257"/>
        <v/>
      </c>
      <c r="BE227" s="161" t="str">
        <f t="shared" ca="1" si="257"/>
        <v/>
      </c>
      <c r="BF227" s="161" t="str">
        <f t="shared" ca="1" si="257"/>
        <v/>
      </c>
      <c r="BG227" s="161" t="str">
        <f t="shared" ca="1" si="257"/>
        <v/>
      </c>
      <c r="BH227" s="161" t="str">
        <f t="shared" ca="1" si="257"/>
        <v/>
      </c>
      <c r="BI227" s="161" t="str">
        <f t="shared" ca="1" si="257"/>
        <v/>
      </c>
      <c r="BK227" s="84"/>
      <c r="BL227" s="84"/>
      <c r="BM227" s="84"/>
      <c r="BN227" s="84"/>
      <c r="BO227" s="84"/>
      <c r="BP227" s="84"/>
    </row>
    <row r="228" spans="1:68" ht="15" customHeight="1" outlineLevel="1">
      <c r="A228" s="6"/>
      <c r="B228" s="34">
        <f>$B$57</f>
        <v>44926</v>
      </c>
      <c r="C228" s="34">
        <f ca="1">$C$57</f>
        <v>44926</v>
      </c>
      <c r="D228" s="107">
        <f ca="1">IF($D$2=FALSE,"-",AVERAGE(OFFSET($AF228,0,MATCH(B228,OFFSET($AF$13,0,0,1,$G$4-$E$4+1),0)-1,1,MATCH(C228,OFFSET($AF$13,0,0,1,$G$4-$E$4+1),0)-MATCH(B228,OFFSET($AF$13,0,0,1,$G$4-$E$4+1),0)+1)))</f>
        <v>0</v>
      </c>
      <c r="E228" s="96">
        <f ca="1">IF($D$2=FALSE,0,J228)</f>
        <v>0</v>
      </c>
      <c r="F228" s="107">
        <f t="shared" ref="F228" ca="1" si="258">IF($D$2=FALSE,"-",IF(E228="",D228,E228))</f>
        <v>0</v>
      </c>
      <c r="G228" s="34">
        <f>$G$57</f>
        <v>44926</v>
      </c>
      <c r="H228" s="37">
        <f ca="1">$H$57</f>
        <v>44926</v>
      </c>
      <c r="I228" s="107">
        <f ca="1">IF($D$2=FALSE,"-",AVERAGE(OFFSET($AF228,0,MATCH(G228,OFFSET($AF$13,0,0,1,$G$4-$E$4+1),0)-1,1,MATCH(H228,OFFSET($AF$13,0,0,1,$G$4-$E$4+1),0)-MATCH(G228,OFFSET($AF$13,0,0,1,$G$4-$E$4+1),0)+1)))</f>
        <v>0</v>
      </c>
      <c r="J228" s="96">
        <f ca="1">IF($D$2=FALSE,0,OFFSET($AF228,0,$F$4-1))</f>
        <v>0</v>
      </c>
      <c r="K228" s="127">
        <f ca="1">IF($D$2=FALSE,"-",IF(J228="",I228,J228))</f>
        <v>0</v>
      </c>
      <c r="L228" s="126">
        <v>5</v>
      </c>
      <c r="M228" s="81">
        <v>0.1</v>
      </c>
      <c r="O228" s="11">
        <f>O226+1</f>
        <v>49</v>
      </c>
      <c r="P228" s="222"/>
      <c r="Q228" s="6" t="s">
        <v>66</v>
      </c>
      <c r="R228" s="6"/>
      <c r="S228" s="6"/>
      <c r="T228" s="6"/>
      <c r="U228" s="6"/>
      <c r="V228" s="6"/>
      <c r="W228" s="116">
        <f t="shared" ca="1" si="250"/>
        <v>0</v>
      </c>
      <c r="X228" s="116">
        <f t="shared" ca="1" si="250"/>
        <v>0</v>
      </c>
      <c r="Y228" s="116">
        <f t="shared" ca="1" si="250"/>
        <v>0</v>
      </c>
      <c r="Z228" s="116">
        <f t="shared" ca="1" si="250"/>
        <v>0</v>
      </c>
      <c r="AA228" s="116">
        <f t="shared" ca="1" si="250"/>
        <v>0</v>
      </c>
      <c r="AB228" s="116">
        <f t="shared" ca="1" si="250"/>
        <v>0</v>
      </c>
      <c r="AC228" s="114"/>
      <c r="AD228" s="116" t="e">
        <f t="shared" ca="1" si="237"/>
        <v>#N/A</v>
      </c>
      <c r="AE228" s="6"/>
      <c r="AF228" s="252">
        <f t="shared" ref="AF228:BI228" ca="1" si="259">IF($D$2=FALSE,"-",IF(AF$13="","",IF(AF$4&lt;=0,OFFSET(INDIRECT($D$3),$O228-1,$E$10-1+AF$3),IF(AF$4&lt;=$L228,IF($M228=0,$F228-((IF($M228=0,($F228-$K228)/$L228,($K228-$F228)/(EXP(-$M228*$L228)-1)))*(AF$4-1)),($F228-(IF($M228=0,($F228-$K228)/$L228,($K228-$F228)/(EXP(-$M228*$L228)-1))))+((IF($M228=0,($F228-$K228)/$L228,($K228-$F228)/(EXP(-$M228*$L228)-1)))*EXP(-$M228*(AF$4-1)))),$K228))))</f>
        <v>0</v>
      </c>
      <c r="AG228" s="299">
        <f t="shared" ca="1" si="259"/>
        <v>0</v>
      </c>
      <c r="AH228" s="252">
        <f t="shared" ca="1" si="259"/>
        <v>0</v>
      </c>
      <c r="AI228" s="252">
        <f t="shared" ca="1" si="259"/>
        <v>0</v>
      </c>
      <c r="AJ228" s="252">
        <f t="shared" ca="1" si="259"/>
        <v>0</v>
      </c>
      <c r="AK228" s="252">
        <f t="shared" ca="1" si="259"/>
        <v>0</v>
      </c>
      <c r="AL228" s="252" t="str">
        <f t="shared" ca="1" si="259"/>
        <v/>
      </c>
      <c r="AM228" s="252" t="str">
        <f t="shared" ca="1" si="259"/>
        <v/>
      </c>
      <c r="AN228" s="252" t="str">
        <f t="shared" ca="1" si="259"/>
        <v/>
      </c>
      <c r="AO228" s="252" t="str">
        <f t="shared" ca="1" si="259"/>
        <v/>
      </c>
      <c r="AP228" s="252" t="str">
        <f t="shared" ca="1" si="259"/>
        <v/>
      </c>
      <c r="AQ228" s="252" t="str">
        <f t="shared" ca="1" si="259"/>
        <v/>
      </c>
      <c r="AR228" s="252" t="str">
        <f t="shared" ca="1" si="259"/>
        <v/>
      </c>
      <c r="AS228" s="252" t="str">
        <f t="shared" ca="1" si="259"/>
        <v/>
      </c>
      <c r="AT228" s="252" t="str">
        <f t="shared" ca="1" si="259"/>
        <v/>
      </c>
      <c r="AU228" s="252" t="str">
        <f t="shared" ca="1" si="259"/>
        <v/>
      </c>
      <c r="AV228" s="252" t="str">
        <f t="shared" ca="1" si="259"/>
        <v/>
      </c>
      <c r="AW228" s="252" t="str">
        <f t="shared" ca="1" si="259"/>
        <v/>
      </c>
      <c r="AX228" s="252" t="str">
        <f t="shared" ca="1" si="259"/>
        <v/>
      </c>
      <c r="AY228" s="252" t="str">
        <f t="shared" ca="1" si="259"/>
        <v/>
      </c>
      <c r="AZ228" s="252" t="str">
        <f t="shared" ca="1" si="259"/>
        <v/>
      </c>
      <c r="BA228" s="252" t="str">
        <f t="shared" ca="1" si="259"/>
        <v/>
      </c>
      <c r="BB228" s="252" t="str">
        <f t="shared" ca="1" si="259"/>
        <v/>
      </c>
      <c r="BC228" s="252" t="str">
        <f t="shared" ca="1" si="259"/>
        <v/>
      </c>
      <c r="BD228" s="252" t="str">
        <f t="shared" ca="1" si="259"/>
        <v/>
      </c>
      <c r="BE228" s="252" t="str">
        <f t="shared" ca="1" si="259"/>
        <v/>
      </c>
      <c r="BF228" s="252" t="str">
        <f t="shared" ca="1" si="259"/>
        <v/>
      </c>
      <c r="BG228" s="252" t="str">
        <f t="shared" ca="1" si="259"/>
        <v/>
      </c>
      <c r="BH228" s="252" t="str">
        <f t="shared" ca="1" si="259"/>
        <v/>
      </c>
      <c r="BI228" s="252" t="str">
        <f t="shared" ca="1" si="259"/>
        <v/>
      </c>
      <c r="BK228" s="84"/>
      <c r="BL228" s="84"/>
      <c r="BM228" s="84"/>
      <c r="BN228" s="84"/>
      <c r="BO228" s="84"/>
      <c r="BP228" s="84"/>
    </row>
    <row r="229" spans="1:68" ht="15" customHeight="1" outlineLevel="1">
      <c r="A229" s="6"/>
      <c r="I229" s="3"/>
      <c r="J229" s="3"/>
      <c r="K229" s="3"/>
      <c r="N229" s="6"/>
      <c r="O229" s="11">
        <f>O228+1</f>
        <v>50</v>
      </c>
      <c r="P229" s="222"/>
      <c r="Q229" s="156" t="s">
        <v>22</v>
      </c>
      <c r="R229" s="156"/>
      <c r="S229" s="156"/>
      <c r="T229" s="156"/>
      <c r="U229" s="156"/>
      <c r="V229" s="6"/>
      <c r="W229" s="116">
        <f t="shared" ca="1" si="250"/>
        <v>100</v>
      </c>
      <c r="X229" s="116">
        <f t="shared" ca="1" si="250"/>
        <v>99</v>
      </c>
      <c r="Y229" s="116">
        <f t="shared" ca="1" si="250"/>
        <v>98</v>
      </c>
      <c r="Z229" s="116">
        <f t="shared" ca="1" si="250"/>
        <v>97</v>
      </c>
      <c r="AA229" s="116">
        <f t="shared" ca="1" si="250"/>
        <v>96</v>
      </c>
      <c r="AB229" s="116">
        <f t="shared" ca="1" si="250"/>
        <v>95</v>
      </c>
      <c r="AC229" s="114"/>
      <c r="AD229" s="116" t="e">
        <f t="shared" ca="1" si="237"/>
        <v>#N/A</v>
      </c>
      <c r="AE229" s="6"/>
      <c r="AF229" s="297">
        <f t="shared" ref="AF229:BI229" ca="1" si="260">IF($D$2=FALSE,"-",IF(AF$13="","",IF(AF$4&lt;=0,OFFSET(INDIRECT($D$3),$O229-1,$E$10-1+AF$3),AF360)))</f>
        <v>100</v>
      </c>
      <c r="AG229" s="298">
        <f t="shared" ca="1" si="260"/>
        <v>99</v>
      </c>
      <c r="AH229" s="298">
        <f t="shared" ca="1" si="260"/>
        <v>98</v>
      </c>
      <c r="AI229" s="298">
        <f t="shared" ca="1" si="260"/>
        <v>97</v>
      </c>
      <c r="AJ229" s="298">
        <f t="shared" ca="1" si="260"/>
        <v>96</v>
      </c>
      <c r="AK229" s="298">
        <f t="shared" ca="1" si="260"/>
        <v>95</v>
      </c>
      <c r="AL229" s="298" t="str">
        <f t="shared" ca="1" si="260"/>
        <v/>
      </c>
      <c r="AM229" s="298" t="str">
        <f t="shared" ca="1" si="260"/>
        <v/>
      </c>
      <c r="AN229" s="298" t="str">
        <f t="shared" ca="1" si="260"/>
        <v/>
      </c>
      <c r="AO229" s="298" t="str">
        <f t="shared" ca="1" si="260"/>
        <v/>
      </c>
      <c r="AP229" s="298" t="str">
        <f t="shared" ca="1" si="260"/>
        <v/>
      </c>
      <c r="AQ229" s="298" t="str">
        <f t="shared" ca="1" si="260"/>
        <v/>
      </c>
      <c r="AR229" s="298" t="str">
        <f t="shared" ca="1" si="260"/>
        <v/>
      </c>
      <c r="AS229" s="298" t="str">
        <f t="shared" ca="1" si="260"/>
        <v/>
      </c>
      <c r="AT229" s="298" t="str">
        <f t="shared" ca="1" si="260"/>
        <v/>
      </c>
      <c r="AU229" s="298" t="str">
        <f t="shared" ca="1" si="260"/>
        <v/>
      </c>
      <c r="AV229" s="298" t="str">
        <f t="shared" ca="1" si="260"/>
        <v/>
      </c>
      <c r="AW229" s="298" t="str">
        <f t="shared" ca="1" si="260"/>
        <v/>
      </c>
      <c r="AX229" s="298" t="str">
        <f t="shared" ca="1" si="260"/>
        <v/>
      </c>
      <c r="AY229" s="298" t="str">
        <f t="shared" ca="1" si="260"/>
        <v/>
      </c>
      <c r="AZ229" s="298" t="str">
        <f t="shared" ca="1" si="260"/>
        <v/>
      </c>
      <c r="BA229" s="298" t="str">
        <f t="shared" ca="1" si="260"/>
        <v/>
      </c>
      <c r="BB229" s="298" t="str">
        <f t="shared" ca="1" si="260"/>
        <v/>
      </c>
      <c r="BC229" s="298" t="str">
        <f t="shared" ca="1" si="260"/>
        <v/>
      </c>
      <c r="BD229" s="298" t="str">
        <f t="shared" ca="1" si="260"/>
        <v/>
      </c>
      <c r="BE229" s="298" t="str">
        <f t="shared" ca="1" si="260"/>
        <v/>
      </c>
      <c r="BF229" s="298" t="str">
        <f t="shared" ca="1" si="260"/>
        <v/>
      </c>
      <c r="BG229" s="298" t="str">
        <f t="shared" ca="1" si="260"/>
        <v/>
      </c>
      <c r="BH229" s="298" t="str">
        <f t="shared" ca="1" si="260"/>
        <v/>
      </c>
      <c r="BI229" s="298" t="str">
        <f t="shared" ca="1" si="260"/>
        <v/>
      </c>
      <c r="BK229" s="84"/>
      <c r="BL229" s="84"/>
      <c r="BM229" s="84"/>
      <c r="BN229" s="84"/>
      <c r="BO229" s="84"/>
      <c r="BP229" s="84"/>
    </row>
    <row r="230" spans="1:68" ht="15" customHeight="1" outlineLevel="1">
      <c r="A230" s="6"/>
      <c r="I230" s="3"/>
      <c r="J230" s="3"/>
      <c r="K230" s="3"/>
      <c r="N230" s="6"/>
      <c r="O230" s="11">
        <f>O229+1</f>
        <v>51</v>
      </c>
      <c r="P230" s="222"/>
      <c r="Q230" s="162" t="s">
        <v>67</v>
      </c>
      <c r="R230" s="162"/>
      <c r="S230" s="162"/>
      <c r="T230" s="162"/>
      <c r="U230" s="162"/>
      <c r="V230" s="6"/>
      <c r="W230" s="129">
        <f t="shared" ca="1" si="250"/>
        <v>113.25299999999993</v>
      </c>
      <c r="X230" s="129">
        <f t="shared" ca="1" si="250"/>
        <v>149.06556250614869</v>
      </c>
      <c r="Y230" s="129">
        <f t="shared" ca="1" si="250"/>
        <v>193.95327795662118</v>
      </c>
      <c r="Z230" s="129">
        <f t="shared" ca="1" si="250"/>
        <v>246.24098331893197</v>
      </c>
      <c r="AA230" s="129">
        <f t="shared" ca="1" si="250"/>
        <v>308.39446376414168</v>
      </c>
      <c r="AB230" s="129">
        <f t="shared" ca="1" si="250"/>
        <v>376.83303860729643</v>
      </c>
      <c r="AC230" s="114"/>
      <c r="AD230" s="129" t="e">
        <f t="shared" ca="1" si="237"/>
        <v>#N/A</v>
      </c>
      <c r="AE230" s="6"/>
      <c r="AF230" s="300">
        <f t="shared" ref="AF230:BI230" ca="1" si="261">IF($D$2=FALSE,"-",IF(AF$13="","",IF(AF$4&lt;=0,OFFSET(INDIRECT($D$3),$O230-1,$E$10-1+AF$3),OFFSET(AF230,0,-AF$7)+AF185)))</f>
        <v>113.25299999999993</v>
      </c>
      <c r="AG230" s="301">
        <f t="shared" ca="1" si="261"/>
        <v>149.06556250614869</v>
      </c>
      <c r="AH230" s="301">
        <f t="shared" ca="1" si="261"/>
        <v>193.95327795662118</v>
      </c>
      <c r="AI230" s="301">
        <f t="shared" ca="1" si="261"/>
        <v>246.24098331893197</v>
      </c>
      <c r="AJ230" s="301">
        <f t="shared" ca="1" si="261"/>
        <v>308.39446376414168</v>
      </c>
      <c r="AK230" s="301">
        <f t="shared" ca="1" si="261"/>
        <v>376.83303860729643</v>
      </c>
      <c r="AL230" s="301" t="str">
        <f t="shared" ca="1" si="261"/>
        <v/>
      </c>
      <c r="AM230" s="301" t="str">
        <f t="shared" ca="1" si="261"/>
        <v/>
      </c>
      <c r="AN230" s="301" t="str">
        <f t="shared" ca="1" si="261"/>
        <v/>
      </c>
      <c r="AO230" s="301" t="str">
        <f t="shared" ca="1" si="261"/>
        <v/>
      </c>
      <c r="AP230" s="301" t="str">
        <f t="shared" ca="1" si="261"/>
        <v/>
      </c>
      <c r="AQ230" s="301" t="str">
        <f t="shared" ca="1" si="261"/>
        <v/>
      </c>
      <c r="AR230" s="301" t="str">
        <f t="shared" ca="1" si="261"/>
        <v/>
      </c>
      <c r="AS230" s="301" t="str">
        <f t="shared" ca="1" si="261"/>
        <v/>
      </c>
      <c r="AT230" s="301" t="str">
        <f t="shared" ca="1" si="261"/>
        <v/>
      </c>
      <c r="AU230" s="301" t="str">
        <f t="shared" ca="1" si="261"/>
        <v/>
      </c>
      <c r="AV230" s="301" t="str">
        <f t="shared" ca="1" si="261"/>
        <v/>
      </c>
      <c r="AW230" s="301" t="str">
        <f t="shared" ca="1" si="261"/>
        <v/>
      </c>
      <c r="AX230" s="301" t="str">
        <f t="shared" ca="1" si="261"/>
        <v/>
      </c>
      <c r="AY230" s="301" t="str">
        <f t="shared" ca="1" si="261"/>
        <v/>
      </c>
      <c r="AZ230" s="301" t="str">
        <f t="shared" ca="1" si="261"/>
        <v/>
      </c>
      <c r="BA230" s="301" t="str">
        <f t="shared" ca="1" si="261"/>
        <v/>
      </c>
      <c r="BB230" s="301" t="str">
        <f t="shared" ca="1" si="261"/>
        <v/>
      </c>
      <c r="BC230" s="301" t="str">
        <f t="shared" ca="1" si="261"/>
        <v/>
      </c>
      <c r="BD230" s="301" t="str">
        <f t="shared" ca="1" si="261"/>
        <v/>
      </c>
      <c r="BE230" s="301" t="str">
        <f t="shared" ca="1" si="261"/>
        <v/>
      </c>
      <c r="BF230" s="301" t="str">
        <f t="shared" ca="1" si="261"/>
        <v/>
      </c>
      <c r="BG230" s="301" t="str">
        <f t="shared" ca="1" si="261"/>
        <v/>
      </c>
      <c r="BH230" s="301" t="str">
        <f t="shared" ca="1" si="261"/>
        <v/>
      </c>
      <c r="BI230" s="301" t="str">
        <f t="shared" ca="1" si="261"/>
        <v/>
      </c>
      <c r="BK230" s="84"/>
      <c r="BL230" s="84"/>
      <c r="BM230" s="84"/>
      <c r="BN230" s="84"/>
      <c r="BO230" s="84"/>
      <c r="BP230" s="84"/>
    </row>
    <row r="231" spans="1:68" ht="15" customHeight="1" outlineLevel="1">
      <c r="A231" s="6"/>
      <c r="I231" s="3"/>
      <c r="J231" s="3"/>
      <c r="K231" s="3"/>
      <c r="N231" s="6"/>
      <c r="P231" s="6"/>
      <c r="Q231" s="31" t="s">
        <v>157</v>
      </c>
      <c r="R231" s="31"/>
      <c r="S231" s="31"/>
      <c r="T231" s="31"/>
      <c r="U231" s="31"/>
      <c r="V231" s="6"/>
      <c r="W231" s="116">
        <f t="shared" ca="1" si="250"/>
        <v>761.44499999999994</v>
      </c>
      <c r="X231" s="116">
        <f t="shared" ca="1" si="250"/>
        <v>705.57029999999997</v>
      </c>
      <c r="Y231" s="116">
        <f t="shared" ca="1" si="250"/>
        <v>707.61423499999978</v>
      </c>
      <c r="Z231" s="116">
        <f t="shared" ca="1" si="250"/>
        <v>792.66125610057793</v>
      </c>
      <c r="AA231" s="116">
        <f t="shared" ca="1" si="250"/>
        <v>894.75720509677296</v>
      </c>
      <c r="AB231" s="116">
        <f t="shared" ca="1" si="250"/>
        <v>976.73979903698398</v>
      </c>
      <c r="AC231" s="114"/>
      <c r="AD231" s="116" t="e">
        <f t="shared" ca="1" si="237"/>
        <v>#N/A</v>
      </c>
      <c r="AE231" s="6"/>
      <c r="AF231" s="118">
        <f t="shared" ref="AF231:BI231" ca="1" si="262">IF($D$2=FALSE,"-",IF(AF$13="","",+AF227+SUM(AF228:AF230)))</f>
        <v>761.44499999999994</v>
      </c>
      <c r="AG231" s="116">
        <f t="shared" ca="1" si="262"/>
        <v>705.57029999999997</v>
      </c>
      <c r="AH231" s="116">
        <f t="shared" ca="1" si="262"/>
        <v>707.61423499999978</v>
      </c>
      <c r="AI231" s="116">
        <f t="shared" ca="1" si="262"/>
        <v>792.66125610057793</v>
      </c>
      <c r="AJ231" s="116">
        <f t="shared" ca="1" si="262"/>
        <v>894.75720509677296</v>
      </c>
      <c r="AK231" s="116">
        <f t="shared" ca="1" si="262"/>
        <v>976.73979903698398</v>
      </c>
      <c r="AL231" s="116" t="str">
        <f t="shared" ca="1" si="262"/>
        <v/>
      </c>
      <c r="AM231" s="116" t="str">
        <f t="shared" ca="1" si="262"/>
        <v/>
      </c>
      <c r="AN231" s="116" t="str">
        <f t="shared" ca="1" si="262"/>
        <v/>
      </c>
      <c r="AO231" s="116" t="str">
        <f t="shared" ca="1" si="262"/>
        <v/>
      </c>
      <c r="AP231" s="116" t="str">
        <f t="shared" ca="1" si="262"/>
        <v/>
      </c>
      <c r="AQ231" s="116" t="str">
        <f t="shared" ca="1" si="262"/>
        <v/>
      </c>
      <c r="AR231" s="116" t="str">
        <f t="shared" ca="1" si="262"/>
        <v/>
      </c>
      <c r="AS231" s="116" t="str">
        <f t="shared" ca="1" si="262"/>
        <v/>
      </c>
      <c r="AT231" s="116" t="str">
        <f t="shared" ca="1" si="262"/>
        <v/>
      </c>
      <c r="AU231" s="116" t="str">
        <f t="shared" ca="1" si="262"/>
        <v/>
      </c>
      <c r="AV231" s="116" t="str">
        <f t="shared" ca="1" si="262"/>
        <v/>
      </c>
      <c r="AW231" s="116" t="str">
        <f t="shared" ca="1" si="262"/>
        <v/>
      </c>
      <c r="AX231" s="116" t="str">
        <f t="shared" ca="1" si="262"/>
        <v/>
      </c>
      <c r="AY231" s="116" t="str">
        <f t="shared" ca="1" si="262"/>
        <v/>
      </c>
      <c r="AZ231" s="116" t="str">
        <f t="shared" ca="1" si="262"/>
        <v/>
      </c>
      <c r="BA231" s="116" t="str">
        <f t="shared" ca="1" si="262"/>
        <v/>
      </c>
      <c r="BB231" s="116" t="str">
        <f t="shared" ca="1" si="262"/>
        <v/>
      </c>
      <c r="BC231" s="116" t="str">
        <f t="shared" ca="1" si="262"/>
        <v/>
      </c>
      <c r="BD231" s="116" t="str">
        <f t="shared" ca="1" si="262"/>
        <v/>
      </c>
      <c r="BE231" s="116" t="str">
        <f t="shared" ca="1" si="262"/>
        <v/>
      </c>
      <c r="BF231" s="116" t="str">
        <f t="shared" ca="1" si="262"/>
        <v/>
      </c>
      <c r="BG231" s="116" t="str">
        <f t="shared" ca="1" si="262"/>
        <v/>
      </c>
      <c r="BH231" s="116" t="str">
        <f t="shared" ca="1" si="262"/>
        <v/>
      </c>
      <c r="BI231" s="116" t="str">
        <f t="shared" ca="1" si="262"/>
        <v/>
      </c>
      <c r="BK231" s="84"/>
      <c r="BL231" s="84"/>
      <c r="BM231" s="84"/>
      <c r="BN231" s="84"/>
      <c r="BO231" s="84"/>
      <c r="BP231" s="84"/>
    </row>
    <row r="232" spans="1:68" ht="15" customHeight="1" outlineLevel="1">
      <c r="A232" s="6"/>
      <c r="I232" s="3"/>
      <c r="J232" s="3"/>
      <c r="K232" s="3"/>
      <c r="N232" s="6"/>
      <c r="P232" s="6"/>
      <c r="Q232" s="31"/>
      <c r="R232" s="31"/>
      <c r="S232" s="31"/>
      <c r="T232" s="31"/>
      <c r="U232" s="31"/>
      <c r="V232" s="6"/>
      <c r="W232" s="116"/>
      <c r="X232" s="116"/>
      <c r="Y232" s="116"/>
      <c r="Z232" s="116"/>
      <c r="AA232" s="116"/>
      <c r="AB232" s="116"/>
      <c r="AC232" s="114"/>
      <c r="AD232" s="116"/>
      <c r="AE232" s="6"/>
      <c r="AF232" s="118"/>
      <c r="AG232" s="116"/>
      <c r="AH232" s="116"/>
      <c r="AI232" s="116"/>
      <c r="AJ232" s="116"/>
      <c r="AK232" s="116"/>
      <c r="AL232" s="116"/>
      <c r="AM232" s="116"/>
      <c r="AN232" s="116"/>
      <c r="AO232" s="116"/>
      <c r="AP232" s="116"/>
      <c r="AQ232" s="116"/>
      <c r="AR232" s="116"/>
      <c r="AS232" s="116"/>
      <c r="AT232" s="116"/>
      <c r="AU232" s="116"/>
      <c r="AV232" s="116"/>
      <c r="AW232" s="116"/>
      <c r="AX232" s="116"/>
      <c r="AY232" s="116"/>
      <c r="AZ232" s="116"/>
      <c r="BA232" s="116"/>
      <c r="BB232" s="116"/>
      <c r="BC232" s="116"/>
      <c r="BD232" s="116"/>
      <c r="BE232" s="116"/>
      <c r="BF232" s="116"/>
      <c r="BG232" s="116"/>
      <c r="BH232" s="116"/>
      <c r="BI232" s="116"/>
      <c r="BK232" s="84"/>
      <c r="BL232" s="84"/>
      <c r="BM232" s="84"/>
      <c r="BN232" s="84"/>
      <c r="BO232" s="84"/>
      <c r="BP232" s="84"/>
    </row>
    <row r="233" spans="1:68" ht="15" customHeight="1" outlineLevel="1">
      <c r="A233" s="6"/>
      <c r="I233" s="3"/>
      <c r="J233" s="3"/>
      <c r="K233" s="3"/>
      <c r="N233" s="6"/>
      <c r="P233" s="6"/>
      <c r="Q233" s="33" t="s">
        <v>220</v>
      </c>
      <c r="R233" s="33"/>
      <c r="S233" s="33"/>
      <c r="T233" s="33"/>
      <c r="U233" s="33"/>
      <c r="V233" s="6"/>
      <c r="W233" s="223">
        <f t="shared" ref="W233:AB233" ca="1" si="263">IF($D$2=FALSE,"-",IF(W$13="","",W209-W231))</f>
        <v>0</v>
      </c>
      <c r="X233" s="223">
        <f t="shared" ca="1" si="263"/>
        <v>1.1368683772161603E-13</v>
      </c>
      <c r="Y233" s="223">
        <f t="shared" ca="1" si="263"/>
        <v>2.2737367544323206E-13</v>
      </c>
      <c r="Z233" s="223">
        <f t="shared" ca="1" si="263"/>
        <v>0</v>
      </c>
      <c r="AA233" s="223">
        <f t="shared" ca="1" si="263"/>
        <v>1.1368683772161603E-13</v>
      </c>
      <c r="AB233" s="223">
        <f t="shared" ca="1" si="263"/>
        <v>1.1368683772161603E-13</v>
      </c>
      <c r="AC233" s="223"/>
      <c r="AD233" s="223" t="e">
        <f ca="1">IF($D$2=FALSE,"-",IF(AD$13="","",AD209-AD231))</f>
        <v>#N/A</v>
      </c>
      <c r="AE233" s="223"/>
      <c r="AF233" s="224">
        <f t="shared" ref="AF233:BI233" ca="1" si="264">IF($D$2=FALSE,"-",IF(AF$13="","",AF209-AF231))</f>
        <v>0</v>
      </c>
      <c r="AG233" s="223">
        <f t="shared" ca="1" si="264"/>
        <v>1.1368683772161603E-13</v>
      </c>
      <c r="AH233" s="223">
        <f t="shared" ca="1" si="264"/>
        <v>2.2737367544323206E-13</v>
      </c>
      <c r="AI233" s="223">
        <f t="shared" ca="1" si="264"/>
        <v>0</v>
      </c>
      <c r="AJ233" s="223">
        <f t="shared" ca="1" si="264"/>
        <v>1.1368683772161603E-13</v>
      </c>
      <c r="AK233" s="223">
        <f t="shared" ca="1" si="264"/>
        <v>1.1368683772161603E-13</v>
      </c>
      <c r="AL233" s="223" t="str">
        <f t="shared" ca="1" si="264"/>
        <v/>
      </c>
      <c r="AM233" s="223" t="str">
        <f t="shared" ca="1" si="264"/>
        <v/>
      </c>
      <c r="AN233" s="223" t="str">
        <f t="shared" ca="1" si="264"/>
        <v/>
      </c>
      <c r="AO233" s="223" t="str">
        <f t="shared" ca="1" si="264"/>
        <v/>
      </c>
      <c r="AP233" s="223" t="str">
        <f t="shared" ca="1" si="264"/>
        <v/>
      </c>
      <c r="AQ233" s="223" t="str">
        <f t="shared" ca="1" si="264"/>
        <v/>
      </c>
      <c r="AR233" s="223" t="str">
        <f t="shared" ca="1" si="264"/>
        <v/>
      </c>
      <c r="AS233" s="223" t="str">
        <f t="shared" ca="1" si="264"/>
        <v/>
      </c>
      <c r="AT233" s="223" t="str">
        <f t="shared" ca="1" si="264"/>
        <v/>
      </c>
      <c r="AU233" s="223" t="str">
        <f t="shared" ca="1" si="264"/>
        <v/>
      </c>
      <c r="AV233" s="223" t="str">
        <f t="shared" ca="1" si="264"/>
        <v/>
      </c>
      <c r="AW233" s="223" t="str">
        <f t="shared" ca="1" si="264"/>
        <v/>
      </c>
      <c r="AX233" s="223" t="str">
        <f t="shared" ca="1" si="264"/>
        <v/>
      </c>
      <c r="AY233" s="223" t="str">
        <f t="shared" ca="1" si="264"/>
        <v/>
      </c>
      <c r="AZ233" s="223" t="str">
        <f t="shared" ca="1" si="264"/>
        <v/>
      </c>
      <c r="BA233" s="223" t="str">
        <f t="shared" ca="1" si="264"/>
        <v/>
      </c>
      <c r="BB233" s="223" t="str">
        <f t="shared" ca="1" si="264"/>
        <v/>
      </c>
      <c r="BC233" s="223" t="str">
        <f t="shared" ca="1" si="264"/>
        <v/>
      </c>
      <c r="BD233" s="223" t="str">
        <f t="shared" ca="1" si="264"/>
        <v/>
      </c>
      <c r="BE233" s="223" t="str">
        <f t="shared" ca="1" si="264"/>
        <v/>
      </c>
      <c r="BF233" s="223" t="str">
        <f t="shared" ca="1" si="264"/>
        <v/>
      </c>
      <c r="BG233" s="223" t="str">
        <f t="shared" ca="1" si="264"/>
        <v/>
      </c>
      <c r="BH233" s="223" t="str">
        <f t="shared" ca="1" si="264"/>
        <v/>
      </c>
      <c r="BI233" s="223" t="str">
        <f t="shared" ca="1" si="264"/>
        <v/>
      </c>
      <c r="BK233" s="84"/>
      <c r="BL233" s="84"/>
      <c r="BM233" s="84"/>
      <c r="BN233" s="84"/>
      <c r="BO233" s="84"/>
      <c r="BP233" s="84"/>
    </row>
    <row r="234" spans="1:68" ht="15" customHeight="1" outlineLevel="1">
      <c r="A234" s="6"/>
      <c r="I234" s="3"/>
      <c r="J234" s="3"/>
      <c r="K234" s="3"/>
      <c r="N234" s="6"/>
      <c r="P234" s="6"/>
      <c r="Q234" s="31"/>
      <c r="R234" s="31"/>
      <c r="S234" s="31"/>
      <c r="T234" s="31"/>
      <c r="U234" s="31"/>
      <c r="V234" s="6"/>
      <c r="W234" s="116"/>
      <c r="X234" s="116"/>
      <c r="Y234" s="116"/>
      <c r="Z234" s="116"/>
      <c r="AA234" s="116"/>
      <c r="AB234" s="116"/>
      <c r="AC234" s="114"/>
      <c r="AD234" s="116"/>
      <c r="AE234" s="6"/>
      <c r="AF234" s="118"/>
      <c r="AG234" s="116"/>
      <c r="AH234" s="116"/>
      <c r="AI234" s="116"/>
      <c r="AJ234" s="116"/>
      <c r="AK234" s="116"/>
      <c r="AL234" s="116"/>
      <c r="AM234" s="116"/>
      <c r="AN234" s="116"/>
      <c r="AO234" s="116"/>
      <c r="AP234" s="116"/>
      <c r="AQ234" s="116"/>
      <c r="AR234" s="116"/>
      <c r="AS234" s="116"/>
      <c r="AT234" s="116"/>
      <c r="AU234" s="116"/>
      <c r="AV234" s="116"/>
      <c r="AW234" s="116"/>
      <c r="AX234" s="116"/>
      <c r="AY234" s="116"/>
      <c r="AZ234" s="116"/>
      <c r="BA234" s="116"/>
      <c r="BB234" s="116"/>
      <c r="BC234" s="116"/>
      <c r="BD234" s="116"/>
      <c r="BE234" s="116"/>
      <c r="BF234" s="116"/>
      <c r="BG234" s="116"/>
      <c r="BH234" s="116"/>
      <c r="BI234" s="116"/>
      <c r="BK234" s="84"/>
      <c r="BL234" s="84"/>
      <c r="BM234" s="84"/>
      <c r="BN234" s="84"/>
      <c r="BO234" s="84"/>
      <c r="BP234" s="84"/>
    </row>
    <row r="235" spans="1:68" ht="15" customHeight="1" outlineLevel="1">
      <c r="Q235" s="25" t="s">
        <v>170</v>
      </c>
      <c r="R235" s="25"/>
      <c r="S235" s="25"/>
      <c r="T235" s="25"/>
      <c r="U235" s="25"/>
      <c r="W235" s="59"/>
      <c r="X235" s="59"/>
      <c r="Y235" s="59"/>
      <c r="Z235" s="59"/>
      <c r="AA235" s="59"/>
      <c r="AB235" s="59"/>
      <c r="AD235" s="59"/>
      <c r="AF235" s="86"/>
      <c r="AG235" s="59"/>
      <c r="AH235" s="59"/>
      <c r="AI235" s="59"/>
      <c r="AJ235" s="59"/>
      <c r="AK235" s="59"/>
      <c r="AL235" s="59"/>
      <c r="AM235" s="59"/>
      <c r="AN235" s="59"/>
      <c r="AO235" s="59"/>
      <c r="AP235" s="59"/>
      <c r="AQ235" s="59"/>
      <c r="AR235" s="59"/>
      <c r="AS235" s="59"/>
      <c r="AT235" s="59"/>
      <c r="AU235" s="59"/>
      <c r="AV235" s="59"/>
      <c r="AW235" s="59"/>
      <c r="AX235" s="59"/>
      <c r="AY235" s="59"/>
      <c r="AZ235" s="59"/>
      <c r="BA235" s="59"/>
      <c r="BB235" s="59"/>
      <c r="BC235" s="59"/>
      <c r="BD235" s="59"/>
      <c r="BE235" s="59"/>
      <c r="BF235" s="59"/>
      <c r="BG235" s="59"/>
      <c r="BH235" s="59"/>
      <c r="BI235" s="59"/>
    </row>
    <row r="236" spans="1:68" ht="15" customHeight="1" outlineLevel="1">
      <c r="P236" s="222"/>
      <c r="Q236" s="87" t="str">
        <f>IF($D$2=FALSE,"-",Q197)</f>
        <v>Accounts receivable</v>
      </c>
      <c r="R236" s="87"/>
      <c r="S236" s="87"/>
      <c r="T236" s="87"/>
      <c r="U236" s="87"/>
      <c r="W236" s="225">
        <f t="shared" ref="W236:AB249" ca="1" si="265">IF($D$2=FALSE,"-",IF(W$13="","",OFFSET($AF236,0,W$8)))</f>
        <v>136.44300000000001</v>
      </c>
      <c r="X236" s="225">
        <f t="shared" ca="1" si="265"/>
        <v>143.26515000000003</v>
      </c>
      <c r="Y236" s="225">
        <f t="shared" ca="1" si="265"/>
        <v>150.42840750000002</v>
      </c>
      <c r="Z236" s="225">
        <f t="shared" ca="1" si="265"/>
        <v>157.94982787500004</v>
      </c>
      <c r="AA236" s="225">
        <f t="shared" ca="1" si="265"/>
        <v>165.84731926875003</v>
      </c>
      <c r="AB236" s="225">
        <f t="shared" ca="1" si="265"/>
        <v>174.13968523218753</v>
      </c>
      <c r="AD236" s="268" t="e">
        <f t="shared" ref="AD236:AD249" ca="1" si="266">IF($D$2=FALSE,"-",IF(AD$13="","",OFFSET($AF236,0,$F$4-AD$7-1)+OFFSET($AF236,0,$F$4-1)-OFFSET($AF236,0,$F$4-$E$5-1)))</f>
        <v>#N/A</v>
      </c>
      <c r="AF236" s="185">
        <f ca="1">IF($D$2=FALSE,"-",IF(AF$13="","",IF(AF$4&lt;=0,AF197,CHOOSE($O256,AF252,AF253)*AF256)))</f>
        <v>136.44300000000001</v>
      </c>
      <c r="AG236" s="123">
        <f t="shared" ref="AG236:BI236" ca="1" si="267">IF($D$2=FALSE,"-",IF(AG$13="","",IF(AG$4&lt;=0,AG197,CHOOSE($O256,AG252,AG253)*AG256)))</f>
        <v>143.26515000000003</v>
      </c>
      <c r="AH236" s="123">
        <f t="shared" ca="1" si="267"/>
        <v>150.42840750000002</v>
      </c>
      <c r="AI236" s="123">
        <f t="shared" ca="1" si="267"/>
        <v>157.94982787500004</v>
      </c>
      <c r="AJ236" s="123">
        <f t="shared" ca="1" si="267"/>
        <v>165.84731926875003</v>
      </c>
      <c r="AK236" s="123">
        <f t="shared" ca="1" si="267"/>
        <v>174.13968523218753</v>
      </c>
      <c r="AL236" s="123" t="str">
        <f t="shared" ca="1" si="267"/>
        <v/>
      </c>
      <c r="AM236" s="123" t="str">
        <f t="shared" ca="1" si="267"/>
        <v/>
      </c>
      <c r="AN236" s="123" t="str">
        <f t="shared" ca="1" si="267"/>
        <v/>
      </c>
      <c r="AO236" s="123" t="str">
        <f t="shared" ca="1" si="267"/>
        <v/>
      </c>
      <c r="AP236" s="123" t="str">
        <f t="shared" ca="1" si="267"/>
        <v/>
      </c>
      <c r="AQ236" s="123" t="str">
        <f t="shared" ca="1" si="267"/>
        <v/>
      </c>
      <c r="AR236" s="123" t="str">
        <f t="shared" ca="1" si="267"/>
        <v/>
      </c>
      <c r="AS236" s="123" t="str">
        <f t="shared" ca="1" si="267"/>
        <v/>
      </c>
      <c r="AT236" s="123" t="str">
        <f t="shared" ca="1" si="267"/>
        <v/>
      </c>
      <c r="AU236" s="123" t="str">
        <f t="shared" ca="1" si="267"/>
        <v/>
      </c>
      <c r="AV236" s="123" t="str">
        <f t="shared" ca="1" si="267"/>
        <v/>
      </c>
      <c r="AW236" s="123" t="str">
        <f t="shared" ca="1" si="267"/>
        <v/>
      </c>
      <c r="AX236" s="123" t="str">
        <f t="shared" ca="1" si="267"/>
        <v/>
      </c>
      <c r="AY236" s="123" t="str">
        <f t="shared" ca="1" si="267"/>
        <v/>
      </c>
      <c r="AZ236" s="123" t="str">
        <f t="shared" ca="1" si="267"/>
        <v/>
      </c>
      <c r="BA236" s="123" t="str">
        <f t="shared" ca="1" si="267"/>
        <v/>
      </c>
      <c r="BB236" s="123" t="str">
        <f t="shared" ca="1" si="267"/>
        <v/>
      </c>
      <c r="BC236" s="123" t="str">
        <f t="shared" ca="1" si="267"/>
        <v/>
      </c>
      <c r="BD236" s="123" t="str">
        <f t="shared" ca="1" si="267"/>
        <v/>
      </c>
      <c r="BE236" s="123" t="str">
        <f t="shared" ca="1" si="267"/>
        <v/>
      </c>
      <c r="BF236" s="123" t="str">
        <f t="shared" ca="1" si="267"/>
        <v/>
      </c>
      <c r="BG236" s="123" t="str">
        <f t="shared" ca="1" si="267"/>
        <v/>
      </c>
      <c r="BH236" s="123" t="str">
        <f t="shared" ca="1" si="267"/>
        <v/>
      </c>
      <c r="BI236" s="123" t="str">
        <f t="shared" ca="1" si="267"/>
        <v/>
      </c>
      <c r="BK236" s="84"/>
      <c r="BL236" s="84"/>
      <c r="BM236" s="84"/>
      <c r="BN236" s="84"/>
      <c r="BO236" s="84"/>
      <c r="BP236" s="84"/>
    </row>
    <row r="237" spans="1:68" ht="15" customHeight="1" outlineLevel="1">
      <c r="P237" s="222"/>
      <c r="Q237" s="87" t="str">
        <f>IF($D$2=FALSE,"-",Q198)</f>
        <v>Inventory</v>
      </c>
      <c r="R237" s="87"/>
      <c r="S237" s="87"/>
      <c r="T237" s="87"/>
      <c r="U237" s="87"/>
      <c r="W237" s="123">
        <f t="shared" ca="1" si="265"/>
        <v>5</v>
      </c>
      <c r="X237" s="123">
        <f t="shared" ca="1" si="265"/>
        <v>5.25</v>
      </c>
      <c r="Y237" s="123">
        <f t="shared" ca="1" si="265"/>
        <v>5.5124999999999993</v>
      </c>
      <c r="Z237" s="123">
        <f t="shared" ca="1" si="265"/>
        <v>5.788125</v>
      </c>
      <c r="AA237" s="123">
        <f t="shared" ca="1" si="265"/>
        <v>6.0775312499999998</v>
      </c>
      <c r="AB237" s="123">
        <f t="shared" ca="1" si="265"/>
        <v>6.3814078125</v>
      </c>
      <c r="AD237" s="125" t="e">
        <f t="shared" ca="1" si="266"/>
        <v>#N/A</v>
      </c>
      <c r="AF237" s="185">
        <f ca="1">IF($D$2=FALSE,"-",IF(AF$13="","",IF(AF$4&lt;=0,AF198,CHOOSE($O257,AF252,AF253)*AF257)))</f>
        <v>5</v>
      </c>
      <c r="AG237" s="123">
        <f t="shared" ref="AG237:BI237" ca="1" si="268">IF($D$2=FALSE,"-",IF(AG$13="","",IF(AG$4&lt;=0,AG198,CHOOSE($O257,AG252,AG253)*AG257)))</f>
        <v>5.25</v>
      </c>
      <c r="AH237" s="123">
        <f t="shared" ca="1" si="268"/>
        <v>5.5124999999999993</v>
      </c>
      <c r="AI237" s="123">
        <f t="shared" ca="1" si="268"/>
        <v>5.788125</v>
      </c>
      <c r="AJ237" s="123">
        <f t="shared" ca="1" si="268"/>
        <v>6.0775312499999998</v>
      </c>
      <c r="AK237" s="123">
        <f t="shared" ca="1" si="268"/>
        <v>6.3814078125</v>
      </c>
      <c r="AL237" s="123" t="str">
        <f t="shared" ca="1" si="268"/>
        <v/>
      </c>
      <c r="AM237" s="123" t="str">
        <f t="shared" ca="1" si="268"/>
        <v/>
      </c>
      <c r="AN237" s="123" t="str">
        <f t="shared" ca="1" si="268"/>
        <v/>
      </c>
      <c r="AO237" s="123" t="str">
        <f t="shared" ca="1" si="268"/>
        <v/>
      </c>
      <c r="AP237" s="123" t="str">
        <f t="shared" ca="1" si="268"/>
        <v/>
      </c>
      <c r="AQ237" s="123" t="str">
        <f t="shared" ca="1" si="268"/>
        <v/>
      </c>
      <c r="AR237" s="123" t="str">
        <f t="shared" ca="1" si="268"/>
        <v/>
      </c>
      <c r="AS237" s="123" t="str">
        <f t="shared" ca="1" si="268"/>
        <v/>
      </c>
      <c r="AT237" s="123" t="str">
        <f t="shared" ca="1" si="268"/>
        <v/>
      </c>
      <c r="AU237" s="123" t="str">
        <f t="shared" ca="1" si="268"/>
        <v/>
      </c>
      <c r="AV237" s="123" t="str">
        <f t="shared" ca="1" si="268"/>
        <v/>
      </c>
      <c r="AW237" s="123" t="str">
        <f t="shared" ca="1" si="268"/>
        <v/>
      </c>
      <c r="AX237" s="123" t="str">
        <f t="shared" ca="1" si="268"/>
        <v/>
      </c>
      <c r="AY237" s="123" t="str">
        <f t="shared" ca="1" si="268"/>
        <v/>
      </c>
      <c r="AZ237" s="123" t="str">
        <f t="shared" ca="1" si="268"/>
        <v/>
      </c>
      <c r="BA237" s="123" t="str">
        <f t="shared" ca="1" si="268"/>
        <v/>
      </c>
      <c r="BB237" s="123" t="str">
        <f t="shared" ca="1" si="268"/>
        <v/>
      </c>
      <c r="BC237" s="123" t="str">
        <f t="shared" ca="1" si="268"/>
        <v/>
      </c>
      <c r="BD237" s="123" t="str">
        <f t="shared" ca="1" si="268"/>
        <v/>
      </c>
      <c r="BE237" s="123" t="str">
        <f t="shared" ca="1" si="268"/>
        <v/>
      </c>
      <c r="BF237" s="123" t="str">
        <f t="shared" ca="1" si="268"/>
        <v/>
      </c>
      <c r="BG237" s="123" t="str">
        <f t="shared" ca="1" si="268"/>
        <v/>
      </c>
      <c r="BH237" s="123" t="str">
        <f t="shared" ca="1" si="268"/>
        <v/>
      </c>
      <c r="BI237" s="123" t="str">
        <f t="shared" ca="1" si="268"/>
        <v/>
      </c>
      <c r="BK237" s="84"/>
      <c r="BL237" s="84"/>
      <c r="BM237" s="84"/>
      <c r="BN237" s="84"/>
      <c r="BO237" s="84"/>
      <c r="BP237" s="84"/>
    </row>
    <row r="238" spans="1:68" ht="15" customHeight="1" outlineLevel="1">
      <c r="P238" s="222"/>
      <c r="Q238" s="87" t="str">
        <f>IF($D$2=FALSE,"-",Q199)</f>
        <v>Deferred tax asset, current</v>
      </c>
      <c r="R238" s="87"/>
      <c r="S238" s="87"/>
      <c r="T238" s="87"/>
      <c r="U238" s="87"/>
      <c r="W238" s="123">
        <f t="shared" ca="1" si="265"/>
        <v>8.8279999999999994</v>
      </c>
      <c r="X238" s="123">
        <f t="shared" ca="1" si="265"/>
        <v>9.2693999999999992</v>
      </c>
      <c r="Y238" s="123">
        <f t="shared" ca="1" si="265"/>
        <v>9.7328700000000001</v>
      </c>
      <c r="Z238" s="123">
        <f t="shared" ca="1" si="265"/>
        <v>10.2195135</v>
      </c>
      <c r="AA238" s="123">
        <f t="shared" ca="1" si="265"/>
        <v>10.730489174999999</v>
      </c>
      <c r="AB238" s="123">
        <f t="shared" ca="1" si="265"/>
        <v>11.26701363375</v>
      </c>
      <c r="AD238" s="125" t="e">
        <f t="shared" ca="1" si="266"/>
        <v>#N/A</v>
      </c>
      <c r="AF238" s="185">
        <f ca="1">IF($D$2=FALSE,"-",IF(AF$13="","",IF(AF$4&lt;=0,AF199,CHOOSE($O258,AF252,AF253)*AF258)))</f>
        <v>8.8279999999999994</v>
      </c>
      <c r="AG238" s="123">
        <f t="shared" ref="AG238:BI238" ca="1" si="269">IF($D$2=FALSE,"-",IF(AG$13="","",IF(AG$4&lt;=0,AG199,CHOOSE($O258,AG252,AG253)*AG258)))</f>
        <v>9.2693999999999992</v>
      </c>
      <c r="AH238" s="123">
        <f t="shared" ca="1" si="269"/>
        <v>9.7328700000000001</v>
      </c>
      <c r="AI238" s="123">
        <f t="shared" ca="1" si="269"/>
        <v>10.2195135</v>
      </c>
      <c r="AJ238" s="123">
        <f t="shared" ca="1" si="269"/>
        <v>10.730489174999999</v>
      </c>
      <c r="AK238" s="123">
        <f t="shared" ca="1" si="269"/>
        <v>11.26701363375</v>
      </c>
      <c r="AL238" s="123" t="str">
        <f t="shared" ca="1" si="269"/>
        <v/>
      </c>
      <c r="AM238" s="123" t="str">
        <f t="shared" ca="1" si="269"/>
        <v/>
      </c>
      <c r="AN238" s="123" t="str">
        <f t="shared" ca="1" si="269"/>
        <v/>
      </c>
      <c r="AO238" s="123" t="str">
        <f t="shared" ca="1" si="269"/>
        <v/>
      </c>
      <c r="AP238" s="123" t="str">
        <f t="shared" ca="1" si="269"/>
        <v/>
      </c>
      <c r="AQ238" s="123" t="str">
        <f t="shared" ca="1" si="269"/>
        <v/>
      </c>
      <c r="AR238" s="123" t="str">
        <f t="shared" ca="1" si="269"/>
        <v/>
      </c>
      <c r="AS238" s="123" t="str">
        <f t="shared" ca="1" si="269"/>
        <v/>
      </c>
      <c r="AT238" s="123" t="str">
        <f t="shared" ca="1" si="269"/>
        <v/>
      </c>
      <c r="AU238" s="123" t="str">
        <f t="shared" ca="1" si="269"/>
        <v/>
      </c>
      <c r="AV238" s="123" t="str">
        <f t="shared" ca="1" si="269"/>
        <v/>
      </c>
      <c r="AW238" s="123" t="str">
        <f t="shared" ca="1" si="269"/>
        <v/>
      </c>
      <c r="AX238" s="123" t="str">
        <f t="shared" ca="1" si="269"/>
        <v/>
      </c>
      <c r="AY238" s="123" t="str">
        <f t="shared" ca="1" si="269"/>
        <v/>
      </c>
      <c r="AZ238" s="123" t="str">
        <f t="shared" ca="1" si="269"/>
        <v/>
      </c>
      <c r="BA238" s="123" t="str">
        <f t="shared" ca="1" si="269"/>
        <v/>
      </c>
      <c r="BB238" s="123" t="str">
        <f t="shared" ca="1" si="269"/>
        <v/>
      </c>
      <c r="BC238" s="123" t="str">
        <f t="shared" ca="1" si="269"/>
        <v/>
      </c>
      <c r="BD238" s="123" t="str">
        <f t="shared" ca="1" si="269"/>
        <v/>
      </c>
      <c r="BE238" s="123" t="str">
        <f t="shared" ca="1" si="269"/>
        <v/>
      </c>
      <c r="BF238" s="123" t="str">
        <f t="shared" ca="1" si="269"/>
        <v/>
      </c>
      <c r="BG238" s="123" t="str">
        <f t="shared" ca="1" si="269"/>
        <v/>
      </c>
      <c r="BH238" s="123" t="str">
        <f t="shared" ca="1" si="269"/>
        <v/>
      </c>
      <c r="BI238" s="123" t="str">
        <f t="shared" ca="1" si="269"/>
        <v/>
      </c>
      <c r="BK238" s="84"/>
      <c r="BL238" s="84"/>
      <c r="BM238" s="84"/>
      <c r="BN238" s="84"/>
      <c r="BO238" s="84"/>
      <c r="BP238" s="84"/>
    </row>
    <row r="239" spans="1:68" ht="15" customHeight="1" outlineLevel="1">
      <c r="P239" s="222"/>
      <c r="Q239" s="210" t="str">
        <f>IF($D$2=FALSE,"-",Q200)</f>
        <v>Other current assets</v>
      </c>
      <c r="R239" s="210"/>
      <c r="S239" s="210"/>
      <c r="T239" s="210"/>
      <c r="U239" s="210"/>
      <c r="W239" s="215">
        <f t="shared" ca="1" si="265"/>
        <v>8.2230000000000008</v>
      </c>
      <c r="X239" s="215">
        <f t="shared" ca="1" si="265"/>
        <v>8.6341500000000018</v>
      </c>
      <c r="Y239" s="215">
        <f t="shared" ca="1" si="265"/>
        <v>9.0658574999999999</v>
      </c>
      <c r="Z239" s="215">
        <f t="shared" ca="1" si="265"/>
        <v>9.5191503750000024</v>
      </c>
      <c r="AA239" s="215">
        <f t="shared" ca="1" si="265"/>
        <v>9.9951078937500011</v>
      </c>
      <c r="AB239" s="215">
        <f t="shared" ca="1" si="265"/>
        <v>10.494863288437502</v>
      </c>
      <c r="AD239" s="209" t="e">
        <f t="shared" ca="1" si="266"/>
        <v>#N/A</v>
      </c>
      <c r="AF239" s="214">
        <f ca="1">IF($D$2=FALSE,"-",IF(AF$13="","",IF(AF$4&lt;=0,AF200,CHOOSE($O259,AF252,AF253)*AF259)))</f>
        <v>8.2230000000000008</v>
      </c>
      <c r="AG239" s="215">
        <f t="shared" ref="AG239:BI239" ca="1" si="270">IF($D$2=FALSE,"-",IF(AG$13="","",IF(AG$4&lt;=0,AG200,CHOOSE($O259,AG252,AG253)*AG259)))</f>
        <v>8.6341500000000018</v>
      </c>
      <c r="AH239" s="215">
        <f t="shared" ca="1" si="270"/>
        <v>9.0658574999999999</v>
      </c>
      <c r="AI239" s="215">
        <f t="shared" ca="1" si="270"/>
        <v>9.5191503750000024</v>
      </c>
      <c r="AJ239" s="215">
        <f t="shared" ca="1" si="270"/>
        <v>9.9951078937500011</v>
      </c>
      <c r="AK239" s="215">
        <f t="shared" ca="1" si="270"/>
        <v>10.494863288437502</v>
      </c>
      <c r="AL239" s="215" t="str">
        <f t="shared" ca="1" si="270"/>
        <v/>
      </c>
      <c r="AM239" s="215" t="str">
        <f t="shared" ca="1" si="270"/>
        <v/>
      </c>
      <c r="AN239" s="215" t="str">
        <f t="shared" ca="1" si="270"/>
        <v/>
      </c>
      <c r="AO239" s="215" t="str">
        <f t="shared" ca="1" si="270"/>
        <v/>
      </c>
      <c r="AP239" s="215" t="str">
        <f t="shared" ca="1" si="270"/>
        <v/>
      </c>
      <c r="AQ239" s="215" t="str">
        <f t="shared" ca="1" si="270"/>
        <v/>
      </c>
      <c r="AR239" s="215" t="str">
        <f t="shared" ca="1" si="270"/>
        <v/>
      </c>
      <c r="AS239" s="215" t="str">
        <f t="shared" ca="1" si="270"/>
        <v/>
      </c>
      <c r="AT239" s="215" t="str">
        <f t="shared" ca="1" si="270"/>
        <v/>
      </c>
      <c r="AU239" s="215" t="str">
        <f t="shared" ca="1" si="270"/>
        <v/>
      </c>
      <c r="AV239" s="215" t="str">
        <f t="shared" ca="1" si="270"/>
        <v/>
      </c>
      <c r="AW239" s="215" t="str">
        <f t="shared" ca="1" si="270"/>
        <v/>
      </c>
      <c r="AX239" s="215" t="str">
        <f t="shared" ca="1" si="270"/>
        <v/>
      </c>
      <c r="AY239" s="215" t="str">
        <f t="shared" ca="1" si="270"/>
        <v/>
      </c>
      <c r="AZ239" s="215" t="str">
        <f t="shared" ca="1" si="270"/>
        <v/>
      </c>
      <c r="BA239" s="215" t="str">
        <f t="shared" ca="1" si="270"/>
        <v/>
      </c>
      <c r="BB239" s="215" t="str">
        <f t="shared" ca="1" si="270"/>
        <v/>
      </c>
      <c r="BC239" s="215" t="str">
        <f t="shared" ca="1" si="270"/>
        <v/>
      </c>
      <c r="BD239" s="215" t="str">
        <f t="shared" ca="1" si="270"/>
        <v/>
      </c>
      <c r="BE239" s="215" t="str">
        <f t="shared" ca="1" si="270"/>
        <v/>
      </c>
      <c r="BF239" s="215" t="str">
        <f t="shared" ca="1" si="270"/>
        <v/>
      </c>
      <c r="BG239" s="215" t="str">
        <f t="shared" ca="1" si="270"/>
        <v/>
      </c>
      <c r="BH239" s="215" t="str">
        <f t="shared" ca="1" si="270"/>
        <v/>
      </c>
      <c r="BI239" s="215" t="str">
        <f t="shared" ca="1" si="270"/>
        <v/>
      </c>
      <c r="BK239" s="84"/>
      <c r="BL239" s="84"/>
      <c r="BM239" s="84"/>
      <c r="BN239" s="84"/>
      <c r="BO239" s="84"/>
      <c r="BP239" s="84"/>
    </row>
    <row r="240" spans="1:68" ht="15" customHeight="1" outlineLevel="1">
      <c r="Q240" s="1" t="s">
        <v>171</v>
      </c>
      <c r="W240" s="123">
        <f t="shared" ca="1" si="265"/>
        <v>158.49400000000003</v>
      </c>
      <c r="X240" s="123">
        <f t="shared" ca="1" si="265"/>
        <v>166.41870000000003</v>
      </c>
      <c r="Y240" s="123">
        <f t="shared" ca="1" si="265"/>
        <v>174.73963499999999</v>
      </c>
      <c r="Z240" s="123">
        <f t="shared" ca="1" si="265"/>
        <v>183.47661675000006</v>
      </c>
      <c r="AA240" s="123">
        <f t="shared" ca="1" si="265"/>
        <v>192.65044758750003</v>
      </c>
      <c r="AB240" s="123">
        <f t="shared" ca="1" si="265"/>
        <v>202.28296996687502</v>
      </c>
      <c r="AD240" s="125" t="e">
        <f t="shared" ca="1" si="266"/>
        <v>#N/A</v>
      </c>
      <c r="AF240" s="185">
        <f ca="1">IF($D$2=FALSE,"-",IF(AF$13="","",+SUM(AF236:AF239)))</f>
        <v>158.49400000000003</v>
      </c>
      <c r="AG240" s="123">
        <f t="shared" ref="AG240:BI240" ca="1" si="271">IF($D$2=FALSE,"-",IF(AG$13="","",+SUM(AG236:AG239)))</f>
        <v>166.41870000000003</v>
      </c>
      <c r="AH240" s="123">
        <f t="shared" ca="1" si="271"/>
        <v>174.73963499999999</v>
      </c>
      <c r="AI240" s="123">
        <f t="shared" ca="1" si="271"/>
        <v>183.47661675000006</v>
      </c>
      <c r="AJ240" s="123">
        <f t="shared" ca="1" si="271"/>
        <v>192.65044758750003</v>
      </c>
      <c r="AK240" s="123">
        <f t="shared" ca="1" si="271"/>
        <v>202.28296996687502</v>
      </c>
      <c r="AL240" s="123" t="str">
        <f t="shared" ca="1" si="271"/>
        <v/>
      </c>
      <c r="AM240" s="123" t="str">
        <f t="shared" ca="1" si="271"/>
        <v/>
      </c>
      <c r="AN240" s="123" t="str">
        <f t="shared" ca="1" si="271"/>
        <v/>
      </c>
      <c r="AO240" s="123" t="str">
        <f t="shared" ca="1" si="271"/>
        <v/>
      </c>
      <c r="AP240" s="123" t="str">
        <f t="shared" ca="1" si="271"/>
        <v/>
      </c>
      <c r="AQ240" s="123" t="str">
        <f t="shared" ca="1" si="271"/>
        <v/>
      </c>
      <c r="AR240" s="123" t="str">
        <f t="shared" ca="1" si="271"/>
        <v/>
      </c>
      <c r="AS240" s="123" t="str">
        <f t="shared" ca="1" si="271"/>
        <v/>
      </c>
      <c r="AT240" s="123" t="str">
        <f t="shared" ca="1" si="271"/>
        <v/>
      </c>
      <c r="AU240" s="123" t="str">
        <f t="shared" ca="1" si="271"/>
        <v/>
      </c>
      <c r="AV240" s="123" t="str">
        <f t="shared" ca="1" si="271"/>
        <v/>
      </c>
      <c r="AW240" s="123" t="str">
        <f t="shared" ca="1" si="271"/>
        <v/>
      </c>
      <c r="AX240" s="123" t="str">
        <f t="shared" ca="1" si="271"/>
        <v/>
      </c>
      <c r="AY240" s="123" t="str">
        <f t="shared" ca="1" si="271"/>
        <v/>
      </c>
      <c r="AZ240" s="123" t="str">
        <f t="shared" ca="1" si="271"/>
        <v/>
      </c>
      <c r="BA240" s="123" t="str">
        <f t="shared" ca="1" si="271"/>
        <v/>
      </c>
      <c r="BB240" s="123" t="str">
        <f t="shared" ca="1" si="271"/>
        <v/>
      </c>
      <c r="BC240" s="123" t="str">
        <f t="shared" ca="1" si="271"/>
        <v/>
      </c>
      <c r="BD240" s="123" t="str">
        <f t="shared" ca="1" si="271"/>
        <v/>
      </c>
      <c r="BE240" s="123" t="str">
        <f t="shared" ca="1" si="271"/>
        <v/>
      </c>
      <c r="BF240" s="123" t="str">
        <f t="shared" ca="1" si="271"/>
        <v/>
      </c>
      <c r="BG240" s="123" t="str">
        <f t="shared" ca="1" si="271"/>
        <v/>
      </c>
      <c r="BH240" s="123" t="str">
        <f t="shared" ca="1" si="271"/>
        <v/>
      </c>
      <c r="BI240" s="123" t="str">
        <f t="shared" ca="1" si="271"/>
        <v/>
      </c>
      <c r="BK240" s="84"/>
      <c r="BL240" s="84"/>
      <c r="BM240" s="84"/>
      <c r="BN240" s="84"/>
      <c r="BO240" s="84"/>
      <c r="BP240" s="84"/>
    </row>
    <row r="241" spans="1:68" ht="15" customHeight="1" outlineLevel="1">
      <c r="P241" s="222"/>
      <c r="Q241" s="87" t="str">
        <f t="shared" ref="Q241:Q246" si="272">IF($D$2=FALSE,"-",Q212)</f>
        <v>Accounts payable</v>
      </c>
      <c r="R241" s="87"/>
      <c r="S241" s="87"/>
      <c r="T241" s="87"/>
      <c r="U241" s="87"/>
      <c r="W241" s="123">
        <f t="shared" ca="1" si="265"/>
        <v>25.661999999999999</v>
      </c>
      <c r="X241" s="123">
        <f t="shared" ca="1" si="265"/>
        <v>26.9451</v>
      </c>
      <c r="Y241" s="123">
        <f t="shared" ca="1" si="265"/>
        <v>28.292354999999997</v>
      </c>
      <c r="Z241" s="123">
        <f t="shared" ca="1" si="265"/>
        <v>29.706972749999998</v>
      </c>
      <c r="AA241" s="123">
        <f t="shared" ca="1" si="265"/>
        <v>31.192321387499998</v>
      </c>
      <c r="AB241" s="123">
        <f t="shared" ca="1" si="265"/>
        <v>32.751937456874998</v>
      </c>
      <c r="AD241" s="125" t="e">
        <f t="shared" ca="1" si="266"/>
        <v>#N/A</v>
      </c>
      <c r="AF241" s="185">
        <f ca="1">IF($D$2=FALSE,"-",IF(AF$13="","",IF(AF$4&lt;=0,AF212,CHOOSE($O261,AF252,AF253)*AF261)))</f>
        <v>25.661999999999999</v>
      </c>
      <c r="AG241" s="123">
        <f t="shared" ref="AG241:BI241" ca="1" si="273">IF($D$2=FALSE,"-",IF(AG$13="","",IF(AG$4&lt;=0,AG212,CHOOSE($O261,AG252,AG253)*AG261)))</f>
        <v>26.9451</v>
      </c>
      <c r="AH241" s="123">
        <f t="shared" ca="1" si="273"/>
        <v>28.292354999999997</v>
      </c>
      <c r="AI241" s="123">
        <f t="shared" ca="1" si="273"/>
        <v>29.706972749999998</v>
      </c>
      <c r="AJ241" s="123">
        <f t="shared" ca="1" si="273"/>
        <v>31.192321387499998</v>
      </c>
      <c r="AK241" s="123">
        <f t="shared" ca="1" si="273"/>
        <v>32.751937456874998</v>
      </c>
      <c r="AL241" s="123" t="str">
        <f t="shared" ca="1" si="273"/>
        <v/>
      </c>
      <c r="AM241" s="123" t="str">
        <f t="shared" ca="1" si="273"/>
        <v/>
      </c>
      <c r="AN241" s="123" t="str">
        <f t="shared" ca="1" si="273"/>
        <v/>
      </c>
      <c r="AO241" s="123" t="str">
        <f t="shared" ca="1" si="273"/>
        <v/>
      </c>
      <c r="AP241" s="123" t="str">
        <f t="shared" ca="1" si="273"/>
        <v/>
      </c>
      <c r="AQ241" s="123" t="str">
        <f t="shared" ca="1" si="273"/>
        <v/>
      </c>
      <c r="AR241" s="123" t="str">
        <f t="shared" ca="1" si="273"/>
        <v/>
      </c>
      <c r="AS241" s="123" t="str">
        <f t="shared" ca="1" si="273"/>
        <v/>
      </c>
      <c r="AT241" s="123" t="str">
        <f t="shared" ca="1" si="273"/>
        <v/>
      </c>
      <c r="AU241" s="123" t="str">
        <f t="shared" ca="1" si="273"/>
        <v/>
      </c>
      <c r="AV241" s="123" t="str">
        <f t="shared" ca="1" si="273"/>
        <v/>
      </c>
      <c r="AW241" s="123" t="str">
        <f t="shared" ca="1" si="273"/>
        <v/>
      </c>
      <c r="AX241" s="123" t="str">
        <f t="shared" ca="1" si="273"/>
        <v/>
      </c>
      <c r="AY241" s="123" t="str">
        <f t="shared" ca="1" si="273"/>
        <v/>
      </c>
      <c r="AZ241" s="123" t="str">
        <f t="shared" ca="1" si="273"/>
        <v/>
      </c>
      <c r="BA241" s="123" t="str">
        <f t="shared" ca="1" si="273"/>
        <v/>
      </c>
      <c r="BB241" s="123" t="str">
        <f t="shared" ca="1" si="273"/>
        <v/>
      </c>
      <c r="BC241" s="123" t="str">
        <f t="shared" ca="1" si="273"/>
        <v/>
      </c>
      <c r="BD241" s="123" t="str">
        <f t="shared" ca="1" si="273"/>
        <v/>
      </c>
      <c r="BE241" s="123" t="str">
        <f t="shared" ca="1" si="273"/>
        <v/>
      </c>
      <c r="BF241" s="123" t="str">
        <f t="shared" ca="1" si="273"/>
        <v/>
      </c>
      <c r="BG241" s="123" t="str">
        <f t="shared" ca="1" si="273"/>
        <v/>
      </c>
      <c r="BH241" s="123" t="str">
        <f t="shared" ca="1" si="273"/>
        <v/>
      </c>
      <c r="BI241" s="123" t="str">
        <f t="shared" ca="1" si="273"/>
        <v/>
      </c>
      <c r="BK241" s="84"/>
      <c r="BL241" s="84"/>
      <c r="BM241" s="84"/>
      <c r="BN241" s="84"/>
      <c r="BO241" s="84"/>
      <c r="BP241" s="84"/>
    </row>
    <row r="242" spans="1:68" ht="15" customHeight="1" outlineLevel="1">
      <c r="P242" s="222"/>
      <c r="Q242" s="87" t="str">
        <f t="shared" si="272"/>
        <v>Accrued expenses</v>
      </c>
      <c r="R242" s="87"/>
      <c r="S242" s="87"/>
      <c r="T242" s="87"/>
      <c r="U242" s="87"/>
      <c r="W242" s="123">
        <f t="shared" ca="1" si="265"/>
        <v>15.38</v>
      </c>
      <c r="X242" s="123">
        <f t="shared" ca="1" si="265"/>
        <v>16.149000000000001</v>
      </c>
      <c r="Y242" s="123">
        <f t="shared" ca="1" si="265"/>
        <v>16.956449999999997</v>
      </c>
      <c r="Z242" s="123">
        <f t="shared" ca="1" si="265"/>
        <v>17.8042725</v>
      </c>
      <c r="AA242" s="123">
        <f t="shared" ca="1" si="265"/>
        <v>18.694486125000001</v>
      </c>
      <c r="AB242" s="123">
        <f t="shared" ca="1" si="265"/>
        <v>19.629210431250002</v>
      </c>
      <c r="AD242" s="125" t="e">
        <f t="shared" ca="1" si="266"/>
        <v>#N/A</v>
      </c>
      <c r="AF242" s="185">
        <f ca="1">IF($D$2=FALSE,"-",IF(AF$13="","",IF(AF$4&lt;=0,AF213,CHOOSE($O262,AF252,AF253)*AF262)))</f>
        <v>15.38</v>
      </c>
      <c r="AG242" s="123">
        <f t="shared" ref="AG242:BI242" ca="1" si="274">IF($D$2=FALSE,"-",IF(AG$13="","",IF(AG$4&lt;=0,AG213,CHOOSE($O262,AG252,AG253)*AG262)))</f>
        <v>16.149000000000001</v>
      </c>
      <c r="AH242" s="123">
        <f t="shared" ca="1" si="274"/>
        <v>16.956449999999997</v>
      </c>
      <c r="AI242" s="123">
        <f t="shared" ca="1" si="274"/>
        <v>17.8042725</v>
      </c>
      <c r="AJ242" s="123">
        <f t="shared" ca="1" si="274"/>
        <v>18.694486125000001</v>
      </c>
      <c r="AK242" s="123">
        <f t="shared" ca="1" si="274"/>
        <v>19.629210431250002</v>
      </c>
      <c r="AL242" s="123" t="str">
        <f t="shared" ca="1" si="274"/>
        <v/>
      </c>
      <c r="AM242" s="123" t="str">
        <f t="shared" ca="1" si="274"/>
        <v/>
      </c>
      <c r="AN242" s="123" t="str">
        <f t="shared" ca="1" si="274"/>
        <v/>
      </c>
      <c r="AO242" s="123" t="str">
        <f t="shared" ca="1" si="274"/>
        <v/>
      </c>
      <c r="AP242" s="123" t="str">
        <f t="shared" ca="1" si="274"/>
        <v/>
      </c>
      <c r="AQ242" s="123" t="str">
        <f t="shared" ca="1" si="274"/>
        <v/>
      </c>
      <c r="AR242" s="123" t="str">
        <f t="shared" ca="1" si="274"/>
        <v/>
      </c>
      <c r="AS242" s="123" t="str">
        <f t="shared" ca="1" si="274"/>
        <v/>
      </c>
      <c r="AT242" s="123" t="str">
        <f t="shared" ca="1" si="274"/>
        <v/>
      </c>
      <c r="AU242" s="123" t="str">
        <f t="shared" ca="1" si="274"/>
        <v/>
      </c>
      <c r="AV242" s="123" t="str">
        <f t="shared" ca="1" si="274"/>
        <v/>
      </c>
      <c r="AW242" s="123" t="str">
        <f t="shared" ca="1" si="274"/>
        <v/>
      </c>
      <c r="AX242" s="123" t="str">
        <f t="shared" ca="1" si="274"/>
        <v/>
      </c>
      <c r="AY242" s="123" t="str">
        <f t="shared" ca="1" si="274"/>
        <v/>
      </c>
      <c r="AZ242" s="123" t="str">
        <f t="shared" ca="1" si="274"/>
        <v/>
      </c>
      <c r="BA242" s="123" t="str">
        <f t="shared" ca="1" si="274"/>
        <v/>
      </c>
      <c r="BB242" s="123" t="str">
        <f t="shared" ca="1" si="274"/>
        <v/>
      </c>
      <c r="BC242" s="123" t="str">
        <f t="shared" ca="1" si="274"/>
        <v/>
      </c>
      <c r="BD242" s="123" t="str">
        <f t="shared" ca="1" si="274"/>
        <v/>
      </c>
      <c r="BE242" s="123" t="str">
        <f t="shared" ca="1" si="274"/>
        <v/>
      </c>
      <c r="BF242" s="123" t="str">
        <f t="shared" ca="1" si="274"/>
        <v/>
      </c>
      <c r="BG242" s="123" t="str">
        <f t="shared" ca="1" si="274"/>
        <v/>
      </c>
      <c r="BH242" s="123" t="str">
        <f t="shared" ca="1" si="274"/>
        <v/>
      </c>
      <c r="BI242" s="123" t="str">
        <f t="shared" ca="1" si="274"/>
        <v/>
      </c>
      <c r="BK242" s="84"/>
      <c r="BL242" s="84"/>
      <c r="BM242" s="84"/>
      <c r="BN242" s="84"/>
      <c r="BO242" s="84"/>
      <c r="BP242" s="84"/>
    </row>
    <row r="243" spans="1:68" ht="15" customHeight="1" outlineLevel="1">
      <c r="P243" s="222"/>
      <c r="Q243" s="87" t="str">
        <f t="shared" si="272"/>
        <v>Client deposits</v>
      </c>
      <c r="R243" s="87"/>
      <c r="S243" s="87"/>
      <c r="T243" s="87"/>
      <c r="U243" s="87"/>
      <c r="W243" s="123">
        <f t="shared" ca="1" si="265"/>
        <v>0</v>
      </c>
      <c r="X243" s="123">
        <f t="shared" ca="1" si="265"/>
        <v>0</v>
      </c>
      <c r="Y243" s="123">
        <f t="shared" ca="1" si="265"/>
        <v>0</v>
      </c>
      <c r="Z243" s="123">
        <f t="shared" ca="1" si="265"/>
        <v>0</v>
      </c>
      <c r="AA243" s="123">
        <f t="shared" ca="1" si="265"/>
        <v>0</v>
      </c>
      <c r="AB243" s="123">
        <f t="shared" ca="1" si="265"/>
        <v>0</v>
      </c>
      <c r="AD243" s="125" t="e">
        <f t="shared" ca="1" si="266"/>
        <v>#N/A</v>
      </c>
      <c r="AF243" s="185">
        <f ca="1">IF($D$2=FALSE,"-",IF(AF$13="","",IF(AF$4&lt;=0,AF214,CHOOSE($O263,AF252,AF253)*AF263)))</f>
        <v>0</v>
      </c>
      <c r="AG243" s="123">
        <f t="shared" ref="AG243:BI243" ca="1" si="275">IF($D$2=FALSE,"-",IF(AG$13="","",IF(AG$4&lt;=0,AG214,CHOOSE($O263,AG252,AG253)*AG263)))</f>
        <v>0</v>
      </c>
      <c r="AH243" s="123">
        <f t="shared" ca="1" si="275"/>
        <v>0</v>
      </c>
      <c r="AI243" s="123">
        <f t="shared" ca="1" si="275"/>
        <v>0</v>
      </c>
      <c r="AJ243" s="123">
        <f t="shared" ca="1" si="275"/>
        <v>0</v>
      </c>
      <c r="AK243" s="123">
        <f t="shared" ca="1" si="275"/>
        <v>0</v>
      </c>
      <c r="AL243" s="123" t="str">
        <f t="shared" ca="1" si="275"/>
        <v/>
      </c>
      <c r="AM243" s="123" t="str">
        <f t="shared" ca="1" si="275"/>
        <v/>
      </c>
      <c r="AN243" s="123" t="str">
        <f t="shared" ca="1" si="275"/>
        <v/>
      </c>
      <c r="AO243" s="123" t="str">
        <f t="shared" ca="1" si="275"/>
        <v/>
      </c>
      <c r="AP243" s="123" t="str">
        <f t="shared" ca="1" si="275"/>
        <v/>
      </c>
      <c r="AQ243" s="123" t="str">
        <f t="shared" ca="1" si="275"/>
        <v/>
      </c>
      <c r="AR243" s="123" t="str">
        <f t="shared" ca="1" si="275"/>
        <v/>
      </c>
      <c r="AS243" s="123" t="str">
        <f t="shared" ca="1" si="275"/>
        <v/>
      </c>
      <c r="AT243" s="123" t="str">
        <f t="shared" ca="1" si="275"/>
        <v/>
      </c>
      <c r="AU243" s="123" t="str">
        <f t="shared" ca="1" si="275"/>
        <v/>
      </c>
      <c r="AV243" s="123" t="str">
        <f t="shared" ca="1" si="275"/>
        <v/>
      </c>
      <c r="AW243" s="123" t="str">
        <f t="shared" ca="1" si="275"/>
        <v/>
      </c>
      <c r="AX243" s="123" t="str">
        <f t="shared" ca="1" si="275"/>
        <v/>
      </c>
      <c r="AY243" s="123" t="str">
        <f t="shared" ca="1" si="275"/>
        <v/>
      </c>
      <c r="AZ243" s="123" t="str">
        <f t="shared" ca="1" si="275"/>
        <v/>
      </c>
      <c r="BA243" s="123" t="str">
        <f t="shared" ca="1" si="275"/>
        <v/>
      </c>
      <c r="BB243" s="123" t="str">
        <f t="shared" ca="1" si="275"/>
        <v/>
      </c>
      <c r="BC243" s="123" t="str">
        <f t="shared" ca="1" si="275"/>
        <v/>
      </c>
      <c r="BD243" s="123" t="str">
        <f t="shared" ca="1" si="275"/>
        <v/>
      </c>
      <c r="BE243" s="123" t="str">
        <f t="shared" ca="1" si="275"/>
        <v/>
      </c>
      <c r="BF243" s="123" t="str">
        <f t="shared" ca="1" si="275"/>
        <v/>
      </c>
      <c r="BG243" s="123" t="str">
        <f t="shared" ca="1" si="275"/>
        <v/>
      </c>
      <c r="BH243" s="123" t="str">
        <f t="shared" ca="1" si="275"/>
        <v/>
      </c>
      <c r="BI243" s="123" t="str">
        <f t="shared" ca="1" si="275"/>
        <v/>
      </c>
      <c r="BK243" s="84"/>
      <c r="BL243" s="84"/>
      <c r="BM243" s="84"/>
      <c r="BN243" s="84"/>
      <c r="BO243" s="84"/>
      <c r="BP243" s="84"/>
    </row>
    <row r="244" spans="1:68" ht="15" customHeight="1" outlineLevel="1">
      <c r="P244" s="222"/>
      <c r="Q244" s="87" t="str">
        <f t="shared" si="272"/>
        <v>Income taxes payable</v>
      </c>
      <c r="R244" s="87"/>
      <c r="S244" s="87"/>
      <c r="T244" s="87"/>
      <c r="U244" s="87"/>
      <c r="W244" s="123">
        <f t="shared" ca="1" si="265"/>
        <v>2.9359999999999999</v>
      </c>
      <c r="X244" s="123">
        <f t="shared" ca="1" si="265"/>
        <v>3.0827999999999998</v>
      </c>
      <c r="Y244" s="123">
        <f t="shared" ca="1" si="265"/>
        <v>3.2369399999999997</v>
      </c>
      <c r="Z244" s="123">
        <f t="shared" ca="1" si="265"/>
        <v>3.398787</v>
      </c>
      <c r="AA244" s="123">
        <f t="shared" ca="1" si="265"/>
        <v>3.5687263499999999</v>
      </c>
      <c r="AB244" s="123">
        <f t="shared" ca="1" si="265"/>
        <v>3.7471626674999996</v>
      </c>
      <c r="AD244" s="125" t="e">
        <f t="shared" ca="1" si="266"/>
        <v>#N/A</v>
      </c>
      <c r="AF244" s="185">
        <f ca="1">IF($D$2=FALSE,"-",IF(AF$13="","",IF(AF$4&lt;=0,AF215,CHOOSE($O264,AF252,AF253)*AF264)))</f>
        <v>2.9359999999999999</v>
      </c>
      <c r="AG244" s="123">
        <f t="shared" ref="AG244:BI244" ca="1" si="276">IF($D$2=FALSE,"-",IF(AG$13="","",IF(AG$4&lt;=0,AG215,CHOOSE($O264,AG252,AG253)*AG264)))</f>
        <v>3.0827999999999998</v>
      </c>
      <c r="AH244" s="123">
        <f t="shared" ca="1" si="276"/>
        <v>3.2369399999999997</v>
      </c>
      <c r="AI244" s="123">
        <f t="shared" ca="1" si="276"/>
        <v>3.398787</v>
      </c>
      <c r="AJ244" s="123">
        <f t="shared" ca="1" si="276"/>
        <v>3.5687263499999999</v>
      </c>
      <c r="AK244" s="123">
        <f t="shared" ca="1" si="276"/>
        <v>3.7471626674999996</v>
      </c>
      <c r="AL244" s="123" t="str">
        <f t="shared" ca="1" si="276"/>
        <v/>
      </c>
      <c r="AM244" s="123" t="str">
        <f t="shared" ca="1" si="276"/>
        <v/>
      </c>
      <c r="AN244" s="123" t="str">
        <f t="shared" ca="1" si="276"/>
        <v/>
      </c>
      <c r="AO244" s="123" t="str">
        <f t="shared" ca="1" si="276"/>
        <v/>
      </c>
      <c r="AP244" s="123" t="str">
        <f t="shared" ca="1" si="276"/>
        <v/>
      </c>
      <c r="AQ244" s="123" t="str">
        <f t="shared" ca="1" si="276"/>
        <v/>
      </c>
      <c r="AR244" s="123" t="str">
        <f t="shared" ca="1" si="276"/>
        <v/>
      </c>
      <c r="AS244" s="123" t="str">
        <f t="shared" ca="1" si="276"/>
        <v/>
      </c>
      <c r="AT244" s="123" t="str">
        <f t="shared" ca="1" si="276"/>
        <v/>
      </c>
      <c r="AU244" s="123" t="str">
        <f t="shared" ca="1" si="276"/>
        <v/>
      </c>
      <c r="AV244" s="123" t="str">
        <f t="shared" ca="1" si="276"/>
        <v/>
      </c>
      <c r="AW244" s="123" t="str">
        <f t="shared" ca="1" si="276"/>
        <v/>
      </c>
      <c r="AX244" s="123" t="str">
        <f t="shared" ca="1" si="276"/>
        <v/>
      </c>
      <c r="AY244" s="123" t="str">
        <f t="shared" ca="1" si="276"/>
        <v/>
      </c>
      <c r="AZ244" s="123" t="str">
        <f t="shared" ca="1" si="276"/>
        <v/>
      </c>
      <c r="BA244" s="123" t="str">
        <f t="shared" ca="1" si="276"/>
        <v/>
      </c>
      <c r="BB244" s="123" t="str">
        <f t="shared" ca="1" si="276"/>
        <v/>
      </c>
      <c r="BC244" s="123" t="str">
        <f t="shared" ca="1" si="276"/>
        <v/>
      </c>
      <c r="BD244" s="123" t="str">
        <f t="shared" ca="1" si="276"/>
        <v/>
      </c>
      <c r="BE244" s="123" t="str">
        <f t="shared" ca="1" si="276"/>
        <v/>
      </c>
      <c r="BF244" s="123" t="str">
        <f t="shared" ca="1" si="276"/>
        <v/>
      </c>
      <c r="BG244" s="123" t="str">
        <f t="shared" ca="1" si="276"/>
        <v/>
      </c>
      <c r="BH244" s="123" t="str">
        <f t="shared" ca="1" si="276"/>
        <v/>
      </c>
      <c r="BI244" s="123" t="str">
        <f t="shared" ca="1" si="276"/>
        <v/>
      </c>
      <c r="BK244" s="84"/>
      <c r="BL244" s="84"/>
      <c r="BM244" s="84"/>
      <c r="BN244" s="84"/>
      <c r="BO244" s="84"/>
      <c r="BP244" s="84"/>
    </row>
    <row r="245" spans="1:68" ht="15" customHeight="1" outlineLevel="1">
      <c r="P245" s="222"/>
      <c r="Q245" s="87" t="str">
        <f t="shared" si="272"/>
        <v>Deferred revenue</v>
      </c>
      <c r="R245" s="87"/>
      <c r="S245" s="87"/>
      <c r="T245" s="87"/>
      <c r="U245" s="87"/>
      <c r="W245" s="123">
        <f t="shared" ca="1" si="265"/>
        <v>20.013000000000002</v>
      </c>
      <c r="X245" s="123">
        <f t="shared" ca="1" si="265"/>
        <v>21.013650000000002</v>
      </c>
      <c r="Y245" s="123">
        <f t="shared" ca="1" si="265"/>
        <v>22.064332500000003</v>
      </c>
      <c r="Z245" s="123">
        <f t="shared" ca="1" si="265"/>
        <v>23.167549125000001</v>
      </c>
      <c r="AA245" s="123">
        <f t="shared" ca="1" si="265"/>
        <v>24.325926581250002</v>
      </c>
      <c r="AB245" s="123">
        <f t="shared" ca="1" si="265"/>
        <v>25.542222910312503</v>
      </c>
      <c r="AD245" s="125" t="e">
        <f t="shared" ca="1" si="266"/>
        <v>#N/A</v>
      </c>
      <c r="AF245" s="185">
        <f ca="1">IF($D$2=FALSE,"-",IF(AF$13="","",IF(AF$4&lt;=0,AF216,CHOOSE($O265,AF252,AF253)*AF265)))</f>
        <v>20.013000000000002</v>
      </c>
      <c r="AG245" s="123">
        <f t="shared" ref="AG245:BI245" ca="1" si="277">IF($D$2=FALSE,"-",IF(AG$13="","",IF(AG$4&lt;=0,AG216,CHOOSE($O265,AG252,AG253)*AG265)))</f>
        <v>21.013650000000002</v>
      </c>
      <c r="AH245" s="123">
        <f t="shared" ca="1" si="277"/>
        <v>22.064332500000003</v>
      </c>
      <c r="AI245" s="123">
        <f t="shared" ca="1" si="277"/>
        <v>23.167549125000001</v>
      </c>
      <c r="AJ245" s="123">
        <f t="shared" ca="1" si="277"/>
        <v>24.325926581250002</v>
      </c>
      <c r="AK245" s="123">
        <f t="shared" ca="1" si="277"/>
        <v>25.542222910312503</v>
      </c>
      <c r="AL245" s="123" t="str">
        <f t="shared" ca="1" si="277"/>
        <v/>
      </c>
      <c r="AM245" s="123" t="str">
        <f t="shared" ca="1" si="277"/>
        <v/>
      </c>
      <c r="AN245" s="123" t="str">
        <f t="shared" ca="1" si="277"/>
        <v/>
      </c>
      <c r="AO245" s="123" t="str">
        <f t="shared" ca="1" si="277"/>
        <v/>
      </c>
      <c r="AP245" s="123" t="str">
        <f t="shared" ca="1" si="277"/>
        <v/>
      </c>
      <c r="AQ245" s="123" t="str">
        <f t="shared" ca="1" si="277"/>
        <v/>
      </c>
      <c r="AR245" s="123" t="str">
        <f t="shared" ca="1" si="277"/>
        <v/>
      </c>
      <c r="AS245" s="123" t="str">
        <f t="shared" ca="1" si="277"/>
        <v/>
      </c>
      <c r="AT245" s="123" t="str">
        <f t="shared" ca="1" si="277"/>
        <v/>
      </c>
      <c r="AU245" s="123" t="str">
        <f t="shared" ca="1" si="277"/>
        <v/>
      </c>
      <c r="AV245" s="123" t="str">
        <f t="shared" ca="1" si="277"/>
        <v/>
      </c>
      <c r="AW245" s="123" t="str">
        <f t="shared" ca="1" si="277"/>
        <v/>
      </c>
      <c r="AX245" s="123" t="str">
        <f t="shared" ca="1" si="277"/>
        <v/>
      </c>
      <c r="AY245" s="123" t="str">
        <f t="shared" ca="1" si="277"/>
        <v/>
      </c>
      <c r="AZ245" s="123" t="str">
        <f t="shared" ca="1" si="277"/>
        <v/>
      </c>
      <c r="BA245" s="123" t="str">
        <f t="shared" ca="1" si="277"/>
        <v/>
      </c>
      <c r="BB245" s="123" t="str">
        <f t="shared" ca="1" si="277"/>
        <v/>
      </c>
      <c r="BC245" s="123" t="str">
        <f t="shared" ca="1" si="277"/>
        <v/>
      </c>
      <c r="BD245" s="123" t="str">
        <f t="shared" ca="1" si="277"/>
        <v/>
      </c>
      <c r="BE245" s="123" t="str">
        <f t="shared" ca="1" si="277"/>
        <v/>
      </c>
      <c r="BF245" s="123" t="str">
        <f t="shared" ca="1" si="277"/>
        <v/>
      </c>
      <c r="BG245" s="123" t="str">
        <f t="shared" ca="1" si="277"/>
        <v/>
      </c>
      <c r="BH245" s="123" t="str">
        <f t="shared" ca="1" si="277"/>
        <v/>
      </c>
      <c r="BI245" s="123" t="str">
        <f t="shared" ca="1" si="277"/>
        <v/>
      </c>
      <c r="BK245" s="84"/>
      <c r="BL245" s="84"/>
      <c r="BM245" s="84"/>
      <c r="BN245" s="84"/>
      <c r="BO245" s="84"/>
      <c r="BP245" s="84"/>
    </row>
    <row r="246" spans="1:68" ht="15" customHeight="1" outlineLevel="1">
      <c r="P246" s="222"/>
      <c r="Q246" s="210" t="str">
        <f t="shared" si="272"/>
        <v>Other current liabilities</v>
      </c>
      <c r="R246" s="210"/>
      <c r="S246" s="210"/>
      <c r="T246" s="210"/>
      <c r="U246" s="210"/>
      <c r="W246" s="123">
        <f t="shared" ca="1" si="265"/>
        <v>36.183999999999997</v>
      </c>
      <c r="X246" s="215">
        <f t="shared" ca="1" si="265"/>
        <v>37.993199999999995</v>
      </c>
      <c r="Y246" s="215">
        <f t="shared" ca="1" si="265"/>
        <v>39.892859999999992</v>
      </c>
      <c r="Z246" s="215">
        <f t="shared" ca="1" si="265"/>
        <v>41.887502999999995</v>
      </c>
      <c r="AA246" s="215">
        <f t="shared" ca="1" si="265"/>
        <v>43.98187815</v>
      </c>
      <c r="AB246" s="215">
        <f t="shared" ca="1" si="265"/>
        <v>46.180972057499993</v>
      </c>
      <c r="AD246" s="125" t="e">
        <f t="shared" ca="1" si="266"/>
        <v>#N/A</v>
      </c>
      <c r="AF246" s="214">
        <f ca="1">IF($D$2=FALSE,"-",IF(AF$13="","",IF(AF$4&lt;=0,AF217,CHOOSE($O266,AF252,AF253)*AF266)))</f>
        <v>36.183999999999997</v>
      </c>
      <c r="AG246" s="215">
        <f t="shared" ref="AG246:BI246" ca="1" si="278">IF($D$2=FALSE,"-",IF(AG$13="","",IF(AG$4&lt;=0,AG217,CHOOSE($O266,AG252,AG253)*AG266)))</f>
        <v>37.993199999999995</v>
      </c>
      <c r="AH246" s="215">
        <f t="shared" ca="1" si="278"/>
        <v>39.892859999999992</v>
      </c>
      <c r="AI246" s="215">
        <f t="shared" ca="1" si="278"/>
        <v>41.887502999999995</v>
      </c>
      <c r="AJ246" s="215">
        <f t="shared" ca="1" si="278"/>
        <v>43.98187815</v>
      </c>
      <c r="AK246" s="215">
        <f t="shared" ca="1" si="278"/>
        <v>46.180972057499993</v>
      </c>
      <c r="AL246" s="215" t="str">
        <f t="shared" ca="1" si="278"/>
        <v/>
      </c>
      <c r="AM246" s="215" t="str">
        <f t="shared" ca="1" si="278"/>
        <v/>
      </c>
      <c r="AN246" s="215" t="str">
        <f t="shared" ca="1" si="278"/>
        <v/>
      </c>
      <c r="AO246" s="215" t="str">
        <f t="shared" ca="1" si="278"/>
        <v/>
      </c>
      <c r="AP246" s="215" t="str">
        <f t="shared" ca="1" si="278"/>
        <v/>
      </c>
      <c r="AQ246" s="215" t="str">
        <f t="shared" ca="1" si="278"/>
        <v/>
      </c>
      <c r="AR246" s="215" t="str">
        <f t="shared" ca="1" si="278"/>
        <v/>
      </c>
      <c r="AS246" s="215" t="str">
        <f t="shared" ca="1" si="278"/>
        <v/>
      </c>
      <c r="AT246" s="215" t="str">
        <f t="shared" ca="1" si="278"/>
        <v/>
      </c>
      <c r="AU246" s="215" t="str">
        <f t="shared" ca="1" si="278"/>
        <v/>
      </c>
      <c r="AV246" s="215" t="str">
        <f t="shared" ca="1" si="278"/>
        <v/>
      </c>
      <c r="AW246" s="215" t="str">
        <f t="shared" ca="1" si="278"/>
        <v/>
      </c>
      <c r="AX246" s="215" t="str">
        <f t="shared" ca="1" si="278"/>
        <v/>
      </c>
      <c r="AY246" s="215" t="str">
        <f t="shared" ca="1" si="278"/>
        <v/>
      </c>
      <c r="AZ246" s="215" t="str">
        <f t="shared" ca="1" si="278"/>
        <v/>
      </c>
      <c r="BA246" s="215" t="str">
        <f t="shared" ca="1" si="278"/>
        <v/>
      </c>
      <c r="BB246" s="215" t="str">
        <f t="shared" ca="1" si="278"/>
        <v/>
      </c>
      <c r="BC246" s="215" t="str">
        <f t="shared" ca="1" si="278"/>
        <v/>
      </c>
      <c r="BD246" s="215" t="str">
        <f t="shared" ca="1" si="278"/>
        <v/>
      </c>
      <c r="BE246" s="215" t="str">
        <f t="shared" ca="1" si="278"/>
        <v/>
      </c>
      <c r="BF246" s="215" t="str">
        <f t="shared" ca="1" si="278"/>
        <v/>
      </c>
      <c r="BG246" s="215" t="str">
        <f t="shared" ca="1" si="278"/>
        <v/>
      </c>
      <c r="BH246" s="215" t="str">
        <f t="shared" ca="1" si="278"/>
        <v/>
      </c>
      <c r="BI246" s="215" t="str">
        <f t="shared" ca="1" si="278"/>
        <v/>
      </c>
      <c r="BK246" s="84"/>
      <c r="BL246" s="84"/>
      <c r="BM246" s="84"/>
      <c r="BN246" s="84"/>
      <c r="BO246" s="84"/>
      <c r="BP246" s="84"/>
    </row>
    <row r="247" spans="1:68" ht="15" customHeight="1" outlineLevel="1">
      <c r="Q247" s="211" t="s">
        <v>172</v>
      </c>
      <c r="R247" s="211"/>
      <c r="S247" s="211"/>
      <c r="T247" s="211"/>
      <c r="U247" s="211"/>
      <c r="W247" s="217">
        <f t="shared" ca="1" si="265"/>
        <v>100.175</v>
      </c>
      <c r="X247" s="217">
        <f t="shared" ca="1" si="265"/>
        <v>105.18375</v>
      </c>
      <c r="Y247" s="217">
        <f t="shared" ca="1" si="265"/>
        <v>110.44293749999997</v>
      </c>
      <c r="Z247" s="217">
        <f t="shared" ca="1" si="265"/>
        <v>115.96508437499999</v>
      </c>
      <c r="AA247" s="217">
        <f t="shared" ca="1" si="265"/>
        <v>121.76333859375001</v>
      </c>
      <c r="AB247" s="217">
        <f t="shared" ca="1" si="265"/>
        <v>127.85150552343748</v>
      </c>
      <c r="AD247" s="269" t="e">
        <f t="shared" ca="1" si="266"/>
        <v>#N/A</v>
      </c>
      <c r="AF247" s="216">
        <f ca="1">IF($D$2=FALSE,"-",IF(AF$13="","",+SUM(AF241:AF246)))</f>
        <v>100.175</v>
      </c>
      <c r="AG247" s="217">
        <f t="shared" ref="AG247:BI247" ca="1" si="279">IF($D$2=FALSE,"-",IF(AG$13="","",+SUM(AG241:AG246)))</f>
        <v>105.18375</v>
      </c>
      <c r="AH247" s="217">
        <f t="shared" ca="1" si="279"/>
        <v>110.44293749999997</v>
      </c>
      <c r="AI247" s="217">
        <f t="shared" ca="1" si="279"/>
        <v>115.96508437499999</v>
      </c>
      <c r="AJ247" s="217">
        <f t="shared" ca="1" si="279"/>
        <v>121.76333859375001</v>
      </c>
      <c r="AK247" s="217">
        <f t="shared" ca="1" si="279"/>
        <v>127.85150552343748</v>
      </c>
      <c r="AL247" s="217" t="str">
        <f t="shared" ca="1" si="279"/>
        <v/>
      </c>
      <c r="AM247" s="217" t="str">
        <f t="shared" ca="1" si="279"/>
        <v/>
      </c>
      <c r="AN247" s="217" t="str">
        <f t="shared" ca="1" si="279"/>
        <v/>
      </c>
      <c r="AO247" s="217" t="str">
        <f t="shared" ca="1" si="279"/>
        <v/>
      </c>
      <c r="AP247" s="217" t="str">
        <f t="shared" ca="1" si="279"/>
        <v/>
      </c>
      <c r="AQ247" s="217" t="str">
        <f t="shared" ca="1" si="279"/>
        <v/>
      </c>
      <c r="AR247" s="217" t="str">
        <f t="shared" ca="1" si="279"/>
        <v/>
      </c>
      <c r="AS247" s="217" t="str">
        <f t="shared" ca="1" si="279"/>
        <v/>
      </c>
      <c r="AT247" s="217" t="str">
        <f t="shared" ca="1" si="279"/>
        <v/>
      </c>
      <c r="AU247" s="217" t="str">
        <f t="shared" ca="1" si="279"/>
        <v/>
      </c>
      <c r="AV247" s="217" t="str">
        <f t="shared" ca="1" si="279"/>
        <v/>
      </c>
      <c r="AW247" s="217" t="str">
        <f t="shared" ca="1" si="279"/>
        <v/>
      </c>
      <c r="AX247" s="217" t="str">
        <f t="shared" ca="1" si="279"/>
        <v/>
      </c>
      <c r="AY247" s="217" t="str">
        <f t="shared" ca="1" si="279"/>
        <v/>
      </c>
      <c r="AZ247" s="217" t="str">
        <f t="shared" ca="1" si="279"/>
        <v/>
      </c>
      <c r="BA247" s="217" t="str">
        <f t="shared" ca="1" si="279"/>
        <v/>
      </c>
      <c r="BB247" s="217" t="str">
        <f t="shared" ca="1" si="279"/>
        <v/>
      </c>
      <c r="BC247" s="217" t="str">
        <f t="shared" ca="1" si="279"/>
        <v/>
      </c>
      <c r="BD247" s="217" t="str">
        <f t="shared" ca="1" si="279"/>
        <v/>
      </c>
      <c r="BE247" s="217" t="str">
        <f t="shared" ca="1" si="279"/>
        <v/>
      </c>
      <c r="BF247" s="217" t="str">
        <f t="shared" ca="1" si="279"/>
        <v/>
      </c>
      <c r="BG247" s="217" t="str">
        <f t="shared" ca="1" si="279"/>
        <v/>
      </c>
      <c r="BH247" s="217" t="str">
        <f t="shared" ca="1" si="279"/>
        <v/>
      </c>
      <c r="BI247" s="217" t="str">
        <f t="shared" ca="1" si="279"/>
        <v/>
      </c>
      <c r="BK247" s="84"/>
      <c r="BL247" s="84"/>
      <c r="BM247" s="84"/>
      <c r="BN247" s="84"/>
      <c r="BO247" s="84"/>
      <c r="BP247" s="84"/>
    </row>
    <row r="248" spans="1:68" ht="15" customHeight="1" outlineLevel="1">
      <c r="Q248" s="142" t="s">
        <v>173</v>
      </c>
      <c r="R248" s="142"/>
      <c r="S248" s="142"/>
      <c r="T248" s="142"/>
      <c r="U248" s="142"/>
      <c r="W248" s="123">
        <f t="shared" ca="1" si="265"/>
        <v>58.319000000000031</v>
      </c>
      <c r="X248" s="123">
        <f t="shared" ca="1" si="265"/>
        <v>61.234950000000026</v>
      </c>
      <c r="Y248" s="123">
        <f t="shared" ca="1" si="265"/>
        <v>64.296697500000022</v>
      </c>
      <c r="Z248" s="123">
        <f t="shared" ca="1" si="265"/>
        <v>67.511532375000073</v>
      </c>
      <c r="AA248" s="123">
        <f t="shared" ca="1" si="265"/>
        <v>70.887108993750019</v>
      </c>
      <c r="AB248" s="123">
        <f t="shared" ca="1" si="265"/>
        <v>74.431464443437534</v>
      </c>
      <c r="AD248" s="125" t="e">
        <f t="shared" ca="1" si="266"/>
        <v>#N/A</v>
      </c>
      <c r="AF248" s="185">
        <f t="shared" ref="AF248" ca="1" si="280">IF($D$2=FALSE,"-",IF(AF$13="","",+AF240-AF247))</f>
        <v>58.319000000000031</v>
      </c>
      <c r="AG248" s="123">
        <f t="shared" ref="AG248:BI248" ca="1" si="281">IF($D$2=FALSE,"-",IF(AG$13="","",+AG240-AG247))</f>
        <v>61.234950000000026</v>
      </c>
      <c r="AH248" s="123">
        <f t="shared" ca="1" si="281"/>
        <v>64.296697500000022</v>
      </c>
      <c r="AI248" s="123">
        <f t="shared" ca="1" si="281"/>
        <v>67.511532375000073</v>
      </c>
      <c r="AJ248" s="123">
        <f t="shared" ca="1" si="281"/>
        <v>70.887108993750019</v>
      </c>
      <c r="AK248" s="123">
        <f t="shared" ca="1" si="281"/>
        <v>74.431464443437534</v>
      </c>
      <c r="AL248" s="123" t="str">
        <f t="shared" ca="1" si="281"/>
        <v/>
      </c>
      <c r="AM248" s="123" t="str">
        <f t="shared" ca="1" si="281"/>
        <v/>
      </c>
      <c r="AN248" s="123" t="str">
        <f t="shared" ca="1" si="281"/>
        <v/>
      </c>
      <c r="AO248" s="123" t="str">
        <f t="shared" ca="1" si="281"/>
        <v/>
      </c>
      <c r="AP248" s="123" t="str">
        <f t="shared" ca="1" si="281"/>
        <v/>
      </c>
      <c r="AQ248" s="123" t="str">
        <f t="shared" ca="1" si="281"/>
        <v/>
      </c>
      <c r="AR248" s="123" t="str">
        <f t="shared" ca="1" si="281"/>
        <v/>
      </c>
      <c r="AS248" s="123" t="str">
        <f t="shared" ca="1" si="281"/>
        <v/>
      </c>
      <c r="AT248" s="123" t="str">
        <f t="shared" ca="1" si="281"/>
        <v/>
      </c>
      <c r="AU248" s="123" t="str">
        <f t="shared" ca="1" si="281"/>
        <v/>
      </c>
      <c r="AV248" s="123" t="str">
        <f t="shared" ca="1" si="281"/>
        <v/>
      </c>
      <c r="AW248" s="123" t="str">
        <f t="shared" ca="1" si="281"/>
        <v/>
      </c>
      <c r="AX248" s="123" t="str">
        <f t="shared" ca="1" si="281"/>
        <v/>
      </c>
      <c r="AY248" s="123" t="str">
        <f t="shared" ca="1" si="281"/>
        <v/>
      </c>
      <c r="AZ248" s="123" t="str">
        <f t="shared" ca="1" si="281"/>
        <v/>
      </c>
      <c r="BA248" s="123" t="str">
        <f t="shared" ca="1" si="281"/>
        <v/>
      </c>
      <c r="BB248" s="123" t="str">
        <f t="shared" ca="1" si="281"/>
        <v/>
      </c>
      <c r="BC248" s="123" t="str">
        <f t="shared" ca="1" si="281"/>
        <v/>
      </c>
      <c r="BD248" s="123" t="str">
        <f t="shared" ca="1" si="281"/>
        <v/>
      </c>
      <c r="BE248" s="123" t="str">
        <f t="shared" ca="1" si="281"/>
        <v/>
      </c>
      <c r="BF248" s="123" t="str">
        <f t="shared" ca="1" si="281"/>
        <v/>
      </c>
      <c r="BG248" s="123" t="str">
        <f t="shared" ca="1" si="281"/>
        <v/>
      </c>
      <c r="BH248" s="123" t="str">
        <f t="shared" ca="1" si="281"/>
        <v/>
      </c>
      <c r="BI248" s="123" t="str">
        <f t="shared" ca="1" si="281"/>
        <v/>
      </c>
      <c r="BK248" s="84"/>
      <c r="BL248" s="84"/>
      <c r="BM248" s="84"/>
      <c r="BN248" s="84"/>
      <c r="BO248" s="84"/>
      <c r="BP248" s="84"/>
    </row>
    <row r="249" spans="1:68" ht="15" customHeight="1" outlineLevel="1">
      <c r="Q249" s="142" t="s">
        <v>251</v>
      </c>
      <c r="R249" s="142"/>
      <c r="S249" s="142"/>
      <c r="T249" s="142"/>
      <c r="U249" s="142"/>
      <c r="W249" s="125" t="e">
        <f t="shared" ca="1" si="265"/>
        <v>#N/A</v>
      </c>
      <c r="X249" s="125">
        <f t="shared" ca="1" si="265"/>
        <v>2.9159499999999952</v>
      </c>
      <c r="Y249" s="125">
        <f t="shared" ca="1" si="265"/>
        <v>3.0617474999999956</v>
      </c>
      <c r="Z249" s="125">
        <f t="shared" ca="1" si="265"/>
        <v>3.2148348750000508</v>
      </c>
      <c r="AA249" s="125">
        <f t="shared" ca="1" si="265"/>
        <v>3.3755766187499461</v>
      </c>
      <c r="AB249" s="125">
        <f t="shared" ca="1" si="265"/>
        <v>3.5443554496875151</v>
      </c>
      <c r="AC249" s="114"/>
      <c r="AD249" s="125" t="e">
        <f t="shared" ca="1" si="266"/>
        <v>#N/A</v>
      </c>
      <c r="AF249" s="124" t="e">
        <f t="shared" ref="AF249" ca="1" si="282">IF($D$2=FALSE,"-",IF(AF$13="","",IF(AF$3=0,#N/A,AF248-OFFSET(AF248,0,-1))))</f>
        <v>#N/A</v>
      </c>
      <c r="AG249" s="123">
        <f t="shared" ref="AG249:BI249" ca="1" si="283">IF($D$2=FALSE,"-",IF(AG$13="","",IF(AG$3=0,#N/A,AG248-OFFSET(AG248,0,-1))))</f>
        <v>2.9159499999999952</v>
      </c>
      <c r="AH249" s="123">
        <f t="shared" ca="1" si="283"/>
        <v>3.0617474999999956</v>
      </c>
      <c r="AI249" s="123">
        <f t="shared" ca="1" si="283"/>
        <v>3.2148348750000508</v>
      </c>
      <c r="AJ249" s="123">
        <f t="shared" ca="1" si="283"/>
        <v>3.3755766187499461</v>
      </c>
      <c r="AK249" s="123">
        <f t="shared" ca="1" si="283"/>
        <v>3.5443554496875151</v>
      </c>
      <c r="AL249" s="123" t="str">
        <f t="shared" ca="1" si="283"/>
        <v/>
      </c>
      <c r="AM249" s="123" t="str">
        <f t="shared" ca="1" si="283"/>
        <v/>
      </c>
      <c r="AN249" s="123" t="str">
        <f t="shared" ca="1" si="283"/>
        <v/>
      </c>
      <c r="AO249" s="123" t="str">
        <f t="shared" ca="1" si="283"/>
        <v/>
      </c>
      <c r="AP249" s="123" t="str">
        <f t="shared" ca="1" si="283"/>
        <v/>
      </c>
      <c r="AQ249" s="123" t="str">
        <f t="shared" ca="1" si="283"/>
        <v/>
      </c>
      <c r="AR249" s="123" t="str">
        <f t="shared" ca="1" si="283"/>
        <v/>
      </c>
      <c r="AS249" s="123" t="str">
        <f t="shared" ca="1" si="283"/>
        <v/>
      </c>
      <c r="AT249" s="123" t="str">
        <f t="shared" ca="1" si="283"/>
        <v/>
      </c>
      <c r="AU249" s="123" t="str">
        <f t="shared" ca="1" si="283"/>
        <v/>
      </c>
      <c r="AV249" s="123" t="str">
        <f t="shared" ca="1" si="283"/>
        <v/>
      </c>
      <c r="AW249" s="123" t="str">
        <f t="shared" ca="1" si="283"/>
        <v/>
      </c>
      <c r="AX249" s="123" t="str">
        <f t="shared" ca="1" si="283"/>
        <v/>
      </c>
      <c r="AY249" s="123" t="str">
        <f t="shared" ca="1" si="283"/>
        <v/>
      </c>
      <c r="AZ249" s="123" t="str">
        <f t="shared" ca="1" si="283"/>
        <v/>
      </c>
      <c r="BA249" s="123" t="str">
        <f t="shared" ca="1" si="283"/>
        <v/>
      </c>
      <c r="BB249" s="123" t="str">
        <f t="shared" ca="1" si="283"/>
        <v/>
      </c>
      <c r="BC249" s="123" t="str">
        <f t="shared" ca="1" si="283"/>
        <v/>
      </c>
      <c r="BD249" s="123" t="str">
        <f t="shared" ca="1" si="283"/>
        <v/>
      </c>
      <c r="BE249" s="123" t="str">
        <f t="shared" ca="1" si="283"/>
        <v/>
      </c>
      <c r="BF249" s="123" t="str">
        <f t="shared" ca="1" si="283"/>
        <v/>
      </c>
      <c r="BG249" s="123" t="str">
        <f t="shared" ca="1" si="283"/>
        <v/>
      </c>
      <c r="BH249" s="123" t="str">
        <f t="shared" ca="1" si="283"/>
        <v/>
      </c>
      <c r="BI249" s="123" t="str">
        <f t="shared" ca="1" si="283"/>
        <v/>
      </c>
      <c r="BK249" s="84"/>
      <c r="BL249" s="84"/>
      <c r="BM249" s="84"/>
      <c r="BN249" s="84"/>
      <c r="BO249" s="84"/>
      <c r="BP249" s="84"/>
    </row>
    <row r="250" spans="1:68" ht="15" customHeight="1" outlineLevel="1">
      <c r="AD250" s="188"/>
      <c r="AF250" s="185"/>
      <c r="AG250" s="123"/>
      <c r="AH250" s="123"/>
      <c r="AI250" s="123"/>
      <c r="AJ250" s="123"/>
      <c r="AK250" s="123"/>
      <c r="AL250" s="123"/>
      <c r="AM250" s="123"/>
      <c r="AN250" s="123"/>
      <c r="AO250" s="123"/>
      <c r="AP250" s="123"/>
      <c r="AQ250" s="123"/>
      <c r="AR250" s="123"/>
      <c r="AS250" s="123"/>
      <c r="AT250" s="123"/>
      <c r="AU250" s="123"/>
      <c r="AV250" s="123"/>
      <c r="AW250" s="123"/>
      <c r="AX250" s="123"/>
      <c r="AY250" s="123"/>
      <c r="AZ250" s="123"/>
      <c r="BA250" s="123"/>
      <c r="BB250" s="123"/>
      <c r="BC250" s="123"/>
      <c r="BD250" s="123"/>
      <c r="BE250" s="123"/>
      <c r="BF250" s="123"/>
      <c r="BG250" s="123"/>
      <c r="BH250" s="123"/>
      <c r="BI250" s="123"/>
    </row>
    <row r="251" spans="1:68" ht="15" customHeight="1" outlineLevel="1">
      <c r="Q251" s="25" t="s">
        <v>174</v>
      </c>
      <c r="R251" s="25"/>
      <c r="S251" s="25"/>
      <c r="T251" s="25"/>
      <c r="U251" s="25"/>
      <c r="W251" s="59"/>
      <c r="X251" s="59"/>
      <c r="Y251" s="59"/>
      <c r="Z251" s="59"/>
      <c r="AA251" s="59"/>
      <c r="AB251" s="59"/>
      <c r="AD251" s="190"/>
      <c r="AF251" s="158"/>
      <c r="AG251" s="159"/>
      <c r="AH251" s="159"/>
      <c r="AI251" s="159"/>
      <c r="AJ251" s="159"/>
      <c r="AK251" s="159"/>
      <c r="AL251" s="159"/>
      <c r="AM251" s="159"/>
      <c r="AN251" s="159"/>
      <c r="AO251" s="159"/>
      <c r="AP251" s="159"/>
      <c r="AQ251" s="159"/>
      <c r="AR251" s="159"/>
      <c r="AS251" s="159"/>
      <c r="AT251" s="159"/>
      <c r="AU251" s="159"/>
      <c r="AV251" s="159"/>
      <c r="AW251" s="159"/>
      <c r="AX251" s="159"/>
      <c r="AY251" s="159"/>
      <c r="AZ251" s="159"/>
      <c r="BA251" s="159"/>
      <c r="BB251" s="159"/>
      <c r="BC251" s="159"/>
      <c r="BD251" s="159"/>
      <c r="BE251" s="159"/>
      <c r="BF251" s="159"/>
      <c r="BG251" s="159"/>
      <c r="BH251" s="159"/>
      <c r="BI251" s="159"/>
    </row>
    <row r="252" spans="1:68" ht="15" customHeight="1" outlineLevel="1">
      <c r="Q252" s="1" t="s">
        <v>175</v>
      </c>
      <c r="W252" s="116" t="e">
        <f t="shared" ref="W252:AB254" ca="1" si="284">IF($D$2=FALSE,"-",IF(W$13="","",OFFSET($AF252,0,W$8)))</f>
        <v>#N/A</v>
      </c>
      <c r="X252" s="116">
        <f t="shared" ca="1" si="284"/>
        <v>462.84000000000003</v>
      </c>
      <c r="Y252" s="116">
        <f t="shared" ca="1" si="284"/>
        <v>485.98200000000003</v>
      </c>
      <c r="Z252" s="116">
        <f t="shared" ca="1" si="284"/>
        <v>510.28110000000004</v>
      </c>
      <c r="AA252" s="116">
        <f t="shared" ca="1" si="284"/>
        <v>535.79515500000002</v>
      </c>
      <c r="AB252" s="116">
        <f t="shared" ca="1" si="284"/>
        <v>562.58491275000006</v>
      </c>
      <c r="AC252" s="114"/>
      <c r="AD252" s="116" t="e">
        <f ca="1">IF($D$2=FALSE,"-",IF(AD$13="","",OFFSET($AF252,0,$F$4-AD$7-1)+OFFSET($AF252,0,$F$4-1)-OFFSET($AF252,0,$F$4-$E$5-1)))</f>
        <v>#N/A</v>
      </c>
      <c r="AF252" s="251" t="e">
        <f t="shared" ref="AF252" ca="1" si="285">IF($D$2=FALSE,"-",IF(AF$13="","",SUM(OFFSET(AF15,0,-AF$7+1,1,AF$7))/AF$6))</f>
        <v>#N/A</v>
      </c>
      <c r="AG252" s="329">
        <f t="shared" ref="AG252:BI252" ca="1" si="286">IF($D$2=FALSE,"-",IF(AG$13="","",SUM(OFFSET(AG15,0,-AG$7+1,1,AG$7))/AG$6))</f>
        <v>462.84000000000003</v>
      </c>
      <c r="AH252" s="329">
        <f t="shared" ca="1" si="286"/>
        <v>485.98200000000003</v>
      </c>
      <c r="AI252" s="329">
        <f t="shared" ca="1" si="286"/>
        <v>510.28110000000004</v>
      </c>
      <c r="AJ252" s="329">
        <f t="shared" ca="1" si="286"/>
        <v>535.79515500000002</v>
      </c>
      <c r="AK252" s="329">
        <f t="shared" ca="1" si="286"/>
        <v>562.58491275000006</v>
      </c>
      <c r="AL252" s="329" t="str">
        <f t="shared" ca="1" si="286"/>
        <v/>
      </c>
      <c r="AM252" s="329" t="str">
        <f t="shared" ca="1" si="286"/>
        <v/>
      </c>
      <c r="AN252" s="329" t="str">
        <f t="shared" ca="1" si="286"/>
        <v/>
      </c>
      <c r="AO252" s="329" t="str">
        <f t="shared" ca="1" si="286"/>
        <v/>
      </c>
      <c r="AP252" s="329" t="str">
        <f t="shared" ca="1" si="286"/>
        <v/>
      </c>
      <c r="AQ252" s="329" t="str">
        <f t="shared" ca="1" si="286"/>
        <v/>
      </c>
      <c r="AR252" s="329" t="str">
        <f t="shared" ca="1" si="286"/>
        <v/>
      </c>
      <c r="AS252" s="329" t="str">
        <f t="shared" ca="1" si="286"/>
        <v/>
      </c>
      <c r="AT252" s="329" t="str">
        <f t="shared" ca="1" si="286"/>
        <v/>
      </c>
      <c r="AU252" s="329" t="str">
        <f t="shared" ca="1" si="286"/>
        <v/>
      </c>
      <c r="AV252" s="329" t="str">
        <f t="shared" ca="1" si="286"/>
        <v/>
      </c>
      <c r="AW252" s="329" t="str">
        <f t="shared" ca="1" si="286"/>
        <v/>
      </c>
      <c r="AX252" s="329" t="str">
        <f t="shared" ca="1" si="286"/>
        <v/>
      </c>
      <c r="AY252" s="329" t="str">
        <f t="shared" ca="1" si="286"/>
        <v/>
      </c>
      <c r="AZ252" s="329" t="str">
        <f t="shared" ca="1" si="286"/>
        <v/>
      </c>
      <c r="BA252" s="329" t="str">
        <f t="shared" ca="1" si="286"/>
        <v/>
      </c>
      <c r="BB252" s="329" t="str">
        <f t="shared" ca="1" si="286"/>
        <v/>
      </c>
      <c r="BC252" s="329" t="str">
        <f t="shared" ca="1" si="286"/>
        <v/>
      </c>
      <c r="BD252" s="329" t="str">
        <f t="shared" ca="1" si="286"/>
        <v/>
      </c>
      <c r="BE252" s="329" t="str">
        <f t="shared" ca="1" si="286"/>
        <v/>
      </c>
      <c r="BF252" s="329" t="str">
        <f t="shared" ca="1" si="286"/>
        <v/>
      </c>
      <c r="BG252" s="329" t="str">
        <f t="shared" ca="1" si="286"/>
        <v/>
      </c>
      <c r="BH252" s="329" t="str">
        <f t="shared" ca="1" si="286"/>
        <v/>
      </c>
      <c r="BI252" s="329" t="str">
        <f t="shared" ca="1" si="286"/>
        <v/>
      </c>
      <c r="BK252" s="84"/>
      <c r="BL252" s="84"/>
      <c r="BM252" s="84"/>
      <c r="BN252" s="84"/>
      <c r="BO252" s="84"/>
      <c r="BP252" s="84"/>
    </row>
    <row r="253" spans="1:68" ht="15" customHeight="1" outlineLevel="1">
      <c r="Q253" s="1" t="s">
        <v>38</v>
      </c>
      <c r="W253" s="116" t="e">
        <f t="shared" ca="1" si="284"/>
        <v>#N/A</v>
      </c>
      <c r="X253" s="116">
        <f t="shared" ca="1" si="284"/>
        <v>246.12</v>
      </c>
      <c r="Y253" s="116">
        <f t="shared" ca="1" si="284"/>
        <v>258.42599999999999</v>
      </c>
      <c r="Z253" s="116">
        <f t="shared" ca="1" si="284"/>
        <v>271.34730000000002</v>
      </c>
      <c r="AA253" s="116">
        <f t="shared" ca="1" si="284"/>
        <v>284.91466500000001</v>
      </c>
      <c r="AB253" s="116">
        <f t="shared" ca="1" si="284"/>
        <v>299.16039825000001</v>
      </c>
      <c r="AC253" s="114"/>
      <c r="AD253" s="116" t="e">
        <f ca="1">IF($D$2=FALSE,"-",IF(AD$13="","",OFFSET($AF253,0,$F$4-AD$7-1)+OFFSET($AF253,0,$F$4-1)-OFFSET($AF253,0,$F$4-$E$5-1)))</f>
        <v>#N/A</v>
      </c>
      <c r="AF253" s="251" t="e">
        <f t="shared" ref="AF253" ca="1" si="287">IF($D$2=FALSE,"-",IF(AF$13="","",SUM(OFFSET(AF16,0,-AF$7+1,1,AF$7))/AF$6))</f>
        <v>#N/A</v>
      </c>
      <c r="AG253" s="329">
        <f t="shared" ref="AG253:BI253" ca="1" si="288">IF($D$2=FALSE,"-",IF(AG$13="","",SUM(OFFSET(AG16,0,-AG$7+1,1,AG$7))/AG$6))</f>
        <v>246.12</v>
      </c>
      <c r="AH253" s="329">
        <f t="shared" ca="1" si="288"/>
        <v>258.42599999999999</v>
      </c>
      <c r="AI253" s="329">
        <f t="shared" ca="1" si="288"/>
        <v>271.34730000000002</v>
      </c>
      <c r="AJ253" s="329">
        <f t="shared" ca="1" si="288"/>
        <v>284.91466500000001</v>
      </c>
      <c r="AK253" s="329">
        <f t="shared" ca="1" si="288"/>
        <v>299.16039825000001</v>
      </c>
      <c r="AL253" s="329" t="str">
        <f t="shared" ca="1" si="288"/>
        <v/>
      </c>
      <c r="AM253" s="329" t="str">
        <f t="shared" ca="1" si="288"/>
        <v/>
      </c>
      <c r="AN253" s="329" t="str">
        <f t="shared" ca="1" si="288"/>
        <v/>
      </c>
      <c r="AO253" s="329" t="str">
        <f t="shared" ca="1" si="288"/>
        <v/>
      </c>
      <c r="AP253" s="329" t="str">
        <f t="shared" ca="1" si="288"/>
        <v/>
      </c>
      <c r="AQ253" s="329" t="str">
        <f t="shared" ca="1" si="288"/>
        <v/>
      </c>
      <c r="AR253" s="329" t="str">
        <f t="shared" ca="1" si="288"/>
        <v/>
      </c>
      <c r="AS253" s="329" t="str">
        <f t="shared" ca="1" si="288"/>
        <v/>
      </c>
      <c r="AT253" s="329" t="str">
        <f t="shared" ca="1" si="288"/>
        <v/>
      </c>
      <c r="AU253" s="329" t="str">
        <f t="shared" ca="1" si="288"/>
        <v/>
      </c>
      <c r="AV253" s="329" t="str">
        <f t="shared" ca="1" si="288"/>
        <v/>
      </c>
      <c r="AW253" s="329" t="str">
        <f t="shared" ca="1" si="288"/>
        <v/>
      </c>
      <c r="AX253" s="329" t="str">
        <f t="shared" ca="1" si="288"/>
        <v/>
      </c>
      <c r="AY253" s="329" t="str">
        <f t="shared" ca="1" si="288"/>
        <v/>
      </c>
      <c r="AZ253" s="329" t="str">
        <f t="shared" ca="1" si="288"/>
        <v/>
      </c>
      <c r="BA253" s="329" t="str">
        <f t="shared" ca="1" si="288"/>
        <v/>
      </c>
      <c r="BB253" s="329" t="str">
        <f t="shared" ca="1" si="288"/>
        <v/>
      </c>
      <c r="BC253" s="329" t="str">
        <f t="shared" ca="1" si="288"/>
        <v/>
      </c>
      <c r="BD253" s="329" t="str">
        <f t="shared" ca="1" si="288"/>
        <v/>
      </c>
      <c r="BE253" s="329" t="str">
        <f t="shared" ca="1" si="288"/>
        <v/>
      </c>
      <c r="BF253" s="329" t="str">
        <f t="shared" ca="1" si="288"/>
        <v/>
      </c>
      <c r="BG253" s="329" t="str">
        <f t="shared" ca="1" si="288"/>
        <v/>
      </c>
      <c r="BH253" s="329" t="str">
        <f t="shared" ca="1" si="288"/>
        <v/>
      </c>
      <c r="BI253" s="329" t="str">
        <f t="shared" ca="1" si="288"/>
        <v/>
      </c>
      <c r="BK253" s="84"/>
      <c r="BL253" s="84"/>
      <c r="BM253" s="84"/>
      <c r="BN253" s="84"/>
      <c r="BO253" s="84"/>
      <c r="BP253" s="84"/>
    </row>
    <row r="254" spans="1:68" ht="15" customHeight="1" outlineLevel="1">
      <c r="Q254" s="1" t="s">
        <v>176</v>
      </c>
      <c r="W254" s="125" t="e">
        <f t="shared" ca="1" si="284"/>
        <v>#N/A</v>
      </c>
      <c r="X254" s="125">
        <f t="shared" ca="1" si="284"/>
        <v>246.37</v>
      </c>
      <c r="Y254" s="125">
        <f t="shared" ca="1" si="284"/>
        <v>258.68849999999998</v>
      </c>
      <c r="Z254" s="125">
        <f t="shared" ca="1" si="284"/>
        <v>271.62292500000001</v>
      </c>
      <c r="AA254" s="125">
        <f t="shared" ca="1" si="284"/>
        <v>285.20407125000003</v>
      </c>
      <c r="AB254" s="125">
        <f t="shared" ca="1" si="284"/>
        <v>299.46427481250004</v>
      </c>
      <c r="AC254" s="114"/>
      <c r="AD254" s="125" t="e">
        <f ca="1">IF($D$2=FALSE,"-",IF(AD$13="","",OFFSET($AF254,0,$F$4-AD$7-1)+OFFSET($AF254,0,$F$4-1)-OFFSET($AF254,0,$F$4-$E$5-1)))</f>
        <v>#N/A</v>
      </c>
      <c r="AF254" s="251" t="e">
        <f t="shared" ref="AF254" ca="1" si="289">IF($D$2=FALSE,"-",IF(AF$13="","",IF(AF$3=0,#N/A,AF237-OFFSET(AF237,0,-1)+AF253)))</f>
        <v>#N/A</v>
      </c>
      <c r="AG254" s="252">
        <f t="shared" ref="AG254:BI254" ca="1" si="290">IF($D$2=FALSE,"-",IF(AG$13="","",IF(AG$3=0,#N/A,AG237-OFFSET(AG237,0,-1)+AG253)))</f>
        <v>246.37</v>
      </c>
      <c r="AH254" s="252">
        <f t="shared" ca="1" si="290"/>
        <v>258.68849999999998</v>
      </c>
      <c r="AI254" s="252">
        <f t="shared" ca="1" si="290"/>
        <v>271.62292500000001</v>
      </c>
      <c r="AJ254" s="252">
        <f t="shared" ca="1" si="290"/>
        <v>285.20407125000003</v>
      </c>
      <c r="AK254" s="252">
        <f t="shared" ca="1" si="290"/>
        <v>299.46427481250004</v>
      </c>
      <c r="AL254" s="252" t="str">
        <f t="shared" ca="1" si="290"/>
        <v/>
      </c>
      <c r="AM254" s="252" t="str">
        <f t="shared" ca="1" si="290"/>
        <v/>
      </c>
      <c r="AN254" s="252" t="str">
        <f t="shared" ca="1" si="290"/>
        <v/>
      </c>
      <c r="AO254" s="252" t="str">
        <f t="shared" ca="1" si="290"/>
        <v/>
      </c>
      <c r="AP254" s="252" t="str">
        <f t="shared" ca="1" si="290"/>
        <v/>
      </c>
      <c r="AQ254" s="252" t="str">
        <f t="shared" ca="1" si="290"/>
        <v/>
      </c>
      <c r="AR254" s="252" t="str">
        <f t="shared" ca="1" si="290"/>
        <v/>
      </c>
      <c r="AS254" s="252" t="str">
        <f t="shared" ca="1" si="290"/>
        <v/>
      </c>
      <c r="AT254" s="252" t="str">
        <f t="shared" ca="1" si="290"/>
        <v/>
      </c>
      <c r="AU254" s="252" t="str">
        <f t="shared" ca="1" si="290"/>
        <v/>
      </c>
      <c r="AV254" s="252" t="str">
        <f t="shared" ca="1" si="290"/>
        <v/>
      </c>
      <c r="AW254" s="252" t="str">
        <f t="shared" ca="1" si="290"/>
        <v/>
      </c>
      <c r="AX254" s="252" t="str">
        <f t="shared" ca="1" si="290"/>
        <v/>
      </c>
      <c r="AY254" s="252" t="str">
        <f t="shared" ca="1" si="290"/>
        <v/>
      </c>
      <c r="AZ254" s="252" t="str">
        <f t="shared" ca="1" si="290"/>
        <v/>
      </c>
      <c r="BA254" s="252" t="str">
        <f t="shared" ca="1" si="290"/>
        <v/>
      </c>
      <c r="BB254" s="252" t="str">
        <f t="shared" ca="1" si="290"/>
        <v/>
      </c>
      <c r="BC254" s="252" t="str">
        <f t="shared" ca="1" si="290"/>
        <v/>
      </c>
      <c r="BD254" s="252" t="str">
        <f t="shared" ca="1" si="290"/>
        <v/>
      </c>
      <c r="BE254" s="252" t="str">
        <f t="shared" ca="1" si="290"/>
        <v/>
      </c>
      <c r="BF254" s="252" t="str">
        <f t="shared" ca="1" si="290"/>
        <v/>
      </c>
      <c r="BG254" s="252" t="str">
        <f t="shared" ca="1" si="290"/>
        <v/>
      </c>
      <c r="BH254" s="252" t="str">
        <f t="shared" ca="1" si="290"/>
        <v/>
      </c>
      <c r="BI254" s="252" t="str">
        <f t="shared" ca="1" si="290"/>
        <v/>
      </c>
      <c r="BK254" s="84"/>
      <c r="BL254" s="84"/>
      <c r="BM254" s="84"/>
      <c r="BN254" s="84"/>
      <c r="BO254" s="84"/>
      <c r="BP254" s="84"/>
    </row>
    <row r="255" spans="1:68" ht="15" customHeight="1" outlineLevel="1">
      <c r="O255" s="218" t="s">
        <v>206</v>
      </c>
    </row>
    <row r="256" spans="1:68" ht="15" customHeight="1" outlineLevel="1">
      <c r="A256" s="17"/>
      <c r="B256" s="34">
        <f t="shared" ref="B256:B266" si="291">$B$57</f>
        <v>44926</v>
      </c>
      <c r="C256" s="34">
        <f t="shared" ref="C256:C266" ca="1" si="292">$C$57</f>
        <v>44926</v>
      </c>
      <c r="D256" s="35" t="e">
        <f ca="1">IF($D$2=FALSE,"-",AVERAGE(OFFSET($AF256,0,MATCH(B256,OFFSET($AF$13,0,0,1,$G$4-$E$4+1),0)-1,1,MATCH(C256,OFFSET($AF$13,0,0,1,$G$4-$E$4+1),0)-MATCH(B256,OFFSET($AF$13,0,0,1,$G$4-$E$4+1),0)+1)))</f>
        <v>#N/A</v>
      </c>
      <c r="E256" s="51">
        <f>IF($D$2=FALSE,0,J256)</f>
        <v>0.30953493647912889</v>
      </c>
      <c r="F256" s="36">
        <f t="shared" ref="F256:F266" si="293">IF($D$2=FALSE,"-",IF(E256="",D256,E256))</f>
        <v>0.30953493647912889</v>
      </c>
      <c r="G256" s="34">
        <f t="shared" ref="G256:G266" si="294">$G$57</f>
        <v>44926</v>
      </c>
      <c r="H256" s="37">
        <f t="shared" ref="H256:H266" ca="1" si="295">$H$57</f>
        <v>44926</v>
      </c>
      <c r="I256" s="35" t="e">
        <f ca="1">IF($D$2=FALSE,"-",AVERAGE(OFFSET($AF256,0,MATCH(G256,OFFSET($AF$13,0,0,1,$G$4-$E$4+1),0)-1,1,MATCH(H256,OFFSET($AF$13,0,0,1,$G$4-$E$4+1),0)-MATCH(G256,OFFSET($AF$13,0,0,1,$G$4-$E$4+1),0)+1)))</f>
        <v>#N/A</v>
      </c>
      <c r="J256" s="51">
        <v>0.30953493647912889</v>
      </c>
      <c r="K256" s="35">
        <f t="shared" ref="K256:K266" si="296">IF($D$2=FALSE,"-",IF(J256="",I256,J256))</f>
        <v>0.30953493647912889</v>
      </c>
      <c r="L256" s="126">
        <v>5</v>
      </c>
      <c r="M256" s="81">
        <v>0.1</v>
      </c>
      <c r="N256" s="3"/>
      <c r="O256" s="106">
        <v>1</v>
      </c>
      <c r="P256" s="3"/>
      <c r="Q256" s="1" t="str">
        <f>IF($D$2=FALSE,"-",Q236&amp;" / "&amp;CHOOSE($O256,"sales","COGS"))</f>
        <v>Accounts receivable / sales</v>
      </c>
      <c r="W256" s="20" t="e">
        <f t="shared" ref="W256:AB259" ca="1" si="297">IF($D$2=FALSE,"-",IF(W$13="","",OFFSET($AF256,0,W$8)))</f>
        <v>#N/A</v>
      </c>
      <c r="X256" s="20">
        <f t="shared" ca="1" si="297"/>
        <v>0.30953493647912889</v>
      </c>
      <c r="Y256" s="20">
        <f t="shared" ca="1" si="297"/>
        <v>0.30953493647912889</v>
      </c>
      <c r="Z256" s="20">
        <f t="shared" ca="1" si="297"/>
        <v>0.30953493647912889</v>
      </c>
      <c r="AA256" s="20">
        <f t="shared" ca="1" si="297"/>
        <v>0.30953493647912889</v>
      </c>
      <c r="AB256" s="20">
        <f t="shared" ca="1" si="297"/>
        <v>0.30953493647912889</v>
      </c>
      <c r="AC256" s="17"/>
      <c r="AD256" s="20" t="e">
        <f ca="1">IF($D$2=FALSE,"-",IF(AD$13="","",OFFSET($AF256,0,$F$4-AD$7-1)+OFFSET($AF256,0,$F$4-1)-OFFSET($AF256,0,$F$4-$E$5-1)))</f>
        <v>#N/A</v>
      </c>
      <c r="AE256" s="17"/>
      <c r="AF256" s="21" t="e">
        <f t="shared" ref="AF256:BI256" ca="1" si="298">IF($D$2=FALSE,"-",IF(AF$13="","",IF(AF$4&lt;=0,IF(CHOOSE($O256,AF252,AF253)=0,#N/A,AF236/CHOOSE($O256,AF252,AF253)),IF(AF$4&lt;=$L256,IF($M256=0,$F256-((IF($M256=0,($F256-$K256)/$L256,($K256-$F256)/(EXP(-$M256*$L256)-1)))*(AF$4-1)),($F256-(IF($M256=0,($F256-$K256)/$L256,($K256-$F256)/(EXP(-$M256*$L256)-1))))+((IF($M256=0,($F256-$K256)/$L256,($K256-$F256)/(EXP(-$M256*$L256)-1)))*EXP(-$M256*(AF$4-1)))),$K256))))</f>
        <v>#N/A</v>
      </c>
      <c r="AG256" s="20">
        <f t="shared" ca="1" si="298"/>
        <v>0.30953493647912889</v>
      </c>
      <c r="AH256" s="20">
        <f t="shared" ca="1" si="298"/>
        <v>0.30953493647912889</v>
      </c>
      <c r="AI256" s="20">
        <f t="shared" ca="1" si="298"/>
        <v>0.30953493647912889</v>
      </c>
      <c r="AJ256" s="20">
        <f t="shared" ca="1" si="298"/>
        <v>0.30953493647912889</v>
      </c>
      <c r="AK256" s="20">
        <f t="shared" ca="1" si="298"/>
        <v>0.30953493647912889</v>
      </c>
      <c r="AL256" s="20" t="str">
        <f t="shared" ca="1" si="298"/>
        <v/>
      </c>
      <c r="AM256" s="20" t="str">
        <f t="shared" ca="1" si="298"/>
        <v/>
      </c>
      <c r="AN256" s="20" t="str">
        <f t="shared" ca="1" si="298"/>
        <v/>
      </c>
      <c r="AO256" s="20" t="str">
        <f t="shared" ca="1" si="298"/>
        <v/>
      </c>
      <c r="AP256" s="20" t="str">
        <f t="shared" ca="1" si="298"/>
        <v/>
      </c>
      <c r="AQ256" s="20" t="str">
        <f t="shared" ca="1" si="298"/>
        <v/>
      </c>
      <c r="AR256" s="20" t="str">
        <f t="shared" ca="1" si="298"/>
        <v/>
      </c>
      <c r="AS256" s="20" t="str">
        <f t="shared" ca="1" si="298"/>
        <v/>
      </c>
      <c r="AT256" s="20" t="str">
        <f t="shared" ca="1" si="298"/>
        <v/>
      </c>
      <c r="AU256" s="20" t="str">
        <f t="shared" ca="1" si="298"/>
        <v/>
      </c>
      <c r="AV256" s="20" t="str">
        <f t="shared" ca="1" si="298"/>
        <v/>
      </c>
      <c r="AW256" s="20" t="str">
        <f t="shared" ca="1" si="298"/>
        <v/>
      </c>
      <c r="AX256" s="20" t="str">
        <f t="shared" ca="1" si="298"/>
        <v/>
      </c>
      <c r="AY256" s="20" t="str">
        <f t="shared" ca="1" si="298"/>
        <v/>
      </c>
      <c r="AZ256" s="20" t="str">
        <f t="shared" ca="1" si="298"/>
        <v/>
      </c>
      <c r="BA256" s="20" t="str">
        <f t="shared" ca="1" si="298"/>
        <v/>
      </c>
      <c r="BB256" s="20" t="str">
        <f t="shared" ca="1" si="298"/>
        <v/>
      </c>
      <c r="BC256" s="20" t="str">
        <f t="shared" ca="1" si="298"/>
        <v/>
      </c>
      <c r="BD256" s="20" t="str">
        <f t="shared" ca="1" si="298"/>
        <v/>
      </c>
      <c r="BE256" s="20" t="str">
        <f t="shared" ca="1" si="298"/>
        <v/>
      </c>
      <c r="BF256" s="20" t="str">
        <f t="shared" ca="1" si="298"/>
        <v/>
      </c>
      <c r="BG256" s="20" t="str">
        <f t="shared" ca="1" si="298"/>
        <v/>
      </c>
      <c r="BH256" s="20" t="str">
        <f t="shared" ca="1" si="298"/>
        <v/>
      </c>
      <c r="BI256" s="20" t="str">
        <f t="shared" ca="1" si="298"/>
        <v/>
      </c>
      <c r="BK256" s="84"/>
      <c r="BL256" s="84"/>
      <c r="BM256" s="84"/>
      <c r="BN256" s="84"/>
      <c r="BO256" s="84"/>
      <c r="BP256" s="84"/>
    </row>
    <row r="257" spans="1:68" ht="15" customHeight="1" outlineLevel="1">
      <c r="A257" s="17"/>
      <c r="B257" s="34">
        <f t="shared" si="291"/>
        <v>44926</v>
      </c>
      <c r="C257" s="34">
        <f t="shared" ca="1" si="292"/>
        <v>44926</v>
      </c>
      <c r="D257" s="35" t="e">
        <f ca="1">IF($D$2=FALSE,"-",AVERAGE(OFFSET($AF257,0,MATCH(B257,OFFSET($AF$13,0,0,1,$G$4-$E$4+1),0)-1,1,MATCH(C257,OFFSET($AF$13,0,0,1,$G$4-$E$4+1),0)-MATCH(B257,OFFSET($AF$13,0,0,1,$G$4-$E$4+1),0)+1)))</f>
        <v>#N/A</v>
      </c>
      <c r="E257" s="51">
        <f t="shared" ref="E257:E266" si="299">IF($D$2=FALSE,0,J257)</f>
        <v>2.1331058020477814E-2</v>
      </c>
      <c r="F257" s="36">
        <f t="shared" si="293"/>
        <v>2.1331058020477814E-2</v>
      </c>
      <c r="G257" s="34">
        <f t="shared" si="294"/>
        <v>44926</v>
      </c>
      <c r="H257" s="37">
        <f t="shared" ca="1" si="295"/>
        <v>44926</v>
      </c>
      <c r="I257" s="35" t="e">
        <f ca="1">IF($D$2=FALSE,"-",AVERAGE(OFFSET($AF257,0,MATCH(G257,OFFSET($AF$13,0,0,1,$G$4-$E$4+1),0)-1,1,MATCH(H257,OFFSET($AF$13,0,0,1,$G$4-$E$4+1),0)-MATCH(G257,OFFSET($AF$13,0,0,1,$G$4-$E$4+1),0)+1)))</f>
        <v>#N/A</v>
      </c>
      <c r="J257" s="51">
        <v>2.1331058020477814E-2</v>
      </c>
      <c r="K257" s="35">
        <f t="shared" si="296"/>
        <v>2.1331058020477814E-2</v>
      </c>
      <c r="L257" s="126">
        <v>5</v>
      </c>
      <c r="M257" s="81">
        <v>0.1</v>
      </c>
      <c r="N257" s="3"/>
      <c r="O257" s="106">
        <v>2</v>
      </c>
      <c r="P257" s="3"/>
      <c r="Q257" s="1" t="str">
        <f>IF($D$2=FALSE,"-",Q237&amp;" / "&amp;CHOOSE($O257,"sales","COGS"))</f>
        <v>Inventory / COGS</v>
      </c>
      <c r="W257" s="20" t="e">
        <f t="shared" ca="1" si="297"/>
        <v>#N/A</v>
      </c>
      <c r="X257" s="20">
        <f t="shared" ca="1" si="297"/>
        <v>2.1331058020477814E-2</v>
      </c>
      <c r="Y257" s="20">
        <f t="shared" ca="1" si="297"/>
        <v>2.1331058020477814E-2</v>
      </c>
      <c r="Z257" s="20">
        <f t="shared" ca="1" si="297"/>
        <v>2.1331058020477814E-2</v>
      </c>
      <c r="AA257" s="20">
        <f t="shared" ca="1" si="297"/>
        <v>2.1331058020477814E-2</v>
      </c>
      <c r="AB257" s="20">
        <f t="shared" ca="1" si="297"/>
        <v>2.1331058020477814E-2</v>
      </c>
      <c r="AC257" s="17"/>
      <c r="AD257" s="20" t="e">
        <f ca="1">IF($D$2=FALSE,"-",IF(AD$13="","",OFFSET($AF257,0,$F$4-AD$7-1)+OFFSET($AF257,0,$F$4-1)-OFFSET($AF257,0,$F$4-$E$5-1)))</f>
        <v>#N/A</v>
      </c>
      <c r="AE257" s="17"/>
      <c r="AF257" s="21" t="e">
        <f t="shared" ref="AF257:BI257" ca="1" si="300">IF($D$2=FALSE,"-",IF(AF$13="","",IF(AF$4&lt;=0,IF(CHOOSE($O257,AF252,AF253)=0,#N/A,AF237/CHOOSE($O257,AF252,AF253)),IF(AF$4&lt;=$L257,IF($M257=0,$F257-((IF($M257=0,($F257-$K257)/$L257,($K257-$F257)/(EXP(-$M257*$L257)-1)))*(AF$4-1)),($F257-(IF($M257=0,($F257-$K257)/$L257,($K257-$F257)/(EXP(-$M257*$L257)-1))))+((IF($M257=0,($F257-$K257)/$L257,($K257-$F257)/(EXP(-$M257*$L257)-1)))*EXP(-$M257*(AF$4-1)))),$K257))))</f>
        <v>#N/A</v>
      </c>
      <c r="AG257" s="20">
        <f t="shared" ca="1" si="300"/>
        <v>2.1331058020477814E-2</v>
      </c>
      <c r="AH257" s="20">
        <f t="shared" ca="1" si="300"/>
        <v>2.1331058020477814E-2</v>
      </c>
      <c r="AI257" s="20">
        <f t="shared" ca="1" si="300"/>
        <v>2.1331058020477814E-2</v>
      </c>
      <c r="AJ257" s="20">
        <f t="shared" ca="1" si="300"/>
        <v>2.1331058020477814E-2</v>
      </c>
      <c r="AK257" s="20">
        <f t="shared" ca="1" si="300"/>
        <v>2.1331058020477814E-2</v>
      </c>
      <c r="AL257" s="20" t="str">
        <f t="shared" ca="1" si="300"/>
        <v/>
      </c>
      <c r="AM257" s="20" t="str">
        <f t="shared" ca="1" si="300"/>
        <v/>
      </c>
      <c r="AN257" s="20" t="str">
        <f t="shared" ca="1" si="300"/>
        <v/>
      </c>
      <c r="AO257" s="20" t="str">
        <f t="shared" ca="1" si="300"/>
        <v/>
      </c>
      <c r="AP257" s="20" t="str">
        <f t="shared" ca="1" si="300"/>
        <v/>
      </c>
      <c r="AQ257" s="20" t="str">
        <f t="shared" ca="1" si="300"/>
        <v/>
      </c>
      <c r="AR257" s="20" t="str">
        <f t="shared" ca="1" si="300"/>
        <v/>
      </c>
      <c r="AS257" s="20" t="str">
        <f t="shared" ca="1" si="300"/>
        <v/>
      </c>
      <c r="AT257" s="20" t="str">
        <f t="shared" ca="1" si="300"/>
        <v/>
      </c>
      <c r="AU257" s="20" t="str">
        <f t="shared" ca="1" si="300"/>
        <v/>
      </c>
      <c r="AV257" s="20" t="str">
        <f t="shared" ca="1" si="300"/>
        <v/>
      </c>
      <c r="AW257" s="20" t="str">
        <f t="shared" ca="1" si="300"/>
        <v/>
      </c>
      <c r="AX257" s="20" t="str">
        <f t="shared" ca="1" si="300"/>
        <v/>
      </c>
      <c r="AY257" s="20" t="str">
        <f t="shared" ca="1" si="300"/>
        <v/>
      </c>
      <c r="AZ257" s="20" t="str">
        <f t="shared" ca="1" si="300"/>
        <v/>
      </c>
      <c r="BA257" s="20" t="str">
        <f t="shared" ca="1" si="300"/>
        <v/>
      </c>
      <c r="BB257" s="20" t="str">
        <f t="shared" ca="1" si="300"/>
        <v/>
      </c>
      <c r="BC257" s="20" t="str">
        <f t="shared" ca="1" si="300"/>
        <v/>
      </c>
      <c r="BD257" s="20" t="str">
        <f t="shared" ca="1" si="300"/>
        <v/>
      </c>
      <c r="BE257" s="20" t="str">
        <f t="shared" ca="1" si="300"/>
        <v/>
      </c>
      <c r="BF257" s="20" t="str">
        <f t="shared" ca="1" si="300"/>
        <v/>
      </c>
      <c r="BG257" s="20" t="str">
        <f t="shared" ca="1" si="300"/>
        <v/>
      </c>
      <c r="BH257" s="20" t="str">
        <f t="shared" ca="1" si="300"/>
        <v/>
      </c>
      <c r="BI257" s="20" t="str">
        <f t="shared" ca="1" si="300"/>
        <v/>
      </c>
      <c r="BK257" s="84"/>
      <c r="BL257" s="84"/>
      <c r="BM257" s="84"/>
      <c r="BN257" s="84"/>
      <c r="BO257" s="84"/>
      <c r="BP257" s="84"/>
    </row>
    <row r="258" spans="1:68" ht="15" customHeight="1" outlineLevel="1">
      <c r="A258" s="17"/>
      <c r="B258" s="34">
        <f t="shared" si="291"/>
        <v>44926</v>
      </c>
      <c r="C258" s="34">
        <f t="shared" ca="1" si="292"/>
        <v>44926</v>
      </c>
      <c r="D258" s="35" t="e">
        <f ca="1">IF($D$2=FALSE,"-",AVERAGE(OFFSET($AF258,0,MATCH(B258,OFFSET($AF$13,0,0,1,$G$4-$E$4+1),0)-1,1,MATCH(C258,OFFSET($AF$13,0,0,1,$G$4-$E$4+1),0)-MATCH(B258,OFFSET($AF$13,0,0,1,$G$4-$E$4+1),0)+1)))</f>
        <v>#N/A</v>
      </c>
      <c r="E258" s="51">
        <f t="shared" si="299"/>
        <v>2.0027223230490016E-2</v>
      </c>
      <c r="F258" s="36">
        <f t="shared" si="293"/>
        <v>2.0027223230490016E-2</v>
      </c>
      <c r="G258" s="34">
        <f t="shared" si="294"/>
        <v>44926</v>
      </c>
      <c r="H258" s="37">
        <f t="shared" ca="1" si="295"/>
        <v>44926</v>
      </c>
      <c r="I258" s="35" t="e">
        <f ca="1">IF($D$2=FALSE,"-",AVERAGE(OFFSET($AF258,0,MATCH(G258,OFFSET($AF$13,0,0,1,$G$4-$E$4+1),0)-1,1,MATCH(H258,OFFSET($AF$13,0,0,1,$G$4-$E$4+1),0)-MATCH(G258,OFFSET($AF$13,0,0,1,$G$4-$E$4+1),0)+1)))</f>
        <v>#N/A</v>
      </c>
      <c r="J258" s="51">
        <v>2.0027223230490016E-2</v>
      </c>
      <c r="K258" s="35">
        <f t="shared" si="296"/>
        <v>2.0027223230490016E-2</v>
      </c>
      <c r="L258" s="126">
        <v>5</v>
      </c>
      <c r="M258" s="81">
        <v>0.1</v>
      </c>
      <c r="N258" s="3"/>
      <c r="O258" s="106">
        <v>1</v>
      </c>
      <c r="P258" s="3"/>
      <c r="Q258" s="1" t="str">
        <f>IF($D$2=FALSE,"-",Q238&amp;" / "&amp;CHOOSE($O258,"sales","COGS"))</f>
        <v>Deferred tax asset, current / sales</v>
      </c>
      <c r="W258" s="20" t="e">
        <f t="shared" ca="1" si="297"/>
        <v>#N/A</v>
      </c>
      <c r="X258" s="20">
        <f t="shared" ca="1" si="297"/>
        <v>2.0027223230490016E-2</v>
      </c>
      <c r="Y258" s="20">
        <f t="shared" ca="1" si="297"/>
        <v>2.0027223230490016E-2</v>
      </c>
      <c r="Z258" s="20">
        <f t="shared" ca="1" si="297"/>
        <v>2.0027223230490016E-2</v>
      </c>
      <c r="AA258" s="20">
        <f t="shared" ca="1" si="297"/>
        <v>2.0027223230490016E-2</v>
      </c>
      <c r="AB258" s="20">
        <f t="shared" ca="1" si="297"/>
        <v>2.0027223230490016E-2</v>
      </c>
      <c r="AC258" s="17"/>
      <c r="AD258" s="20" t="e">
        <f ca="1">IF($D$2=FALSE,"-",IF(AD$13="","",OFFSET($AF258,0,$F$4-AD$7-1)+OFFSET($AF258,0,$F$4-1)-OFFSET($AF258,0,$F$4-$E$5-1)))</f>
        <v>#N/A</v>
      </c>
      <c r="AE258" s="17"/>
      <c r="AF258" s="21" t="e">
        <f t="shared" ref="AF258:BI258" ca="1" si="301">IF($D$2=FALSE,"-",IF(AF$13="","",IF(AF$4&lt;=0,IF(CHOOSE($O258,AF252,AF253)=0,#N/A,AF238/CHOOSE($O258,AF252,AF253)),IF(AF$4&lt;=$L258,IF($M258=0,$F258-((IF($M258=0,($F258-$K258)/$L258,($K258-$F258)/(EXP(-$M258*$L258)-1)))*(AF$4-1)),($F258-(IF($M258=0,($F258-$K258)/$L258,($K258-$F258)/(EXP(-$M258*$L258)-1))))+((IF($M258=0,($F258-$K258)/$L258,($K258-$F258)/(EXP(-$M258*$L258)-1)))*EXP(-$M258*(AF$4-1)))),$K258))))</f>
        <v>#N/A</v>
      </c>
      <c r="AG258" s="20">
        <f t="shared" ca="1" si="301"/>
        <v>2.0027223230490016E-2</v>
      </c>
      <c r="AH258" s="20">
        <f t="shared" ca="1" si="301"/>
        <v>2.0027223230490016E-2</v>
      </c>
      <c r="AI258" s="20">
        <f t="shared" ca="1" si="301"/>
        <v>2.0027223230490016E-2</v>
      </c>
      <c r="AJ258" s="20">
        <f t="shared" ca="1" si="301"/>
        <v>2.0027223230490016E-2</v>
      </c>
      <c r="AK258" s="20">
        <f t="shared" ca="1" si="301"/>
        <v>2.0027223230490016E-2</v>
      </c>
      <c r="AL258" s="20" t="str">
        <f t="shared" ca="1" si="301"/>
        <v/>
      </c>
      <c r="AM258" s="20" t="str">
        <f t="shared" ca="1" si="301"/>
        <v/>
      </c>
      <c r="AN258" s="20" t="str">
        <f t="shared" ca="1" si="301"/>
        <v/>
      </c>
      <c r="AO258" s="20" t="str">
        <f t="shared" ca="1" si="301"/>
        <v/>
      </c>
      <c r="AP258" s="20" t="str">
        <f t="shared" ca="1" si="301"/>
        <v/>
      </c>
      <c r="AQ258" s="20" t="str">
        <f t="shared" ca="1" si="301"/>
        <v/>
      </c>
      <c r="AR258" s="20" t="str">
        <f t="shared" ca="1" si="301"/>
        <v/>
      </c>
      <c r="AS258" s="20" t="str">
        <f t="shared" ca="1" si="301"/>
        <v/>
      </c>
      <c r="AT258" s="20" t="str">
        <f t="shared" ca="1" si="301"/>
        <v/>
      </c>
      <c r="AU258" s="20" t="str">
        <f t="shared" ca="1" si="301"/>
        <v/>
      </c>
      <c r="AV258" s="20" t="str">
        <f t="shared" ca="1" si="301"/>
        <v/>
      </c>
      <c r="AW258" s="20" t="str">
        <f t="shared" ca="1" si="301"/>
        <v/>
      </c>
      <c r="AX258" s="20" t="str">
        <f t="shared" ca="1" si="301"/>
        <v/>
      </c>
      <c r="AY258" s="20" t="str">
        <f t="shared" ca="1" si="301"/>
        <v/>
      </c>
      <c r="AZ258" s="20" t="str">
        <f t="shared" ca="1" si="301"/>
        <v/>
      </c>
      <c r="BA258" s="20" t="str">
        <f t="shared" ca="1" si="301"/>
        <v/>
      </c>
      <c r="BB258" s="20" t="str">
        <f t="shared" ca="1" si="301"/>
        <v/>
      </c>
      <c r="BC258" s="20" t="str">
        <f t="shared" ca="1" si="301"/>
        <v/>
      </c>
      <c r="BD258" s="20" t="str">
        <f t="shared" ca="1" si="301"/>
        <v/>
      </c>
      <c r="BE258" s="20" t="str">
        <f t="shared" ca="1" si="301"/>
        <v/>
      </c>
      <c r="BF258" s="20" t="str">
        <f t="shared" ca="1" si="301"/>
        <v/>
      </c>
      <c r="BG258" s="20" t="str">
        <f t="shared" ca="1" si="301"/>
        <v/>
      </c>
      <c r="BH258" s="20" t="str">
        <f t="shared" ca="1" si="301"/>
        <v/>
      </c>
      <c r="BI258" s="20" t="str">
        <f t="shared" ca="1" si="301"/>
        <v/>
      </c>
      <c r="BK258" s="84"/>
      <c r="BL258" s="84"/>
      <c r="BM258" s="84"/>
      <c r="BN258" s="84"/>
      <c r="BO258" s="84"/>
      <c r="BP258" s="84"/>
    </row>
    <row r="259" spans="1:68" ht="15" customHeight="1" outlineLevel="1">
      <c r="A259" s="17"/>
      <c r="B259" s="34">
        <f t="shared" si="291"/>
        <v>44926</v>
      </c>
      <c r="C259" s="34">
        <f t="shared" ca="1" si="292"/>
        <v>44926</v>
      </c>
      <c r="D259" s="35" t="e">
        <f ca="1">IF($D$2=FALSE,"-",AVERAGE(OFFSET($AF259,0,MATCH(B259,OFFSET($AF$13,0,0,1,$G$4-$E$4+1),0)-1,1,MATCH(C259,OFFSET($AF$13,0,0,1,$G$4-$E$4+1),0)-MATCH(B259,OFFSET($AF$13,0,0,1,$G$4-$E$4+1),0)+1)))</f>
        <v>#N/A</v>
      </c>
      <c r="E259" s="51">
        <f t="shared" si="299"/>
        <v>3.5081058020477819E-2</v>
      </c>
      <c r="F259" s="36">
        <f t="shared" si="293"/>
        <v>3.5081058020477819E-2</v>
      </c>
      <c r="G259" s="34">
        <f t="shared" si="294"/>
        <v>44926</v>
      </c>
      <c r="H259" s="37">
        <f t="shared" ca="1" si="295"/>
        <v>44926</v>
      </c>
      <c r="I259" s="35" t="e">
        <f ca="1">IF($D$2=FALSE,"-",AVERAGE(OFFSET($AF259,0,MATCH(G259,OFFSET($AF$13,0,0,1,$G$4-$E$4+1),0)-1,1,MATCH(H259,OFFSET($AF$13,0,0,1,$G$4-$E$4+1),0)-MATCH(G259,OFFSET($AF$13,0,0,1,$G$4-$E$4+1),0)+1)))</f>
        <v>#N/A</v>
      </c>
      <c r="J259" s="51">
        <v>3.5081058020477819E-2</v>
      </c>
      <c r="K259" s="35">
        <f t="shared" si="296"/>
        <v>3.5081058020477819E-2</v>
      </c>
      <c r="L259" s="126">
        <v>5</v>
      </c>
      <c r="M259" s="81">
        <v>0.1</v>
      </c>
      <c r="N259" s="3"/>
      <c r="O259" s="106">
        <v>2</v>
      </c>
      <c r="P259" s="3"/>
      <c r="Q259" s="1" t="str">
        <f>IF($D$2=FALSE,"-",Q239&amp;" / "&amp;CHOOSE($O259,"sales","COGS"))</f>
        <v>Other current assets / COGS</v>
      </c>
      <c r="W259" s="20" t="e">
        <f t="shared" ca="1" si="297"/>
        <v>#N/A</v>
      </c>
      <c r="X259" s="20">
        <f t="shared" ca="1" si="297"/>
        <v>3.5081058020477819E-2</v>
      </c>
      <c r="Y259" s="20">
        <f t="shared" ca="1" si="297"/>
        <v>3.5081058020477819E-2</v>
      </c>
      <c r="Z259" s="20">
        <f t="shared" ca="1" si="297"/>
        <v>3.5081058020477819E-2</v>
      </c>
      <c r="AA259" s="20">
        <f t="shared" ca="1" si="297"/>
        <v>3.5081058020477819E-2</v>
      </c>
      <c r="AB259" s="20">
        <f t="shared" ca="1" si="297"/>
        <v>3.5081058020477819E-2</v>
      </c>
      <c r="AC259" s="17"/>
      <c r="AD259" s="20" t="e">
        <f ca="1">IF($D$2=FALSE,"-",IF(AD$13="","",OFFSET($AF259,0,$F$4-AD$7-1)+OFFSET($AF259,0,$F$4-1)-OFFSET($AF259,0,$F$4-$E$5-1)))</f>
        <v>#N/A</v>
      </c>
      <c r="AE259" s="17"/>
      <c r="AF259" s="21" t="e">
        <f t="shared" ref="AF259:BI259" ca="1" si="302">IF($D$2=FALSE,"-",IF(AF$13="","",IF(AF$4&lt;=0,IF(CHOOSE($O259,AF252,AF253)=0,#N/A,AF239/CHOOSE($O259,AF252,AF253)),IF(AF$4&lt;=$L259,IF($M259=0,$F259-((IF($M259=0,($F259-$K259)/$L259,($K259-$F259)/(EXP(-$M259*$L259)-1)))*(AF$4-1)),($F259-(IF($M259=0,($F259-$K259)/$L259,($K259-$F259)/(EXP(-$M259*$L259)-1))))+((IF($M259=0,($F259-$K259)/$L259,($K259-$F259)/(EXP(-$M259*$L259)-1)))*EXP(-$M259*(AF$4-1)))),$K259))))</f>
        <v>#N/A</v>
      </c>
      <c r="AG259" s="20">
        <f t="shared" ca="1" si="302"/>
        <v>3.5081058020477819E-2</v>
      </c>
      <c r="AH259" s="20">
        <f t="shared" ca="1" si="302"/>
        <v>3.5081058020477819E-2</v>
      </c>
      <c r="AI259" s="20">
        <f t="shared" ca="1" si="302"/>
        <v>3.5081058020477819E-2</v>
      </c>
      <c r="AJ259" s="20">
        <f t="shared" ca="1" si="302"/>
        <v>3.5081058020477819E-2</v>
      </c>
      <c r="AK259" s="20">
        <f t="shared" ca="1" si="302"/>
        <v>3.5081058020477819E-2</v>
      </c>
      <c r="AL259" s="20" t="str">
        <f t="shared" ca="1" si="302"/>
        <v/>
      </c>
      <c r="AM259" s="20" t="str">
        <f t="shared" ca="1" si="302"/>
        <v/>
      </c>
      <c r="AN259" s="20" t="str">
        <f t="shared" ca="1" si="302"/>
        <v/>
      </c>
      <c r="AO259" s="20" t="str">
        <f t="shared" ca="1" si="302"/>
        <v/>
      </c>
      <c r="AP259" s="20" t="str">
        <f t="shared" ca="1" si="302"/>
        <v/>
      </c>
      <c r="AQ259" s="20" t="str">
        <f t="shared" ca="1" si="302"/>
        <v/>
      </c>
      <c r="AR259" s="20" t="str">
        <f t="shared" ca="1" si="302"/>
        <v/>
      </c>
      <c r="AS259" s="20" t="str">
        <f t="shared" ca="1" si="302"/>
        <v/>
      </c>
      <c r="AT259" s="20" t="str">
        <f t="shared" ca="1" si="302"/>
        <v/>
      </c>
      <c r="AU259" s="20" t="str">
        <f t="shared" ca="1" si="302"/>
        <v/>
      </c>
      <c r="AV259" s="20" t="str">
        <f t="shared" ca="1" si="302"/>
        <v/>
      </c>
      <c r="AW259" s="20" t="str">
        <f t="shared" ca="1" si="302"/>
        <v/>
      </c>
      <c r="AX259" s="20" t="str">
        <f t="shared" ca="1" si="302"/>
        <v/>
      </c>
      <c r="AY259" s="20" t="str">
        <f t="shared" ca="1" si="302"/>
        <v/>
      </c>
      <c r="AZ259" s="20" t="str">
        <f t="shared" ca="1" si="302"/>
        <v/>
      </c>
      <c r="BA259" s="20" t="str">
        <f t="shared" ca="1" si="302"/>
        <v/>
      </c>
      <c r="BB259" s="20" t="str">
        <f t="shared" ca="1" si="302"/>
        <v/>
      </c>
      <c r="BC259" s="20" t="str">
        <f t="shared" ca="1" si="302"/>
        <v/>
      </c>
      <c r="BD259" s="20" t="str">
        <f t="shared" ca="1" si="302"/>
        <v/>
      </c>
      <c r="BE259" s="20" t="str">
        <f t="shared" ca="1" si="302"/>
        <v/>
      </c>
      <c r="BF259" s="20" t="str">
        <f t="shared" ca="1" si="302"/>
        <v/>
      </c>
      <c r="BG259" s="20" t="str">
        <f t="shared" ca="1" si="302"/>
        <v/>
      </c>
      <c r="BH259" s="20" t="str">
        <f t="shared" ca="1" si="302"/>
        <v/>
      </c>
      <c r="BI259" s="20" t="str">
        <f t="shared" ca="1" si="302"/>
        <v/>
      </c>
      <c r="BK259" s="84"/>
      <c r="BL259" s="84"/>
      <c r="BM259" s="84"/>
      <c r="BN259" s="84"/>
      <c r="BO259" s="84"/>
      <c r="BP259" s="84"/>
    </row>
    <row r="260" spans="1:68" ht="15" customHeight="1" outlineLevel="1">
      <c r="O260" s="3"/>
    </row>
    <row r="261" spans="1:68" ht="15" customHeight="1" outlineLevel="1">
      <c r="A261" s="17"/>
      <c r="B261" s="34">
        <f t="shared" si="291"/>
        <v>44926</v>
      </c>
      <c r="C261" s="34">
        <f t="shared" ca="1" si="292"/>
        <v>44926</v>
      </c>
      <c r="D261" s="35" t="e">
        <f t="shared" ref="D261:D266" ca="1" si="303">IF($D$2=FALSE,"-",AVERAGE(OFFSET($AF261,0,MATCH(B261,OFFSET($AF$13,0,0,1,$G$4-$E$4+1),0)-1,1,MATCH(C261,OFFSET($AF$13,0,0,1,$G$4-$E$4+1),0)-MATCH(B261,OFFSET($AF$13,0,0,1,$G$4-$E$4+1),0)+1)))</f>
        <v>#N/A</v>
      </c>
      <c r="E261" s="51">
        <f t="shared" si="299"/>
        <v>0.10947952218430033</v>
      </c>
      <c r="F261" s="36">
        <f t="shared" si="293"/>
        <v>0.10947952218430033</v>
      </c>
      <c r="G261" s="34">
        <f t="shared" si="294"/>
        <v>44926</v>
      </c>
      <c r="H261" s="37">
        <f t="shared" ca="1" si="295"/>
        <v>44926</v>
      </c>
      <c r="I261" s="35" t="e">
        <f t="shared" ref="I261:I266" ca="1" si="304">IF($D$2=FALSE,"-",AVERAGE(OFFSET($AF261,0,MATCH(G261,OFFSET($AF$13,0,0,1,$G$4-$E$4+1),0)-1,1,MATCH(H261,OFFSET($AF$13,0,0,1,$G$4-$E$4+1),0)-MATCH(G261,OFFSET($AF$13,0,0,1,$G$4-$E$4+1),0)+1)))</f>
        <v>#N/A</v>
      </c>
      <c r="J261" s="51">
        <v>0.10947952218430033</v>
      </c>
      <c r="K261" s="35">
        <f t="shared" si="296"/>
        <v>0.10947952218430033</v>
      </c>
      <c r="L261" s="126">
        <v>5</v>
      </c>
      <c r="M261" s="81">
        <v>0.1</v>
      </c>
      <c r="N261" s="3"/>
      <c r="O261" s="106">
        <v>2</v>
      </c>
      <c r="P261" s="3"/>
      <c r="Q261" s="1" t="str">
        <f t="shared" ref="Q261:Q266" si="305">IF($D$2=FALSE,"-",Q241&amp;" / "&amp;CHOOSE($O261,"sales","COGS"))</f>
        <v>Accounts payable / COGS</v>
      </c>
      <c r="W261" s="20" t="e">
        <f t="shared" ref="W261:AB266" ca="1" si="306">IF($D$2=FALSE,"-",IF(W$13="","",OFFSET($AF261,0,W$8)))</f>
        <v>#N/A</v>
      </c>
      <c r="X261" s="20">
        <f t="shared" ca="1" si="306"/>
        <v>0.10947952218430033</v>
      </c>
      <c r="Y261" s="20">
        <f t="shared" ca="1" si="306"/>
        <v>0.10947952218430033</v>
      </c>
      <c r="Z261" s="20">
        <f t="shared" ca="1" si="306"/>
        <v>0.10947952218430033</v>
      </c>
      <c r="AA261" s="20">
        <f t="shared" ca="1" si="306"/>
        <v>0.10947952218430033</v>
      </c>
      <c r="AB261" s="20">
        <f t="shared" ca="1" si="306"/>
        <v>0.10947952218430033</v>
      </c>
      <c r="AC261" s="17"/>
      <c r="AD261" s="20" t="e">
        <f t="shared" ref="AD261:AD266" ca="1" si="307">IF($D$2=FALSE,"-",IF(AD$13="","",OFFSET($AF261,0,$F$4-AD$7-1)+OFFSET($AF261,0,$F$4-1)-OFFSET($AF261,0,$F$4-$E$5-1)))</f>
        <v>#N/A</v>
      </c>
      <c r="AE261" s="17"/>
      <c r="AF261" s="21" t="e">
        <f t="shared" ref="AF261:BI261" ca="1" si="308">IF($D$2=FALSE,"-",IF(AF$13="","",IF(AF$4&lt;=0,IF(CHOOSE($O261,AF252,AF253)=0,#N/A,AF241/CHOOSE($O261,AF252,AF253)),IF(AF$4&lt;=$L261,IF($M261=0,$F261-((IF($M261=0,($F261-$K261)/$L261,($K261-$F261)/(EXP(-$M261*$L261)-1)))*(AF$4-1)),($F261-(IF($M261=0,($F261-$K261)/$L261,($K261-$F261)/(EXP(-$M261*$L261)-1))))+((IF($M261=0,($F261-$K261)/$L261,($K261-$F261)/(EXP(-$M261*$L261)-1)))*EXP(-$M261*(AF$4-1)))),$K261))))</f>
        <v>#N/A</v>
      </c>
      <c r="AG261" s="20">
        <f t="shared" ca="1" si="308"/>
        <v>0.10947952218430033</v>
      </c>
      <c r="AH261" s="20">
        <f t="shared" ca="1" si="308"/>
        <v>0.10947952218430033</v>
      </c>
      <c r="AI261" s="20">
        <f t="shared" ca="1" si="308"/>
        <v>0.10947952218430033</v>
      </c>
      <c r="AJ261" s="20">
        <f t="shared" ca="1" si="308"/>
        <v>0.10947952218430033</v>
      </c>
      <c r="AK261" s="20">
        <f t="shared" ca="1" si="308"/>
        <v>0.10947952218430033</v>
      </c>
      <c r="AL261" s="20" t="str">
        <f t="shared" ca="1" si="308"/>
        <v/>
      </c>
      <c r="AM261" s="20" t="str">
        <f t="shared" ca="1" si="308"/>
        <v/>
      </c>
      <c r="AN261" s="20" t="str">
        <f t="shared" ca="1" si="308"/>
        <v/>
      </c>
      <c r="AO261" s="20" t="str">
        <f t="shared" ca="1" si="308"/>
        <v/>
      </c>
      <c r="AP261" s="20" t="str">
        <f t="shared" ca="1" si="308"/>
        <v/>
      </c>
      <c r="AQ261" s="20" t="str">
        <f t="shared" ca="1" si="308"/>
        <v/>
      </c>
      <c r="AR261" s="20" t="str">
        <f t="shared" ca="1" si="308"/>
        <v/>
      </c>
      <c r="AS261" s="20" t="str">
        <f t="shared" ca="1" si="308"/>
        <v/>
      </c>
      <c r="AT261" s="20" t="str">
        <f t="shared" ca="1" si="308"/>
        <v/>
      </c>
      <c r="AU261" s="20" t="str">
        <f t="shared" ca="1" si="308"/>
        <v/>
      </c>
      <c r="AV261" s="20" t="str">
        <f t="shared" ca="1" si="308"/>
        <v/>
      </c>
      <c r="AW261" s="20" t="str">
        <f t="shared" ca="1" si="308"/>
        <v/>
      </c>
      <c r="AX261" s="20" t="str">
        <f t="shared" ca="1" si="308"/>
        <v/>
      </c>
      <c r="AY261" s="20" t="str">
        <f t="shared" ca="1" si="308"/>
        <v/>
      </c>
      <c r="AZ261" s="20" t="str">
        <f t="shared" ca="1" si="308"/>
        <v/>
      </c>
      <c r="BA261" s="20" t="str">
        <f t="shared" ca="1" si="308"/>
        <v/>
      </c>
      <c r="BB261" s="20" t="str">
        <f t="shared" ca="1" si="308"/>
        <v/>
      </c>
      <c r="BC261" s="20" t="str">
        <f t="shared" ca="1" si="308"/>
        <v/>
      </c>
      <c r="BD261" s="20" t="str">
        <f t="shared" ca="1" si="308"/>
        <v/>
      </c>
      <c r="BE261" s="20" t="str">
        <f t="shared" ca="1" si="308"/>
        <v/>
      </c>
      <c r="BF261" s="20" t="str">
        <f t="shared" ca="1" si="308"/>
        <v/>
      </c>
      <c r="BG261" s="20" t="str">
        <f t="shared" ca="1" si="308"/>
        <v/>
      </c>
      <c r="BH261" s="20" t="str">
        <f t="shared" ca="1" si="308"/>
        <v/>
      </c>
      <c r="BI261" s="20" t="str">
        <f t="shared" ca="1" si="308"/>
        <v/>
      </c>
      <c r="BK261" s="105"/>
      <c r="BL261" s="105"/>
      <c r="BM261" s="105"/>
      <c r="BN261" s="105"/>
      <c r="BO261" s="105"/>
      <c r="BP261" s="105"/>
    </row>
    <row r="262" spans="1:68" ht="15" customHeight="1" outlineLevel="1">
      <c r="A262" s="17"/>
      <c r="B262" s="34">
        <f t="shared" si="291"/>
        <v>44926</v>
      </c>
      <c r="C262" s="34">
        <f t="shared" ca="1" si="292"/>
        <v>44926</v>
      </c>
      <c r="D262" s="35" t="e">
        <f t="shared" ca="1" si="303"/>
        <v>#N/A</v>
      </c>
      <c r="E262" s="51">
        <f t="shared" si="299"/>
        <v>6.5614334470989757E-2</v>
      </c>
      <c r="F262" s="36">
        <f t="shared" si="293"/>
        <v>6.5614334470989757E-2</v>
      </c>
      <c r="G262" s="34">
        <f t="shared" si="294"/>
        <v>44926</v>
      </c>
      <c r="H262" s="37">
        <f t="shared" ca="1" si="295"/>
        <v>44926</v>
      </c>
      <c r="I262" s="35" t="e">
        <f t="shared" ca="1" si="304"/>
        <v>#N/A</v>
      </c>
      <c r="J262" s="51">
        <v>6.5614334470989757E-2</v>
      </c>
      <c r="K262" s="35">
        <f t="shared" si="296"/>
        <v>6.5614334470989757E-2</v>
      </c>
      <c r="L262" s="126">
        <v>5</v>
      </c>
      <c r="M262" s="81">
        <v>0.1</v>
      </c>
      <c r="N262" s="3"/>
      <c r="O262" s="106">
        <v>2</v>
      </c>
      <c r="P262" s="3"/>
      <c r="Q262" s="1" t="str">
        <f t="shared" si="305"/>
        <v>Accrued expenses / COGS</v>
      </c>
      <c r="W262" s="20" t="e">
        <f t="shared" ca="1" si="306"/>
        <v>#N/A</v>
      </c>
      <c r="X262" s="20">
        <f t="shared" ca="1" si="306"/>
        <v>6.5614334470989757E-2</v>
      </c>
      <c r="Y262" s="20">
        <f t="shared" ca="1" si="306"/>
        <v>6.5614334470989757E-2</v>
      </c>
      <c r="Z262" s="20">
        <f t="shared" ca="1" si="306"/>
        <v>6.5614334470989757E-2</v>
      </c>
      <c r="AA262" s="20">
        <f t="shared" ca="1" si="306"/>
        <v>6.5614334470989757E-2</v>
      </c>
      <c r="AB262" s="20">
        <f t="shared" ca="1" si="306"/>
        <v>6.5614334470989757E-2</v>
      </c>
      <c r="AC262" s="17"/>
      <c r="AD262" s="20" t="e">
        <f t="shared" ca="1" si="307"/>
        <v>#N/A</v>
      </c>
      <c r="AE262" s="17"/>
      <c r="AF262" s="21" t="e">
        <f t="shared" ref="AF262:BI262" ca="1" si="309">IF($D$2=FALSE,"-",IF(AF$13="","",IF(AF$4&lt;=0,IF(CHOOSE($O262,AF252,AF253)=0,#N/A,AF242/CHOOSE($O262,AF252,AF253)),IF(AF$4&lt;=$L262,IF($M262=0,$F262-((IF($M262=0,($F262-$K262)/$L262,($K262-$F262)/(EXP(-$M262*$L262)-1)))*(AF$4-1)),($F262-(IF($M262=0,($F262-$K262)/$L262,($K262-$F262)/(EXP(-$M262*$L262)-1))))+((IF($M262=0,($F262-$K262)/$L262,($K262-$F262)/(EXP(-$M262*$L262)-1)))*EXP(-$M262*(AF$4-1)))),$K262))))</f>
        <v>#N/A</v>
      </c>
      <c r="AG262" s="20">
        <f t="shared" ca="1" si="309"/>
        <v>6.5614334470989757E-2</v>
      </c>
      <c r="AH262" s="20">
        <f t="shared" ca="1" si="309"/>
        <v>6.5614334470989757E-2</v>
      </c>
      <c r="AI262" s="20">
        <f t="shared" ca="1" si="309"/>
        <v>6.5614334470989757E-2</v>
      </c>
      <c r="AJ262" s="20">
        <f t="shared" ca="1" si="309"/>
        <v>6.5614334470989757E-2</v>
      </c>
      <c r="AK262" s="20">
        <f t="shared" ca="1" si="309"/>
        <v>6.5614334470989757E-2</v>
      </c>
      <c r="AL262" s="20" t="str">
        <f t="shared" ca="1" si="309"/>
        <v/>
      </c>
      <c r="AM262" s="20" t="str">
        <f t="shared" ca="1" si="309"/>
        <v/>
      </c>
      <c r="AN262" s="20" t="str">
        <f t="shared" ca="1" si="309"/>
        <v/>
      </c>
      <c r="AO262" s="20" t="str">
        <f t="shared" ca="1" si="309"/>
        <v/>
      </c>
      <c r="AP262" s="20" t="str">
        <f t="shared" ca="1" si="309"/>
        <v/>
      </c>
      <c r="AQ262" s="20" t="str">
        <f t="shared" ca="1" si="309"/>
        <v/>
      </c>
      <c r="AR262" s="20" t="str">
        <f t="shared" ca="1" si="309"/>
        <v/>
      </c>
      <c r="AS262" s="20" t="str">
        <f t="shared" ca="1" si="309"/>
        <v/>
      </c>
      <c r="AT262" s="20" t="str">
        <f t="shared" ca="1" si="309"/>
        <v/>
      </c>
      <c r="AU262" s="20" t="str">
        <f t="shared" ca="1" si="309"/>
        <v/>
      </c>
      <c r="AV262" s="20" t="str">
        <f t="shared" ca="1" si="309"/>
        <v/>
      </c>
      <c r="AW262" s="20" t="str">
        <f t="shared" ca="1" si="309"/>
        <v/>
      </c>
      <c r="AX262" s="20" t="str">
        <f t="shared" ca="1" si="309"/>
        <v/>
      </c>
      <c r="AY262" s="20" t="str">
        <f t="shared" ca="1" si="309"/>
        <v/>
      </c>
      <c r="AZ262" s="20" t="str">
        <f t="shared" ca="1" si="309"/>
        <v/>
      </c>
      <c r="BA262" s="20" t="str">
        <f t="shared" ca="1" si="309"/>
        <v/>
      </c>
      <c r="BB262" s="20" t="str">
        <f t="shared" ca="1" si="309"/>
        <v/>
      </c>
      <c r="BC262" s="20" t="str">
        <f t="shared" ca="1" si="309"/>
        <v/>
      </c>
      <c r="BD262" s="20" t="str">
        <f t="shared" ca="1" si="309"/>
        <v/>
      </c>
      <c r="BE262" s="20" t="str">
        <f t="shared" ca="1" si="309"/>
        <v/>
      </c>
      <c r="BF262" s="20" t="str">
        <f t="shared" ca="1" si="309"/>
        <v/>
      </c>
      <c r="BG262" s="20" t="str">
        <f t="shared" ca="1" si="309"/>
        <v/>
      </c>
      <c r="BH262" s="20" t="str">
        <f t="shared" ca="1" si="309"/>
        <v/>
      </c>
      <c r="BI262" s="20" t="str">
        <f t="shared" ca="1" si="309"/>
        <v/>
      </c>
      <c r="BK262" s="105"/>
      <c r="BL262" s="105"/>
      <c r="BM262" s="105"/>
      <c r="BN262" s="105"/>
      <c r="BO262" s="105"/>
      <c r="BP262" s="105"/>
    </row>
    <row r="263" spans="1:68" ht="15" customHeight="1" outlineLevel="1">
      <c r="A263" s="17"/>
      <c r="B263" s="34">
        <f t="shared" si="291"/>
        <v>44926</v>
      </c>
      <c r="C263" s="34">
        <f t="shared" ca="1" si="292"/>
        <v>44926</v>
      </c>
      <c r="D263" s="35" t="e">
        <f t="shared" ca="1" si="303"/>
        <v>#N/A</v>
      </c>
      <c r="E263" s="51">
        <f t="shared" si="299"/>
        <v>0</v>
      </c>
      <c r="F263" s="36">
        <f t="shared" si="293"/>
        <v>0</v>
      </c>
      <c r="G263" s="34">
        <f t="shared" si="294"/>
        <v>44926</v>
      </c>
      <c r="H263" s="37">
        <f t="shared" ca="1" si="295"/>
        <v>44926</v>
      </c>
      <c r="I263" s="35" t="e">
        <f t="shared" ca="1" si="304"/>
        <v>#N/A</v>
      </c>
      <c r="J263" s="51">
        <v>0</v>
      </c>
      <c r="K263" s="35">
        <f t="shared" si="296"/>
        <v>0</v>
      </c>
      <c r="L263" s="126">
        <v>5</v>
      </c>
      <c r="M263" s="81">
        <v>0.1</v>
      </c>
      <c r="N263" s="3"/>
      <c r="O263" s="106">
        <v>1</v>
      </c>
      <c r="P263" s="3"/>
      <c r="Q263" s="1" t="str">
        <f t="shared" si="305"/>
        <v>Client deposits / sales</v>
      </c>
      <c r="W263" s="20" t="e">
        <f t="shared" ca="1" si="306"/>
        <v>#N/A</v>
      </c>
      <c r="X263" s="20">
        <f t="shared" ca="1" si="306"/>
        <v>0</v>
      </c>
      <c r="Y263" s="20">
        <f t="shared" ca="1" si="306"/>
        <v>0</v>
      </c>
      <c r="Z263" s="20">
        <f t="shared" ca="1" si="306"/>
        <v>0</v>
      </c>
      <c r="AA263" s="20">
        <f t="shared" ca="1" si="306"/>
        <v>0</v>
      </c>
      <c r="AB263" s="20">
        <f t="shared" ca="1" si="306"/>
        <v>0</v>
      </c>
      <c r="AC263" s="17"/>
      <c r="AD263" s="20" t="e">
        <f t="shared" ca="1" si="307"/>
        <v>#N/A</v>
      </c>
      <c r="AE263" s="17"/>
      <c r="AF263" s="21" t="e">
        <f t="shared" ref="AF263:BI263" ca="1" si="310">IF($D$2=FALSE,"-",IF(AF$13="","",IF(AF$4&lt;=0,IF(CHOOSE($O263,AF252,AF253)=0,#N/A,AF243/CHOOSE($O263,AF252,AF253)),IF(AF$4&lt;=$L263,IF($M263=0,$F263-((IF($M263=0,($F263-$K263)/$L263,($K263-$F263)/(EXP(-$M263*$L263)-1)))*(AF$4-1)),($F263-(IF($M263=0,($F263-$K263)/$L263,($K263-$F263)/(EXP(-$M263*$L263)-1))))+((IF($M263=0,($F263-$K263)/$L263,($K263-$F263)/(EXP(-$M263*$L263)-1)))*EXP(-$M263*(AF$4-1)))),$K263))))</f>
        <v>#N/A</v>
      </c>
      <c r="AG263" s="20">
        <f t="shared" ca="1" si="310"/>
        <v>0</v>
      </c>
      <c r="AH263" s="20">
        <f t="shared" ca="1" si="310"/>
        <v>0</v>
      </c>
      <c r="AI263" s="20">
        <f t="shared" ca="1" si="310"/>
        <v>0</v>
      </c>
      <c r="AJ263" s="20">
        <f t="shared" ca="1" si="310"/>
        <v>0</v>
      </c>
      <c r="AK263" s="20">
        <f t="shared" ca="1" si="310"/>
        <v>0</v>
      </c>
      <c r="AL263" s="20" t="str">
        <f t="shared" ca="1" si="310"/>
        <v/>
      </c>
      <c r="AM263" s="20" t="str">
        <f t="shared" ca="1" si="310"/>
        <v/>
      </c>
      <c r="AN263" s="20" t="str">
        <f t="shared" ca="1" si="310"/>
        <v/>
      </c>
      <c r="AO263" s="20" t="str">
        <f t="shared" ca="1" si="310"/>
        <v/>
      </c>
      <c r="AP263" s="20" t="str">
        <f t="shared" ca="1" si="310"/>
        <v/>
      </c>
      <c r="AQ263" s="20" t="str">
        <f t="shared" ca="1" si="310"/>
        <v/>
      </c>
      <c r="AR263" s="20" t="str">
        <f t="shared" ca="1" si="310"/>
        <v/>
      </c>
      <c r="AS263" s="20" t="str">
        <f t="shared" ca="1" si="310"/>
        <v/>
      </c>
      <c r="AT263" s="20" t="str">
        <f t="shared" ca="1" si="310"/>
        <v/>
      </c>
      <c r="AU263" s="20" t="str">
        <f t="shared" ca="1" si="310"/>
        <v/>
      </c>
      <c r="AV263" s="20" t="str">
        <f t="shared" ca="1" si="310"/>
        <v/>
      </c>
      <c r="AW263" s="20" t="str">
        <f t="shared" ca="1" si="310"/>
        <v/>
      </c>
      <c r="AX263" s="20" t="str">
        <f t="shared" ca="1" si="310"/>
        <v/>
      </c>
      <c r="AY263" s="20" t="str">
        <f t="shared" ca="1" si="310"/>
        <v/>
      </c>
      <c r="AZ263" s="20" t="str">
        <f t="shared" ca="1" si="310"/>
        <v/>
      </c>
      <c r="BA263" s="20" t="str">
        <f t="shared" ca="1" si="310"/>
        <v/>
      </c>
      <c r="BB263" s="20" t="str">
        <f t="shared" ca="1" si="310"/>
        <v/>
      </c>
      <c r="BC263" s="20" t="str">
        <f t="shared" ca="1" si="310"/>
        <v/>
      </c>
      <c r="BD263" s="20" t="str">
        <f t="shared" ca="1" si="310"/>
        <v/>
      </c>
      <c r="BE263" s="20" t="str">
        <f t="shared" ca="1" si="310"/>
        <v/>
      </c>
      <c r="BF263" s="20" t="str">
        <f t="shared" ca="1" si="310"/>
        <v/>
      </c>
      <c r="BG263" s="20" t="str">
        <f t="shared" ca="1" si="310"/>
        <v/>
      </c>
      <c r="BH263" s="20" t="str">
        <f t="shared" ca="1" si="310"/>
        <v/>
      </c>
      <c r="BI263" s="20" t="str">
        <f t="shared" ca="1" si="310"/>
        <v/>
      </c>
      <c r="BK263" s="105"/>
      <c r="BL263" s="105"/>
      <c r="BM263" s="105"/>
      <c r="BN263" s="105"/>
      <c r="BO263" s="105"/>
      <c r="BP263" s="105"/>
    </row>
    <row r="264" spans="1:68" ht="15" customHeight="1" outlineLevel="1">
      <c r="A264" s="17"/>
      <c r="B264" s="34">
        <f t="shared" si="291"/>
        <v>44926</v>
      </c>
      <c r="C264" s="34">
        <f t="shared" ca="1" si="292"/>
        <v>44926</v>
      </c>
      <c r="D264" s="35" t="e">
        <f t="shared" ca="1" si="303"/>
        <v>#N/A</v>
      </c>
      <c r="E264" s="51">
        <f t="shared" si="299"/>
        <v>1.2525597269624572E-2</v>
      </c>
      <c r="F264" s="36">
        <f t="shared" si="293"/>
        <v>1.2525597269624572E-2</v>
      </c>
      <c r="G264" s="34">
        <f t="shared" si="294"/>
        <v>44926</v>
      </c>
      <c r="H264" s="37">
        <f t="shared" ca="1" si="295"/>
        <v>44926</v>
      </c>
      <c r="I264" s="35" t="e">
        <f t="shared" ca="1" si="304"/>
        <v>#N/A</v>
      </c>
      <c r="J264" s="51">
        <v>1.2525597269624572E-2</v>
      </c>
      <c r="K264" s="35">
        <f t="shared" si="296"/>
        <v>1.2525597269624572E-2</v>
      </c>
      <c r="L264" s="126">
        <v>5</v>
      </c>
      <c r="M264" s="81">
        <v>0.1</v>
      </c>
      <c r="N264" s="3"/>
      <c r="O264" s="106">
        <v>2</v>
      </c>
      <c r="P264" s="3"/>
      <c r="Q264" s="1" t="str">
        <f t="shared" si="305"/>
        <v>Income taxes payable / COGS</v>
      </c>
      <c r="W264" s="20" t="e">
        <f t="shared" ca="1" si="306"/>
        <v>#N/A</v>
      </c>
      <c r="X264" s="20">
        <f t="shared" ca="1" si="306"/>
        <v>1.2525597269624572E-2</v>
      </c>
      <c r="Y264" s="20">
        <f t="shared" ca="1" si="306"/>
        <v>1.2525597269624572E-2</v>
      </c>
      <c r="Z264" s="20">
        <f t="shared" ca="1" si="306"/>
        <v>1.2525597269624572E-2</v>
      </c>
      <c r="AA264" s="20">
        <f t="shared" ca="1" si="306"/>
        <v>1.2525597269624572E-2</v>
      </c>
      <c r="AB264" s="20">
        <f t="shared" ca="1" si="306"/>
        <v>1.2525597269624572E-2</v>
      </c>
      <c r="AC264" s="17"/>
      <c r="AD264" s="20" t="e">
        <f t="shared" ca="1" si="307"/>
        <v>#N/A</v>
      </c>
      <c r="AE264" s="17"/>
      <c r="AF264" s="21" t="e">
        <f t="shared" ref="AF264:BI264" ca="1" si="311">IF($D$2=FALSE,"-",IF(AF$13="","",IF(AF$4&lt;=0,IF(CHOOSE($O264,AF252,AF253)=0,#N/A,AF244/CHOOSE($O264,AF252,AF253)),IF(AF$4&lt;=$L264,IF($M264=0,$F264-((IF($M264=0,($F264-$K264)/$L264,($K264-$F264)/(EXP(-$M264*$L264)-1)))*(AF$4-1)),($F264-(IF($M264=0,($F264-$K264)/$L264,($K264-$F264)/(EXP(-$M264*$L264)-1))))+((IF($M264=0,($F264-$K264)/$L264,($K264-$F264)/(EXP(-$M264*$L264)-1)))*EXP(-$M264*(AF$4-1)))),$K264))))</f>
        <v>#N/A</v>
      </c>
      <c r="AG264" s="20">
        <f t="shared" ca="1" si="311"/>
        <v>1.2525597269624572E-2</v>
      </c>
      <c r="AH264" s="20">
        <f t="shared" ca="1" si="311"/>
        <v>1.2525597269624572E-2</v>
      </c>
      <c r="AI264" s="20">
        <f t="shared" ca="1" si="311"/>
        <v>1.2525597269624572E-2</v>
      </c>
      <c r="AJ264" s="20">
        <f t="shared" ca="1" si="311"/>
        <v>1.2525597269624572E-2</v>
      </c>
      <c r="AK264" s="20">
        <f t="shared" ca="1" si="311"/>
        <v>1.2525597269624572E-2</v>
      </c>
      <c r="AL264" s="20" t="str">
        <f t="shared" ca="1" si="311"/>
        <v/>
      </c>
      <c r="AM264" s="20" t="str">
        <f t="shared" ca="1" si="311"/>
        <v/>
      </c>
      <c r="AN264" s="20" t="str">
        <f t="shared" ca="1" si="311"/>
        <v/>
      </c>
      <c r="AO264" s="20" t="str">
        <f t="shared" ca="1" si="311"/>
        <v/>
      </c>
      <c r="AP264" s="20" t="str">
        <f t="shared" ca="1" si="311"/>
        <v/>
      </c>
      <c r="AQ264" s="20" t="str">
        <f t="shared" ca="1" si="311"/>
        <v/>
      </c>
      <c r="AR264" s="20" t="str">
        <f t="shared" ca="1" si="311"/>
        <v/>
      </c>
      <c r="AS264" s="20" t="str">
        <f t="shared" ca="1" si="311"/>
        <v/>
      </c>
      <c r="AT264" s="20" t="str">
        <f t="shared" ca="1" si="311"/>
        <v/>
      </c>
      <c r="AU264" s="20" t="str">
        <f t="shared" ca="1" si="311"/>
        <v/>
      </c>
      <c r="AV264" s="20" t="str">
        <f t="shared" ca="1" si="311"/>
        <v/>
      </c>
      <c r="AW264" s="20" t="str">
        <f t="shared" ca="1" si="311"/>
        <v/>
      </c>
      <c r="AX264" s="20" t="str">
        <f t="shared" ca="1" si="311"/>
        <v/>
      </c>
      <c r="AY264" s="20" t="str">
        <f t="shared" ca="1" si="311"/>
        <v/>
      </c>
      <c r="AZ264" s="20" t="str">
        <f t="shared" ca="1" si="311"/>
        <v/>
      </c>
      <c r="BA264" s="20" t="str">
        <f t="shared" ca="1" si="311"/>
        <v/>
      </c>
      <c r="BB264" s="20" t="str">
        <f t="shared" ca="1" si="311"/>
        <v/>
      </c>
      <c r="BC264" s="20" t="str">
        <f t="shared" ca="1" si="311"/>
        <v/>
      </c>
      <c r="BD264" s="20" t="str">
        <f t="shared" ca="1" si="311"/>
        <v/>
      </c>
      <c r="BE264" s="20" t="str">
        <f t="shared" ca="1" si="311"/>
        <v/>
      </c>
      <c r="BF264" s="20" t="str">
        <f t="shared" ca="1" si="311"/>
        <v/>
      </c>
      <c r="BG264" s="20" t="str">
        <f t="shared" ca="1" si="311"/>
        <v/>
      </c>
      <c r="BH264" s="20" t="str">
        <f t="shared" ca="1" si="311"/>
        <v/>
      </c>
      <c r="BI264" s="20" t="str">
        <f t="shared" ca="1" si="311"/>
        <v/>
      </c>
      <c r="BK264" s="105"/>
      <c r="BL264" s="105"/>
      <c r="BM264" s="105"/>
      <c r="BN264" s="105"/>
      <c r="BO264" s="105"/>
      <c r="BP264" s="105"/>
    </row>
    <row r="265" spans="1:68" ht="15" customHeight="1" outlineLevel="1">
      <c r="A265" s="17"/>
      <c r="B265" s="34">
        <f t="shared" si="291"/>
        <v>44926</v>
      </c>
      <c r="C265" s="34">
        <f t="shared" ca="1" si="292"/>
        <v>44926</v>
      </c>
      <c r="D265" s="35" t="e">
        <f t="shared" ca="1" si="303"/>
        <v>#N/A</v>
      </c>
      <c r="E265" s="51">
        <f t="shared" si="299"/>
        <v>4.5401542649727768E-2</v>
      </c>
      <c r="F265" s="36">
        <f t="shared" si="293"/>
        <v>4.5401542649727768E-2</v>
      </c>
      <c r="G265" s="34">
        <f t="shared" si="294"/>
        <v>44926</v>
      </c>
      <c r="H265" s="37">
        <f t="shared" ca="1" si="295"/>
        <v>44926</v>
      </c>
      <c r="I265" s="35" t="e">
        <f t="shared" ca="1" si="304"/>
        <v>#N/A</v>
      </c>
      <c r="J265" s="51">
        <v>4.5401542649727768E-2</v>
      </c>
      <c r="K265" s="35">
        <f t="shared" si="296"/>
        <v>4.5401542649727768E-2</v>
      </c>
      <c r="L265" s="126">
        <v>5</v>
      </c>
      <c r="M265" s="81">
        <v>0.1</v>
      </c>
      <c r="N265" s="3"/>
      <c r="O265" s="106">
        <v>1</v>
      </c>
      <c r="P265" s="3"/>
      <c r="Q265" s="1" t="str">
        <f t="shared" si="305"/>
        <v>Deferred revenue / sales</v>
      </c>
      <c r="W265" s="20" t="e">
        <f t="shared" ca="1" si="306"/>
        <v>#N/A</v>
      </c>
      <c r="X265" s="20">
        <f t="shared" ca="1" si="306"/>
        <v>4.5401542649727768E-2</v>
      </c>
      <c r="Y265" s="20">
        <f t="shared" ca="1" si="306"/>
        <v>4.5401542649727768E-2</v>
      </c>
      <c r="Z265" s="20">
        <f t="shared" ca="1" si="306"/>
        <v>4.5401542649727768E-2</v>
      </c>
      <c r="AA265" s="20">
        <f t="shared" ca="1" si="306"/>
        <v>4.5401542649727768E-2</v>
      </c>
      <c r="AB265" s="20">
        <f t="shared" ca="1" si="306"/>
        <v>4.5401542649727768E-2</v>
      </c>
      <c r="AC265" s="17"/>
      <c r="AD265" s="20" t="e">
        <f t="shared" ca="1" si="307"/>
        <v>#N/A</v>
      </c>
      <c r="AE265" s="17"/>
      <c r="AF265" s="21" t="e">
        <f t="shared" ref="AF265:BI265" ca="1" si="312">IF($D$2=FALSE,"-",IF(AF$13="","",IF(AF$4&lt;=0,IF(CHOOSE($O265,AF252,AF253)=0,#N/A,AF245/CHOOSE($O265,AF252,AF253)),IF(AF$4&lt;=$L265,IF($M265=0,$F265-((IF($M265=0,($F265-$K265)/$L265,($K265-$F265)/(EXP(-$M265*$L265)-1)))*(AF$4-1)),($F265-(IF($M265=0,($F265-$K265)/$L265,($K265-$F265)/(EXP(-$M265*$L265)-1))))+((IF($M265=0,($F265-$K265)/$L265,($K265-$F265)/(EXP(-$M265*$L265)-1)))*EXP(-$M265*(AF$4-1)))),$K265))))</f>
        <v>#N/A</v>
      </c>
      <c r="AG265" s="20">
        <f t="shared" ca="1" si="312"/>
        <v>4.5401542649727768E-2</v>
      </c>
      <c r="AH265" s="20">
        <f t="shared" ca="1" si="312"/>
        <v>4.5401542649727768E-2</v>
      </c>
      <c r="AI265" s="20">
        <f t="shared" ca="1" si="312"/>
        <v>4.5401542649727768E-2</v>
      </c>
      <c r="AJ265" s="20">
        <f t="shared" ca="1" si="312"/>
        <v>4.5401542649727768E-2</v>
      </c>
      <c r="AK265" s="20">
        <f t="shared" ca="1" si="312"/>
        <v>4.5401542649727768E-2</v>
      </c>
      <c r="AL265" s="20" t="str">
        <f t="shared" ca="1" si="312"/>
        <v/>
      </c>
      <c r="AM265" s="20" t="str">
        <f t="shared" ca="1" si="312"/>
        <v/>
      </c>
      <c r="AN265" s="20" t="str">
        <f t="shared" ca="1" si="312"/>
        <v/>
      </c>
      <c r="AO265" s="20" t="str">
        <f t="shared" ca="1" si="312"/>
        <v/>
      </c>
      <c r="AP265" s="20" t="str">
        <f t="shared" ca="1" si="312"/>
        <v/>
      </c>
      <c r="AQ265" s="20" t="str">
        <f t="shared" ca="1" si="312"/>
        <v/>
      </c>
      <c r="AR265" s="20" t="str">
        <f t="shared" ca="1" si="312"/>
        <v/>
      </c>
      <c r="AS265" s="20" t="str">
        <f t="shared" ca="1" si="312"/>
        <v/>
      </c>
      <c r="AT265" s="20" t="str">
        <f t="shared" ca="1" si="312"/>
        <v/>
      </c>
      <c r="AU265" s="20" t="str">
        <f t="shared" ca="1" si="312"/>
        <v/>
      </c>
      <c r="AV265" s="20" t="str">
        <f t="shared" ca="1" si="312"/>
        <v/>
      </c>
      <c r="AW265" s="20" t="str">
        <f t="shared" ca="1" si="312"/>
        <v/>
      </c>
      <c r="AX265" s="20" t="str">
        <f t="shared" ca="1" si="312"/>
        <v/>
      </c>
      <c r="AY265" s="20" t="str">
        <f t="shared" ca="1" si="312"/>
        <v/>
      </c>
      <c r="AZ265" s="20" t="str">
        <f t="shared" ca="1" si="312"/>
        <v/>
      </c>
      <c r="BA265" s="20" t="str">
        <f t="shared" ca="1" si="312"/>
        <v/>
      </c>
      <c r="BB265" s="20" t="str">
        <f t="shared" ca="1" si="312"/>
        <v/>
      </c>
      <c r="BC265" s="20" t="str">
        <f t="shared" ca="1" si="312"/>
        <v/>
      </c>
      <c r="BD265" s="20" t="str">
        <f t="shared" ca="1" si="312"/>
        <v/>
      </c>
      <c r="BE265" s="20" t="str">
        <f t="shared" ca="1" si="312"/>
        <v/>
      </c>
      <c r="BF265" s="20" t="str">
        <f t="shared" ca="1" si="312"/>
        <v/>
      </c>
      <c r="BG265" s="20" t="str">
        <f t="shared" ca="1" si="312"/>
        <v/>
      </c>
      <c r="BH265" s="20" t="str">
        <f t="shared" ca="1" si="312"/>
        <v/>
      </c>
      <c r="BI265" s="20" t="str">
        <f t="shared" ca="1" si="312"/>
        <v/>
      </c>
      <c r="BK265" s="105"/>
      <c r="BL265" s="105"/>
      <c r="BM265" s="105"/>
      <c r="BN265" s="105"/>
      <c r="BO265" s="105"/>
      <c r="BP265" s="105"/>
    </row>
    <row r="266" spans="1:68" ht="15" customHeight="1" outlineLevel="1">
      <c r="A266" s="17"/>
      <c r="B266" s="34">
        <f t="shared" si="291"/>
        <v>44926</v>
      </c>
      <c r="C266" s="34">
        <f t="shared" ca="1" si="292"/>
        <v>44926</v>
      </c>
      <c r="D266" s="35" t="e">
        <f t="shared" ca="1" si="303"/>
        <v>#N/A</v>
      </c>
      <c r="E266" s="51">
        <f t="shared" si="299"/>
        <v>0.15436860068259384</v>
      </c>
      <c r="F266" s="36">
        <f t="shared" si="293"/>
        <v>0.15436860068259384</v>
      </c>
      <c r="G266" s="34">
        <f t="shared" si="294"/>
        <v>44926</v>
      </c>
      <c r="H266" s="37">
        <f t="shared" ca="1" si="295"/>
        <v>44926</v>
      </c>
      <c r="I266" s="35" t="e">
        <f t="shared" ca="1" si="304"/>
        <v>#N/A</v>
      </c>
      <c r="J266" s="51">
        <v>0.15436860068259384</v>
      </c>
      <c r="K266" s="35">
        <f t="shared" si="296"/>
        <v>0.15436860068259384</v>
      </c>
      <c r="L266" s="126">
        <v>5</v>
      </c>
      <c r="M266" s="81">
        <v>0.1</v>
      </c>
      <c r="N266" s="3"/>
      <c r="O266" s="106">
        <v>2</v>
      </c>
      <c r="P266" s="3"/>
      <c r="Q266" s="1" t="str">
        <f t="shared" si="305"/>
        <v>Other current liabilities / COGS</v>
      </c>
      <c r="W266" s="20" t="e">
        <f t="shared" ca="1" si="306"/>
        <v>#N/A</v>
      </c>
      <c r="X266" s="20">
        <f t="shared" ca="1" si="306"/>
        <v>0.15436860068259384</v>
      </c>
      <c r="Y266" s="20">
        <f t="shared" ca="1" si="306"/>
        <v>0.15436860068259384</v>
      </c>
      <c r="Z266" s="20">
        <f t="shared" ca="1" si="306"/>
        <v>0.15436860068259384</v>
      </c>
      <c r="AA266" s="20">
        <f t="shared" ca="1" si="306"/>
        <v>0.15436860068259384</v>
      </c>
      <c r="AB266" s="20">
        <f t="shared" ca="1" si="306"/>
        <v>0.15436860068259384</v>
      </c>
      <c r="AC266" s="17"/>
      <c r="AD266" s="20" t="e">
        <f t="shared" ca="1" si="307"/>
        <v>#N/A</v>
      </c>
      <c r="AE266" s="17"/>
      <c r="AF266" s="21" t="e">
        <f t="shared" ref="AF266:BI266" ca="1" si="313">IF($D$2=FALSE,"-",IF(AF$13="","",IF(AF$4&lt;=0,IF(CHOOSE($O266,AF252,AF253)=0,#N/A,AF246/CHOOSE($O266,AF252,AF253)),IF(AF$4&lt;=$L266,IF($M266=0,$F266-((IF($M266=0,($F266-$K266)/$L266,($K266-$F266)/(EXP(-$M266*$L266)-1)))*(AF$4-1)),($F266-(IF($M266=0,($F266-$K266)/$L266,($K266-$F266)/(EXP(-$M266*$L266)-1))))+((IF($M266=0,($F266-$K266)/$L266,($K266-$F266)/(EXP(-$M266*$L266)-1)))*EXP(-$M266*(AF$4-1)))),$K266))))</f>
        <v>#N/A</v>
      </c>
      <c r="AG266" s="20">
        <f t="shared" ca="1" si="313"/>
        <v>0.15436860068259384</v>
      </c>
      <c r="AH266" s="20">
        <f t="shared" ca="1" si="313"/>
        <v>0.15436860068259384</v>
      </c>
      <c r="AI266" s="20">
        <f t="shared" ca="1" si="313"/>
        <v>0.15436860068259384</v>
      </c>
      <c r="AJ266" s="20">
        <f t="shared" ca="1" si="313"/>
        <v>0.15436860068259384</v>
      </c>
      <c r="AK266" s="20">
        <f t="shared" ca="1" si="313"/>
        <v>0.15436860068259384</v>
      </c>
      <c r="AL266" s="20" t="str">
        <f t="shared" ca="1" si="313"/>
        <v/>
      </c>
      <c r="AM266" s="20" t="str">
        <f t="shared" ca="1" si="313"/>
        <v/>
      </c>
      <c r="AN266" s="20" t="str">
        <f t="shared" ca="1" si="313"/>
        <v/>
      </c>
      <c r="AO266" s="20" t="str">
        <f t="shared" ca="1" si="313"/>
        <v/>
      </c>
      <c r="AP266" s="20" t="str">
        <f t="shared" ca="1" si="313"/>
        <v/>
      </c>
      <c r="AQ266" s="20" t="str">
        <f t="shared" ca="1" si="313"/>
        <v/>
      </c>
      <c r="AR266" s="20" t="str">
        <f t="shared" ca="1" si="313"/>
        <v/>
      </c>
      <c r="AS266" s="20" t="str">
        <f t="shared" ca="1" si="313"/>
        <v/>
      </c>
      <c r="AT266" s="20" t="str">
        <f t="shared" ca="1" si="313"/>
        <v/>
      </c>
      <c r="AU266" s="20" t="str">
        <f t="shared" ca="1" si="313"/>
        <v/>
      </c>
      <c r="AV266" s="20" t="str">
        <f t="shared" ca="1" si="313"/>
        <v/>
      </c>
      <c r="AW266" s="20" t="str">
        <f t="shared" ca="1" si="313"/>
        <v/>
      </c>
      <c r="AX266" s="20" t="str">
        <f t="shared" ca="1" si="313"/>
        <v/>
      </c>
      <c r="AY266" s="20" t="str">
        <f t="shared" ca="1" si="313"/>
        <v/>
      </c>
      <c r="AZ266" s="20" t="str">
        <f t="shared" ca="1" si="313"/>
        <v/>
      </c>
      <c r="BA266" s="20" t="str">
        <f t="shared" ca="1" si="313"/>
        <v/>
      </c>
      <c r="BB266" s="20" t="str">
        <f t="shared" ca="1" si="313"/>
        <v/>
      </c>
      <c r="BC266" s="20" t="str">
        <f t="shared" ca="1" si="313"/>
        <v/>
      </c>
      <c r="BD266" s="20" t="str">
        <f t="shared" ca="1" si="313"/>
        <v/>
      </c>
      <c r="BE266" s="20" t="str">
        <f t="shared" ca="1" si="313"/>
        <v/>
      </c>
      <c r="BF266" s="20" t="str">
        <f t="shared" ca="1" si="313"/>
        <v/>
      </c>
      <c r="BG266" s="20" t="str">
        <f t="shared" ca="1" si="313"/>
        <v/>
      </c>
      <c r="BH266" s="20" t="str">
        <f t="shared" ca="1" si="313"/>
        <v/>
      </c>
      <c r="BI266" s="20" t="str">
        <f t="shared" ca="1" si="313"/>
        <v/>
      </c>
      <c r="BK266" s="105"/>
      <c r="BL266" s="105"/>
      <c r="BM266" s="105"/>
      <c r="BN266" s="105"/>
      <c r="BO266" s="105"/>
      <c r="BP266" s="105"/>
    </row>
    <row r="267" spans="1:68" ht="15" customHeight="1" outlineLevel="1"/>
    <row r="268" spans="1:68" ht="15" customHeight="1" outlineLevel="1">
      <c r="Q268" s="1" t="s">
        <v>177</v>
      </c>
      <c r="W268" s="163" t="e">
        <f t="shared" ref="W268:AB268" ca="1" si="314">IF($D$2=FALSE,"-",IF(W$13="","",IF(W252=0,#N/A,(0.5*(OFFSET($AF236,0,W$8-$E$5)+W236))*365/W252)))</f>
        <v>#N/A</v>
      </c>
      <c r="X268" s="163">
        <f t="shared" ca="1" si="314"/>
        <v>110.29024581928962</v>
      </c>
      <c r="Y268" s="163">
        <f t="shared" ca="1" si="314"/>
        <v>110.29024581928961</v>
      </c>
      <c r="Z268" s="163">
        <f t="shared" ca="1" si="314"/>
        <v>110.29024581928961</v>
      </c>
      <c r="AA268" s="163">
        <f t="shared" ca="1" si="314"/>
        <v>110.29024581928962</v>
      </c>
      <c r="AB268" s="163">
        <f t="shared" ca="1" si="314"/>
        <v>110.29024581928961</v>
      </c>
      <c r="AC268" s="188"/>
      <c r="AD268" s="163" t="e">
        <f ca="1">IF($D$2=FALSE,"-",IF(AD$13="","",IF(AD252=0,#N/A,(0.5*(OFFSET(AF236,0,$F$4-AD$7-1)+AD236))*365/AD252)))</f>
        <v>#N/A</v>
      </c>
      <c r="AE268" s="62"/>
      <c r="AF268" s="165" t="e">
        <f ca="1">IF($D$2=FALSE,"-",IF(AF$13="","",IF(AF252=0,#N/A,(0.5*(OFFSET(AF236,0,-AF$7)+AF236))*365/AF252)))</f>
        <v>#N/A</v>
      </c>
      <c r="AG268" s="163">
        <f t="shared" ref="AG268:BI268" ca="1" si="315">IF($D$2=FALSE,"-",IF(AG$13="","",IF(AG252=0,#N/A,(0.5*(OFFSET(AG236,0,-AG$7)+AG236))*365/AG252)))</f>
        <v>110.29024581928962</v>
      </c>
      <c r="AH268" s="163">
        <f t="shared" ca="1" si="315"/>
        <v>110.29024581928961</v>
      </c>
      <c r="AI268" s="163">
        <f t="shared" ca="1" si="315"/>
        <v>110.29024581928961</v>
      </c>
      <c r="AJ268" s="163">
        <f t="shared" ca="1" si="315"/>
        <v>110.29024581928962</v>
      </c>
      <c r="AK268" s="163">
        <f t="shared" ca="1" si="315"/>
        <v>110.29024581928961</v>
      </c>
      <c r="AL268" s="163" t="str">
        <f t="shared" ca="1" si="315"/>
        <v/>
      </c>
      <c r="AM268" s="163" t="str">
        <f t="shared" ca="1" si="315"/>
        <v/>
      </c>
      <c r="AN268" s="163" t="str">
        <f t="shared" ca="1" si="315"/>
        <v/>
      </c>
      <c r="AO268" s="163" t="str">
        <f t="shared" ca="1" si="315"/>
        <v/>
      </c>
      <c r="AP268" s="163" t="str">
        <f t="shared" ca="1" si="315"/>
        <v/>
      </c>
      <c r="AQ268" s="163" t="str">
        <f t="shared" ca="1" si="315"/>
        <v/>
      </c>
      <c r="AR268" s="163" t="str">
        <f t="shared" ca="1" si="315"/>
        <v/>
      </c>
      <c r="AS268" s="163" t="str">
        <f t="shared" ca="1" si="315"/>
        <v/>
      </c>
      <c r="AT268" s="163" t="str">
        <f t="shared" ca="1" si="315"/>
        <v/>
      </c>
      <c r="AU268" s="163" t="str">
        <f t="shared" ca="1" si="315"/>
        <v/>
      </c>
      <c r="AV268" s="163" t="str">
        <f t="shared" ca="1" si="315"/>
        <v/>
      </c>
      <c r="AW268" s="163" t="str">
        <f t="shared" ca="1" si="315"/>
        <v/>
      </c>
      <c r="AX268" s="163" t="str">
        <f t="shared" ca="1" si="315"/>
        <v/>
      </c>
      <c r="AY268" s="163" t="str">
        <f t="shared" ca="1" si="315"/>
        <v/>
      </c>
      <c r="AZ268" s="163" t="str">
        <f t="shared" ca="1" si="315"/>
        <v/>
      </c>
      <c r="BA268" s="163" t="str">
        <f t="shared" ca="1" si="315"/>
        <v/>
      </c>
      <c r="BB268" s="163" t="str">
        <f t="shared" ca="1" si="315"/>
        <v/>
      </c>
      <c r="BC268" s="163" t="str">
        <f t="shared" ca="1" si="315"/>
        <v/>
      </c>
      <c r="BD268" s="163" t="str">
        <f t="shared" ca="1" si="315"/>
        <v/>
      </c>
      <c r="BE268" s="163" t="str">
        <f t="shared" ca="1" si="315"/>
        <v/>
      </c>
      <c r="BF268" s="163" t="str">
        <f t="shared" ca="1" si="315"/>
        <v/>
      </c>
      <c r="BG268" s="163" t="str">
        <f t="shared" ca="1" si="315"/>
        <v/>
      </c>
      <c r="BH268" s="163" t="str">
        <f t="shared" ca="1" si="315"/>
        <v/>
      </c>
      <c r="BI268" s="163" t="str">
        <f t="shared" ca="1" si="315"/>
        <v/>
      </c>
      <c r="BJ268" s="188"/>
      <c r="BK268" s="105"/>
      <c r="BL268" s="105"/>
      <c r="BM268" s="105"/>
      <c r="BN268" s="105"/>
      <c r="BO268" s="105"/>
      <c r="BP268" s="105"/>
    </row>
    <row r="269" spans="1:68" ht="15" customHeight="1" outlineLevel="1">
      <c r="Q269" s="1" t="s">
        <v>178</v>
      </c>
      <c r="W269" s="163" t="e">
        <f t="shared" ref="W269:AB269" ca="1" si="316">IF($D$2=FALSE,"-",IF(W$13="","",IF(W254=0,#N/A,(0.5*(OFFSET($AF241,0,W$8-$E$5)+W241))*365/W254)))</f>
        <v>#N/A</v>
      </c>
      <c r="X269" s="163">
        <f t="shared" ca="1" si="316"/>
        <v>38.969013069773112</v>
      </c>
      <c r="Y269" s="163">
        <f t="shared" ca="1" si="316"/>
        <v>38.969013069773105</v>
      </c>
      <c r="Z269" s="163">
        <f t="shared" ca="1" si="316"/>
        <v>38.969013069773098</v>
      </c>
      <c r="AA269" s="163">
        <f t="shared" ca="1" si="316"/>
        <v>38.969013069773098</v>
      </c>
      <c r="AB269" s="163">
        <f t="shared" ca="1" si="316"/>
        <v>38.969013069773098</v>
      </c>
      <c r="AC269" s="188"/>
      <c r="AD269" s="163" t="e">
        <f ca="1">IF($D$2=FALSE,"-",IF(AD$13="","",IF(AD254=0,#N/A,(0.5*(OFFSET(AF241,0,$F$4-AD$7-1)+AD241))*365/AD254)))</f>
        <v>#N/A</v>
      </c>
      <c r="AE269" s="188"/>
      <c r="AF269" s="165" t="e">
        <f ca="1">IF($D$2=FALSE,"-",IF(AF$13="","",IF(AF254=0,#N/A,(0.5*(OFFSET(AF241,0,-AF$7)+AF241))*365/AF254)))</f>
        <v>#N/A</v>
      </c>
      <c r="AG269" s="163">
        <f t="shared" ref="AG269:BI269" ca="1" si="317">IF($D$2=FALSE,"-",IF(AG$13="","",IF(AG254=0,#N/A,(0.5*(OFFSET(AG241,0,-AG$7)+AG241))*365/AG254)))</f>
        <v>38.969013069773112</v>
      </c>
      <c r="AH269" s="163">
        <f t="shared" ca="1" si="317"/>
        <v>38.969013069773105</v>
      </c>
      <c r="AI269" s="163">
        <f t="shared" ca="1" si="317"/>
        <v>38.969013069773098</v>
      </c>
      <c r="AJ269" s="163">
        <f t="shared" ca="1" si="317"/>
        <v>38.969013069773098</v>
      </c>
      <c r="AK269" s="163">
        <f t="shared" ca="1" si="317"/>
        <v>38.969013069773098</v>
      </c>
      <c r="AL269" s="163" t="str">
        <f t="shared" ca="1" si="317"/>
        <v/>
      </c>
      <c r="AM269" s="163" t="str">
        <f t="shared" ca="1" si="317"/>
        <v/>
      </c>
      <c r="AN269" s="163" t="str">
        <f t="shared" ca="1" si="317"/>
        <v/>
      </c>
      <c r="AO269" s="163" t="str">
        <f t="shared" ca="1" si="317"/>
        <v/>
      </c>
      <c r="AP269" s="163" t="str">
        <f t="shared" ca="1" si="317"/>
        <v/>
      </c>
      <c r="AQ269" s="163" t="str">
        <f t="shared" ca="1" si="317"/>
        <v/>
      </c>
      <c r="AR269" s="163" t="str">
        <f t="shared" ca="1" si="317"/>
        <v/>
      </c>
      <c r="AS269" s="163" t="str">
        <f t="shared" ca="1" si="317"/>
        <v/>
      </c>
      <c r="AT269" s="163" t="str">
        <f t="shared" ca="1" si="317"/>
        <v/>
      </c>
      <c r="AU269" s="163" t="str">
        <f t="shared" ca="1" si="317"/>
        <v/>
      </c>
      <c r="AV269" s="163" t="str">
        <f t="shared" ca="1" si="317"/>
        <v/>
      </c>
      <c r="AW269" s="163" t="str">
        <f t="shared" ca="1" si="317"/>
        <v/>
      </c>
      <c r="AX269" s="163" t="str">
        <f t="shared" ca="1" si="317"/>
        <v/>
      </c>
      <c r="AY269" s="163" t="str">
        <f t="shared" ca="1" si="317"/>
        <v/>
      </c>
      <c r="AZ269" s="163" t="str">
        <f t="shared" ca="1" si="317"/>
        <v/>
      </c>
      <c r="BA269" s="163" t="str">
        <f t="shared" ca="1" si="317"/>
        <v/>
      </c>
      <c r="BB269" s="163" t="str">
        <f t="shared" ca="1" si="317"/>
        <v/>
      </c>
      <c r="BC269" s="163" t="str">
        <f t="shared" ca="1" si="317"/>
        <v/>
      </c>
      <c r="BD269" s="163" t="str">
        <f t="shared" ca="1" si="317"/>
        <v/>
      </c>
      <c r="BE269" s="163" t="str">
        <f t="shared" ca="1" si="317"/>
        <v/>
      </c>
      <c r="BF269" s="163" t="str">
        <f t="shared" ca="1" si="317"/>
        <v/>
      </c>
      <c r="BG269" s="163" t="str">
        <f t="shared" ca="1" si="317"/>
        <v/>
      </c>
      <c r="BH269" s="163" t="str">
        <f t="shared" ca="1" si="317"/>
        <v/>
      </c>
      <c r="BI269" s="163" t="str">
        <f t="shared" ca="1" si="317"/>
        <v/>
      </c>
      <c r="BJ269" s="188"/>
      <c r="BK269" s="105"/>
      <c r="BL269" s="105"/>
      <c r="BM269" s="105"/>
      <c r="BN269" s="105"/>
      <c r="BO269" s="105"/>
      <c r="BP269" s="105"/>
    </row>
    <row r="270" spans="1:68" ht="15" customHeight="1" outlineLevel="1">
      <c r="Q270" s="1" t="s">
        <v>179</v>
      </c>
      <c r="W270" s="163" t="e">
        <f t="shared" ref="W270:AB270" ca="1" si="318">IF($D$2=FALSE,"-",IF(W$13="","",IF(W253=0,#N/A,(0.5*(OFFSET($AF237,0,W$8-$E$5)+W237))*365/W253)))</f>
        <v>#N/A</v>
      </c>
      <c r="X270" s="163">
        <f t="shared" ca="1" si="318"/>
        <v>7.600459125629774</v>
      </c>
      <c r="Y270" s="163">
        <f t="shared" ca="1" si="318"/>
        <v>7.600459125629774</v>
      </c>
      <c r="Z270" s="163">
        <f t="shared" ca="1" si="318"/>
        <v>7.6004591256297731</v>
      </c>
      <c r="AA270" s="163">
        <f t="shared" ca="1" si="318"/>
        <v>7.6004591256297749</v>
      </c>
      <c r="AB270" s="163">
        <f t="shared" ca="1" si="318"/>
        <v>7.600459125629774</v>
      </c>
      <c r="AC270" s="188"/>
      <c r="AD270" s="163" t="e">
        <f ca="1">IF($D$2=FALSE,"-",IF(AD$13="","",IF(AD253=0,#N/A,(0.5*(OFFSET(AF237,0,$F$4-AD$7-1)+AD237))*365/AD253)))</f>
        <v>#N/A</v>
      </c>
      <c r="AE270" s="188"/>
      <c r="AF270" s="165" t="e">
        <f ca="1">IF($D$2=FALSE,"-",IF(AF$13="","",IF(AF253=0,#N/A,(0.5*(OFFSET(AF237,0,-AF$7)+AF237))*365/AF253)))</f>
        <v>#N/A</v>
      </c>
      <c r="AG270" s="163">
        <f t="shared" ref="AG270:BI270" ca="1" si="319">IF($D$2=FALSE,"-",IF(AG$13="","",IF(AG253=0,#N/A,(0.5*(OFFSET(AG237,0,-AG$7)+AG237))*365/AG253)))</f>
        <v>7.600459125629774</v>
      </c>
      <c r="AH270" s="163">
        <f t="shared" ca="1" si="319"/>
        <v>7.600459125629774</v>
      </c>
      <c r="AI270" s="163">
        <f t="shared" ca="1" si="319"/>
        <v>7.6004591256297731</v>
      </c>
      <c r="AJ270" s="163">
        <f t="shared" ca="1" si="319"/>
        <v>7.6004591256297749</v>
      </c>
      <c r="AK270" s="163">
        <f t="shared" ca="1" si="319"/>
        <v>7.600459125629774</v>
      </c>
      <c r="AL270" s="163" t="str">
        <f t="shared" ca="1" si="319"/>
        <v/>
      </c>
      <c r="AM270" s="163" t="str">
        <f t="shared" ca="1" si="319"/>
        <v/>
      </c>
      <c r="AN270" s="163" t="str">
        <f t="shared" ca="1" si="319"/>
        <v/>
      </c>
      <c r="AO270" s="163" t="str">
        <f t="shared" ca="1" si="319"/>
        <v/>
      </c>
      <c r="AP270" s="163" t="str">
        <f t="shared" ca="1" si="319"/>
        <v/>
      </c>
      <c r="AQ270" s="163" t="str">
        <f t="shared" ca="1" si="319"/>
        <v/>
      </c>
      <c r="AR270" s="163" t="str">
        <f t="shared" ca="1" si="319"/>
        <v/>
      </c>
      <c r="AS270" s="163" t="str">
        <f t="shared" ca="1" si="319"/>
        <v/>
      </c>
      <c r="AT270" s="163" t="str">
        <f t="shared" ca="1" si="319"/>
        <v/>
      </c>
      <c r="AU270" s="163" t="str">
        <f t="shared" ca="1" si="319"/>
        <v/>
      </c>
      <c r="AV270" s="163" t="str">
        <f t="shared" ca="1" si="319"/>
        <v/>
      </c>
      <c r="AW270" s="163" t="str">
        <f t="shared" ca="1" si="319"/>
        <v/>
      </c>
      <c r="AX270" s="163" t="str">
        <f t="shared" ca="1" si="319"/>
        <v/>
      </c>
      <c r="AY270" s="163" t="str">
        <f t="shared" ca="1" si="319"/>
        <v/>
      </c>
      <c r="AZ270" s="163" t="str">
        <f t="shared" ca="1" si="319"/>
        <v/>
      </c>
      <c r="BA270" s="163" t="str">
        <f t="shared" ca="1" si="319"/>
        <v/>
      </c>
      <c r="BB270" s="163" t="str">
        <f t="shared" ca="1" si="319"/>
        <v/>
      </c>
      <c r="BC270" s="163" t="str">
        <f t="shared" ca="1" si="319"/>
        <v/>
      </c>
      <c r="BD270" s="163" t="str">
        <f t="shared" ca="1" si="319"/>
        <v/>
      </c>
      <c r="BE270" s="163" t="str">
        <f t="shared" ca="1" si="319"/>
        <v/>
      </c>
      <c r="BF270" s="163" t="str">
        <f t="shared" ca="1" si="319"/>
        <v/>
      </c>
      <c r="BG270" s="163" t="str">
        <f t="shared" ca="1" si="319"/>
        <v/>
      </c>
      <c r="BH270" s="163" t="str">
        <f t="shared" ca="1" si="319"/>
        <v/>
      </c>
      <c r="BI270" s="163" t="str">
        <f t="shared" ca="1" si="319"/>
        <v/>
      </c>
      <c r="BJ270" s="188"/>
      <c r="BK270" s="105"/>
      <c r="BL270" s="105"/>
      <c r="BM270" s="105"/>
      <c r="BN270" s="105"/>
      <c r="BO270" s="105"/>
      <c r="BP270" s="105"/>
    </row>
    <row r="271" spans="1:68" ht="15" customHeight="1" outlineLevel="1">
      <c r="Q271" s="1" t="s">
        <v>180</v>
      </c>
      <c r="W271" s="163" t="e">
        <f t="shared" ref="W271:AB271" ca="1" si="320">IF($D$2=FALSE,"-",IF(W$13="","",IF(OFFSET($AF237,0,W$8-$E$5)+W237=0,#N/A,W253/(0.5*(SUM(OFFSET($AF237,0,W$8-$E$5,1,-$E$5))+W237)))))</f>
        <v>#N/A</v>
      </c>
      <c r="X271" s="163">
        <f t="shared" ca="1" si="320"/>
        <v>48.023414634146341</v>
      </c>
      <c r="Y271" s="163">
        <f t="shared" ca="1" si="320"/>
        <v>48.023414634146341</v>
      </c>
      <c r="Z271" s="163">
        <f t="shared" ca="1" si="320"/>
        <v>48.023414634146341</v>
      </c>
      <c r="AA271" s="163">
        <f t="shared" ca="1" si="320"/>
        <v>48.023414634146341</v>
      </c>
      <c r="AB271" s="163">
        <f t="shared" ca="1" si="320"/>
        <v>48.023414634146341</v>
      </c>
      <c r="AC271" s="188"/>
      <c r="AD271" s="163" t="e">
        <f ca="1">IF($D$2=FALSE,"-",IF(AD$13="","",IF(OFFSET(AF237,0,$F$4-AD$7-1)+AD237=0,#N/A,AD253/(0.5*(OFFSET(AF237,0,$F$4-AD$7-1)+AD237)))))</f>
        <v>#N/A</v>
      </c>
      <c r="AE271" s="188"/>
      <c r="AF271" s="165" t="e">
        <f ca="1">IF($D$2=FALSE,"-",IF(AF$13="","",IF(OFFSET(AF237,0,-AF$7)+AF237=0,#N/A,AF253/(0.5*(OFFSET(AF237,0,-AF$7)+AF237)))))</f>
        <v>#N/A</v>
      </c>
      <c r="AG271" s="163">
        <f t="shared" ref="AG271:BI271" ca="1" si="321">IF($D$2=FALSE,"-",IF(AG$13="","",IF(OFFSET(AG237,0,-AG$7)+AG237=0,#N/A,AG253/(0.5*(OFFSET(AG237,0,-AG$7)+AG237)))))</f>
        <v>48.023414634146341</v>
      </c>
      <c r="AH271" s="163">
        <f t="shared" ca="1" si="321"/>
        <v>48.023414634146341</v>
      </c>
      <c r="AI271" s="163">
        <f t="shared" ca="1" si="321"/>
        <v>48.023414634146341</v>
      </c>
      <c r="AJ271" s="163">
        <f t="shared" ca="1" si="321"/>
        <v>48.023414634146341</v>
      </c>
      <c r="AK271" s="163">
        <f t="shared" ca="1" si="321"/>
        <v>48.023414634146341</v>
      </c>
      <c r="AL271" s="163" t="str">
        <f t="shared" ca="1" si="321"/>
        <v/>
      </c>
      <c r="AM271" s="163" t="str">
        <f t="shared" ca="1" si="321"/>
        <v/>
      </c>
      <c r="AN271" s="163" t="str">
        <f t="shared" ca="1" si="321"/>
        <v/>
      </c>
      <c r="AO271" s="163" t="str">
        <f t="shared" ca="1" si="321"/>
        <v/>
      </c>
      <c r="AP271" s="163" t="str">
        <f t="shared" ca="1" si="321"/>
        <v/>
      </c>
      <c r="AQ271" s="163" t="str">
        <f t="shared" ca="1" si="321"/>
        <v/>
      </c>
      <c r="AR271" s="163" t="str">
        <f t="shared" ca="1" si="321"/>
        <v/>
      </c>
      <c r="AS271" s="163" t="str">
        <f t="shared" ca="1" si="321"/>
        <v/>
      </c>
      <c r="AT271" s="163" t="str">
        <f t="shared" ca="1" si="321"/>
        <v/>
      </c>
      <c r="AU271" s="163" t="str">
        <f t="shared" ca="1" si="321"/>
        <v/>
      </c>
      <c r="AV271" s="163" t="str">
        <f t="shared" ca="1" si="321"/>
        <v/>
      </c>
      <c r="AW271" s="163" t="str">
        <f t="shared" ca="1" si="321"/>
        <v/>
      </c>
      <c r="AX271" s="163" t="str">
        <f t="shared" ca="1" si="321"/>
        <v/>
      </c>
      <c r="AY271" s="163" t="str">
        <f t="shared" ca="1" si="321"/>
        <v/>
      </c>
      <c r="AZ271" s="163" t="str">
        <f t="shared" ca="1" si="321"/>
        <v/>
      </c>
      <c r="BA271" s="163" t="str">
        <f t="shared" ca="1" si="321"/>
        <v/>
      </c>
      <c r="BB271" s="163" t="str">
        <f t="shared" ca="1" si="321"/>
        <v/>
      </c>
      <c r="BC271" s="163" t="str">
        <f t="shared" ca="1" si="321"/>
        <v/>
      </c>
      <c r="BD271" s="163" t="str">
        <f t="shared" ca="1" si="321"/>
        <v/>
      </c>
      <c r="BE271" s="163" t="str">
        <f t="shared" ca="1" si="321"/>
        <v/>
      </c>
      <c r="BF271" s="163" t="str">
        <f t="shared" ca="1" si="321"/>
        <v/>
      </c>
      <c r="BG271" s="163" t="str">
        <f t="shared" ca="1" si="321"/>
        <v/>
      </c>
      <c r="BH271" s="163" t="str">
        <f t="shared" ca="1" si="321"/>
        <v/>
      </c>
      <c r="BI271" s="163" t="str">
        <f t="shared" ca="1" si="321"/>
        <v/>
      </c>
      <c r="BJ271" s="188"/>
      <c r="BK271" s="105"/>
      <c r="BL271" s="105"/>
      <c r="BM271" s="105"/>
      <c r="BN271" s="105"/>
      <c r="BO271" s="105"/>
      <c r="BP271" s="105"/>
    </row>
    <row r="272" spans="1:68" ht="15" customHeight="1" outlineLevel="1">
      <c r="W272" s="186"/>
      <c r="X272" s="186"/>
      <c r="Y272" s="186"/>
      <c r="Z272" s="186"/>
      <c r="AA272" s="186"/>
      <c r="AB272" s="186"/>
      <c r="AD272" s="186"/>
      <c r="AF272" s="226"/>
      <c r="AG272" s="186"/>
      <c r="AH272" s="186"/>
      <c r="AI272" s="186"/>
      <c r="AJ272" s="186"/>
      <c r="AK272" s="186"/>
      <c r="AL272" s="186"/>
      <c r="AM272" s="186"/>
      <c r="AN272" s="186"/>
      <c r="AO272" s="186"/>
      <c r="AP272" s="186"/>
      <c r="AQ272" s="186"/>
      <c r="AR272" s="186"/>
      <c r="AS272" s="186"/>
      <c r="AT272" s="186"/>
      <c r="AU272" s="186"/>
      <c r="AV272" s="186"/>
      <c r="AW272" s="186"/>
      <c r="AX272" s="186"/>
      <c r="AY272" s="186"/>
      <c r="AZ272" s="186"/>
      <c r="BA272" s="186"/>
      <c r="BB272" s="186"/>
      <c r="BC272" s="186"/>
      <c r="BD272" s="186"/>
      <c r="BE272" s="186"/>
      <c r="BF272" s="186"/>
      <c r="BG272" s="186"/>
      <c r="BH272" s="186"/>
      <c r="BI272" s="186"/>
      <c r="BK272" s="105"/>
      <c r="BL272" s="105"/>
      <c r="BM272" s="105"/>
      <c r="BN272" s="105"/>
      <c r="BO272" s="105"/>
      <c r="BP272" s="105"/>
    </row>
    <row r="274" spans="1:68" ht="15" customHeight="1">
      <c r="A274" s="27"/>
      <c r="I274" s="3"/>
      <c r="J274" s="3"/>
      <c r="K274" s="3"/>
      <c r="N274" s="27"/>
      <c r="P274" s="27"/>
      <c r="Q274" s="27"/>
      <c r="R274" s="27"/>
      <c r="S274" s="27"/>
      <c r="T274" s="27"/>
      <c r="U274" s="27"/>
      <c r="V274" s="27"/>
      <c r="W274" s="27"/>
      <c r="X274" s="27"/>
      <c r="Y274" s="27"/>
      <c r="Z274" s="27"/>
      <c r="AA274" s="27"/>
      <c r="AB274" s="27"/>
      <c r="AC274" s="27"/>
      <c r="AE274" s="27"/>
      <c r="AF274" s="28"/>
    </row>
    <row r="275" spans="1:68" ht="15" customHeight="1">
      <c r="I275" s="3"/>
      <c r="J275" s="3"/>
      <c r="K275" s="3"/>
      <c r="W275" s="7" t="str">
        <f t="shared" ref="W275:AB275" ca="1" si="322">IF($D$2=FALSE,"-",IF(W$11="","",W$11))</f>
        <v>ACT.</v>
      </c>
      <c r="X275" s="7" t="str">
        <f t="shared" ca="1" si="322"/>
        <v>EST.</v>
      </c>
      <c r="Y275" s="7" t="str">
        <f t="shared" ca="1" si="322"/>
        <v>EST.</v>
      </c>
      <c r="Z275" s="7" t="str">
        <f t="shared" ca="1" si="322"/>
        <v>EST.</v>
      </c>
      <c r="AA275" s="7" t="str">
        <f t="shared" ca="1" si="322"/>
        <v>EST.</v>
      </c>
      <c r="AB275" s="7" t="str">
        <f t="shared" ca="1" si="322"/>
        <v>EST.</v>
      </c>
      <c r="AD275" s="7" t="e">
        <f ca="1">IF($D$2=FALSE,"-",IF(AD$11="","",AD$11))</f>
        <v>#N/A</v>
      </c>
      <c r="AF275" s="8" t="str">
        <f t="shared" ref="AF275:BI275" ca="1" si="323">IF($D$2=FALSE,"-",IF(AF$11="","",AF$11))</f>
        <v>ACT.</v>
      </c>
      <c r="AG275" s="7" t="str">
        <f t="shared" ca="1" si="323"/>
        <v>EST.</v>
      </c>
      <c r="AH275" s="7" t="str">
        <f t="shared" ca="1" si="323"/>
        <v>EST.</v>
      </c>
      <c r="AI275" s="7" t="str">
        <f t="shared" ca="1" si="323"/>
        <v>EST.</v>
      </c>
      <c r="AJ275" s="7" t="str">
        <f t="shared" ca="1" si="323"/>
        <v>EST.</v>
      </c>
      <c r="AK275" s="7" t="str">
        <f t="shared" ca="1" si="323"/>
        <v>EST.</v>
      </c>
      <c r="AL275" s="7" t="str">
        <f t="shared" ca="1" si="323"/>
        <v/>
      </c>
      <c r="AM275" s="7" t="str">
        <f t="shared" ca="1" si="323"/>
        <v/>
      </c>
      <c r="AN275" s="7" t="str">
        <f t="shared" ca="1" si="323"/>
        <v/>
      </c>
      <c r="AO275" s="7" t="str">
        <f t="shared" ca="1" si="323"/>
        <v/>
      </c>
      <c r="AP275" s="7" t="str">
        <f t="shared" ca="1" si="323"/>
        <v/>
      </c>
      <c r="AQ275" s="7" t="str">
        <f t="shared" ca="1" si="323"/>
        <v/>
      </c>
      <c r="AR275" s="7" t="str">
        <f t="shared" ca="1" si="323"/>
        <v/>
      </c>
      <c r="AS275" s="7" t="str">
        <f t="shared" ca="1" si="323"/>
        <v/>
      </c>
      <c r="AT275" s="7" t="str">
        <f t="shared" ca="1" si="323"/>
        <v/>
      </c>
      <c r="AU275" s="7" t="str">
        <f t="shared" ca="1" si="323"/>
        <v/>
      </c>
      <c r="AV275" s="7" t="str">
        <f t="shared" ca="1" si="323"/>
        <v/>
      </c>
      <c r="AW275" s="7" t="str">
        <f t="shared" ca="1" si="323"/>
        <v/>
      </c>
      <c r="AX275" s="7" t="str">
        <f t="shared" ca="1" si="323"/>
        <v/>
      </c>
      <c r="AY275" s="7" t="str">
        <f t="shared" ca="1" si="323"/>
        <v/>
      </c>
      <c r="AZ275" s="7" t="str">
        <f t="shared" ca="1" si="323"/>
        <v/>
      </c>
      <c r="BA275" s="7" t="str">
        <f t="shared" ca="1" si="323"/>
        <v/>
      </c>
      <c r="BB275" s="7" t="str">
        <f t="shared" ca="1" si="323"/>
        <v/>
      </c>
      <c r="BC275" s="7" t="str">
        <f t="shared" ca="1" si="323"/>
        <v/>
      </c>
      <c r="BD275" s="7" t="str">
        <f t="shared" ca="1" si="323"/>
        <v/>
      </c>
      <c r="BE275" s="7" t="str">
        <f t="shared" ca="1" si="323"/>
        <v/>
      </c>
      <c r="BF275" s="7" t="str">
        <f t="shared" ca="1" si="323"/>
        <v/>
      </c>
      <c r="BG275" s="7" t="str">
        <f t="shared" ca="1" si="323"/>
        <v/>
      </c>
      <c r="BH275" s="7" t="str">
        <f t="shared" ca="1" si="323"/>
        <v/>
      </c>
      <c r="BI275" s="7" t="str">
        <f t="shared" ca="1" si="323"/>
        <v/>
      </c>
    </row>
    <row r="276" spans="1:68" ht="5" customHeight="1">
      <c r="I276" s="3"/>
      <c r="J276" s="3"/>
      <c r="K276" s="3"/>
      <c r="AD276" s="62"/>
      <c r="AG276" s="3"/>
      <c r="AH276" s="3"/>
      <c r="AI276" s="3"/>
      <c r="AJ276" s="3"/>
      <c r="AK276" s="3"/>
      <c r="AL276" s="3"/>
      <c r="AM276" s="3"/>
      <c r="AN276" s="3"/>
      <c r="AO276" s="3"/>
      <c r="AP276" s="3"/>
      <c r="AQ276" s="3"/>
      <c r="AR276" s="3"/>
      <c r="AS276" s="3"/>
      <c r="AT276" s="3"/>
      <c r="AU276" s="3"/>
      <c r="AV276" s="3"/>
      <c r="AW276" s="3"/>
      <c r="AX276" s="3"/>
      <c r="AY276" s="3"/>
      <c r="AZ276" s="3"/>
      <c r="BA276" s="3"/>
      <c r="BB276" s="3"/>
      <c r="BC276" s="3"/>
      <c r="BD276" s="3"/>
      <c r="BE276" s="3"/>
      <c r="BF276" s="3"/>
      <c r="BG276" s="3"/>
      <c r="BH276" s="3"/>
      <c r="BI276" s="3"/>
    </row>
    <row r="277" spans="1:68" ht="15" customHeight="1">
      <c r="A277" s="13"/>
      <c r="I277" s="3"/>
      <c r="J277" s="3"/>
      <c r="K277" s="3"/>
      <c r="N277" s="13"/>
      <c r="P277" s="295" t="s">
        <v>219</v>
      </c>
      <c r="Q277" s="340" t="s">
        <v>207</v>
      </c>
      <c r="R277" s="43"/>
      <c r="S277" s="43"/>
      <c r="T277" s="43"/>
      <c r="U277" s="43"/>
      <c r="V277" s="13"/>
      <c r="W277" s="7">
        <f t="shared" ref="W277:AB277" ca="1" si="324">IF($D$2=FALSE,"-",IF(W$13="","",W$13))</f>
        <v>44926</v>
      </c>
      <c r="X277" s="7">
        <f t="shared" ca="1" si="324"/>
        <v>45291</v>
      </c>
      <c r="Y277" s="7">
        <f t="shared" ca="1" si="324"/>
        <v>45657</v>
      </c>
      <c r="Z277" s="7">
        <f t="shared" ca="1" si="324"/>
        <v>46022</v>
      </c>
      <c r="AA277" s="7">
        <f t="shared" ca="1" si="324"/>
        <v>46387</v>
      </c>
      <c r="AB277" s="7">
        <f t="shared" ca="1" si="324"/>
        <v>46752</v>
      </c>
      <c r="AC277" s="13"/>
      <c r="AD277" s="7" t="e">
        <f ca="1">IF($D$2=FALSE,"-",IF(AD$13="","",AD$13))</f>
        <v>#N/A</v>
      </c>
      <c r="AE277" s="13"/>
      <c r="AF277" s="8">
        <f t="shared" ref="AF277:BI277" ca="1" si="325">IF($D$2=FALSE,"-",IF(AF$13="","",AF$13))</f>
        <v>44926</v>
      </c>
      <c r="AG277" s="7">
        <f t="shared" ca="1" si="325"/>
        <v>45291</v>
      </c>
      <c r="AH277" s="7">
        <f t="shared" ca="1" si="325"/>
        <v>45657</v>
      </c>
      <c r="AI277" s="7">
        <f t="shared" ca="1" si="325"/>
        <v>46022</v>
      </c>
      <c r="AJ277" s="7">
        <f t="shared" ca="1" si="325"/>
        <v>46387</v>
      </c>
      <c r="AK277" s="7">
        <f t="shared" ca="1" si="325"/>
        <v>46752</v>
      </c>
      <c r="AL277" s="7" t="str">
        <f t="shared" ca="1" si="325"/>
        <v/>
      </c>
      <c r="AM277" s="7" t="str">
        <f t="shared" ca="1" si="325"/>
        <v/>
      </c>
      <c r="AN277" s="7" t="str">
        <f t="shared" ca="1" si="325"/>
        <v/>
      </c>
      <c r="AO277" s="7" t="str">
        <f t="shared" ca="1" si="325"/>
        <v/>
      </c>
      <c r="AP277" s="7" t="str">
        <f t="shared" ca="1" si="325"/>
        <v/>
      </c>
      <c r="AQ277" s="7" t="str">
        <f t="shared" ca="1" si="325"/>
        <v/>
      </c>
      <c r="AR277" s="7" t="str">
        <f t="shared" ca="1" si="325"/>
        <v/>
      </c>
      <c r="AS277" s="7" t="str">
        <f t="shared" ca="1" si="325"/>
        <v/>
      </c>
      <c r="AT277" s="7" t="str">
        <f t="shared" ca="1" si="325"/>
        <v/>
      </c>
      <c r="AU277" s="7" t="str">
        <f t="shared" ca="1" si="325"/>
        <v/>
      </c>
      <c r="AV277" s="7" t="str">
        <f t="shared" ca="1" si="325"/>
        <v/>
      </c>
      <c r="AW277" s="7" t="str">
        <f t="shared" ca="1" si="325"/>
        <v/>
      </c>
      <c r="AX277" s="7" t="str">
        <f t="shared" ca="1" si="325"/>
        <v/>
      </c>
      <c r="AY277" s="7" t="str">
        <f t="shared" ca="1" si="325"/>
        <v/>
      </c>
      <c r="AZ277" s="7" t="str">
        <f t="shared" ca="1" si="325"/>
        <v/>
      </c>
      <c r="BA277" s="7" t="str">
        <f t="shared" ca="1" si="325"/>
        <v/>
      </c>
      <c r="BB277" s="7" t="str">
        <f t="shared" ca="1" si="325"/>
        <v/>
      </c>
      <c r="BC277" s="7" t="str">
        <f t="shared" ca="1" si="325"/>
        <v/>
      </c>
      <c r="BD277" s="7" t="str">
        <f t="shared" ca="1" si="325"/>
        <v/>
      </c>
      <c r="BE277" s="7" t="str">
        <f t="shared" ca="1" si="325"/>
        <v/>
      </c>
      <c r="BF277" s="7" t="str">
        <f t="shared" ca="1" si="325"/>
        <v/>
      </c>
      <c r="BG277" s="7" t="str">
        <f t="shared" ca="1" si="325"/>
        <v/>
      </c>
      <c r="BH277" s="7" t="str">
        <f t="shared" ca="1" si="325"/>
        <v/>
      </c>
      <c r="BI277" s="7" t="str">
        <f t="shared" ca="1" si="325"/>
        <v/>
      </c>
    </row>
    <row r="278" spans="1:68" ht="15" customHeight="1" outlineLevel="1">
      <c r="A278" s="27"/>
      <c r="I278" s="3"/>
      <c r="J278" s="3"/>
      <c r="K278" s="3"/>
      <c r="N278" s="27"/>
      <c r="P278" s="27"/>
      <c r="Q278" s="27"/>
      <c r="R278" s="27"/>
      <c r="S278" s="27"/>
      <c r="T278" s="27"/>
      <c r="U278" s="27"/>
      <c r="V278" s="27"/>
      <c r="W278" s="27"/>
      <c r="X278" s="27"/>
      <c r="Y278" s="27"/>
      <c r="Z278" s="27"/>
      <c r="AA278" s="27"/>
      <c r="AB278" s="27"/>
      <c r="AC278" s="27"/>
      <c r="AE278" s="27"/>
      <c r="AF278" s="28"/>
      <c r="AG278" s="30"/>
      <c r="AH278" s="29"/>
      <c r="AI278" s="30"/>
      <c r="AJ278" s="30"/>
      <c r="AK278" s="30"/>
      <c r="AL278" s="30"/>
      <c r="AM278" s="30"/>
      <c r="AN278" s="30"/>
      <c r="AO278" s="30"/>
      <c r="AP278" s="30"/>
      <c r="AQ278" s="30"/>
      <c r="AR278" s="30"/>
      <c r="AS278" s="30"/>
      <c r="AT278" s="30"/>
      <c r="AU278" s="30"/>
      <c r="AV278" s="30"/>
      <c r="AW278" s="30"/>
      <c r="AX278" s="30"/>
      <c r="AY278" s="30"/>
      <c r="AZ278" s="30"/>
      <c r="BA278" s="30"/>
      <c r="BB278" s="30"/>
      <c r="BC278" s="30"/>
      <c r="BD278" s="30"/>
      <c r="BE278" s="30"/>
      <c r="BF278" s="30"/>
      <c r="BG278" s="30"/>
      <c r="BH278" s="30"/>
      <c r="BI278" s="30"/>
    </row>
    <row r="279" spans="1:68" ht="15" customHeight="1" outlineLevel="1">
      <c r="A279" s="6"/>
      <c r="I279" s="3"/>
      <c r="J279" s="3"/>
      <c r="K279" s="3"/>
      <c r="N279" s="6"/>
      <c r="P279" s="6"/>
      <c r="Q279" s="68" t="s">
        <v>23</v>
      </c>
      <c r="R279" s="68"/>
      <c r="S279" s="68"/>
      <c r="T279" s="68"/>
      <c r="U279" s="68"/>
      <c r="V279" s="6"/>
      <c r="W279" s="26"/>
      <c r="X279" s="26"/>
      <c r="Y279" s="26"/>
      <c r="Z279" s="26"/>
      <c r="AA279" s="26"/>
      <c r="AB279" s="26"/>
      <c r="AC279" s="6"/>
      <c r="AD279" s="59"/>
      <c r="AE279" s="6"/>
      <c r="AF279" s="39"/>
      <c r="AG279" s="38"/>
      <c r="AH279" s="38"/>
      <c r="AI279" s="38"/>
      <c r="AJ279" s="38"/>
      <c r="AK279" s="38"/>
      <c r="AL279" s="38"/>
      <c r="AM279" s="38"/>
      <c r="AN279" s="38"/>
      <c r="AO279" s="38"/>
      <c r="AP279" s="38"/>
      <c r="AQ279" s="38"/>
      <c r="AR279" s="38"/>
      <c r="AS279" s="38"/>
      <c r="AT279" s="38"/>
      <c r="AU279" s="38"/>
      <c r="AV279" s="38"/>
      <c r="AW279" s="38"/>
      <c r="AX279" s="38"/>
      <c r="AY279" s="38"/>
      <c r="AZ279" s="38"/>
      <c r="BA279" s="38"/>
      <c r="BB279" s="38"/>
      <c r="BC279" s="38"/>
      <c r="BD279" s="38"/>
      <c r="BE279" s="38"/>
      <c r="BF279" s="38"/>
      <c r="BG279" s="38"/>
      <c r="BH279" s="38"/>
      <c r="BI279" s="38"/>
    </row>
    <row r="280" spans="1:68" ht="15" customHeight="1" outlineLevel="1">
      <c r="A280" s="31"/>
      <c r="I280" s="3"/>
      <c r="J280" s="3"/>
      <c r="K280" s="3"/>
      <c r="N280" s="31"/>
      <c r="P280" s="31"/>
      <c r="Q280" s="6" t="s">
        <v>24</v>
      </c>
      <c r="R280" s="6"/>
      <c r="S280" s="6"/>
      <c r="T280" s="6"/>
      <c r="U280" s="6"/>
      <c r="V280" s="31"/>
      <c r="W280" s="135" t="e">
        <f t="shared" ref="W280:AB294" ca="1" si="326">IF($D$2=FALSE,"-",IF(W$13="","",OFFSET($AF280,0,W$8)))</f>
        <v>#N/A</v>
      </c>
      <c r="X280" s="135">
        <f t="shared" ca="1" si="326"/>
        <v>24.82596250614877</v>
      </c>
      <c r="Y280" s="135">
        <f t="shared" ca="1" si="326"/>
        <v>33.334115450472474</v>
      </c>
      <c r="Z280" s="135">
        <f t="shared" ca="1" si="326"/>
        <v>40.138755362310796</v>
      </c>
      <c r="AA280" s="135">
        <f t="shared" ca="1" si="326"/>
        <v>49.379412945209708</v>
      </c>
      <c r="AB280" s="135">
        <f t="shared" ca="1" si="326"/>
        <v>55.008133968154766</v>
      </c>
      <c r="AC280" s="231"/>
      <c r="AD280" s="135" t="e">
        <f t="shared" ref="AD280:AD294" ca="1" si="327">IF($D$2=FALSE,"-",IF(AD$13="","",OFFSET($AF280,0,$F$4-AD$7-1)+OFFSET($AF280,0,$F$4-1)-OFFSET($AF280,0,$F$4-$E$5-1)))</f>
        <v>#N/A</v>
      </c>
      <c r="AE280" s="31"/>
      <c r="AF280" s="303" t="e">
        <f t="shared" ref="AF280:BI280" ca="1" si="328">IF($D$2=FALSE,"-",IF(AF$13="","",AF182))</f>
        <v>#N/A</v>
      </c>
      <c r="AG280" s="304">
        <f t="shared" ca="1" si="328"/>
        <v>24.82596250614877</v>
      </c>
      <c r="AH280" s="304">
        <f t="shared" ca="1" si="328"/>
        <v>33.334115450472474</v>
      </c>
      <c r="AI280" s="304">
        <f t="shared" ca="1" si="328"/>
        <v>40.138755362310796</v>
      </c>
      <c r="AJ280" s="304">
        <f t="shared" ca="1" si="328"/>
        <v>49.379412945209708</v>
      </c>
      <c r="AK280" s="304">
        <f t="shared" ca="1" si="328"/>
        <v>55.008133968154766</v>
      </c>
      <c r="AL280" s="304" t="str">
        <f t="shared" ca="1" si="328"/>
        <v/>
      </c>
      <c r="AM280" s="304" t="str">
        <f t="shared" ca="1" si="328"/>
        <v/>
      </c>
      <c r="AN280" s="304" t="str">
        <f t="shared" ca="1" si="328"/>
        <v/>
      </c>
      <c r="AO280" s="304" t="str">
        <f t="shared" ca="1" si="328"/>
        <v/>
      </c>
      <c r="AP280" s="304" t="str">
        <f t="shared" ca="1" si="328"/>
        <v/>
      </c>
      <c r="AQ280" s="304" t="str">
        <f t="shared" ca="1" si="328"/>
        <v/>
      </c>
      <c r="AR280" s="304" t="str">
        <f t="shared" ca="1" si="328"/>
        <v/>
      </c>
      <c r="AS280" s="304" t="str">
        <f t="shared" ca="1" si="328"/>
        <v/>
      </c>
      <c r="AT280" s="304" t="str">
        <f t="shared" ca="1" si="328"/>
        <v/>
      </c>
      <c r="AU280" s="304" t="str">
        <f t="shared" ca="1" si="328"/>
        <v/>
      </c>
      <c r="AV280" s="304" t="str">
        <f t="shared" ca="1" si="328"/>
        <v/>
      </c>
      <c r="AW280" s="304" t="str">
        <f t="shared" ca="1" si="328"/>
        <v/>
      </c>
      <c r="AX280" s="304" t="str">
        <f t="shared" ca="1" si="328"/>
        <v/>
      </c>
      <c r="AY280" s="304" t="str">
        <f t="shared" ca="1" si="328"/>
        <v/>
      </c>
      <c r="AZ280" s="304" t="str">
        <f t="shared" ca="1" si="328"/>
        <v/>
      </c>
      <c r="BA280" s="304" t="str">
        <f t="shared" ca="1" si="328"/>
        <v/>
      </c>
      <c r="BB280" s="304" t="str">
        <f t="shared" ca="1" si="328"/>
        <v/>
      </c>
      <c r="BC280" s="304" t="str">
        <f t="shared" ca="1" si="328"/>
        <v/>
      </c>
      <c r="BD280" s="304" t="str">
        <f t="shared" ca="1" si="328"/>
        <v/>
      </c>
      <c r="BE280" s="304" t="str">
        <f t="shared" ca="1" si="328"/>
        <v/>
      </c>
      <c r="BF280" s="304" t="str">
        <f t="shared" ca="1" si="328"/>
        <v/>
      </c>
      <c r="BG280" s="304" t="str">
        <f t="shared" ca="1" si="328"/>
        <v/>
      </c>
      <c r="BH280" s="304" t="str">
        <f t="shared" ca="1" si="328"/>
        <v/>
      </c>
      <c r="BI280" s="304" t="str">
        <f t="shared" ca="1" si="328"/>
        <v/>
      </c>
      <c r="BK280" s="141"/>
      <c r="BL280" s="141"/>
      <c r="BM280" s="141"/>
      <c r="BN280" s="141"/>
      <c r="BO280" s="141"/>
      <c r="BP280" s="141"/>
    </row>
    <row r="281" spans="1:68" ht="15" customHeight="1" outlineLevel="1">
      <c r="A281" s="32"/>
      <c r="I281" s="3"/>
      <c r="J281" s="3"/>
      <c r="K281" s="3"/>
      <c r="N281" s="32"/>
      <c r="P281" s="222"/>
      <c r="Q281" s="154" t="s">
        <v>0</v>
      </c>
      <c r="R281" s="154"/>
      <c r="S281" s="154"/>
      <c r="T281" s="154"/>
      <c r="U281" s="154"/>
      <c r="V281" s="32"/>
      <c r="W281" s="135" t="e">
        <f t="shared" ca="1" si="326"/>
        <v>#N/A</v>
      </c>
      <c r="X281" s="135">
        <f t="shared" ca="1" si="326"/>
        <v>14.700000000000001</v>
      </c>
      <c r="Y281" s="135">
        <f t="shared" ca="1" si="326"/>
        <v>15.435</v>
      </c>
      <c r="Z281" s="135">
        <f t="shared" ca="1" si="326"/>
        <v>16.20675</v>
      </c>
      <c r="AA281" s="135">
        <f t="shared" ca="1" si="326"/>
        <v>17.017087499999999</v>
      </c>
      <c r="AB281" s="135">
        <f t="shared" ca="1" si="326"/>
        <v>17.867941875</v>
      </c>
      <c r="AC281" s="231"/>
      <c r="AD281" s="135" t="e">
        <f t="shared" ca="1" si="327"/>
        <v>#N/A</v>
      </c>
      <c r="AE281" s="32"/>
      <c r="AF281" s="303" t="e">
        <f t="shared" ref="AF281:BI281" ca="1" si="329">IF($D$2=FALSE,"-",IF(AF$13="","",SUM(OFFSET(AF20,0,-AF$7+1,1,AF$7))))</f>
        <v>#N/A</v>
      </c>
      <c r="AG281" s="304">
        <f t="shared" ca="1" si="329"/>
        <v>14.700000000000001</v>
      </c>
      <c r="AH281" s="304">
        <f t="shared" ca="1" si="329"/>
        <v>15.435</v>
      </c>
      <c r="AI281" s="304">
        <f t="shared" ca="1" si="329"/>
        <v>16.20675</v>
      </c>
      <c r="AJ281" s="304">
        <f t="shared" ca="1" si="329"/>
        <v>17.017087499999999</v>
      </c>
      <c r="AK281" s="304">
        <f t="shared" ca="1" si="329"/>
        <v>17.867941875</v>
      </c>
      <c r="AL281" s="304" t="str">
        <f t="shared" ca="1" si="329"/>
        <v/>
      </c>
      <c r="AM281" s="304" t="str">
        <f t="shared" ca="1" si="329"/>
        <v/>
      </c>
      <c r="AN281" s="304" t="str">
        <f t="shared" ca="1" si="329"/>
        <v/>
      </c>
      <c r="AO281" s="304" t="str">
        <f t="shared" ca="1" si="329"/>
        <v/>
      </c>
      <c r="AP281" s="304" t="str">
        <f t="shared" ca="1" si="329"/>
        <v/>
      </c>
      <c r="AQ281" s="304" t="str">
        <f t="shared" ca="1" si="329"/>
        <v/>
      </c>
      <c r="AR281" s="304" t="str">
        <f t="shared" ca="1" si="329"/>
        <v/>
      </c>
      <c r="AS281" s="304" t="str">
        <f t="shared" ca="1" si="329"/>
        <v/>
      </c>
      <c r="AT281" s="304" t="str">
        <f t="shared" ca="1" si="329"/>
        <v/>
      </c>
      <c r="AU281" s="304" t="str">
        <f t="shared" ca="1" si="329"/>
        <v/>
      </c>
      <c r="AV281" s="304" t="str">
        <f t="shared" ca="1" si="329"/>
        <v/>
      </c>
      <c r="AW281" s="304" t="str">
        <f t="shared" ca="1" si="329"/>
        <v/>
      </c>
      <c r="AX281" s="304" t="str">
        <f t="shared" ca="1" si="329"/>
        <v/>
      </c>
      <c r="AY281" s="304" t="str">
        <f t="shared" ca="1" si="329"/>
        <v/>
      </c>
      <c r="AZ281" s="304" t="str">
        <f t="shared" ca="1" si="329"/>
        <v/>
      </c>
      <c r="BA281" s="304" t="str">
        <f t="shared" ca="1" si="329"/>
        <v/>
      </c>
      <c r="BB281" s="304" t="str">
        <f t="shared" ca="1" si="329"/>
        <v/>
      </c>
      <c r="BC281" s="304" t="str">
        <f t="shared" ca="1" si="329"/>
        <v/>
      </c>
      <c r="BD281" s="304" t="str">
        <f t="shared" ca="1" si="329"/>
        <v/>
      </c>
      <c r="BE281" s="304" t="str">
        <f t="shared" ca="1" si="329"/>
        <v/>
      </c>
      <c r="BF281" s="304" t="str">
        <f t="shared" ca="1" si="329"/>
        <v/>
      </c>
      <c r="BG281" s="304" t="str">
        <f t="shared" ca="1" si="329"/>
        <v/>
      </c>
      <c r="BH281" s="304" t="str">
        <f t="shared" ca="1" si="329"/>
        <v/>
      </c>
      <c r="BI281" s="304" t="str">
        <f t="shared" ca="1" si="329"/>
        <v/>
      </c>
      <c r="BK281" s="141"/>
      <c r="BL281" s="141"/>
      <c r="BM281" s="141"/>
      <c r="BN281" s="141"/>
      <c r="BO281" s="141"/>
      <c r="BP281" s="141"/>
    </row>
    <row r="282" spans="1:68" ht="15" customHeight="1" outlineLevel="1">
      <c r="A282" s="31"/>
      <c r="I282" s="3"/>
      <c r="J282" s="3"/>
      <c r="K282" s="3"/>
      <c r="N282" s="31"/>
      <c r="P282" s="222"/>
      <c r="Q282" s="87" t="s">
        <v>158</v>
      </c>
      <c r="R282" s="87"/>
      <c r="S282" s="87"/>
      <c r="T282" s="87"/>
      <c r="U282" s="87"/>
      <c r="V282" s="31"/>
      <c r="W282" s="135" t="e">
        <f t="shared" ca="1" si="326"/>
        <v>#N/A</v>
      </c>
      <c r="X282" s="135">
        <f t="shared" ca="1" si="326"/>
        <v>11.6</v>
      </c>
      <c r="Y282" s="135">
        <f t="shared" ca="1" si="326"/>
        <v>11.6</v>
      </c>
      <c r="Z282" s="135">
        <f t="shared" ca="1" si="326"/>
        <v>11.6</v>
      </c>
      <c r="AA282" s="135">
        <f t="shared" ca="1" si="326"/>
        <v>2.6909999999999989</v>
      </c>
      <c r="AB282" s="135">
        <f t="shared" ca="1" si="326"/>
        <v>0</v>
      </c>
      <c r="AC282" s="231"/>
      <c r="AD282" s="135" t="e">
        <f t="shared" ca="1" si="327"/>
        <v>#N/A</v>
      </c>
      <c r="AE282" s="31"/>
      <c r="AF282" s="303" t="e">
        <f t="shared" ref="AF282:BI282" ca="1" si="330">IF($D$2=FALSE,"-",IF(AF$13="","",SUM(OFFSET(AF21,0,-AF$7+1,1,AF$7))))</f>
        <v>#N/A</v>
      </c>
      <c r="AG282" s="304">
        <f t="shared" ca="1" si="330"/>
        <v>11.6</v>
      </c>
      <c r="AH282" s="304">
        <f t="shared" ca="1" si="330"/>
        <v>11.6</v>
      </c>
      <c r="AI282" s="304">
        <f t="shared" ca="1" si="330"/>
        <v>11.6</v>
      </c>
      <c r="AJ282" s="304">
        <f t="shared" ca="1" si="330"/>
        <v>2.6909999999999989</v>
      </c>
      <c r="AK282" s="304">
        <f t="shared" ca="1" si="330"/>
        <v>0</v>
      </c>
      <c r="AL282" s="304" t="str">
        <f t="shared" ca="1" si="330"/>
        <v/>
      </c>
      <c r="AM282" s="304" t="str">
        <f t="shared" ca="1" si="330"/>
        <v/>
      </c>
      <c r="AN282" s="304" t="str">
        <f t="shared" ca="1" si="330"/>
        <v/>
      </c>
      <c r="AO282" s="304" t="str">
        <f t="shared" ca="1" si="330"/>
        <v/>
      </c>
      <c r="AP282" s="304" t="str">
        <f t="shared" ca="1" si="330"/>
        <v/>
      </c>
      <c r="AQ282" s="304" t="str">
        <f t="shared" ca="1" si="330"/>
        <v/>
      </c>
      <c r="AR282" s="304" t="str">
        <f t="shared" ca="1" si="330"/>
        <v/>
      </c>
      <c r="AS282" s="304" t="str">
        <f t="shared" ca="1" si="330"/>
        <v/>
      </c>
      <c r="AT282" s="304" t="str">
        <f t="shared" ca="1" si="330"/>
        <v/>
      </c>
      <c r="AU282" s="304" t="str">
        <f t="shared" ca="1" si="330"/>
        <v/>
      </c>
      <c r="AV282" s="304" t="str">
        <f t="shared" ca="1" si="330"/>
        <v/>
      </c>
      <c r="AW282" s="304" t="str">
        <f t="shared" ca="1" si="330"/>
        <v/>
      </c>
      <c r="AX282" s="304" t="str">
        <f t="shared" ca="1" si="330"/>
        <v/>
      </c>
      <c r="AY282" s="304" t="str">
        <f t="shared" ca="1" si="330"/>
        <v/>
      </c>
      <c r="AZ282" s="304" t="str">
        <f t="shared" ca="1" si="330"/>
        <v/>
      </c>
      <c r="BA282" s="304" t="str">
        <f t="shared" ca="1" si="330"/>
        <v/>
      </c>
      <c r="BB282" s="304" t="str">
        <f t="shared" ca="1" si="330"/>
        <v/>
      </c>
      <c r="BC282" s="304" t="str">
        <f t="shared" ca="1" si="330"/>
        <v/>
      </c>
      <c r="BD282" s="304" t="str">
        <f t="shared" ca="1" si="330"/>
        <v/>
      </c>
      <c r="BE282" s="304" t="str">
        <f t="shared" ca="1" si="330"/>
        <v/>
      </c>
      <c r="BF282" s="304" t="str">
        <f t="shared" ca="1" si="330"/>
        <v/>
      </c>
      <c r="BG282" s="304" t="str">
        <f t="shared" ca="1" si="330"/>
        <v/>
      </c>
      <c r="BH282" s="304" t="str">
        <f t="shared" ca="1" si="330"/>
        <v/>
      </c>
      <c r="BI282" s="304" t="str">
        <f t="shared" ca="1" si="330"/>
        <v/>
      </c>
      <c r="BK282" s="141"/>
      <c r="BL282" s="141"/>
      <c r="BM282" s="141"/>
      <c r="BN282" s="141"/>
      <c r="BO282" s="141"/>
      <c r="BP282" s="141"/>
    </row>
    <row r="283" spans="1:68" ht="15" customHeight="1" outlineLevel="1">
      <c r="A283" s="31"/>
      <c r="I283" s="3"/>
      <c r="J283" s="3"/>
      <c r="K283" s="3"/>
      <c r="N283" s="31"/>
      <c r="P283" s="222"/>
      <c r="Q283" s="87" t="s">
        <v>159</v>
      </c>
      <c r="R283" s="87"/>
      <c r="S283" s="87"/>
      <c r="T283" s="87"/>
      <c r="U283" s="87"/>
      <c r="V283" s="31"/>
      <c r="W283" s="135" t="e">
        <f t="shared" ca="1" si="326"/>
        <v>#N/A</v>
      </c>
      <c r="X283" s="135">
        <f t="shared" ca="1" si="326"/>
        <v>11.34</v>
      </c>
      <c r="Y283" s="135">
        <f t="shared" ca="1" si="326"/>
        <v>11.907</v>
      </c>
      <c r="Z283" s="135">
        <f t="shared" ca="1" si="326"/>
        <v>12.50235</v>
      </c>
      <c r="AA283" s="135">
        <f t="shared" ca="1" si="326"/>
        <v>13.1274675</v>
      </c>
      <c r="AB283" s="135">
        <f t="shared" ca="1" si="326"/>
        <v>13.783840875000001</v>
      </c>
      <c r="AC283" s="231"/>
      <c r="AD283" s="135" t="e">
        <f t="shared" ca="1" si="327"/>
        <v>#N/A</v>
      </c>
      <c r="AE283" s="31"/>
      <c r="AF283" s="303" t="e">
        <f t="shared" ref="AF283:BI283" ca="1" si="331">IF($D$2=FALSE,"-",IF(AF$13="","",AF183))</f>
        <v>#N/A</v>
      </c>
      <c r="AG283" s="304">
        <f t="shared" ca="1" si="331"/>
        <v>11.34</v>
      </c>
      <c r="AH283" s="304">
        <f t="shared" ca="1" si="331"/>
        <v>11.907</v>
      </c>
      <c r="AI283" s="304">
        <f t="shared" ca="1" si="331"/>
        <v>12.50235</v>
      </c>
      <c r="AJ283" s="304">
        <f t="shared" ca="1" si="331"/>
        <v>13.1274675</v>
      </c>
      <c r="AK283" s="304">
        <f t="shared" ca="1" si="331"/>
        <v>13.783840875000001</v>
      </c>
      <c r="AL283" s="304" t="str">
        <f t="shared" ca="1" si="331"/>
        <v/>
      </c>
      <c r="AM283" s="304" t="str">
        <f t="shared" ca="1" si="331"/>
        <v/>
      </c>
      <c r="AN283" s="304" t="str">
        <f t="shared" ca="1" si="331"/>
        <v/>
      </c>
      <c r="AO283" s="304" t="str">
        <f t="shared" ca="1" si="331"/>
        <v/>
      </c>
      <c r="AP283" s="304" t="str">
        <f t="shared" ca="1" si="331"/>
        <v/>
      </c>
      <c r="AQ283" s="304" t="str">
        <f t="shared" ca="1" si="331"/>
        <v/>
      </c>
      <c r="AR283" s="304" t="str">
        <f t="shared" ca="1" si="331"/>
        <v/>
      </c>
      <c r="AS283" s="304" t="str">
        <f t="shared" ca="1" si="331"/>
        <v/>
      </c>
      <c r="AT283" s="304" t="str">
        <f t="shared" ca="1" si="331"/>
        <v/>
      </c>
      <c r="AU283" s="304" t="str">
        <f t="shared" ca="1" si="331"/>
        <v/>
      </c>
      <c r="AV283" s="304" t="str">
        <f t="shared" ca="1" si="331"/>
        <v/>
      </c>
      <c r="AW283" s="304" t="str">
        <f t="shared" ca="1" si="331"/>
        <v/>
      </c>
      <c r="AX283" s="304" t="str">
        <f t="shared" ca="1" si="331"/>
        <v/>
      </c>
      <c r="AY283" s="304" t="str">
        <f t="shared" ca="1" si="331"/>
        <v/>
      </c>
      <c r="AZ283" s="304" t="str">
        <f t="shared" ca="1" si="331"/>
        <v/>
      </c>
      <c r="BA283" s="304" t="str">
        <f t="shared" ca="1" si="331"/>
        <v/>
      </c>
      <c r="BB283" s="304" t="str">
        <f t="shared" ca="1" si="331"/>
        <v/>
      </c>
      <c r="BC283" s="304" t="str">
        <f t="shared" ca="1" si="331"/>
        <v/>
      </c>
      <c r="BD283" s="304" t="str">
        <f t="shared" ca="1" si="331"/>
        <v/>
      </c>
      <c r="BE283" s="304" t="str">
        <f t="shared" ca="1" si="331"/>
        <v/>
      </c>
      <c r="BF283" s="304" t="str">
        <f t="shared" ca="1" si="331"/>
        <v/>
      </c>
      <c r="BG283" s="304" t="str">
        <f t="shared" ca="1" si="331"/>
        <v/>
      </c>
      <c r="BH283" s="304" t="str">
        <f t="shared" ca="1" si="331"/>
        <v/>
      </c>
      <c r="BI283" s="304" t="str">
        <f t="shared" ca="1" si="331"/>
        <v/>
      </c>
      <c r="BK283" s="141"/>
      <c r="BL283" s="141"/>
      <c r="BM283" s="141"/>
      <c r="BN283" s="141"/>
      <c r="BO283" s="141"/>
      <c r="BP283" s="141"/>
    </row>
    <row r="284" spans="1:68" ht="15" customHeight="1" outlineLevel="1">
      <c r="A284" s="31"/>
      <c r="I284" s="3"/>
      <c r="J284" s="3"/>
      <c r="K284" s="3"/>
      <c r="N284" s="31"/>
      <c r="P284" s="222"/>
      <c r="Q284" s="87" t="s">
        <v>41</v>
      </c>
      <c r="R284" s="87"/>
      <c r="S284" s="87"/>
      <c r="T284" s="87"/>
      <c r="U284" s="87"/>
      <c r="V284" s="31"/>
      <c r="W284" s="135" t="e">
        <f t="shared" ca="1" si="326"/>
        <v>#N/A</v>
      </c>
      <c r="X284" s="135">
        <f t="shared" ca="1" si="326"/>
        <v>-5</v>
      </c>
      <c r="Y284" s="135">
        <f t="shared" ca="1" si="326"/>
        <v>-5</v>
      </c>
      <c r="Z284" s="135">
        <f t="shared" ca="1" si="326"/>
        <v>-5</v>
      </c>
      <c r="AA284" s="135">
        <f t="shared" ca="1" si="326"/>
        <v>-5</v>
      </c>
      <c r="AB284" s="135">
        <f t="shared" ca="1" si="326"/>
        <v>-5</v>
      </c>
      <c r="AC284" s="231"/>
      <c r="AD284" s="135" t="e">
        <f t="shared" ca="1" si="327"/>
        <v>#N/A</v>
      </c>
      <c r="AE284" s="31"/>
      <c r="AF284" s="303" t="e">
        <f t="shared" ref="AF284:BI284" ca="1" si="332">IF($D$2=FALSE,"-",IF(AF$13="","",-SUM(OFFSET(AF83,0,-AF$7+1,1,AF$7))))</f>
        <v>#N/A</v>
      </c>
      <c r="AG284" s="304">
        <f t="shared" ca="1" si="332"/>
        <v>-5</v>
      </c>
      <c r="AH284" s="304">
        <f t="shared" ca="1" si="332"/>
        <v>-5</v>
      </c>
      <c r="AI284" s="304">
        <f t="shared" ca="1" si="332"/>
        <v>-5</v>
      </c>
      <c r="AJ284" s="304">
        <f t="shared" ca="1" si="332"/>
        <v>-5</v>
      </c>
      <c r="AK284" s="304">
        <f t="shared" ca="1" si="332"/>
        <v>-5</v>
      </c>
      <c r="AL284" s="304" t="str">
        <f t="shared" ca="1" si="332"/>
        <v/>
      </c>
      <c r="AM284" s="304" t="str">
        <f t="shared" ca="1" si="332"/>
        <v/>
      </c>
      <c r="AN284" s="304" t="str">
        <f t="shared" ca="1" si="332"/>
        <v/>
      </c>
      <c r="AO284" s="304" t="str">
        <f t="shared" ca="1" si="332"/>
        <v/>
      </c>
      <c r="AP284" s="304" t="str">
        <f t="shared" ca="1" si="332"/>
        <v/>
      </c>
      <c r="AQ284" s="304" t="str">
        <f t="shared" ca="1" si="332"/>
        <v/>
      </c>
      <c r="AR284" s="304" t="str">
        <f t="shared" ca="1" si="332"/>
        <v/>
      </c>
      <c r="AS284" s="304" t="str">
        <f t="shared" ca="1" si="332"/>
        <v/>
      </c>
      <c r="AT284" s="304" t="str">
        <f t="shared" ca="1" si="332"/>
        <v/>
      </c>
      <c r="AU284" s="304" t="str">
        <f t="shared" ca="1" si="332"/>
        <v/>
      </c>
      <c r="AV284" s="304" t="str">
        <f t="shared" ca="1" si="332"/>
        <v/>
      </c>
      <c r="AW284" s="304" t="str">
        <f t="shared" ca="1" si="332"/>
        <v/>
      </c>
      <c r="AX284" s="304" t="str">
        <f t="shared" ca="1" si="332"/>
        <v/>
      </c>
      <c r="AY284" s="304" t="str">
        <f t="shared" ca="1" si="332"/>
        <v/>
      </c>
      <c r="AZ284" s="304" t="str">
        <f t="shared" ca="1" si="332"/>
        <v/>
      </c>
      <c r="BA284" s="304" t="str">
        <f t="shared" ca="1" si="332"/>
        <v/>
      </c>
      <c r="BB284" s="304" t="str">
        <f t="shared" ca="1" si="332"/>
        <v/>
      </c>
      <c r="BC284" s="304" t="str">
        <f t="shared" ca="1" si="332"/>
        <v/>
      </c>
      <c r="BD284" s="304" t="str">
        <f t="shared" ca="1" si="332"/>
        <v/>
      </c>
      <c r="BE284" s="304" t="str">
        <f t="shared" ca="1" si="332"/>
        <v/>
      </c>
      <c r="BF284" s="304" t="str">
        <f t="shared" ca="1" si="332"/>
        <v/>
      </c>
      <c r="BG284" s="304" t="str">
        <f t="shared" ca="1" si="332"/>
        <v/>
      </c>
      <c r="BH284" s="304" t="str">
        <f t="shared" ca="1" si="332"/>
        <v/>
      </c>
      <c r="BI284" s="304" t="str">
        <f t="shared" ca="1" si="332"/>
        <v/>
      </c>
      <c r="BK284" s="141"/>
      <c r="BL284" s="141"/>
      <c r="BM284" s="141"/>
      <c r="BN284" s="141"/>
      <c r="BO284" s="141"/>
      <c r="BP284" s="141"/>
    </row>
    <row r="285" spans="1:68" ht="15" customHeight="1" outlineLevel="1">
      <c r="A285" s="31"/>
      <c r="I285" s="3"/>
      <c r="J285" s="3"/>
      <c r="K285" s="3"/>
      <c r="N285" s="31"/>
      <c r="P285" s="222"/>
      <c r="Q285" s="87" t="s">
        <v>160</v>
      </c>
      <c r="R285" s="87"/>
      <c r="S285" s="87"/>
      <c r="T285" s="87"/>
      <c r="U285" s="87"/>
      <c r="V285" s="31"/>
      <c r="W285" s="135" t="e">
        <f t="shared" ca="1" si="326"/>
        <v>#N/A</v>
      </c>
      <c r="X285" s="135">
        <f t="shared" ca="1" si="326"/>
        <v>1</v>
      </c>
      <c r="Y285" s="135">
        <f t="shared" ca="1" si="326"/>
        <v>1</v>
      </c>
      <c r="Z285" s="135">
        <f t="shared" ca="1" si="326"/>
        <v>1</v>
      </c>
      <c r="AA285" s="135">
        <f t="shared" ca="1" si="326"/>
        <v>1</v>
      </c>
      <c r="AB285" s="135">
        <f t="shared" ca="1" si="326"/>
        <v>1</v>
      </c>
      <c r="AC285" s="231"/>
      <c r="AD285" s="135" t="e">
        <f t="shared" ca="1" si="327"/>
        <v>#N/A</v>
      </c>
      <c r="AE285" s="31"/>
      <c r="AF285" s="303" t="e">
        <f t="shared" ref="AF285:BI285" ca="1" si="333">IF($D$2=FALSE,"-",IF(AF$13="","",-SUM(OFFSET(AF84,0,-AF$7+1,1,AF$7))))</f>
        <v>#N/A</v>
      </c>
      <c r="AG285" s="304">
        <f t="shared" ca="1" si="333"/>
        <v>1</v>
      </c>
      <c r="AH285" s="304">
        <f t="shared" ca="1" si="333"/>
        <v>1</v>
      </c>
      <c r="AI285" s="304">
        <f t="shared" ca="1" si="333"/>
        <v>1</v>
      </c>
      <c r="AJ285" s="304">
        <f t="shared" ca="1" si="333"/>
        <v>1</v>
      </c>
      <c r="AK285" s="304">
        <f t="shared" ca="1" si="333"/>
        <v>1</v>
      </c>
      <c r="AL285" s="304" t="str">
        <f t="shared" ca="1" si="333"/>
        <v/>
      </c>
      <c r="AM285" s="304" t="str">
        <f t="shared" ca="1" si="333"/>
        <v/>
      </c>
      <c r="AN285" s="304" t="str">
        <f t="shared" ca="1" si="333"/>
        <v/>
      </c>
      <c r="AO285" s="304" t="str">
        <f t="shared" ca="1" si="333"/>
        <v/>
      </c>
      <c r="AP285" s="304" t="str">
        <f t="shared" ca="1" si="333"/>
        <v/>
      </c>
      <c r="AQ285" s="304" t="str">
        <f t="shared" ca="1" si="333"/>
        <v/>
      </c>
      <c r="AR285" s="304" t="str">
        <f t="shared" ca="1" si="333"/>
        <v/>
      </c>
      <c r="AS285" s="304" t="str">
        <f t="shared" ca="1" si="333"/>
        <v/>
      </c>
      <c r="AT285" s="304" t="str">
        <f t="shared" ca="1" si="333"/>
        <v/>
      </c>
      <c r="AU285" s="304" t="str">
        <f t="shared" ca="1" si="333"/>
        <v/>
      </c>
      <c r="AV285" s="304" t="str">
        <f t="shared" ca="1" si="333"/>
        <v/>
      </c>
      <c r="AW285" s="304" t="str">
        <f t="shared" ca="1" si="333"/>
        <v/>
      </c>
      <c r="AX285" s="304" t="str">
        <f t="shared" ca="1" si="333"/>
        <v/>
      </c>
      <c r="AY285" s="304" t="str">
        <f t="shared" ca="1" si="333"/>
        <v/>
      </c>
      <c r="AZ285" s="304" t="str">
        <f t="shared" ca="1" si="333"/>
        <v/>
      </c>
      <c r="BA285" s="304" t="str">
        <f t="shared" ca="1" si="333"/>
        <v/>
      </c>
      <c r="BB285" s="304" t="str">
        <f t="shared" ca="1" si="333"/>
        <v/>
      </c>
      <c r="BC285" s="304" t="str">
        <f t="shared" ca="1" si="333"/>
        <v/>
      </c>
      <c r="BD285" s="304" t="str">
        <f t="shared" ca="1" si="333"/>
        <v/>
      </c>
      <c r="BE285" s="304" t="str">
        <f t="shared" ca="1" si="333"/>
        <v/>
      </c>
      <c r="BF285" s="304" t="str">
        <f t="shared" ca="1" si="333"/>
        <v/>
      </c>
      <c r="BG285" s="304" t="str">
        <f t="shared" ca="1" si="333"/>
        <v/>
      </c>
      <c r="BH285" s="304" t="str">
        <f t="shared" ca="1" si="333"/>
        <v/>
      </c>
      <c r="BI285" s="304" t="str">
        <f t="shared" ca="1" si="333"/>
        <v/>
      </c>
      <c r="BK285" s="141"/>
      <c r="BL285" s="141"/>
      <c r="BM285" s="141"/>
      <c r="BN285" s="141"/>
      <c r="BO285" s="141"/>
      <c r="BP285" s="141"/>
    </row>
    <row r="286" spans="1:68" ht="15" customHeight="1" outlineLevel="1">
      <c r="A286" s="31"/>
      <c r="I286" s="3"/>
      <c r="J286" s="3"/>
      <c r="K286" s="3"/>
      <c r="N286" s="31"/>
      <c r="P286" s="222"/>
      <c r="Q286" s="87" t="str">
        <f>IF($D$2=FALSE,"-","PIK accrual – "&amp;Q223)</f>
        <v>PIK accrual – Convertible bond</v>
      </c>
      <c r="R286" s="87"/>
      <c r="S286" s="87"/>
      <c r="T286" s="87"/>
      <c r="U286" s="87"/>
      <c r="V286" s="31"/>
      <c r="W286" s="135">
        <f t="shared" ca="1" si="326"/>
        <v>0</v>
      </c>
      <c r="X286" s="135">
        <f t="shared" ca="1" si="326"/>
        <v>9.0250000000000004</v>
      </c>
      <c r="Y286" s="135">
        <f t="shared" ca="1" si="326"/>
        <v>9.4061874999999997</v>
      </c>
      <c r="Z286" s="135">
        <f t="shared" ca="1" si="326"/>
        <v>9.8054814062499993</v>
      </c>
      <c r="AA286" s="135">
        <f t="shared" ca="1" si="326"/>
        <v>0</v>
      </c>
      <c r="AB286" s="135">
        <f t="shared" ca="1" si="326"/>
        <v>0</v>
      </c>
      <c r="AC286" s="231"/>
      <c r="AD286" s="135" t="e">
        <f t="shared" ca="1" si="327"/>
        <v>#N/A</v>
      </c>
      <c r="AE286" s="31"/>
      <c r="AF286" s="179">
        <f t="shared" ref="AF286:BI286" ca="1" si="334">IF($D$2=FALSE,"-",IF(AF$13="","",AF351))</f>
        <v>0</v>
      </c>
      <c r="AG286" s="180">
        <f t="shared" ca="1" si="334"/>
        <v>9.0250000000000004</v>
      </c>
      <c r="AH286" s="180">
        <f t="shared" ca="1" si="334"/>
        <v>9.4061874999999997</v>
      </c>
      <c r="AI286" s="180">
        <f t="shared" ca="1" si="334"/>
        <v>9.8054814062499993</v>
      </c>
      <c r="AJ286" s="180">
        <f t="shared" ca="1" si="334"/>
        <v>0</v>
      </c>
      <c r="AK286" s="180">
        <f t="shared" ca="1" si="334"/>
        <v>0</v>
      </c>
      <c r="AL286" s="180" t="str">
        <f t="shared" ca="1" si="334"/>
        <v/>
      </c>
      <c r="AM286" s="180" t="str">
        <f t="shared" ca="1" si="334"/>
        <v/>
      </c>
      <c r="AN286" s="180" t="str">
        <f t="shared" ca="1" si="334"/>
        <v/>
      </c>
      <c r="AO286" s="180" t="str">
        <f t="shared" ca="1" si="334"/>
        <v/>
      </c>
      <c r="AP286" s="180" t="str">
        <f t="shared" ca="1" si="334"/>
        <v/>
      </c>
      <c r="AQ286" s="180" t="str">
        <f t="shared" ca="1" si="334"/>
        <v/>
      </c>
      <c r="AR286" s="180" t="str">
        <f t="shared" ca="1" si="334"/>
        <v/>
      </c>
      <c r="AS286" s="180" t="str">
        <f t="shared" ca="1" si="334"/>
        <v/>
      </c>
      <c r="AT286" s="180" t="str">
        <f t="shared" ca="1" si="334"/>
        <v/>
      </c>
      <c r="AU286" s="180" t="str">
        <f t="shared" ca="1" si="334"/>
        <v/>
      </c>
      <c r="AV286" s="180" t="str">
        <f t="shared" ca="1" si="334"/>
        <v/>
      </c>
      <c r="AW286" s="180" t="str">
        <f t="shared" ca="1" si="334"/>
        <v/>
      </c>
      <c r="AX286" s="180" t="str">
        <f t="shared" ca="1" si="334"/>
        <v/>
      </c>
      <c r="AY286" s="180" t="str">
        <f t="shared" ca="1" si="334"/>
        <v/>
      </c>
      <c r="AZ286" s="180" t="str">
        <f t="shared" ca="1" si="334"/>
        <v/>
      </c>
      <c r="BA286" s="180" t="str">
        <f t="shared" ca="1" si="334"/>
        <v/>
      </c>
      <c r="BB286" s="180" t="str">
        <f t="shared" ca="1" si="334"/>
        <v/>
      </c>
      <c r="BC286" s="180" t="str">
        <f t="shared" ca="1" si="334"/>
        <v/>
      </c>
      <c r="BD286" s="180" t="str">
        <f t="shared" ca="1" si="334"/>
        <v/>
      </c>
      <c r="BE286" s="180" t="str">
        <f t="shared" ca="1" si="334"/>
        <v/>
      </c>
      <c r="BF286" s="180" t="str">
        <f t="shared" ca="1" si="334"/>
        <v/>
      </c>
      <c r="BG286" s="180" t="str">
        <f t="shared" ca="1" si="334"/>
        <v/>
      </c>
      <c r="BH286" s="180" t="str">
        <f t="shared" ca="1" si="334"/>
        <v/>
      </c>
      <c r="BI286" s="180" t="str">
        <f t="shared" ca="1" si="334"/>
        <v/>
      </c>
      <c r="BK286" s="141"/>
      <c r="BL286" s="141"/>
      <c r="BM286" s="141"/>
      <c r="BN286" s="141"/>
      <c r="BO286" s="141"/>
      <c r="BP286" s="141"/>
    </row>
    <row r="287" spans="1:68" ht="15" customHeight="1" outlineLevel="1">
      <c r="A287" s="31"/>
      <c r="I287" s="3"/>
      <c r="J287" s="3"/>
      <c r="K287" s="3"/>
      <c r="N287" s="31"/>
      <c r="P287" s="222"/>
      <c r="Q287" s="210" t="str">
        <f>IF($D$2=FALSE,"-","PIK accrual – "&amp;Q229)</f>
        <v>PIK accrual – Preferred stock</v>
      </c>
      <c r="R287" s="210"/>
      <c r="S287" s="210"/>
      <c r="T287" s="210"/>
      <c r="U287" s="210"/>
      <c r="V287" s="31"/>
      <c r="W287" s="219">
        <f t="shared" ca="1" si="326"/>
        <v>0</v>
      </c>
      <c r="X287" s="219">
        <f t="shared" ca="1" si="326"/>
        <v>0</v>
      </c>
      <c r="Y287" s="219">
        <f t="shared" ca="1" si="326"/>
        <v>0</v>
      </c>
      <c r="Z287" s="219">
        <f t="shared" ca="1" si="326"/>
        <v>0</v>
      </c>
      <c r="AA287" s="219">
        <f t="shared" ca="1" si="326"/>
        <v>0</v>
      </c>
      <c r="AB287" s="219">
        <f t="shared" ca="1" si="326"/>
        <v>0</v>
      </c>
      <c r="AC287" s="231"/>
      <c r="AD287" s="219" t="e">
        <f t="shared" ca="1" si="327"/>
        <v>#N/A</v>
      </c>
      <c r="AE287" s="31"/>
      <c r="AF287" s="212">
        <f t="shared" ref="AF287:BI287" ca="1" si="335">IF($D$2=FALSE,"-",IF(AF$13="","",AF358))</f>
        <v>0</v>
      </c>
      <c r="AG287" s="213">
        <f t="shared" ca="1" si="335"/>
        <v>0</v>
      </c>
      <c r="AH287" s="213">
        <f t="shared" ca="1" si="335"/>
        <v>0</v>
      </c>
      <c r="AI287" s="213">
        <f t="shared" ca="1" si="335"/>
        <v>0</v>
      </c>
      <c r="AJ287" s="213">
        <f t="shared" ca="1" si="335"/>
        <v>0</v>
      </c>
      <c r="AK287" s="213">
        <f t="shared" ca="1" si="335"/>
        <v>0</v>
      </c>
      <c r="AL287" s="213" t="str">
        <f t="shared" ca="1" si="335"/>
        <v/>
      </c>
      <c r="AM287" s="213" t="str">
        <f t="shared" ca="1" si="335"/>
        <v/>
      </c>
      <c r="AN287" s="213" t="str">
        <f t="shared" ca="1" si="335"/>
        <v/>
      </c>
      <c r="AO287" s="213" t="str">
        <f t="shared" ca="1" si="335"/>
        <v/>
      </c>
      <c r="AP287" s="213" t="str">
        <f t="shared" ca="1" si="335"/>
        <v/>
      </c>
      <c r="AQ287" s="213" t="str">
        <f t="shared" ca="1" si="335"/>
        <v/>
      </c>
      <c r="AR287" s="213" t="str">
        <f t="shared" ca="1" si="335"/>
        <v/>
      </c>
      <c r="AS287" s="213" t="str">
        <f t="shared" ca="1" si="335"/>
        <v/>
      </c>
      <c r="AT287" s="213" t="str">
        <f t="shared" ca="1" si="335"/>
        <v/>
      </c>
      <c r="AU287" s="213" t="str">
        <f t="shared" ca="1" si="335"/>
        <v/>
      </c>
      <c r="AV287" s="213" t="str">
        <f t="shared" ca="1" si="335"/>
        <v/>
      </c>
      <c r="AW287" s="213" t="str">
        <f t="shared" ca="1" si="335"/>
        <v/>
      </c>
      <c r="AX287" s="213" t="str">
        <f t="shared" ca="1" si="335"/>
        <v/>
      </c>
      <c r="AY287" s="213" t="str">
        <f t="shared" ca="1" si="335"/>
        <v/>
      </c>
      <c r="AZ287" s="213" t="str">
        <f t="shared" ca="1" si="335"/>
        <v/>
      </c>
      <c r="BA287" s="213" t="str">
        <f t="shared" ca="1" si="335"/>
        <v/>
      </c>
      <c r="BB287" s="213" t="str">
        <f t="shared" ca="1" si="335"/>
        <v/>
      </c>
      <c r="BC287" s="213" t="str">
        <f t="shared" ca="1" si="335"/>
        <v/>
      </c>
      <c r="BD287" s="213" t="str">
        <f t="shared" ca="1" si="335"/>
        <v/>
      </c>
      <c r="BE287" s="213" t="str">
        <f t="shared" ca="1" si="335"/>
        <v/>
      </c>
      <c r="BF287" s="213" t="str">
        <f t="shared" ca="1" si="335"/>
        <v/>
      </c>
      <c r="BG287" s="213" t="str">
        <f t="shared" ca="1" si="335"/>
        <v/>
      </c>
      <c r="BH287" s="213" t="str">
        <f t="shared" ca="1" si="335"/>
        <v/>
      </c>
      <c r="BI287" s="213" t="str">
        <f t="shared" ca="1" si="335"/>
        <v/>
      </c>
      <c r="BK287" s="141"/>
      <c r="BL287" s="141"/>
      <c r="BM287" s="141"/>
      <c r="BN287" s="141"/>
      <c r="BO287" s="141"/>
      <c r="BP287" s="141"/>
    </row>
    <row r="288" spans="1:68" ht="15" customHeight="1" outlineLevel="1">
      <c r="A288" s="6"/>
      <c r="I288" s="3"/>
      <c r="J288" s="3"/>
      <c r="K288" s="3"/>
      <c r="N288" s="6"/>
      <c r="P288" s="6"/>
      <c r="Q288" s="6" t="s">
        <v>161</v>
      </c>
      <c r="R288" s="6"/>
      <c r="S288" s="6"/>
      <c r="T288" s="6"/>
      <c r="U288" s="6"/>
      <c r="V288" s="6"/>
      <c r="W288" s="135" t="e">
        <f t="shared" ca="1" si="326"/>
        <v>#N/A</v>
      </c>
      <c r="X288" s="135">
        <f t="shared" ca="1" si="326"/>
        <v>42.664999999999999</v>
      </c>
      <c r="Y288" s="135">
        <f t="shared" ca="1" si="326"/>
        <v>44.348187500000002</v>
      </c>
      <c r="Z288" s="135">
        <f t="shared" ca="1" si="326"/>
        <v>46.114581406249997</v>
      </c>
      <c r="AA288" s="135">
        <f t="shared" ca="1" si="326"/>
        <v>28.835554999999999</v>
      </c>
      <c r="AB288" s="135">
        <f t="shared" ca="1" si="326"/>
        <v>27.651782750000002</v>
      </c>
      <c r="AC288" s="136"/>
      <c r="AD288" s="135" t="e">
        <f t="shared" ca="1" si="327"/>
        <v>#N/A</v>
      </c>
      <c r="AE288" s="6"/>
      <c r="AF288" s="181" t="e">
        <f t="shared" ref="AF288:BI288" ca="1" si="336">IF($D$2=FALSE,"-",IF(AF$13="","",SUM(AF281:AF287)))</f>
        <v>#N/A</v>
      </c>
      <c r="AG288" s="180">
        <f t="shared" ca="1" si="336"/>
        <v>42.664999999999999</v>
      </c>
      <c r="AH288" s="180">
        <f t="shared" ca="1" si="336"/>
        <v>44.348187500000002</v>
      </c>
      <c r="AI288" s="180">
        <f t="shared" ca="1" si="336"/>
        <v>46.114581406249997</v>
      </c>
      <c r="AJ288" s="180">
        <f t="shared" ca="1" si="336"/>
        <v>28.835554999999999</v>
      </c>
      <c r="AK288" s="180">
        <f t="shared" ca="1" si="336"/>
        <v>27.651782750000002</v>
      </c>
      <c r="AL288" s="180" t="str">
        <f t="shared" ca="1" si="336"/>
        <v/>
      </c>
      <c r="AM288" s="180" t="str">
        <f t="shared" ca="1" si="336"/>
        <v/>
      </c>
      <c r="AN288" s="180" t="str">
        <f t="shared" ca="1" si="336"/>
        <v/>
      </c>
      <c r="AO288" s="180" t="str">
        <f t="shared" ca="1" si="336"/>
        <v/>
      </c>
      <c r="AP288" s="180" t="str">
        <f t="shared" ca="1" si="336"/>
        <v/>
      </c>
      <c r="AQ288" s="180" t="str">
        <f t="shared" ca="1" si="336"/>
        <v/>
      </c>
      <c r="AR288" s="180" t="str">
        <f t="shared" ca="1" si="336"/>
        <v/>
      </c>
      <c r="AS288" s="180" t="str">
        <f t="shared" ca="1" si="336"/>
        <v/>
      </c>
      <c r="AT288" s="180" t="str">
        <f t="shared" ca="1" si="336"/>
        <v/>
      </c>
      <c r="AU288" s="180" t="str">
        <f t="shared" ca="1" si="336"/>
        <v/>
      </c>
      <c r="AV288" s="180" t="str">
        <f t="shared" ca="1" si="336"/>
        <v/>
      </c>
      <c r="AW288" s="180" t="str">
        <f t="shared" ca="1" si="336"/>
        <v/>
      </c>
      <c r="AX288" s="180" t="str">
        <f t="shared" ca="1" si="336"/>
        <v/>
      </c>
      <c r="AY288" s="180" t="str">
        <f t="shared" ca="1" si="336"/>
        <v/>
      </c>
      <c r="AZ288" s="180" t="str">
        <f t="shared" ca="1" si="336"/>
        <v/>
      </c>
      <c r="BA288" s="180" t="str">
        <f t="shared" ca="1" si="336"/>
        <v/>
      </c>
      <c r="BB288" s="180" t="str">
        <f t="shared" ca="1" si="336"/>
        <v/>
      </c>
      <c r="BC288" s="180" t="str">
        <f t="shared" ca="1" si="336"/>
        <v/>
      </c>
      <c r="BD288" s="180" t="str">
        <f t="shared" ca="1" si="336"/>
        <v/>
      </c>
      <c r="BE288" s="180" t="str">
        <f t="shared" ca="1" si="336"/>
        <v/>
      </c>
      <c r="BF288" s="180" t="str">
        <f t="shared" ca="1" si="336"/>
        <v/>
      </c>
      <c r="BG288" s="180" t="str">
        <f t="shared" ca="1" si="336"/>
        <v/>
      </c>
      <c r="BH288" s="180" t="str">
        <f t="shared" ca="1" si="336"/>
        <v/>
      </c>
      <c r="BI288" s="180" t="str">
        <f t="shared" ca="1" si="336"/>
        <v/>
      </c>
      <c r="BK288" s="141"/>
      <c r="BL288" s="141"/>
      <c r="BM288" s="141"/>
      <c r="BN288" s="141"/>
      <c r="BO288" s="141"/>
      <c r="BP288" s="141"/>
    </row>
    <row r="289" spans="1:68" ht="15" customHeight="1" outlineLevel="1">
      <c r="A289" s="33"/>
      <c r="I289" s="3"/>
      <c r="J289" s="3"/>
      <c r="K289" s="3"/>
      <c r="N289" s="33"/>
      <c r="P289" s="222"/>
      <c r="Q289" s="87" t="s">
        <v>162</v>
      </c>
      <c r="R289" s="87"/>
      <c r="S289" s="87"/>
      <c r="T289" s="87"/>
      <c r="U289" s="87"/>
      <c r="V289" s="33"/>
      <c r="W289" s="135" t="e">
        <f t="shared" ca="1" si="326"/>
        <v>#N/A</v>
      </c>
      <c r="X289" s="135">
        <f t="shared" ca="1" si="326"/>
        <v>-2.9159499999999952</v>
      </c>
      <c r="Y289" s="135">
        <f t="shared" ca="1" si="326"/>
        <v>-3.0617474999999956</v>
      </c>
      <c r="Z289" s="135">
        <f t="shared" ca="1" si="326"/>
        <v>-3.2148348750000508</v>
      </c>
      <c r="AA289" s="135">
        <f t="shared" ca="1" si="326"/>
        <v>-3.3755766187499461</v>
      </c>
      <c r="AB289" s="135">
        <f t="shared" ca="1" si="326"/>
        <v>-3.5443554496875151</v>
      </c>
      <c r="AC289" s="232"/>
      <c r="AD289" s="135" t="e">
        <f t="shared" ca="1" si="327"/>
        <v>#N/A</v>
      </c>
      <c r="AE289" s="33"/>
      <c r="AF289" s="305" t="e">
        <f t="shared" ref="AF289:BI289" ca="1" si="337">IF($D$2=FALSE,"-",IF(AF$13="","",+OFFSET(AF248,0,-AF$7)-AF248))</f>
        <v>#N/A</v>
      </c>
      <c r="AG289" s="306">
        <f t="shared" ca="1" si="337"/>
        <v>-2.9159499999999952</v>
      </c>
      <c r="AH289" s="306">
        <f t="shared" ca="1" si="337"/>
        <v>-3.0617474999999956</v>
      </c>
      <c r="AI289" s="306">
        <f t="shared" ca="1" si="337"/>
        <v>-3.2148348750000508</v>
      </c>
      <c r="AJ289" s="306">
        <f t="shared" ca="1" si="337"/>
        <v>-3.3755766187499461</v>
      </c>
      <c r="AK289" s="306">
        <f t="shared" ca="1" si="337"/>
        <v>-3.5443554496875151</v>
      </c>
      <c r="AL289" s="306" t="str">
        <f t="shared" ca="1" si="337"/>
        <v/>
      </c>
      <c r="AM289" s="306" t="str">
        <f t="shared" ca="1" si="337"/>
        <v/>
      </c>
      <c r="AN289" s="306" t="str">
        <f t="shared" ca="1" si="337"/>
        <v/>
      </c>
      <c r="AO289" s="306" t="str">
        <f t="shared" ca="1" si="337"/>
        <v/>
      </c>
      <c r="AP289" s="306" t="str">
        <f t="shared" ca="1" si="337"/>
        <v/>
      </c>
      <c r="AQ289" s="306" t="str">
        <f t="shared" ca="1" si="337"/>
        <v/>
      </c>
      <c r="AR289" s="306" t="str">
        <f t="shared" ca="1" si="337"/>
        <v/>
      </c>
      <c r="AS289" s="306" t="str">
        <f t="shared" ca="1" si="337"/>
        <v/>
      </c>
      <c r="AT289" s="306" t="str">
        <f t="shared" ca="1" si="337"/>
        <v/>
      </c>
      <c r="AU289" s="306" t="str">
        <f t="shared" ca="1" si="337"/>
        <v/>
      </c>
      <c r="AV289" s="306" t="str">
        <f t="shared" ca="1" si="337"/>
        <v/>
      </c>
      <c r="AW289" s="306" t="str">
        <f t="shared" ca="1" si="337"/>
        <v/>
      </c>
      <c r="AX289" s="306" t="str">
        <f t="shared" ca="1" si="337"/>
        <v/>
      </c>
      <c r="AY289" s="306" t="str">
        <f t="shared" ca="1" si="337"/>
        <v/>
      </c>
      <c r="AZ289" s="306" t="str">
        <f t="shared" ca="1" si="337"/>
        <v/>
      </c>
      <c r="BA289" s="306" t="str">
        <f t="shared" ca="1" si="337"/>
        <v/>
      </c>
      <c r="BB289" s="306" t="str">
        <f t="shared" ca="1" si="337"/>
        <v/>
      </c>
      <c r="BC289" s="306" t="str">
        <f t="shared" ca="1" si="337"/>
        <v/>
      </c>
      <c r="BD289" s="306" t="str">
        <f t="shared" ca="1" si="337"/>
        <v/>
      </c>
      <c r="BE289" s="306" t="str">
        <f t="shared" ca="1" si="337"/>
        <v/>
      </c>
      <c r="BF289" s="306" t="str">
        <f t="shared" ca="1" si="337"/>
        <v/>
      </c>
      <c r="BG289" s="306" t="str">
        <f t="shared" ca="1" si="337"/>
        <v/>
      </c>
      <c r="BH289" s="306" t="str">
        <f t="shared" ca="1" si="337"/>
        <v/>
      </c>
      <c r="BI289" s="306" t="str">
        <f t="shared" ca="1" si="337"/>
        <v/>
      </c>
      <c r="BK289" s="141"/>
      <c r="BL289" s="141"/>
      <c r="BM289" s="141"/>
      <c r="BN289" s="141"/>
      <c r="BO289" s="141"/>
      <c r="BP289" s="141"/>
    </row>
    <row r="290" spans="1:68" ht="15" customHeight="1" outlineLevel="1">
      <c r="A290" s="6"/>
      <c r="I290" s="3"/>
      <c r="J290" s="3"/>
      <c r="K290" s="3"/>
      <c r="N290" s="6"/>
      <c r="P290" s="222"/>
      <c r="Q290" s="87" t="s">
        <v>127</v>
      </c>
      <c r="R290" s="87"/>
      <c r="S290" s="87"/>
      <c r="T290" s="87"/>
      <c r="U290" s="87"/>
      <c r="V290" s="6"/>
      <c r="W290" s="135" t="e">
        <f t="shared" ca="1" si="326"/>
        <v>#N/A</v>
      </c>
      <c r="X290" s="135">
        <f t="shared" ca="1" si="326"/>
        <v>23.03541814385127</v>
      </c>
      <c r="Y290" s="135">
        <f t="shared" ca="1" si="326"/>
        <v>28.329747076893291</v>
      </c>
      <c r="Z290" s="135">
        <f t="shared" ca="1" si="326"/>
        <v>32.486354279651316</v>
      </c>
      <c r="AA290" s="135">
        <f t="shared" ca="1" si="326"/>
        <v>36.144214332235379</v>
      </c>
      <c r="AB290" s="135">
        <f t="shared" ca="1" si="326"/>
        <v>9.4558521673687608</v>
      </c>
      <c r="AC290" s="136"/>
      <c r="AD290" s="135" t="e">
        <f t="shared" ca="1" si="327"/>
        <v>#N/A</v>
      </c>
      <c r="AE290" s="6"/>
      <c r="AF290" s="305" t="e">
        <f t="shared" ref="AF290:BI290" ca="1" si="338">IF($D$2=FALSE,"-",IF(AF$13="","",-OFFSET(AF225,0,-AF$7)+AF225))</f>
        <v>#N/A</v>
      </c>
      <c r="AG290" s="306">
        <f t="shared" ca="1" si="338"/>
        <v>23.03541814385127</v>
      </c>
      <c r="AH290" s="306">
        <f t="shared" ca="1" si="338"/>
        <v>28.329747076893291</v>
      </c>
      <c r="AI290" s="306">
        <f t="shared" ca="1" si="338"/>
        <v>32.486354279651316</v>
      </c>
      <c r="AJ290" s="306">
        <f t="shared" ca="1" si="338"/>
        <v>36.144214332235379</v>
      </c>
      <c r="AK290" s="306">
        <f t="shared" ca="1" si="338"/>
        <v>9.4558521673687608</v>
      </c>
      <c r="AL290" s="306" t="str">
        <f t="shared" ca="1" si="338"/>
        <v/>
      </c>
      <c r="AM290" s="306" t="str">
        <f t="shared" ca="1" si="338"/>
        <v/>
      </c>
      <c r="AN290" s="306" t="str">
        <f t="shared" ca="1" si="338"/>
        <v/>
      </c>
      <c r="AO290" s="306" t="str">
        <f t="shared" ca="1" si="338"/>
        <v/>
      </c>
      <c r="AP290" s="306" t="str">
        <f t="shared" ca="1" si="338"/>
        <v/>
      </c>
      <c r="AQ290" s="306" t="str">
        <f t="shared" ca="1" si="338"/>
        <v/>
      </c>
      <c r="AR290" s="306" t="str">
        <f t="shared" ca="1" si="338"/>
        <v/>
      </c>
      <c r="AS290" s="306" t="str">
        <f t="shared" ca="1" si="338"/>
        <v/>
      </c>
      <c r="AT290" s="306" t="str">
        <f t="shared" ca="1" si="338"/>
        <v/>
      </c>
      <c r="AU290" s="306" t="str">
        <f t="shared" ca="1" si="338"/>
        <v/>
      </c>
      <c r="AV290" s="306" t="str">
        <f t="shared" ca="1" si="338"/>
        <v/>
      </c>
      <c r="AW290" s="306" t="str">
        <f t="shared" ca="1" si="338"/>
        <v/>
      </c>
      <c r="AX290" s="306" t="str">
        <f t="shared" ca="1" si="338"/>
        <v/>
      </c>
      <c r="AY290" s="306" t="str">
        <f t="shared" ca="1" si="338"/>
        <v/>
      </c>
      <c r="AZ290" s="306" t="str">
        <f t="shared" ca="1" si="338"/>
        <v/>
      </c>
      <c r="BA290" s="306" t="str">
        <f t="shared" ca="1" si="338"/>
        <v/>
      </c>
      <c r="BB290" s="306" t="str">
        <f t="shared" ca="1" si="338"/>
        <v/>
      </c>
      <c r="BC290" s="306" t="str">
        <f t="shared" ca="1" si="338"/>
        <v/>
      </c>
      <c r="BD290" s="306" t="str">
        <f t="shared" ca="1" si="338"/>
        <v/>
      </c>
      <c r="BE290" s="306" t="str">
        <f t="shared" ca="1" si="338"/>
        <v/>
      </c>
      <c r="BF290" s="306" t="str">
        <f t="shared" ca="1" si="338"/>
        <v/>
      </c>
      <c r="BG290" s="306" t="str">
        <f t="shared" ca="1" si="338"/>
        <v/>
      </c>
      <c r="BH290" s="306" t="str">
        <f t="shared" ca="1" si="338"/>
        <v/>
      </c>
      <c r="BI290" s="306" t="str">
        <f t="shared" ca="1" si="338"/>
        <v/>
      </c>
      <c r="BK290" s="141"/>
      <c r="BL290" s="141"/>
      <c r="BM290" s="141"/>
      <c r="BN290" s="141"/>
      <c r="BO290" s="141"/>
      <c r="BP290" s="141"/>
    </row>
    <row r="291" spans="1:68" ht="15" customHeight="1" outlineLevel="1">
      <c r="A291" s="6"/>
      <c r="I291" s="3"/>
      <c r="J291" s="3"/>
      <c r="K291" s="3"/>
      <c r="N291" s="6"/>
      <c r="P291" s="222"/>
      <c r="Q291" s="87" t="s">
        <v>163</v>
      </c>
      <c r="R291" s="87"/>
      <c r="S291" s="87"/>
      <c r="T291" s="87"/>
      <c r="U291" s="87"/>
      <c r="V291" s="6"/>
      <c r="W291" s="135" t="e">
        <f t="shared" ca="1" si="326"/>
        <v>#N/A</v>
      </c>
      <c r="X291" s="135">
        <f t="shared" ca="1" si="326"/>
        <v>0</v>
      </c>
      <c r="Y291" s="135">
        <f t="shared" ca="1" si="326"/>
        <v>0</v>
      </c>
      <c r="Z291" s="135">
        <f t="shared" ca="1" si="326"/>
        <v>0</v>
      </c>
      <c r="AA291" s="135">
        <f t="shared" ca="1" si="326"/>
        <v>0</v>
      </c>
      <c r="AB291" s="135">
        <f t="shared" ca="1" si="326"/>
        <v>0</v>
      </c>
      <c r="AC291" s="136"/>
      <c r="AD291" s="135" t="e">
        <f t="shared" ca="1" si="327"/>
        <v>#N/A</v>
      </c>
      <c r="AE291" s="6"/>
      <c r="AF291" s="305" t="e">
        <f t="shared" ref="AF291:BI291" ca="1" si="339">IF($D$2=FALSE,"-",IF(AF$13="","",+OFFSET(AF208,0,-AF$7)-AF208))</f>
        <v>#N/A</v>
      </c>
      <c r="AG291" s="306">
        <f t="shared" ca="1" si="339"/>
        <v>0</v>
      </c>
      <c r="AH291" s="306">
        <f t="shared" ca="1" si="339"/>
        <v>0</v>
      </c>
      <c r="AI291" s="306">
        <f t="shared" ca="1" si="339"/>
        <v>0</v>
      </c>
      <c r="AJ291" s="306">
        <f t="shared" ca="1" si="339"/>
        <v>0</v>
      </c>
      <c r="AK291" s="306">
        <f t="shared" ca="1" si="339"/>
        <v>0</v>
      </c>
      <c r="AL291" s="306" t="str">
        <f t="shared" ca="1" si="339"/>
        <v/>
      </c>
      <c r="AM291" s="306" t="str">
        <f t="shared" ca="1" si="339"/>
        <v/>
      </c>
      <c r="AN291" s="306" t="str">
        <f t="shared" ca="1" si="339"/>
        <v/>
      </c>
      <c r="AO291" s="306" t="str">
        <f t="shared" ca="1" si="339"/>
        <v/>
      </c>
      <c r="AP291" s="306" t="str">
        <f t="shared" ca="1" si="339"/>
        <v/>
      </c>
      <c r="AQ291" s="306" t="str">
        <f t="shared" ca="1" si="339"/>
        <v/>
      </c>
      <c r="AR291" s="306" t="str">
        <f t="shared" ca="1" si="339"/>
        <v/>
      </c>
      <c r="AS291" s="306" t="str">
        <f t="shared" ca="1" si="339"/>
        <v/>
      </c>
      <c r="AT291" s="306" t="str">
        <f t="shared" ca="1" si="339"/>
        <v/>
      </c>
      <c r="AU291" s="306" t="str">
        <f t="shared" ca="1" si="339"/>
        <v/>
      </c>
      <c r="AV291" s="306" t="str">
        <f t="shared" ca="1" si="339"/>
        <v/>
      </c>
      <c r="AW291" s="306" t="str">
        <f t="shared" ca="1" si="339"/>
        <v/>
      </c>
      <c r="AX291" s="306" t="str">
        <f t="shared" ca="1" si="339"/>
        <v/>
      </c>
      <c r="AY291" s="306" t="str">
        <f t="shared" ca="1" si="339"/>
        <v/>
      </c>
      <c r="AZ291" s="306" t="str">
        <f t="shared" ca="1" si="339"/>
        <v/>
      </c>
      <c r="BA291" s="306" t="str">
        <f t="shared" ca="1" si="339"/>
        <v/>
      </c>
      <c r="BB291" s="306" t="str">
        <f t="shared" ca="1" si="339"/>
        <v/>
      </c>
      <c r="BC291" s="306" t="str">
        <f t="shared" ca="1" si="339"/>
        <v/>
      </c>
      <c r="BD291" s="306" t="str">
        <f t="shared" ca="1" si="339"/>
        <v/>
      </c>
      <c r="BE291" s="306" t="str">
        <f t="shared" ca="1" si="339"/>
        <v/>
      </c>
      <c r="BF291" s="306" t="str">
        <f t="shared" ca="1" si="339"/>
        <v/>
      </c>
      <c r="BG291" s="306" t="str">
        <f t="shared" ca="1" si="339"/>
        <v/>
      </c>
      <c r="BH291" s="306" t="str">
        <f t="shared" ca="1" si="339"/>
        <v/>
      </c>
      <c r="BI291" s="306" t="str">
        <f t="shared" ca="1" si="339"/>
        <v/>
      </c>
      <c r="BK291" s="141"/>
      <c r="BL291" s="141"/>
      <c r="BM291" s="141"/>
      <c r="BN291" s="141"/>
      <c r="BO291" s="141"/>
      <c r="BP291" s="141"/>
    </row>
    <row r="292" spans="1:68" ht="15" customHeight="1" outlineLevel="1">
      <c r="A292" s="6"/>
      <c r="I292" s="3"/>
      <c r="J292" s="3"/>
      <c r="K292" s="3"/>
      <c r="N292" s="6"/>
      <c r="P292" s="222"/>
      <c r="Q292" s="87" t="s">
        <v>164</v>
      </c>
      <c r="R292" s="87"/>
      <c r="S292" s="87"/>
      <c r="T292" s="87"/>
      <c r="U292" s="87"/>
      <c r="V292" s="6"/>
      <c r="W292" s="135" t="e">
        <f t="shared" ca="1" si="326"/>
        <v>#N/A</v>
      </c>
      <c r="X292" s="135">
        <f t="shared" ca="1" si="326"/>
        <v>0</v>
      </c>
      <c r="Y292" s="135">
        <f t="shared" ca="1" si="326"/>
        <v>0</v>
      </c>
      <c r="Z292" s="135">
        <f t="shared" ca="1" si="326"/>
        <v>0</v>
      </c>
      <c r="AA292" s="135">
        <f t="shared" ca="1" si="326"/>
        <v>0</v>
      </c>
      <c r="AB292" s="135">
        <f t="shared" ca="1" si="326"/>
        <v>0</v>
      </c>
      <c r="AC292" s="136"/>
      <c r="AD292" s="135" t="e">
        <f t="shared" ca="1" si="327"/>
        <v>#N/A</v>
      </c>
      <c r="AE292" s="6"/>
      <c r="AF292" s="305" t="e">
        <f t="shared" ref="AF292:BI292" ca="1" si="340">IF($D$2=FALSE,"-",IF(AF$13="","",-OFFSET(AF226,0,-AF$7)+AF226))</f>
        <v>#N/A</v>
      </c>
      <c r="AG292" s="306">
        <f t="shared" ca="1" si="340"/>
        <v>0</v>
      </c>
      <c r="AH292" s="306">
        <f t="shared" ca="1" si="340"/>
        <v>0</v>
      </c>
      <c r="AI292" s="306">
        <f t="shared" ca="1" si="340"/>
        <v>0</v>
      </c>
      <c r="AJ292" s="306">
        <f t="shared" ca="1" si="340"/>
        <v>0</v>
      </c>
      <c r="AK292" s="306">
        <f t="shared" ca="1" si="340"/>
        <v>0</v>
      </c>
      <c r="AL292" s="306" t="str">
        <f t="shared" ca="1" si="340"/>
        <v/>
      </c>
      <c r="AM292" s="306" t="str">
        <f t="shared" ca="1" si="340"/>
        <v/>
      </c>
      <c r="AN292" s="306" t="str">
        <f t="shared" ca="1" si="340"/>
        <v/>
      </c>
      <c r="AO292" s="306" t="str">
        <f t="shared" ca="1" si="340"/>
        <v/>
      </c>
      <c r="AP292" s="306" t="str">
        <f t="shared" ca="1" si="340"/>
        <v/>
      </c>
      <c r="AQ292" s="306" t="str">
        <f t="shared" ca="1" si="340"/>
        <v/>
      </c>
      <c r="AR292" s="306" t="str">
        <f t="shared" ca="1" si="340"/>
        <v/>
      </c>
      <c r="AS292" s="306" t="str">
        <f t="shared" ca="1" si="340"/>
        <v/>
      </c>
      <c r="AT292" s="306" t="str">
        <f t="shared" ca="1" si="340"/>
        <v/>
      </c>
      <c r="AU292" s="306" t="str">
        <f t="shared" ca="1" si="340"/>
        <v/>
      </c>
      <c r="AV292" s="306" t="str">
        <f t="shared" ca="1" si="340"/>
        <v/>
      </c>
      <c r="AW292" s="306" t="str">
        <f t="shared" ca="1" si="340"/>
        <v/>
      </c>
      <c r="AX292" s="306" t="str">
        <f t="shared" ca="1" si="340"/>
        <v/>
      </c>
      <c r="AY292" s="306" t="str">
        <f t="shared" ca="1" si="340"/>
        <v/>
      </c>
      <c r="AZ292" s="306" t="str">
        <f t="shared" ca="1" si="340"/>
        <v/>
      </c>
      <c r="BA292" s="306" t="str">
        <f t="shared" ca="1" si="340"/>
        <v/>
      </c>
      <c r="BB292" s="306" t="str">
        <f t="shared" ca="1" si="340"/>
        <v/>
      </c>
      <c r="BC292" s="306" t="str">
        <f t="shared" ca="1" si="340"/>
        <v/>
      </c>
      <c r="BD292" s="306" t="str">
        <f t="shared" ca="1" si="340"/>
        <v/>
      </c>
      <c r="BE292" s="306" t="str">
        <f t="shared" ca="1" si="340"/>
        <v/>
      </c>
      <c r="BF292" s="306" t="str">
        <f t="shared" ca="1" si="340"/>
        <v/>
      </c>
      <c r="BG292" s="306" t="str">
        <f t="shared" ca="1" si="340"/>
        <v/>
      </c>
      <c r="BH292" s="306" t="str">
        <f t="shared" ca="1" si="340"/>
        <v/>
      </c>
      <c r="BI292" s="306" t="str">
        <f t="shared" ca="1" si="340"/>
        <v/>
      </c>
      <c r="BK292" s="141"/>
      <c r="BL292" s="141"/>
      <c r="BM292" s="141"/>
      <c r="BN292" s="141"/>
      <c r="BO292" s="141"/>
      <c r="BP292" s="141"/>
    </row>
    <row r="293" spans="1:68" ht="15" customHeight="1" outlineLevel="1">
      <c r="A293" s="6"/>
      <c r="I293" s="3"/>
      <c r="J293" s="3"/>
      <c r="K293" s="3"/>
      <c r="N293" s="6"/>
      <c r="P293" s="6"/>
      <c r="Q293" s="6" t="s">
        <v>165</v>
      </c>
      <c r="R293" s="6"/>
      <c r="S293" s="6"/>
      <c r="T293" s="6"/>
      <c r="U293" s="6"/>
      <c r="V293" s="6"/>
      <c r="W293" s="219" t="e">
        <f t="shared" ca="1" si="326"/>
        <v>#N/A</v>
      </c>
      <c r="X293" s="219">
        <f t="shared" ca="1" si="326"/>
        <v>20.119468143851275</v>
      </c>
      <c r="Y293" s="219">
        <f t="shared" ca="1" si="326"/>
        <v>25.267999576893295</v>
      </c>
      <c r="Z293" s="219">
        <f t="shared" ca="1" si="326"/>
        <v>29.271519404651265</v>
      </c>
      <c r="AA293" s="219">
        <f t="shared" ca="1" si="326"/>
        <v>32.768637713485433</v>
      </c>
      <c r="AB293" s="219">
        <f t="shared" ca="1" si="326"/>
        <v>5.9114967176812456</v>
      </c>
      <c r="AC293" s="136"/>
      <c r="AD293" s="135" t="e">
        <f t="shared" ca="1" si="327"/>
        <v>#N/A</v>
      </c>
      <c r="AE293" s="6"/>
      <c r="AF293" s="212" t="e">
        <f t="shared" ref="AF293:BI293" ca="1" si="341">IF($D$2=FALSE,"-",IF(AF$13="","",SUM(AF289:AF292)))</f>
        <v>#N/A</v>
      </c>
      <c r="AG293" s="180">
        <f t="shared" ca="1" si="341"/>
        <v>20.119468143851275</v>
      </c>
      <c r="AH293" s="180">
        <f t="shared" ca="1" si="341"/>
        <v>25.267999576893295</v>
      </c>
      <c r="AI293" s="180">
        <f t="shared" ca="1" si="341"/>
        <v>29.271519404651265</v>
      </c>
      <c r="AJ293" s="180">
        <f t="shared" ca="1" si="341"/>
        <v>32.768637713485433</v>
      </c>
      <c r="AK293" s="180">
        <f t="shared" ca="1" si="341"/>
        <v>5.9114967176812456</v>
      </c>
      <c r="AL293" s="180" t="str">
        <f t="shared" ca="1" si="341"/>
        <v/>
      </c>
      <c r="AM293" s="180" t="str">
        <f t="shared" ca="1" si="341"/>
        <v/>
      </c>
      <c r="AN293" s="180" t="str">
        <f t="shared" ca="1" si="341"/>
        <v/>
      </c>
      <c r="AO293" s="180" t="str">
        <f t="shared" ca="1" si="341"/>
        <v/>
      </c>
      <c r="AP293" s="180" t="str">
        <f t="shared" ca="1" si="341"/>
        <v/>
      </c>
      <c r="AQ293" s="180" t="str">
        <f t="shared" ca="1" si="341"/>
        <v/>
      </c>
      <c r="AR293" s="180" t="str">
        <f t="shared" ca="1" si="341"/>
        <v/>
      </c>
      <c r="AS293" s="180" t="str">
        <f t="shared" ca="1" si="341"/>
        <v/>
      </c>
      <c r="AT293" s="180" t="str">
        <f t="shared" ca="1" si="341"/>
        <v/>
      </c>
      <c r="AU293" s="180" t="str">
        <f t="shared" ca="1" si="341"/>
        <v/>
      </c>
      <c r="AV293" s="180" t="str">
        <f t="shared" ca="1" si="341"/>
        <v/>
      </c>
      <c r="AW293" s="180" t="str">
        <f t="shared" ca="1" si="341"/>
        <v/>
      </c>
      <c r="AX293" s="180" t="str">
        <f t="shared" ca="1" si="341"/>
        <v/>
      </c>
      <c r="AY293" s="180" t="str">
        <f t="shared" ca="1" si="341"/>
        <v/>
      </c>
      <c r="AZ293" s="180" t="str">
        <f t="shared" ca="1" si="341"/>
        <v/>
      </c>
      <c r="BA293" s="180" t="str">
        <f t="shared" ca="1" si="341"/>
        <v/>
      </c>
      <c r="BB293" s="180" t="str">
        <f t="shared" ca="1" si="341"/>
        <v/>
      </c>
      <c r="BC293" s="180" t="str">
        <f t="shared" ca="1" si="341"/>
        <v/>
      </c>
      <c r="BD293" s="180" t="str">
        <f t="shared" ca="1" si="341"/>
        <v/>
      </c>
      <c r="BE293" s="180" t="str">
        <f t="shared" ca="1" si="341"/>
        <v/>
      </c>
      <c r="BF293" s="180" t="str">
        <f t="shared" ca="1" si="341"/>
        <v/>
      </c>
      <c r="BG293" s="180" t="str">
        <f t="shared" ca="1" si="341"/>
        <v/>
      </c>
      <c r="BH293" s="180" t="str">
        <f t="shared" ca="1" si="341"/>
        <v/>
      </c>
      <c r="BI293" s="180" t="str">
        <f t="shared" ca="1" si="341"/>
        <v/>
      </c>
      <c r="BK293" s="141"/>
      <c r="BL293" s="141"/>
      <c r="BM293" s="141"/>
      <c r="BN293" s="141"/>
      <c r="BO293" s="141"/>
      <c r="BP293" s="141"/>
    </row>
    <row r="294" spans="1:68" ht="15" customHeight="1" outlineLevel="1">
      <c r="A294" s="6"/>
      <c r="I294" s="3"/>
      <c r="J294" s="3"/>
      <c r="K294" s="3"/>
      <c r="N294" s="6"/>
      <c r="P294" s="6"/>
      <c r="Q294" s="93" t="s">
        <v>166</v>
      </c>
      <c r="R294" s="93"/>
      <c r="S294" s="93"/>
      <c r="T294" s="93"/>
      <c r="U294" s="93"/>
      <c r="V294" s="6"/>
      <c r="W294" s="135" t="e">
        <f t="shared" ca="1" si="326"/>
        <v>#N/A</v>
      </c>
      <c r="X294" s="135">
        <f t="shared" ca="1" si="326"/>
        <v>87.610430650000055</v>
      </c>
      <c r="Y294" s="135">
        <f t="shared" ca="1" si="326"/>
        <v>102.95030252736578</v>
      </c>
      <c r="Z294" s="135">
        <f t="shared" ca="1" si="326"/>
        <v>115.52485617321204</v>
      </c>
      <c r="AA294" s="135">
        <f t="shared" ca="1" si="326"/>
        <v>110.98360565869514</v>
      </c>
      <c r="AB294" s="135">
        <f t="shared" ca="1" si="326"/>
        <v>88.571413435836007</v>
      </c>
      <c r="AC294" s="136"/>
      <c r="AD294" s="233" t="e">
        <f t="shared" ca="1" si="327"/>
        <v>#N/A</v>
      </c>
      <c r="AE294" s="6"/>
      <c r="AF294" s="181" t="e">
        <f t="shared" ref="AF294:BI294" ca="1" si="342">IF($D$2=FALSE,"-",IF(AF$13="","",+AF280+AF288+AF293))</f>
        <v>#N/A</v>
      </c>
      <c r="AG294" s="182">
        <f t="shared" ca="1" si="342"/>
        <v>87.610430650000055</v>
      </c>
      <c r="AH294" s="182">
        <f t="shared" ca="1" si="342"/>
        <v>102.95030252736578</v>
      </c>
      <c r="AI294" s="182">
        <f t="shared" ca="1" si="342"/>
        <v>115.52485617321204</v>
      </c>
      <c r="AJ294" s="182">
        <f t="shared" ca="1" si="342"/>
        <v>110.98360565869514</v>
      </c>
      <c r="AK294" s="182">
        <f t="shared" ca="1" si="342"/>
        <v>88.571413435836007</v>
      </c>
      <c r="AL294" s="182" t="str">
        <f t="shared" ca="1" si="342"/>
        <v/>
      </c>
      <c r="AM294" s="182" t="str">
        <f t="shared" ca="1" si="342"/>
        <v/>
      </c>
      <c r="AN294" s="182" t="str">
        <f t="shared" ca="1" si="342"/>
        <v/>
      </c>
      <c r="AO294" s="182" t="str">
        <f t="shared" ca="1" si="342"/>
        <v/>
      </c>
      <c r="AP294" s="182" t="str">
        <f t="shared" ca="1" si="342"/>
        <v/>
      </c>
      <c r="AQ294" s="182" t="str">
        <f t="shared" ca="1" si="342"/>
        <v/>
      </c>
      <c r="AR294" s="182" t="str">
        <f t="shared" ca="1" si="342"/>
        <v/>
      </c>
      <c r="AS294" s="182" t="str">
        <f t="shared" ca="1" si="342"/>
        <v/>
      </c>
      <c r="AT294" s="182" t="str">
        <f t="shared" ca="1" si="342"/>
        <v/>
      </c>
      <c r="AU294" s="182" t="str">
        <f t="shared" ca="1" si="342"/>
        <v/>
      </c>
      <c r="AV294" s="182" t="str">
        <f t="shared" ca="1" si="342"/>
        <v/>
      </c>
      <c r="AW294" s="182" t="str">
        <f t="shared" ca="1" si="342"/>
        <v/>
      </c>
      <c r="AX294" s="182" t="str">
        <f t="shared" ca="1" si="342"/>
        <v/>
      </c>
      <c r="AY294" s="182" t="str">
        <f t="shared" ca="1" si="342"/>
        <v/>
      </c>
      <c r="AZ294" s="182" t="str">
        <f t="shared" ca="1" si="342"/>
        <v/>
      </c>
      <c r="BA294" s="182" t="str">
        <f t="shared" ca="1" si="342"/>
        <v/>
      </c>
      <c r="BB294" s="182" t="str">
        <f t="shared" ca="1" si="342"/>
        <v/>
      </c>
      <c r="BC294" s="182" t="str">
        <f t="shared" ca="1" si="342"/>
        <v/>
      </c>
      <c r="BD294" s="182" t="str">
        <f t="shared" ca="1" si="342"/>
        <v/>
      </c>
      <c r="BE294" s="182" t="str">
        <f t="shared" ca="1" si="342"/>
        <v/>
      </c>
      <c r="BF294" s="182" t="str">
        <f t="shared" ca="1" si="342"/>
        <v/>
      </c>
      <c r="BG294" s="182" t="str">
        <f t="shared" ca="1" si="342"/>
        <v/>
      </c>
      <c r="BH294" s="182" t="str">
        <f t="shared" ca="1" si="342"/>
        <v/>
      </c>
      <c r="BI294" s="182" t="str">
        <f t="shared" ca="1" si="342"/>
        <v/>
      </c>
      <c r="BK294" s="141"/>
      <c r="BL294" s="141"/>
      <c r="BM294" s="141"/>
      <c r="BN294" s="141"/>
      <c r="BO294" s="141"/>
      <c r="BP294" s="141"/>
    </row>
    <row r="295" spans="1:68" ht="15" customHeight="1" outlineLevel="1">
      <c r="A295" s="6"/>
      <c r="I295" s="3"/>
      <c r="J295" s="3"/>
      <c r="K295" s="3"/>
      <c r="N295" s="6"/>
      <c r="P295" s="6"/>
      <c r="Q295" s="6"/>
      <c r="R295" s="6"/>
      <c r="S295" s="6"/>
      <c r="T295" s="6"/>
      <c r="U295" s="6"/>
      <c r="V295" s="6"/>
      <c r="W295" s="135"/>
      <c r="X295" s="135"/>
      <c r="Y295" s="135"/>
      <c r="Z295" s="135"/>
      <c r="AA295" s="135"/>
      <c r="AB295" s="135"/>
      <c r="AC295" s="136"/>
      <c r="AD295" s="135"/>
      <c r="AE295" s="6"/>
      <c r="AF295" s="179"/>
      <c r="AG295" s="180"/>
      <c r="AH295" s="180"/>
      <c r="AI295" s="180"/>
      <c r="AJ295" s="180"/>
      <c r="AK295" s="180"/>
      <c r="AL295" s="180"/>
      <c r="AM295" s="180"/>
      <c r="AN295" s="180"/>
      <c r="AO295" s="180"/>
      <c r="AP295" s="180"/>
      <c r="AQ295" s="180"/>
      <c r="AR295" s="180"/>
      <c r="AS295" s="180"/>
      <c r="AT295" s="180"/>
      <c r="AU295" s="180"/>
      <c r="AV295" s="180"/>
      <c r="AW295" s="180"/>
      <c r="AX295" s="180"/>
      <c r="AY295" s="180"/>
      <c r="AZ295" s="180"/>
      <c r="BA295" s="180"/>
      <c r="BB295" s="180"/>
      <c r="BC295" s="180"/>
      <c r="BD295" s="180"/>
      <c r="BE295" s="180"/>
      <c r="BF295" s="180"/>
      <c r="BG295" s="180"/>
      <c r="BH295" s="180"/>
      <c r="BI295" s="180"/>
      <c r="BK295" s="141"/>
      <c r="BL295" s="141"/>
      <c r="BM295" s="141"/>
      <c r="BN295" s="141"/>
      <c r="BO295" s="141"/>
      <c r="BP295" s="141"/>
    </row>
    <row r="296" spans="1:68" ht="15" customHeight="1" outlineLevel="1">
      <c r="A296" s="6"/>
      <c r="I296" s="3"/>
      <c r="J296" s="3"/>
      <c r="K296" s="3"/>
      <c r="N296" s="6"/>
      <c r="P296" s="6"/>
      <c r="Q296" s="68" t="s">
        <v>25</v>
      </c>
      <c r="R296" s="68"/>
      <c r="S296" s="68"/>
      <c r="T296" s="68"/>
      <c r="U296" s="68"/>
      <c r="V296" s="6"/>
      <c r="W296" s="234"/>
      <c r="X296" s="234"/>
      <c r="Y296" s="234"/>
      <c r="Z296" s="234"/>
      <c r="AA296" s="234"/>
      <c r="AB296" s="234"/>
      <c r="AC296" s="136"/>
      <c r="AD296" s="234"/>
      <c r="AE296" s="6"/>
      <c r="AF296" s="183"/>
      <c r="AG296" s="184"/>
      <c r="AH296" s="184"/>
      <c r="AI296" s="184"/>
      <c r="AJ296" s="184"/>
      <c r="AK296" s="184"/>
      <c r="AL296" s="184"/>
      <c r="AM296" s="184"/>
      <c r="AN296" s="184"/>
      <c r="AO296" s="184"/>
      <c r="AP296" s="184"/>
      <c r="AQ296" s="184"/>
      <c r="AR296" s="184"/>
      <c r="AS296" s="184"/>
      <c r="AT296" s="184"/>
      <c r="AU296" s="184"/>
      <c r="AV296" s="184"/>
      <c r="AW296" s="184"/>
      <c r="AX296" s="184"/>
      <c r="AY296" s="184"/>
      <c r="AZ296" s="184"/>
      <c r="BA296" s="184"/>
      <c r="BB296" s="184"/>
      <c r="BC296" s="184"/>
      <c r="BD296" s="184"/>
      <c r="BE296" s="184"/>
      <c r="BF296" s="184"/>
      <c r="BG296" s="184"/>
      <c r="BH296" s="184"/>
      <c r="BI296" s="184"/>
      <c r="BK296" s="141"/>
      <c r="BL296" s="141"/>
      <c r="BM296" s="141"/>
      <c r="BN296" s="141"/>
      <c r="BO296" s="141"/>
      <c r="BP296" s="141"/>
    </row>
    <row r="297" spans="1:68" ht="15" customHeight="1" outlineLevel="1">
      <c r="A297" s="6"/>
      <c r="I297" s="3"/>
      <c r="J297" s="3"/>
      <c r="K297" s="3"/>
      <c r="N297" s="6"/>
      <c r="P297" s="222"/>
      <c r="Q297" s="242" t="str">
        <f>IF($D$2=FALSE,"-",Q$51)</f>
        <v>Capex</v>
      </c>
      <c r="R297" s="242"/>
      <c r="S297" s="242"/>
      <c r="T297" s="242"/>
      <c r="U297" s="242"/>
      <c r="V297" s="6"/>
      <c r="W297" s="243" t="e">
        <f t="shared" ref="W297:AB298" ca="1" si="343">IF($D$2=FALSE,"-",IF(W$13="","",OFFSET($AF297,0,W$8)))</f>
        <v>#N/A</v>
      </c>
      <c r="X297" s="243">
        <f t="shared" ca="1" si="343"/>
        <v>-15.96</v>
      </c>
      <c r="Y297" s="243">
        <f t="shared" ca="1" si="343"/>
        <v>-16.757999999999999</v>
      </c>
      <c r="Z297" s="243">
        <f t="shared" ca="1" si="343"/>
        <v>-17.5959</v>
      </c>
      <c r="AA297" s="243">
        <f t="shared" ca="1" si="343"/>
        <v>-18.475695000000002</v>
      </c>
      <c r="AB297" s="243">
        <f t="shared" ca="1" si="343"/>
        <v>-19.399479750000001</v>
      </c>
      <c r="AC297" s="114"/>
      <c r="AD297" s="243" t="e">
        <f ca="1">IF($D$2=FALSE,"-",IF(AD$13="","",OFFSET($AF297,0,$F$4-AD$7-1)+OFFSET($AF297,0,$F$4-1)-OFFSET($AF297,0,$F$4-$E$5-1)))</f>
        <v>#N/A</v>
      </c>
      <c r="AE297" s="6"/>
      <c r="AF297" s="307" t="e">
        <f t="shared" ref="AF297:BI297" ca="1" si="344">IF($D$2=FALSE,"-",IF(AF$13="","",-SUM(OFFSET(AF$51,0,-AF$7+1,1,AF$7))))</f>
        <v>#N/A</v>
      </c>
      <c r="AG297" s="308">
        <f t="shared" ca="1" si="344"/>
        <v>-15.96</v>
      </c>
      <c r="AH297" s="308">
        <f t="shared" ca="1" si="344"/>
        <v>-16.757999999999999</v>
      </c>
      <c r="AI297" s="308">
        <f t="shared" ca="1" si="344"/>
        <v>-17.5959</v>
      </c>
      <c r="AJ297" s="308">
        <f t="shared" ca="1" si="344"/>
        <v>-18.475695000000002</v>
      </c>
      <c r="AK297" s="308">
        <f t="shared" ca="1" si="344"/>
        <v>-19.399479750000001</v>
      </c>
      <c r="AL297" s="308" t="str">
        <f t="shared" ca="1" si="344"/>
        <v/>
      </c>
      <c r="AM297" s="308" t="str">
        <f t="shared" ca="1" si="344"/>
        <v/>
      </c>
      <c r="AN297" s="308" t="str">
        <f t="shared" ca="1" si="344"/>
        <v/>
      </c>
      <c r="AO297" s="308" t="str">
        <f t="shared" ca="1" si="344"/>
        <v/>
      </c>
      <c r="AP297" s="308" t="str">
        <f t="shared" ca="1" si="344"/>
        <v/>
      </c>
      <c r="AQ297" s="308" t="str">
        <f t="shared" ca="1" si="344"/>
        <v/>
      </c>
      <c r="AR297" s="308" t="str">
        <f t="shared" ca="1" si="344"/>
        <v/>
      </c>
      <c r="AS297" s="308" t="str">
        <f t="shared" ca="1" si="344"/>
        <v/>
      </c>
      <c r="AT297" s="308" t="str">
        <f t="shared" ca="1" si="344"/>
        <v/>
      </c>
      <c r="AU297" s="308" t="str">
        <f t="shared" ca="1" si="344"/>
        <v/>
      </c>
      <c r="AV297" s="308" t="str">
        <f t="shared" ca="1" si="344"/>
        <v/>
      </c>
      <c r="AW297" s="308" t="str">
        <f t="shared" ca="1" si="344"/>
        <v/>
      </c>
      <c r="AX297" s="308" t="str">
        <f t="shared" ca="1" si="344"/>
        <v/>
      </c>
      <c r="AY297" s="308" t="str">
        <f t="shared" ca="1" si="344"/>
        <v/>
      </c>
      <c r="AZ297" s="308" t="str">
        <f t="shared" ca="1" si="344"/>
        <v/>
      </c>
      <c r="BA297" s="308" t="str">
        <f t="shared" ca="1" si="344"/>
        <v/>
      </c>
      <c r="BB297" s="308" t="str">
        <f t="shared" ca="1" si="344"/>
        <v/>
      </c>
      <c r="BC297" s="308" t="str">
        <f t="shared" ca="1" si="344"/>
        <v/>
      </c>
      <c r="BD297" s="308" t="str">
        <f t="shared" ca="1" si="344"/>
        <v/>
      </c>
      <c r="BE297" s="308" t="str">
        <f t="shared" ca="1" si="344"/>
        <v/>
      </c>
      <c r="BF297" s="308" t="str">
        <f t="shared" ca="1" si="344"/>
        <v/>
      </c>
      <c r="BG297" s="308" t="str">
        <f t="shared" ca="1" si="344"/>
        <v/>
      </c>
      <c r="BH297" s="308" t="str">
        <f t="shared" ca="1" si="344"/>
        <v/>
      </c>
      <c r="BI297" s="308" t="str">
        <f t="shared" ca="1" si="344"/>
        <v/>
      </c>
      <c r="BK297" s="141"/>
      <c r="BL297" s="141"/>
      <c r="BM297" s="141"/>
      <c r="BN297" s="141"/>
      <c r="BO297" s="141"/>
      <c r="BP297" s="141"/>
    </row>
    <row r="298" spans="1:68" ht="15" customHeight="1" outlineLevel="1">
      <c r="A298" s="31"/>
      <c r="I298" s="3"/>
      <c r="J298" s="3"/>
      <c r="K298" s="3"/>
      <c r="N298" s="31"/>
      <c r="P298" s="31"/>
      <c r="Q298" s="93" t="s">
        <v>167</v>
      </c>
      <c r="R298" s="93"/>
      <c r="S298" s="93"/>
      <c r="T298" s="93"/>
      <c r="U298" s="93"/>
      <c r="V298" s="31"/>
      <c r="W298" s="233" t="e">
        <f t="shared" ca="1" si="343"/>
        <v>#N/A</v>
      </c>
      <c r="X298" s="233">
        <f t="shared" ca="1" si="343"/>
        <v>-15.96</v>
      </c>
      <c r="Y298" s="233">
        <f t="shared" ca="1" si="343"/>
        <v>-16.757999999999999</v>
      </c>
      <c r="Z298" s="233">
        <f t="shared" ca="1" si="343"/>
        <v>-17.5959</v>
      </c>
      <c r="AA298" s="233">
        <f t="shared" ca="1" si="343"/>
        <v>-18.475695000000002</v>
      </c>
      <c r="AB298" s="233">
        <f t="shared" ca="1" si="343"/>
        <v>-19.399479750000001</v>
      </c>
      <c r="AC298" s="231"/>
      <c r="AD298" s="233" t="e">
        <f ca="1">IF($D$2=FALSE,"-",IF(AD$13="","",OFFSET($AF298,0,$F$4-AD$7-1)+OFFSET($AF298,0,$F$4-1)-OFFSET($AF298,0,$F$4-$E$5-1)))</f>
        <v>#N/A</v>
      </c>
      <c r="AE298" s="31"/>
      <c r="AF298" s="181" t="e">
        <f t="shared" ref="AF298:BI298" ca="1" si="345">IF($D$2=FALSE,"-",IF(AF$13="","",SUM(AF297:AF297)))</f>
        <v>#N/A</v>
      </c>
      <c r="AG298" s="182">
        <f t="shared" ca="1" si="345"/>
        <v>-15.96</v>
      </c>
      <c r="AH298" s="182">
        <f t="shared" ca="1" si="345"/>
        <v>-16.757999999999999</v>
      </c>
      <c r="AI298" s="182">
        <f t="shared" ca="1" si="345"/>
        <v>-17.5959</v>
      </c>
      <c r="AJ298" s="182">
        <f t="shared" ca="1" si="345"/>
        <v>-18.475695000000002</v>
      </c>
      <c r="AK298" s="182">
        <f t="shared" ca="1" si="345"/>
        <v>-19.399479750000001</v>
      </c>
      <c r="AL298" s="182" t="str">
        <f t="shared" ca="1" si="345"/>
        <v/>
      </c>
      <c r="AM298" s="182" t="str">
        <f t="shared" ca="1" si="345"/>
        <v/>
      </c>
      <c r="AN298" s="182" t="str">
        <f t="shared" ca="1" si="345"/>
        <v/>
      </c>
      <c r="AO298" s="182" t="str">
        <f t="shared" ca="1" si="345"/>
        <v/>
      </c>
      <c r="AP298" s="182" t="str">
        <f t="shared" ca="1" si="345"/>
        <v/>
      </c>
      <c r="AQ298" s="182" t="str">
        <f t="shared" ca="1" si="345"/>
        <v/>
      </c>
      <c r="AR298" s="182" t="str">
        <f t="shared" ca="1" si="345"/>
        <v/>
      </c>
      <c r="AS298" s="182" t="str">
        <f t="shared" ca="1" si="345"/>
        <v/>
      </c>
      <c r="AT298" s="182" t="str">
        <f t="shared" ca="1" si="345"/>
        <v/>
      </c>
      <c r="AU298" s="182" t="str">
        <f t="shared" ca="1" si="345"/>
        <v/>
      </c>
      <c r="AV298" s="182" t="str">
        <f t="shared" ca="1" si="345"/>
        <v/>
      </c>
      <c r="AW298" s="182" t="str">
        <f t="shared" ca="1" si="345"/>
        <v/>
      </c>
      <c r="AX298" s="182" t="str">
        <f t="shared" ca="1" si="345"/>
        <v/>
      </c>
      <c r="AY298" s="182" t="str">
        <f t="shared" ca="1" si="345"/>
        <v/>
      </c>
      <c r="AZ298" s="182" t="str">
        <f t="shared" ca="1" si="345"/>
        <v/>
      </c>
      <c r="BA298" s="182" t="str">
        <f t="shared" ca="1" si="345"/>
        <v/>
      </c>
      <c r="BB298" s="182" t="str">
        <f t="shared" ca="1" si="345"/>
        <v/>
      </c>
      <c r="BC298" s="182" t="str">
        <f t="shared" ca="1" si="345"/>
        <v/>
      </c>
      <c r="BD298" s="182" t="str">
        <f t="shared" ca="1" si="345"/>
        <v/>
      </c>
      <c r="BE298" s="182" t="str">
        <f t="shared" ca="1" si="345"/>
        <v/>
      </c>
      <c r="BF298" s="182" t="str">
        <f t="shared" ca="1" si="345"/>
        <v/>
      </c>
      <c r="BG298" s="182" t="str">
        <f t="shared" ca="1" si="345"/>
        <v/>
      </c>
      <c r="BH298" s="182" t="str">
        <f t="shared" ca="1" si="345"/>
        <v/>
      </c>
      <c r="BI298" s="182" t="str">
        <f t="shared" ca="1" si="345"/>
        <v/>
      </c>
      <c r="BK298" s="141"/>
      <c r="BL298" s="141"/>
      <c r="BM298" s="141"/>
      <c r="BN298" s="141"/>
      <c r="BO298" s="141"/>
      <c r="BP298" s="141"/>
    </row>
    <row r="299" spans="1:68" ht="15" customHeight="1" outlineLevel="1">
      <c r="A299" s="31"/>
      <c r="I299" s="3"/>
      <c r="J299" s="3"/>
      <c r="K299" s="3"/>
      <c r="N299" s="31"/>
      <c r="P299" s="31"/>
      <c r="Q299" s="6"/>
      <c r="R299" s="6"/>
      <c r="S299" s="6"/>
      <c r="T299" s="6"/>
      <c r="U299" s="6"/>
      <c r="V299" s="31"/>
      <c r="W299" s="135"/>
      <c r="X299" s="135"/>
      <c r="Y299" s="135"/>
      <c r="Z299" s="135"/>
      <c r="AA299" s="135"/>
      <c r="AB299" s="135"/>
      <c r="AC299" s="231"/>
      <c r="AD299" s="135"/>
      <c r="AE299" s="31"/>
      <c r="AF299" s="179"/>
      <c r="AG299" s="180"/>
      <c r="AH299" s="180"/>
      <c r="AI299" s="180"/>
      <c r="AJ299" s="180"/>
      <c r="AK299" s="180"/>
      <c r="AL299" s="180"/>
      <c r="AM299" s="180"/>
      <c r="AN299" s="180"/>
      <c r="AO299" s="180"/>
      <c r="AP299" s="180"/>
      <c r="AQ299" s="180"/>
      <c r="AR299" s="180"/>
      <c r="AS299" s="180"/>
      <c r="AT299" s="180"/>
      <c r="AU299" s="180"/>
      <c r="AV299" s="180"/>
      <c r="AW299" s="180"/>
      <c r="AX299" s="180"/>
      <c r="AY299" s="180"/>
      <c r="AZ299" s="180"/>
      <c r="BA299" s="180"/>
      <c r="BB299" s="180"/>
      <c r="BC299" s="180"/>
      <c r="BD299" s="180"/>
      <c r="BE299" s="180"/>
      <c r="BF299" s="180"/>
      <c r="BG299" s="180"/>
      <c r="BH299" s="180"/>
      <c r="BI299" s="180"/>
      <c r="BK299" s="141"/>
      <c r="BL299" s="141"/>
      <c r="BM299" s="141"/>
      <c r="BN299" s="141"/>
      <c r="BO299" s="141"/>
      <c r="BP299" s="141"/>
    </row>
    <row r="300" spans="1:68" ht="15" customHeight="1" outlineLevel="1">
      <c r="A300" s="6"/>
      <c r="I300" s="3"/>
      <c r="J300" s="3"/>
      <c r="K300" s="3"/>
      <c r="N300" s="6"/>
      <c r="P300" s="6"/>
      <c r="Q300" s="68" t="s">
        <v>26</v>
      </c>
      <c r="R300" s="68"/>
      <c r="S300" s="68"/>
      <c r="T300" s="68"/>
      <c r="U300" s="68"/>
      <c r="V300" s="6"/>
      <c r="W300" s="234"/>
      <c r="X300" s="234"/>
      <c r="Y300" s="234"/>
      <c r="Z300" s="234"/>
      <c r="AA300" s="234"/>
      <c r="AB300" s="234"/>
      <c r="AC300" s="136"/>
      <c r="AD300" s="234"/>
      <c r="AE300" s="6"/>
      <c r="AF300" s="183"/>
      <c r="AG300" s="184"/>
      <c r="AH300" s="184"/>
      <c r="AI300" s="184"/>
      <c r="AJ300" s="184"/>
      <c r="AK300" s="184"/>
      <c r="AL300" s="184"/>
      <c r="AM300" s="184"/>
      <c r="AN300" s="184"/>
      <c r="AO300" s="184"/>
      <c r="AP300" s="184"/>
      <c r="AQ300" s="184"/>
      <c r="AR300" s="184"/>
      <c r="AS300" s="184"/>
      <c r="AT300" s="184"/>
      <c r="AU300" s="184"/>
      <c r="AV300" s="184"/>
      <c r="AW300" s="184"/>
      <c r="AX300" s="184"/>
      <c r="AY300" s="184"/>
      <c r="AZ300" s="184"/>
      <c r="BA300" s="184"/>
      <c r="BB300" s="184"/>
      <c r="BC300" s="184"/>
      <c r="BD300" s="184"/>
      <c r="BE300" s="184"/>
      <c r="BF300" s="184"/>
      <c r="BG300" s="184"/>
      <c r="BH300" s="184"/>
      <c r="BI300" s="184"/>
      <c r="BK300" s="141"/>
      <c r="BL300" s="141"/>
      <c r="BM300" s="141"/>
      <c r="BN300" s="141"/>
      <c r="BO300" s="141"/>
      <c r="BP300" s="141"/>
    </row>
    <row r="301" spans="1:68" ht="15" customHeight="1" outlineLevel="1">
      <c r="A301" s="6"/>
      <c r="I301" s="3"/>
      <c r="J301" s="3"/>
      <c r="K301" s="3"/>
      <c r="N301" s="6"/>
      <c r="P301" s="222"/>
      <c r="Q301" s="6" t="str">
        <f>IF($D$2=FALSE,"-",Q220)</f>
        <v>Revolver</v>
      </c>
      <c r="R301" s="6"/>
      <c r="S301" s="6"/>
      <c r="T301" s="6"/>
      <c r="U301" s="6"/>
      <c r="V301" s="6"/>
      <c r="W301" s="135" t="e">
        <f t="shared" ref="W301:AB307" ca="1" si="346">IF($D$2=FALSE,"-",IF(W$13="","",OFFSET($AF301,0,W$8)))</f>
        <v>#N/A</v>
      </c>
      <c r="X301" s="135">
        <f t="shared" ca="1" si="346"/>
        <v>-118.43143065000005</v>
      </c>
      <c r="Y301" s="135">
        <f t="shared" ca="1" si="346"/>
        <v>-75.513902527365786</v>
      </c>
      <c r="Z301" s="135">
        <f t="shared" ca="1" si="346"/>
        <v>-6.0546668226341609</v>
      </c>
      <c r="AA301" s="135">
        <f t="shared" ca="1" si="346"/>
        <v>0</v>
      </c>
      <c r="AB301" s="135">
        <f t="shared" ca="1" si="346"/>
        <v>0</v>
      </c>
      <c r="AC301" s="136"/>
      <c r="AD301" s="135" t="e">
        <f t="shared" ref="AD301:AD307" ca="1" si="347">IF($D$2=FALSE,"-",IF(AD$13="","",OFFSET($AF301,0,$F$4-AD$7-1)+OFFSET($AF301,0,$F$4-1)-OFFSET($AF301,0,$F$4-$E$5-1)))</f>
        <v>#N/A</v>
      </c>
      <c r="AE301" s="6"/>
      <c r="AF301" s="305" t="e">
        <f t="shared" ref="AF301:BI301" ca="1" si="348">IF($D$2=FALSE,"-",IF(AF$13="","",-OFFSET(AF220,0,-AF$7)+AF220))</f>
        <v>#N/A</v>
      </c>
      <c r="AG301" s="306">
        <f t="shared" ca="1" si="348"/>
        <v>-118.43143065000005</v>
      </c>
      <c r="AH301" s="306">
        <f t="shared" ca="1" si="348"/>
        <v>-75.513902527365786</v>
      </c>
      <c r="AI301" s="306">
        <f t="shared" ca="1" si="348"/>
        <v>-6.0546668226341609</v>
      </c>
      <c r="AJ301" s="306">
        <f t="shared" ca="1" si="348"/>
        <v>0</v>
      </c>
      <c r="AK301" s="306">
        <f t="shared" ca="1" si="348"/>
        <v>0</v>
      </c>
      <c r="AL301" s="306" t="str">
        <f t="shared" ca="1" si="348"/>
        <v/>
      </c>
      <c r="AM301" s="306" t="str">
        <f t="shared" ca="1" si="348"/>
        <v/>
      </c>
      <c r="AN301" s="306" t="str">
        <f t="shared" ca="1" si="348"/>
        <v/>
      </c>
      <c r="AO301" s="306" t="str">
        <f t="shared" ca="1" si="348"/>
        <v/>
      </c>
      <c r="AP301" s="306" t="str">
        <f t="shared" ca="1" si="348"/>
        <v/>
      </c>
      <c r="AQ301" s="306" t="str">
        <f t="shared" ca="1" si="348"/>
        <v/>
      </c>
      <c r="AR301" s="306" t="str">
        <f t="shared" ca="1" si="348"/>
        <v/>
      </c>
      <c r="AS301" s="306" t="str">
        <f t="shared" ca="1" si="348"/>
        <v/>
      </c>
      <c r="AT301" s="306" t="str">
        <f t="shared" ca="1" si="348"/>
        <v/>
      </c>
      <c r="AU301" s="306" t="str">
        <f t="shared" ca="1" si="348"/>
        <v/>
      </c>
      <c r="AV301" s="306" t="str">
        <f t="shared" ca="1" si="348"/>
        <v/>
      </c>
      <c r="AW301" s="306" t="str">
        <f t="shared" ca="1" si="348"/>
        <v/>
      </c>
      <c r="AX301" s="306" t="str">
        <f t="shared" ca="1" si="348"/>
        <v/>
      </c>
      <c r="AY301" s="306" t="str">
        <f t="shared" ca="1" si="348"/>
        <v/>
      </c>
      <c r="AZ301" s="306" t="str">
        <f t="shared" ca="1" si="348"/>
        <v/>
      </c>
      <c r="BA301" s="306" t="str">
        <f t="shared" ca="1" si="348"/>
        <v/>
      </c>
      <c r="BB301" s="306" t="str">
        <f t="shared" ca="1" si="348"/>
        <v/>
      </c>
      <c r="BC301" s="306" t="str">
        <f t="shared" ca="1" si="348"/>
        <v/>
      </c>
      <c r="BD301" s="306" t="str">
        <f t="shared" ca="1" si="348"/>
        <v/>
      </c>
      <c r="BE301" s="306" t="str">
        <f t="shared" ca="1" si="348"/>
        <v/>
      </c>
      <c r="BF301" s="306" t="str">
        <f t="shared" ca="1" si="348"/>
        <v/>
      </c>
      <c r="BG301" s="306" t="str">
        <f t="shared" ca="1" si="348"/>
        <v/>
      </c>
      <c r="BH301" s="306" t="str">
        <f t="shared" ca="1" si="348"/>
        <v/>
      </c>
      <c r="BI301" s="306" t="str">
        <f t="shared" ca="1" si="348"/>
        <v/>
      </c>
      <c r="BK301" s="141"/>
      <c r="BL301" s="141"/>
      <c r="BM301" s="141"/>
      <c r="BN301" s="141"/>
      <c r="BO301" s="141"/>
      <c r="BP301" s="141"/>
    </row>
    <row r="302" spans="1:68" ht="15" customHeight="1" outlineLevel="1">
      <c r="A302" s="6"/>
      <c r="I302" s="3"/>
      <c r="J302" s="3"/>
      <c r="K302" s="3"/>
      <c r="N302" s="6"/>
      <c r="P302" s="222"/>
      <c r="Q302" s="6" t="str">
        <f>IF($D$2=FALSE,"-",Q221)</f>
        <v>Senior credit facility</v>
      </c>
      <c r="R302" s="6"/>
      <c r="S302" s="6"/>
      <c r="T302" s="6"/>
      <c r="U302" s="6"/>
      <c r="V302" s="6"/>
      <c r="W302" s="135" t="e">
        <f t="shared" ca="1" si="346"/>
        <v>#N/A</v>
      </c>
      <c r="X302" s="135">
        <f t="shared" ca="1" si="346"/>
        <v>-1.5</v>
      </c>
      <c r="Y302" s="135">
        <f t="shared" ca="1" si="346"/>
        <v>-1.5</v>
      </c>
      <c r="Z302" s="135">
        <f t="shared" ca="1" si="346"/>
        <v>-7</v>
      </c>
      <c r="AA302" s="135">
        <f t="shared" ca="1" si="346"/>
        <v>0</v>
      </c>
      <c r="AB302" s="135">
        <f t="shared" ca="1" si="346"/>
        <v>0</v>
      </c>
      <c r="AC302" s="136"/>
      <c r="AD302" s="135" t="e">
        <f t="shared" ca="1" si="347"/>
        <v>#N/A</v>
      </c>
      <c r="AE302" s="6"/>
      <c r="AF302" s="179" t="e">
        <f t="shared" ref="AF302:BI302" ca="1" si="349">IF($D$2=FALSE,"-",IF(AF$13="","",+AF337+AF338))</f>
        <v>#N/A</v>
      </c>
      <c r="AG302" s="180">
        <f t="shared" ca="1" si="349"/>
        <v>-1.5</v>
      </c>
      <c r="AH302" s="180">
        <f t="shared" ca="1" si="349"/>
        <v>-1.5</v>
      </c>
      <c r="AI302" s="180">
        <f t="shared" ca="1" si="349"/>
        <v>-7</v>
      </c>
      <c r="AJ302" s="180">
        <f t="shared" ca="1" si="349"/>
        <v>0</v>
      </c>
      <c r="AK302" s="180">
        <f t="shared" ca="1" si="349"/>
        <v>0</v>
      </c>
      <c r="AL302" s="180" t="str">
        <f t="shared" ca="1" si="349"/>
        <v/>
      </c>
      <c r="AM302" s="180" t="str">
        <f t="shared" ca="1" si="349"/>
        <v/>
      </c>
      <c r="AN302" s="180" t="str">
        <f t="shared" ca="1" si="349"/>
        <v/>
      </c>
      <c r="AO302" s="180" t="str">
        <f t="shared" ca="1" si="349"/>
        <v/>
      </c>
      <c r="AP302" s="180" t="str">
        <f t="shared" ca="1" si="349"/>
        <v/>
      </c>
      <c r="AQ302" s="180" t="str">
        <f t="shared" ca="1" si="349"/>
        <v/>
      </c>
      <c r="AR302" s="180" t="str">
        <f t="shared" ca="1" si="349"/>
        <v/>
      </c>
      <c r="AS302" s="180" t="str">
        <f t="shared" ca="1" si="349"/>
        <v/>
      </c>
      <c r="AT302" s="180" t="str">
        <f t="shared" ca="1" si="349"/>
        <v/>
      </c>
      <c r="AU302" s="180" t="str">
        <f t="shared" ca="1" si="349"/>
        <v/>
      </c>
      <c r="AV302" s="180" t="str">
        <f t="shared" ca="1" si="349"/>
        <v/>
      </c>
      <c r="AW302" s="180" t="str">
        <f t="shared" ca="1" si="349"/>
        <v/>
      </c>
      <c r="AX302" s="180" t="str">
        <f t="shared" ca="1" si="349"/>
        <v/>
      </c>
      <c r="AY302" s="180" t="str">
        <f t="shared" ca="1" si="349"/>
        <v/>
      </c>
      <c r="AZ302" s="180" t="str">
        <f t="shared" ca="1" si="349"/>
        <v/>
      </c>
      <c r="BA302" s="180" t="str">
        <f t="shared" ca="1" si="349"/>
        <v/>
      </c>
      <c r="BB302" s="180" t="str">
        <f t="shared" ca="1" si="349"/>
        <v/>
      </c>
      <c r="BC302" s="180" t="str">
        <f t="shared" ca="1" si="349"/>
        <v/>
      </c>
      <c r="BD302" s="180" t="str">
        <f t="shared" ca="1" si="349"/>
        <v/>
      </c>
      <c r="BE302" s="180" t="str">
        <f t="shared" ca="1" si="349"/>
        <v/>
      </c>
      <c r="BF302" s="180" t="str">
        <f t="shared" ca="1" si="349"/>
        <v/>
      </c>
      <c r="BG302" s="180" t="str">
        <f t="shared" ca="1" si="349"/>
        <v/>
      </c>
      <c r="BH302" s="180" t="str">
        <f t="shared" ca="1" si="349"/>
        <v/>
      </c>
      <c r="BI302" s="180" t="str">
        <f t="shared" ca="1" si="349"/>
        <v/>
      </c>
      <c r="BK302" s="141"/>
      <c r="BL302" s="141"/>
      <c r="BM302" s="141"/>
      <c r="BN302" s="141"/>
      <c r="BO302" s="141"/>
      <c r="BP302" s="141"/>
    </row>
    <row r="303" spans="1:68" ht="15" customHeight="1" outlineLevel="1">
      <c r="A303" s="15"/>
      <c r="I303" s="3"/>
      <c r="J303" s="3"/>
      <c r="K303" s="3"/>
      <c r="N303" s="15"/>
      <c r="P303" s="222"/>
      <c r="Q303" s="6" t="str">
        <f>IF($D$2=FALSE,"-",Q222)</f>
        <v>Subordinated note</v>
      </c>
      <c r="R303" s="6"/>
      <c r="S303" s="6"/>
      <c r="T303" s="6"/>
      <c r="U303" s="6"/>
      <c r="V303" s="15"/>
      <c r="W303" s="135" t="e">
        <f t="shared" ca="1" si="346"/>
        <v>#N/A</v>
      </c>
      <c r="X303" s="135">
        <f t="shared" ca="1" si="346"/>
        <v>-6.8250000000000002</v>
      </c>
      <c r="Y303" s="135">
        <f t="shared" ca="1" si="346"/>
        <v>-6.8250000000000002</v>
      </c>
      <c r="Z303" s="135">
        <f t="shared" ca="1" si="346"/>
        <v>0</v>
      </c>
      <c r="AA303" s="135">
        <f t="shared" ca="1" si="346"/>
        <v>0</v>
      </c>
      <c r="AB303" s="135">
        <f t="shared" ca="1" si="346"/>
        <v>0</v>
      </c>
      <c r="AC303" s="136"/>
      <c r="AD303" s="135" t="e">
        <f t="shared" ca="1" si="347"/>
        <v>#N/A</v>
      </c>
      <c r="AE303" s="15"/>
      <c r="AF303" s="179" t="e">
        <f t="shared" ref="AF303:BI303" ca="1" si="350">IF($D$2=FALSE,"-",IF(AF$13="","",+AF344+AF345))</f>
        <v>#N/A</v>
      </c>
      <c r="AG303" s="180">
        <f t="shared" ca="1" si="350"/>
        <v>-6.8250000000000002</v>
      </c>
      <c r="AH303" s="180">
        <f t="shared" ca="1" si="350"/>
        <v>-6.8250000000000002</v>
      </c>
      <c r="AI303" s="180">
        <f t="shared" ca="1" si="350"/>
        <v>0</v>
      </c>
      <c r="AJ303" s="180">
        <f t="shared" ca="1" si="350"/>
        <v>0</v>
      </c>
      <c r="AK303" s="180">
        <f t="shared" ca="1" si="350"/>
        <v>0</v>
      </c>
      <c r="AL303" s="180" t="str">
        <f t="shared" ca="1" si="350"/>
        <v/>
      </c>
      <c r="AM303" s="180" t="str">
        <f t="shared" ca="1" si="350"/>
        <v/>
      </c>
      <c r="AN303" s="180" t="str">
        <f t="shared" ca="1" si="350"/>
        <v/>
      </c>
      <c r="AO303" s="180" t="str">
        <f t="shared" ca="1" si="350"/>
        <v/>
      </c>
      <c r="AP303" s="180" t="str">
        <f t="shared" ca="1" si="350"/>
        <v/>
      </c>
      <c r="AQ303" s="180" t="str">
        <f t="shared" ca="1" si="350"/>
        <v/>
      </c>
      <c r="AR303" s="180" t="str">
        <f t="shared" ca="1" si="350"/>
        <v/>
      </c>
      <c r="AS303" s="180" t="str">
        <f t="shared" ca="1" si="350"/>
        <v/>
      </c>
      <c r="AT303" s="180" t="str">
        <f t="shared" ca="1" si="350"/>
        <v/>
      </c>
      <c r="AU303" s="180" t="str">
        <f t="shared" ca="1" si="350"/>
        <v/>
      </c>
      <c r="AV303" s="180" t="str">
        <f t="shared" ca="1" si="350"/>
        <v/>
      </c>
      <c r="AW303" s="180" t="str">
        <f t="shared" ca="1" si="350"/>
        <v/>
      </c>
      <c r="AX303" s="180" t="str">
        <f t="shared" ca="1" si="350"/>
        <v/>
      </c>
      <c r="AY303" s="180" t="str">
        <f t="shared" ca="1" si="350"/>
        <v/>
      </c>
      <c r="AZ303" s="180" t="str">
        <f t="shared" ca="1" si="350"/>
        <v/>
      </c>
      <c r="BA303" s="180" t="str">
        <f t="shared" ca="1" si="350"/>
        <v/>
      </c>
      <c r="BB303" s="180" t="str">
        <f t="shared" ca="1" si="350"/>
        <v/>
      </c>
      <c r="BC303" s="180" t="str">
        <f t="shared" ca="1" si="350"/>
        <v/>
      </c>
      <c r="BD303" s="180" t="str">
        <f t="shared" ca="1" si="350"/>
        <v/>
      </c>
      <c r="BE303" s="180" t="str">
        <f t="shared" ca="1" si="350"/>
        <v/>
      </c>
      <c r="BF303" s="180" t="str">
        <f t="shared" ca="1" si="350"/>
        <v/>
      </c>
      <c r="BG303" s="180" t="str">
        <f t="shared" ca="1" si="350"/>
        <v/>
      </c>
      <c r="BH303" s="180" t="str">
        <f t="shared" ca="1" si="350"/>
        <v/>
      </c>
      <c r="BI303" s="180" t="str">
        <f t="shared" ca="1" si="350"/>
        <v/>
      </c>
      <c r="BK303" s="141"/>
      <c r="BL303" s="141"/>
      <c r="BM303" s="141"/>
      <c r="BN303" s="141"/>
      <c r="BO303" s="141"/>
      <c r="BP303" s="141"/>
    </row>
    <row r="304" spans="1:68" ht="15" customHeight="1" outlineLevel="1">
      <c r="A304" s="6"/>
      <c r="I304" s="3"/>
      <c r="J304" s="3"/>
      <c r="K304" s="3"/>
      <c r="N304" s="6"/>
      <c r="P304" s="222"/>
      <c r="Q304" s="6" t="str">
        <f>IF($D$2=FALSE,"-",Q223)</f>
        <v>Convertible bond</v>
      </c>
      <c r="R304" s="6"/>
      <c r="S304" s="6"/>
      <c r="T304" s="6"/>
      <c r="U304" s="6"/>
      <c r="V304" s="6"/>
      <c r="W304" s="135" t="e">
        <f t="shared" ca="1" si="346"/>
        <v>#N/A</v>
      </c>
      <c r="X304" s="135">
        <f t="shared" ca="1" si="346"/>
        <v>-1</v>
      </c>
      <c r="Y304" s="135">
        <f t="shared" ca="1" si="346"/>
        <v>-1</v>
      </c>
      <c r="Z304" s="135">
        <f t="shared" ca="1" si="346"/>
        <v>-1</v>
      </c>
      <c r="AA304" s="135">
        <f t="shared" ca="1" si="346"/>
        <v>-1</v>
      </c>
      <c r="AB304" s="135">
        <f t="shared" ca="1" si="346"/>
        <v>-1</v>
      </c>
      <c r="AC304" s="136"/>
      <c r="AD304" s="135" t="e">
        <f t="shared" ca="1" si="347"/>
        <v>#N/A</v>
      </c>
      <c r="AE304" s="6"/>
      <c r="AF304" s="179" t="e">
        <f t="shared" ref="AF304:BI304" ca="1" si="351">IF($D$2=FALSE,"-",IF(AF$13="","",+AF352))</f>
        <v>#N/A</v>
      </c>
      <c r="AG304" s="180">
        <f t="shared" ca="1" si="351"/>
        <v>-1</v>
      </c>
      <c r="AH304" s="180">
        <f t="shared" ca="1" si="351"/>
        <v>-1</v>
      </c>
      <c r="AI304" s="180">
        <f t="shared" ca="1" si="351"/>
        <v>-1</v>
      </c>
      <c r="AJ304" s="180">
        <f t="shared" ca="1" si="351"/>
        <v>-1</v>
      </c>
      <c r="AK304" s="180">
        <f t="shared" ca="1" si="351"/>
        <v>-1</v>
      </c>
      <c r="AL304" s="180" t="str">
        <f t="shared" ca="1" si="351"/>
        <v/>
      </c>
      <c r="AM304" s="180" t="str">
        <f t="shared" ca="1" si="351"/>
        <v/>
      </c>
      <c r="AN304" s="180" t="str">
        <f t="shared" ca="1" si="351"/>
        <v/>
      </c>
      <c r="AO304" s="180" t="str">
        <f t="shared" ca="1" si="351"/>
        <v/>
      </c>
      <c r="AP304" s="180" t="str">
        <f t="shared" ca="1" si="351"/>
        <v/>
      </c>
      <c r="AQ304" s="180" t="str">
        <f t="shared" ca="1" si="351"/>
        <v/>
      </c>
      <c r="AR304" s="180" t="str">
        <f t="shared" ca="1" si="351"/>
        <v/>
      </c>
      <c r="AS304" s="180" t="str">
        <f t="shared" ca="1" si="351"/>
        <v/>
      </c>
      <c r="AT304" s="180" t="str">
        <f t="shared" ca="1" si="351"/>
        <v/>
      </c>
      <c r="AU304" s="180" t="str">
        <f t="shared" ca="1" si="351"/>
        <v/>
      </c>
      <c r="AV304" s="180" t="str">
        <f t="shared" ca="1" si="351"/>
        <v/>
      </c>
      <c r="AW304" s="180" t="str">
        <f t="shared" ca="1" si="351"/>
        <v/>
      </c>
      <c r="AX304" s="180" t="str">
        <f t="shared" ca="1" si="351"/>
        <v/>
      </c>
      <c r="AY304" s="180" t="str">
        <f t="shared" ca="1" si="351"/>
        <v/>
      </c>
      <c r="AZ304" s="180" t="str">
        <f t="shared" ca="1" si="351"/>
        <v/>
      </c>
      <c r="BA304" s="180" t="str">
        <f t="shared" ca="1" si="351"/>
        <v/>
      </c>
      <c r="BB304" s="180" t="str">
        <f t="shared" ca="1" si="351"/>
        <v/>
      </c>
      <c r="BC304" s="180" t="str">
        <f t="shared" ca="1" si="351"/>
        <v/>
      </c>
      <c r="BD304" s="180" t="str">
        <f t="shared" ca="1" si="351"/>
        <v/>
      </c>
      <c r="BE304" s="180" t="str">
        <f t="shared" ca="1" si="351"/>
        <v/>
      </c>
      <c r="BF304" s="180" t="str">
        <f t="shared" ca="1" si="351"/>
        <v/>
      </c>
      <c r="BG304" s="180" t="str">
        <f t="shared" ca="1" si="351"/>
        <v/>
      </c>
      <c r="BH304" s="180" t="str">
        <f t="shared" ca="1" si="351"/>
        <v/>
      </c>
      <c r="BI304" s="180" t="str">
        <f t="shared" ca="1" si="351"/>
        <v/>
      </c>
      <c r="BK304" s="141"/>
      <c r="BL304" s="141"/>
      <c r="BM304" s="141"/>
      <c r="BN304" s="141"/>
      <c r="BO304" s="141"/>
      <c r="BP304" s="141"/>
    </row>
    <row r="305" spans="1:68" ht="15" customHeight="1" outlineLevel="1">
      <c r="A305" s="6"/>
      <c r="I305" s="3"/>
      <c r="J305" s="3"/>
      <c r="K305" s="3"/>
      <c r="N305" s="6"/>
      <c r="P305" s="222"/>
      <c r="Q305" s="6" t="str">
        <f>IF($D$2=FALSE,"-",Q229&amp;" dividend")</f>
        <v>Preferred stock dividend</v>
      </c>
      <c r="R305" s="6"/>
      <c r="S305" s="6"/>
      <c r="T305" s="6"/>
      <c r="U305" s="6"/>
      <c r="V305" s="6"/>
      <c r="W305" s="135" t="e">
        <f t="shared" ca="1" si="346"/>
        <v>#N/A</v>
      </c>
      <c r="X305" s="135">
        <f t="shared" ca="1" si="346"/>
        <v>-1</v>
      </c>
      <c r="Y305" s="135">
        <f t="shared" ca="1" si="346"/>
        <v>-1</v>
      </c>
      <c r="Z305" s="135">
        <f t="shared" ca="1" si="346"/>
        <v>-1</v>
      </c>
      <c r="AA305" s="135">
        <f t="shared" ca="1" si="346"/>
        <v>-1</v>
      </c>
      <c r="AB305" s="135">
        <f t="shared" ca="1" si="346"/>
        <v>-1</v>
      </c>
      <c r="AC305" s="136"/>
      <c r="AD305" s="135" t="e">
        <f t="shared" ca="1" si="347"/>
        <v>#N/A</v>
      </c>
      <c r="AE305" s="6"/>
      <c r="AF305" s="179" t="e">
        <f t="shared" ref="AF305:BI305" ca="1" si="352">IF($D$2=FALSE,"-",IF(AF$13="","",AF359))</f>
        <v>#N/A</v>
      </c>
      <c r="AG305" s="180">
        <f t="shared" ca="1" si="352"/>
        <v>-1</v>
      </c>
      <c r="AH305" s="180">
        <f t="shared" ca="1" si="352"/>
        <v>-1</v>
      </c>
      <c r="AI305" s="180">
        <f t="shared" ca="1" si="352"/>
        <v>-1</v>
      </c>
      <c r="AJ305" s="180">
        <f t="shared" ca="1" si="352"/>
        <v>-1</v>
      </c>
      <c r="AK305" s="180">
        <f t="shared" ca="1" si="352"/>
        <v>-1</v>
      </c>
      <c r="AL305" s="180" t="str">
        <f t="shared" ca="1" si="352"/>
        <v/>
      </c>
      <c r="AM305" s="180" t="str">
        <f t="shared" ca="1" si="352"/>
        <v/>
      </c>
      <c r="AN305" s="180" t="str">
        <f t="shared" ca="1" si="352"/>
        <v/>
      </c>
      <c r="AO305" s="180" t="str">
        <f t="shared" ca="1" si="352"/>
        <v/>
      </c>
      <c r="AP305" s="180" t="str">
        <f t="shared" ca="1" si="352"/>
        <v/>
      </c>
      <c r="AQ305" s="180" t="str">
        <f t="shared" ca="1" si="352"/>
        <v/>
      </c>
      <c r="AR305" s="180" t="str">
        <f t="shared" ca="1" si="352"/>
        <v/>
      </c>
      <c r="AS305" s="180" t="str">
        <f t="shared" ca="1" si="352"/>
        <v/>
      </c>
      <c r="AT305" s="180" t="str">
        <f t="shared" ca="1" si="352"/>
        <v/>
      </c>
      <c r="AU305" s="180" t="str">
        <f t="shared" ca="1" si="352"/>
        <v/>
      </c>
      <c r="AV305" s="180" t="str">
        <f t="shared" ca="1" si="352"/>
        <v/>
      </c>
      <c r="AW305" s="180" t="str">
        <f t="shared" ca="1" si="352"/>
        <v/>
      </c>
      <c r="AX305" s="180" t="str">
        <f t="shared" ca="1" si="352"/>
        <v/>
      </c>
      <c r="AY305" s="180" t="str">
        <f t="shared" ca="1" si="352"/>
        <v/>
      </c>
      <c r="AZ305" s="180" t="str">
        <f t="shared" ca="1" si="352"/>
        <v/>
      </c>
      <c r="BA305" s="180" t="str">
        <f t="shared" ca="1" si="352"/>
        <v/>
      </c>
      <c r="BB305" s="180" t="str">
        <f t="shared" ca="1" si="352"/>
        <v/>
      </c>
      <c r="BC305" s="180" t="str">
        <f t="shared" ca="1" si="352"/>
        <v/>
      </c>
      <c r="BD305" s="180" t="str">
        <f t="shared" ca="1" si="352"/>
        <v/>
      </c>
      <c r="BE305" s="180" t="str">
        <f t="shared" ca="1" si="352"/>
        <v/>
      </c>
      <c r="BF305" s="180" t="str">
        <f t="shared" ca="1" si="352"/>
        <v/>
      </c>
      <c r="BG305" s="180" t="str">
        <f t="shared" ca="1" si="352"/>
        <v/>
      </c>
      <c r="BH305" s="180" t="str">
        <f t="shared" ca="1" si="352"/>
        <v/>
      </c>
      <c r="BI305" s="180" t="str">
        <f t="shared" ca="1" si="352"/>
        <v/>
      </c>
      <c r="BK305" s="141"/>
      <c r="BL305" s="141"/>
      <c r="BM305" s="141"/>
      <c r="BN305" s="141"/>
      <c r="BO305" s="141"/>
      <c r="BP305" s="141"/>
    </row>
    <row r="306" spans="1:68" ht="15" customHeight="1" outlineLevel="1">
      <c r="A306" s="6"/>
      <c r="I306" s="3"/>
      <c r="J306" s="3"/>
      <c r="K306" s="3"/>
      <c r="N306" s="6"/>
      <c r="P306" s="222"/>
      <c r="Q306" s="6" t="str">
        <f>IF($D$2=FALSE,"-",Q230&amp;" dividend")</f>
        <v>Common equity dividend</v>
      </c>
      <c r="R306" s="6"/>
      <c r="S306" s="6"/>
      <c r="T306" s="6"/>
      <c r="U306" s="6"/>
      <c r="V306" s="6"/>
      <c r="W306" s="135" t="e">
        <f t="shared" ca="1" si="346"/>
        <v>#N/A</v>
      </c>
      <c r="X306" s="135">
        <f t="shared" ca="1" si="346"/>
        <v>-0.35340000000000005</v>
      </c>
      <c r="Y306" s="135">
        <f t="shared" ca="1" si="346"/>
        <v>-0.35340000000000005</v>
      </c>
      <c r="Z306" s="135">
        <f t="shared" ca="1" si="346"/>
        <v>-0.35340000000000005</v>
      </c>
      <c r="AA306" s="135">
        <f t="shared" ca="1" si="346"/>
        <v>-0.35340000000000005</v>
      </c>
      <c r="AB306" s="135">
        <f t="shared" ca="1" si="346"/>
        <v>-0.35340000000000005</v>
      </c>
      <c r="AC306" s="136"/>
      <c r="AD306" s="135" t="e">
        <f t="shared" ca="1" si="347"/>
        <v>#N/A</v>
      </c>
      <c r="AE306" s="6"/>
      <c r="AF306" s="303" t="e">
        <f t="shared" ref="AF306:BI306" ca="1" si="353">IF($D$2=FALSE,"-",IF(AF$13="","",AF184))</f>
        <v>#N/A</v>
      </c>
      <c r="AG306" s="304">
        <f t="shared" ca="1" si="353"/>
        <v>-0.35340000000000005</v>
      </c>
      <c r="AH306" s="304">
        <f t="shared" ca="1" si="353"/>
        <v>-0.35340000000000005</v>
      </c>
      <c r="AI306" s="304">
        <f t="shared" ca="1" si="353"/>
        <v>-0.35340000000000005</v>
      </c>
      <c r="AJ306" s="304">
        <f t="shared" ca="1" si="353"/>
        <v>-0.35340000000000005</v>
      </c>
      <c r="AK306" s="304">
        <f t="shared" ca="1" si="353"/>
        <v>-0.35340000000000005</v>
      </c>
      <c r="AL306" s="304" t="str">
        <f t="shared" ca="1" si="353"/>
        <v/>
      </c>
      <c r="AM306" s="304" t="str">
        <f t="shared" ca="1" si="353"/>
        <v/>
      </c>
      <c r="AN306" s="304" t="str">
        <f t="shared" ca="1" si="353"/>
        <v/>
      </c>
      <c r="AO306" s="304" t="str">
        <f t="shared" ca="1" si="353"/>
        <v/>
      </c>
      <c r="AP306" s="304" t="str">
        <f t="shared" ca="1" si="353"/>
        <v/>
      </c>
      <c r="AQ306" s="304" t="str">
        <f t="shared" ca="1" si="353"/>
        <v/>
      </c>
      <c r="AR306" s="304" t="str">
        <f t="shared" ca="1" si="353"/>
        <v/>
      </c>
      <c r="AS306" s="304" t="str">
        <f t="shared" ca="1" si="353"/>
        <v/>
      </c>
      <c r="AT306" s="304" t="str">
        <f t="shared" ca="1" si="353"/>
        <v/>
      </c>
      <c r="AU306" s="304" t="str">
        <f t="shared" ca="1" si="353"/>
        <v/>
      </c>
      <c r="AV306" s="304" t="str">
        <f t="shared" ca="1" si="353"/>
        <v/>
      </c>
      <c r="AW306" s="304" t="str">
        <f t="shared" ca="1" si="353"/>
        <v/>
      </c>
      <c r="AX306" s="304" t="str">
        <f t="shared" ca="1" si="353"/>
        <v/>
      </c>
      <c r="AY306" s="304" t="str">
        <f t="shared" ca="1" si="353"/>
        <v/>
      </c>
      <c r="AZ306" s="304" t="str">
        <f t="shared" ca="1" si="353"/>
        <v/>
      </c>
      <c r="BA306" s="304" t="str">
        <f t="shared" ca="1" si="353"/>
        <v/>
      </c>
      <c r="BB306" s="304" t="str">
        <f t="shared" ca="1" si="353"/>
        <v/>
      </c>
      <c r="BC306" s="304" t="str">
        <f t="shared" ca="1" si="353"/>
        <v/>
      </c>
      <c r="BD306" s="304" t="str">
        <f t="shared" ca="1" si="353"/>
        <v/>
      </c>
      <c r="BE306" s="304" t="str">
        <f t="shared" ca="1" si="353"/>
        <v/>
      </c>
      <c r="BF306" s="304" t="str">
        <f t="shared" ca="1" si="353"/>
        <v/>
      </c>
      <c r="BG306" s="304" t="str">
        <f t="shared" ca="1" si="353"/>
        <v/>
      </c>
      <c r="BH306" s="304" t="str">
        <f t="shared" ca="1" si="353"/>
        <v/>
      </c>
      <c r="BI306" s="304" t="str">
        <f t="shared" ca="1" si="353"/>
        <v/>
      </c>
      <c r="BK306" s="141"/>
      <c r="BL306" s="141"/>
      <c r="BM306" s="141"/>
      <c r="BN306" s="141"/>
      <c r="BO306" s="141"/>
      <c r="BP306" s="141"/>
    </row>
    <row r="307" spans="1:68" ht="15" customHeight="1" outlineLevel="1">
      <c r="A307" s="6"/>
      <c r="I307" s="3"/>
      <c r="J307" s="3"/>
      <c r="K307" s="3"/>
      <c r="N307" s="6"/>
      <c r="P307" s="6"/>
      <c r="Q307" s="93" t="s">
        <v>168</v>
      </c>
      <c r="R307" s="93"/>
      <c r="S307" s="93"/>
      <c r="T307" s="93"/>
      <c r="U307" s="93"/>
      <c r="V307" s="6"/>
      <c r="W307" s="233" t="e">
        <f t="shared" ca="1" si="346"/>
        <v>#N/A</v>
      </c>
      <c r="X307" s="233">
        <f t="shared" ca="1" si="346"/>
        <v>-129.10983065000005</v>
      </c>
      <c r="Y307" s="233">
        <f t="shared" ca="1" si="346"/>
        <v>-86.192302527365783</v>
      </c>
      <c r="Z307" s="233">
        <f t="shared" ca="1" si="346"/>
        <v>-15.408066822634161</v>
      </c>
      <c r="AA307" s="233">
        <f t="shared" ca="1" si="346"/>
        <v>-2.3534000000000002</v>
      </c>
      <c r="AB307" s="233">
        <f t="shared" ca="1" si="346"/>
        <v>-2.3534000000000002</v>
      </c>
      <c r="AC307" s="136"/>
      <c r="AD307" s="233" t="e">
        <f t="shared" ca="1" si="347"/>
        <v>#N/A</v>
      </c>
      <c r="AE307" s="6"/>
      <c r="AF307" s="181" t="e">
        <f t="shared" ref="AF307:BI307" ca="1" si="354">IF($D$2=FALSE,"-",IF(AF$13="","",+SUM(AF301:AF306)))</f>
        <v>#N/A</v>
      </c>
      <c r="AG307" s="182">
        <f t="shared" ca="1" si="354"/>
        <v>-129.10983065000005</v>
      </c>
      <c r="AH307" s="182">
        <f t="shared" ca="1" si="354"/>
        <v>-86.192302527365783</v>
      </c>
      <c r="AI307" s="182">
        <f t="shared" ca="1" si="354"/>
        <v>-15.408066822634161</v>
      </c>
      <c r="AJ307" s="182">
        <f t="shared" ca="1" si="354"/>
        <v>-2.3534000000000002</v>
      </c>
      <c r="AK307" s="182">
        <f t="shared" ca="1" si="354"/>
        <v>-2.3534000000000002</v>
      </c>
      <c r="AL307" s="182" t="str">
        <f t="shared" ca="1" si="354"/>
        <v/>
      </c>
      <c r="AM307" s="182" t="str">
        <f t="shared" ca="1" si="354"/>
        <v/>
      </c>
      <c r="AN307" s="182" t="str">
        <f t="shared" ca="1" si="354"/>
        <v/>
      </c>
      <c r="AO307" s="182" t="str">
        <f t="shared" ca="1" si="354"/>
        <v/>
      </c>
      <c r="AP307" s="182" t="str">
        <f t="shared" ca="1" si="354"/>
        <v/>
      </c>
      <c r="AQ307" s="182" t="str">
        <f t="shared" ca="1" si="354"/>
        <v/>
      </c>
      <c r="AR307" s="182" t="str">
        <f t="shared" ca="1" si="354"/>
        <v/>
      </c>
      <c r="AS307" s="182" t="str">
        <f t="shared" ca="1" si="354"/>
        <v/>
      </c>
      <c r="AT307" s="182" t="str">
        <f t="shared" ca="1" si="354"/>
        <v/>
      </c>
      <c r="AU307" s="182" t="str">
        <f t="shared" ca="1" si="354"/>
        <v/>
      </c>
      <c r="AV307" s="182" t="str">
        <f t="shared" ca="1" si="354"/>
        <v/>
      </c>
      <c r="AW307" s="182" t="str">
        <f t="shared" ca="1" si="354"/>
        <v/>
      </c>
      <c r="AX307" s="182" t="str">
        <f t="shared" ca="1" si="354"/>
        <v/>
      </c>
      <c r="AY307" s="182" t="str">
        <f t="shared" ca="1" si="354"/>
        <v/>
      </c>
      <c r="AZ307" s="182" t="str">
        <f t="shared" ca="1" si="354"/>
        <v/>
      </c>
      <c r="BA307" s="182" t="str">
        <f t="shared" ca="1" si="354"/>
        <v/>
      </c>
      <c r="BB307" s="182" t="str">
        <f t="shared" ca="1" si="354"/>
        <v/>
      </c>
      <c r="BC307" s="182" t="str">
        <f t="shared" ca="1" si="354"/>
        <v/>
      </c>
      <c r="BD307" s="182" t="str">
        <f t="shared" ca="1" si="354"/>
        <v/>
      </c>
      <c r="BE307" s="182" t="str">
        <f t="shared" ca="1" si="354"/>
        <v/>
      </c>
      <c r="BF307" s="182" t="str">
        <f t="shared" ca="1" si="354"/>
        <v/>
      </c>
      <c r="BG307" s="182" t="str">
        <f t="shared" ca="1" si="354"/>
        <v/>
      </c>
      <c r="BH307" s="182" t="str">
        <f t="shared" ca="1" si="354"/>
        <v/>
      </c>
      <c r="BI307" s="182" t="str">
        <f t="shared" ca="1" si="354"/>
        <v/>
      </c>
      <c r="BK307" s="141"/>
      <c r="BL307" s="141"/>
      <c r="BM307" s="141"/>
      <c r="BN307" s="141"/>
      <c r="BO307" s="141"/>
      <c r="BP307" s="141"/>
    </row>
    <row r="308" spans="1:68" ht="15" customHeight="1" outlineLevel="1">
      <c r="A308" s="6"/>
      <c r="I308" s="3"/>
      <c r="J308" s="3"/>
      <c r="K308" s="3"/>
      <c r="N308" s="6"/>
      <c r="P308" s="6"/>
      <c r="Q308" s="6"/>
      <c r="R308" s="6"/>
      <c r="S308" s="6"/>
      <c r="T308" s="6"/>
      <c r="U308" s="6"/>
      <c r="V308" s="6"/>
      <c r="W308" s="135"/>
      <c r="X308" s="135"/>
      <c r="Y308" s="135"/>
      <c r="Z308" s="135"/>
      <c r="AA308" s="135"/>
      <c r="AB308" s="135"/>
      <c r="AC308" s="136"/>
      <c r="AD308" s="135"/>
      <c r="AE308" s="6"/>
      <c r="AF308" s="179"/>
      <c r="AG308" s="180"/>
      <c r="AH308" s="180"/>
      <c r="AI308" s="180"/>
      <c r="AJ308" s="180"/>
      <c r="AK308" s="180"/>
      <c r="AL308" s="180"/>
      <c r="AM308" s="180"/>
      <c r="AN308" s="180"/>
      <c r="AO308" s="180"/>
      <c r="AP308" s="180"/>
      <c r="AQ308" s="180"/>
      <c r="AR308" s="180"/>
      <c r="AS308" s="180"/>
      <c r="AT308" s="180"/>
      <c r="AU308" s="180"/>
      <c r="AV308" s="180"/>
      <c r="AW308" s="180"/>
      <c r="AX308" s="180"/>
      <c r="AY308" s="180"/>
      <c r="AZ308" s="180"/>
      <c r="BA308" s="180"/>
      <c r="BB308" s="180"/>
      <c r="BC308" s="180"/>
      <c r="BD308" s="180"/>
      <c r="BE308" s="180"/>
      <c r="BF308" s="180"/>
      <c r="BG308" s="180"/>
      <c r="BH308" s="180"/>
      <c r="BI308" s="180"/>
      <c r="BK308" s="141"/>
      <c r="BL308" s="141"/>
      <c r="BM308" s="141"/>
      <c r="BN308" s="141"/>
      <c r="BO308" s="141"/>
      <c r="BP308" s="141"/>
    </row>
    <row r="309" spans="1:68" ht="15" customHeight="1" outlineLevel="1">
      <c r="A309" s="6"/>
      <c r="I309" s="3"/>
      <c r="J309" s="3"/>
      <c r="K309" s="3"/>
      <c r="N309" s="6"/>
      <c r="P309" s="6"/>
      <c r="Q309" s="6" t="s">
        <v>169</v>
      </c>
      <c r="R309" s="6"/>
      <c r="S309" s="6"/>
      <c r="T309" s="6"/>
      <c r="U309" s="6"/>
      <c r="V309" s="6"/>
      <c r="W309" s="135" t="e">
        <f t="shared" ref="W309:AB309" ca="1" si="355">IF($D$2=FALSE,"-",IF(W$13="","",OFFSET($AF309,0,W$8)))</f>
        <v>#N/A</v>
      </c>
      <c r="X309" s="135">
        <f t="shared" ca="1" si="355"/>
        <v>-57.459399999999988</v>
      </c>
      <c r="Y309" s="135">
        <f t="shared" ca="1" si="355"/>
        <v>0</v>
      </c>
      <c r="Z309" s="135">
        <f t="shared" ca="1" si="355"/>
        <v>82.520889350577875</v>
      </c>
      <c r="AA309" s="135">
        <f t="shared" ca="1" si="355"/>
        <v>90.154510658695145</v>
      </c>
      <c r="AB309" s="135">
        <f t="shared" ca="1" si="355"/>
        <v>66.818533685836016</v>
      </c>
      <c r="AC309" s="136"/>
      <c r="AD309" s="135" t="e">
        <f ca="1">IF($D$2=FALSE,"-",IF(AD$13="","",OFFSET($AF309,0,$F$4-AD$7-1)+OFFSET($AF309,0,$F$4-1)-OFFSET($AF309,0,$F$4-$E$5-1)))</f>
        <v>#N/A</v>
      </c>
      <c r="AE309" s="6"/>
      <c r="AF309" s="179" t="e">
        <f t="shared" ref="AF309:BI309" ca="1" si="356">IF($D$2=FALSE,"-",IF(AF$13="","",IF(AF$3=0,#N/A,+AF294+AF298+AF307)))</f>
        <v>#N/A</v>
      </c>
      <c r="AG309" s="180">
        <f t="shared" ca="1" si="356"/>
        <v>-57.459399999999988</v>
      </c>
      <c r="AH309" s="180">
        <f t="shared" ca="1" si="356"/>
        <v>0</v>
      </c>
      <c r="AI309" s="180">
        <f t="shared" ca="1" si="356"/>
        <v>82.520889350577875</v>
      </c>
      <c r="AJ309" s="180">
        <f t="shared" ca="1" si="356"/>
        <v>90.154510658695145</v>
      </c>
      <c r="AK309" s="180">
        <f t="shared" ca="1" si="356"/>
        <v>66.818533685836016</v>
      </c>
      <c r="AL309" s="180" t="str">
        <f t="shared" ca="1" si="356"/>
        <v/>
      </c>
      <c r="AM309" s="180" t="str">
        <f t="shared" ca="1" si="356"/>
        <v/>
      </c>
      <c r="AN309" s="180" t="str">
        <f t="shared" ca="1" si="356"/>
        <v/>
      </c>
      <c r="AO309" s="180" t="str">
        <f t="shared" ca="1" si="356"/>
        <v/>
      </c>
      <c r="AP309" s="180" t="str">
        <f t="shared" ca="1" si="356"/>
        <v/>
      </c>
      <c r="AQ309" s="180" t="str">
        <f t="shared" ca="1" si="356"/>
        <v/>
      </c>
      <c r="AR309" s="180" t="str">
        <f t="shared" ca="1" si="356"/>
        <v/>
      </c>
      <c r="AS309" s="180" t="str">
        <f t="shared" ca="1" si="356"/>
        <v/>
      </c>
      <c r="AT309" s="180" t="str">
        <f t="shared" ca="1" si="356"/>
        <v/>
      </c>
      <c r="AU309" s="180" t="str">
        <f t="shared" ca="1" si="356"/>
        <v/>
      </c>
      <c r="AV309" s="180" t="str">
        <f t="shared" ca="1" si="356"/>
        <v/>
      </c>
      <c r="AW309" s="180" t="str">
        <f t="shared" ca="1" si="356"/>
        <v/>
      </c>
      <c r="AX309" s="180" t="str">
        <f t="shared" ca="1" si="356"/>
        <v/>
      </c>
      <c r="AY309" s="180" t="str">
        <f t="shared" ca="1" si="356"/>
        <v/>
      </c>
      <c r="AZ309" s="180" t="str">
        <f t="shared" ca="1" si="356"/>
        <v/>
      </c>
      <c r="BA309" s="180" t="str">
        <f t="shared" ca="1" si="356"/>
        <v/>
      </c>
      <c r="BB309" s="180" t="str">
        <f t="shared" ca="1" si="356"/>
        <v/>
      </c>
      <c r="BC309" s="180" t="str">
        <f t="shared" ca="1" si="356"/>
        <v/>
      </c>
      <c r="BD309" s="180" t="str">
        <f t="shared" ca="1" si="356"/>
        <v/>
      </c>
      <c r="BE309" s="180" t="str">
        <f t="shared" ca="1" si="356"/>
        <v/>
      </c>
      <c r="BF309" s="180" t="str">
        <f t="shared" ca="1" si="356"/>
        <v/>
      </c>
      <c r="BG309" s="180" t="str">
        <f t="shared" ca="1" si="356"/>
        <v/>
      </c>
      <c r="BH309" s="180" t="str">
        <f t="shared" ca="1" si="356"/>
        <v/>
      </c>
      <c r="BI309" s="180" t="str">
        <f t="shared" ca="1" si="356"/>
        <v/>
      </c>
      <c r="BK309" s="141"/>
      <c r="BL309" s="141"/>
      <c r="BM309" s="141"/>
      <c r="BN309" s="141"/>
      <c r="BO309" s="141"/>
      <c r="BP309" s="141"/>
    </row>
    <row r="310" spans="1:68" ht="15" customHeight="1" outlineLevel="1">
      <c r="A310" s="6"/>
      <c r="I310" s="3"/>
      <c r="J310" s="3"/>
      <c r="K310" s="3"/>
      <c r="N310" s="6"/>
      <c r="P310" s="6"/>
      <c r="Q310" s="6"/>
      <c r="R310" s="6"/>
      <c r="S310" s="6"/>
      <c r="T310" s="6"/>
      <c r="U310" s="6"/>
      <c r="V310" s="6"/>
      <c r="W310" s="57"/>
      <c r="X310" s="57"/>
      <c r="Y310" s="57"/>
      <c r="Z310" s="57"/>
      <c r="AA310" s="57"/>
      <c r="AB310" s="57"/>
      <c r="AC310" s="6"/>
      <c r="AD310" s="57"/>
      <c r="AE310" s="6"/>
      <c r="AF310" s="58"/>
      <c r="AG310" s="57"/>
      <c r="AH310" s="57"/>
      <c r="AI310" s="57"/>
      <c r="AJ310" s="57"/>
      <c r="AK310" s="57"/>
      <c r="AL310" s="57"/>
      <c r="AM310" s="57"/>
      <c r="AN310" s="57"/>
      <c r="AO310" s="57"/>
      <c r="AP310" s="57"/>
      <c r="AQ310" s="57"/>
      <c r="AR310" s="57"/>
      <c r="AS310" s="57"/>
      <c r="AT310" s="57"/>
      <c r="AU310" s="57"/>
      <c r="AV310" s="57"/>
      <c r="AW310" s="57"/>
      <c r="AX310" s="57"/>
      <c r="AY310" s="57"/>
      <c r="AZ310" s="57"/>
      <c r="BA310" s="57"/>
      <c r="BB310" s="57"/>
      <c r="BC310" s="57"/>
      <c r="BD310" s="57"/>
      <c r="BE310" s="57"/>
      <c r="BF310" s="57"/>
      <c r="BG310" s="57"/>
      <c r="BH310" s="57"/>
      <c r="BI310" s="57"/>
    </row>
    <row r="311" spans="1:68" ht="15" customHeight="1" outlineLevel="1">
      <c r="A311" s="6"/>
      <c r="I311" s="3"/>
      <c r="J311" s="3"/>
      <c r="K311" s="3"/>
      <c r="N311" s="6"/>
      <c r="P311" s="6"/>
      <c r="Q311" s="6"/>
      <c r="R311" s="6"/>
      <c r="S311" s="6"/>
      <c r="T311" s="6"/>
      <c r="U311" s="6"/>
      <c r="V311" s="6"/>
      <c r="W311" s="57"/>
      <c r="X311" s="57"/>
      <c r="Y311" s="57"/>
      <c r="Z311" s="57"/>
      <c r="AA311" s="57"/>
      <c r="AB311" s="57"/>
      <c r="AC311" s="6"/>
      <c r="AD311" s="57"/>
      <c r="AE311" s="6"/>
      <c r="AF311" s="58"/>
      <c r="AG311" s="57"/>
      <c r="AH311" s="57"/>
      <c r="AI311" s="57"/>
      <c r="AJ311" s="57"/>
      <c r="AK311" s="57"/>
      <c r="AL311" s="57"/>
      <c r="AM311" s="57"/>
      <c r="AN311" s="57"/>
      <c r="AO311" s="57"/>
      <c r="AP311" s="57"/>
      <c r="AQ311" s="57"/>
      <c r="AR311" s="57"/>
      <c r="AS311" s="57"/>
      <c r="AT311" s="57"/>
      <c r="AU311" s="57"/>
      <c r="AV311" s="57"/>
      <c r="AW311" s="57"/>
      <c r="AX311" s="57"/>
      <c r="AY311" s="57"/>
      <c r="AZ311" s="57"/>
      <c r="BA311" s="57"/>
      <c r="BB311" s="57"/>
      <c r="BC311" s="57"/>
      <c r="BD311" s="57"/>
      <c r="BE311" s="57"/>
      <c r="BF311" s="57"/>
      <c r="BG311" s="57"/>
      <c r="BH311" s="57"/>
      <c r="BI311" s="57"/>
    </row>
    <row r="312" spans="1:68" ht="15" customHeight="1" outlineLevel="1">
      <c r="Q312" s="25" t="s">
        <v>181</v>
      </c>
      <c r="R312" s="25"/>
      <c r="S312" s="25"/>
      <c r="T312" s="25"/>
      <c r="U312" s="25"/>
      <c r="W312" s="59"/>
      <c r="X312" s="59"/>
      <c r="Y312" s="59"/>
      <c r="Z312" s="59"/>
      <c r="AA312" s="59"/>
      <c r="AB312" s="59"/>
      <c r="AD312" s="59"/>
      <c r="AE312" s="6"/>
      <c r="AF312" s="264"/>
      <c r="AG312" s="133"/>
      <c r="AH312" s="133"/>
      <c r="AI312" s="133"/>
      <c r="AJ312" s="133"/>
      <c r="AK312" s="133"/>
      <c r="AL312" s="133"/>
      <c r="AM312" s="133"/>
      <c r="AN312" s="133"/>
      <c r="AO312" s="133"/>
      <c r="AP312" s="133"/>
      <c r="AQ312" s="133"/>
      <c r="AR312" s="133"/>
      <c r="AS312" s="133"/>
      <c r="AT312" s="133"/>
      <c r="AU312" s="133"/>
      <c r="AV312" s="133"/>
      <c r="AW312" s="133"/>
      <c r="AX312" s="133"/>
      <c r="AY312" s="133"/>
      <c r="AZ312" s="133"/>
      <c r="BA312" s="133"/>
      <c r="BB312" s="133"/>
      <c r="BC312" s="133"/>
      <c r="BD312" s="133"/>
      <c r="BE312" s="133"/>
      <c r="BF312" s="133"/>
      <c r="BG312" s="133"/>
      <c r="BH312" s="133"/>
      <c r="BI312" s="133"/>
    </row>
    <row r="313" spans="1:68" ht="15" customHeight="1" outlineLevel="1">
      <c r="A313" s="6"/>
      <c r="I313" s="3"/>
      <c r="J313" s="3"/>
      <c r="K313" s="3"/>
      <c r="N313" s="6"/>
      <c r="P313" s="6"/>
      <c r="Q313" s="6"/>
      <c r="R313" s="6"/>
      <c r="S313" s="6"/>
      <c r="T313" s="6"/>
      <c r="U313" s="6"/>
      <c r="V313" s="6"/>
      <c r="W313" s="57"/>
      <c r="X313" s="57"/>
      <c r="Y313" s="57"/>
      <c r="Z313" s="57"/>
      <c r="AA313" s="57"/>
      <c r="AB313" s="57"/>
      <c r="AC313" s="6"/>
      <c r="AD313" s="57"/>
      <c r="AE313" s="6"/>
      <c r="AF313" s="58"/>
      <c r="AG313" s="57"/>
      <c r="AH313" s="57"/>
      <c r="AI313" s="57"/>
      <c r="AJ313" s="57"/>
      <c r="AK313" s="57"/>
      <c r="AL313" s="57"/>
      <c r="AM313" s="57"/>
      <c r="AN313" s="57"/>
      <c r="AO313" s="57"/>
      <c r="AP313" s="57"/>
      <c r="AQ313" s="57"/>
      <c r="AR313" s="57"/>
      <c r="AS313" s="57"/>
      <c r="AT313" s="57"/>
      <c r="AU313" s="57"/>
      <c r="AV313" s="57"/>
      <c r="AW313" s="57"/>
      <c r="AX313" s="57"/>
      <c r="AY313" s="57"/>
      <c r="AZ313" s="57"/>
      <c r="BA313" s="57"/>
      <c r="BB313" s="57"/>
      <c r="BC313" s="57"/>
      <c r="BD313" s="57"/>
      <c r="BE313" s="57"/>
      <c r="BF313" s="57"/>
      <c r="BG313" s="57"/>
      <c r="BH313" s="57"/>
      <c r="BI313" s="57"/>
    </row>
    <row r="314" spans="1:68" ht="15" customHeight="1" outlineLevel="1">
      <c r="Q314" s="1" t="s">
        <v>182</v>
      </c>
      <c r="W314" s="98" t="e">
        <f t="shared" ref="W314:AB321" ca="1" si="357">IF($D$2=FALSE,"-",IF(W$13="","",OFFSET($AF314,0,W$8)))</f>
        <v>#N/A</v>
      </c>
      <c r="X314" s="98">
        <f t="shared" ca="1" si="357"/>
        <v>157.10599999999999</v>
      </c>
      <c r="Y314" s="98">
        <f t="shared" ca="1" si="357"/>
        <v>99.646600000000007</v>
      </c>
      <c r="Z314" s="98">
        <f t="shared" ca="1" si="357"/>
        <v>99.646600000000007</v>
      </c>
      <c r="AA314" s="98">
        <f t="shared" ca="1" si="357"/>
        <v>182.16748935057788</v>
      </c>
      <c r="AB314" s="98">
        <f t="shared" ca="1" si="357"/>
        <v>272.32200000927304</v>
      </c>
      <c r="AC314" s="98"/>
      <c r="AD314" s="98" t="e">
        <f t="shared" ref="AD314:AD321" ca="1" si="358">IF($D$2=FALSE,"-",IF(AD$13="","",OFFSET($AF314,0,$F$4-AD$7-1)+OFFSET($AF314,0,$F$4-1)-OFFSET($AF314,0,$F$4-$E$5-1)))</f>
        <v>#N/A</v>
      </c>
      <c r="AF314" s="309" t="e">
        <f t="shared" ref="AF314:BI314" ca="1" si="359">IF($D$2=FALSE,"-",IF(AF$13="","",OFFSET(AF196,0,-AF$7)))</f>
        <v>#N/A</v>
      </c>
      <c r="AG314" s="302">
        <f t="shared" ca="1" si="359"/>
        <v>157.10599999999999</v>
      </c>
      <c r="AH314" s="302">
        <f t="shared" ca="1" si="359"/>
        <v>99.646600000000007</v>
      </c>
      <c r="AI314" s="302">
        <f t="shared" ca="1" si="359"/>
        <v>99.646600000000007</v>
      </c>
      <c r="AJ314" s="302">
        <f t="shared" ca="1" si="359"/>
        <v>182.16748935057788</v>
      </c>
      <c r="AK314" s="302">
        <f t="shared" ca="1" si="359"/>
        <v>272.32200000927304</v>
      </c>
      <c r="AL314" s="302" t="str">
        <f t="shared" ca="1" si="359"/>
        <v/>
      </c>
      <c r="AM314" s="302" t="str">
        <f t="shared" ca="1" si="359"/>
        <v/>
      </c>
      <c r="AN314" s="302" t="str">
        <f t="shared" ca="1" si="359"/>
        <v/>
      </c>
      <c r="AO314" s="302" t="str">
        <f t="shared" ca="1" si="359"/>
        <v/>
      </c>
      <c r="AP314" s="302" t="str">
        <f t="shared" ca="1" si="359"/>
        <v/>
      </c>
      <c r="AQ314" s="302" t="str">
        <f t="shared" ca="1" si="359"/>
        <v/>
      </c>
      <c r="AR314" s="302" t="str">
        <f t="shared" ca="1" si="359"/>
        <v/>
      </c>
      <c r="AS314" s="302" t="str">
        <f t="shared" ca="1" si="359"/>
        <v/>
      </c>
      <c r="AT314" s="302" t="str">
        <f t="shared" ca="1" si="359"/>
        <v/>
      </c>
      <c r="AU314" s="302" t="str">
        <f t="shared" ca="1" si="359"/>
        <v/>
      </c>
      <c r="AV314" s="302" t="str">
        <f t="shared" ca="1" si="359"/>
        <v/>
      </c>
      <c r="AW314" s="302" t="str">
        <f t="shared" ca="1" si="359"/>
        <v/>
      </c>
      <c r="AX314" s="302" t="str">
        <f t="shared" ca="1" si="359"/>
        <v/>
      </c>
      <c r="AY314" s="302" t="str">
        <f t="shared" ca="1" si="359"/>
        <v/>
      </c>
      <c r="AZ314" s="302" t="str">
        <f t="shared" ca="1" si="359"/>
        <v/>
      </c>
      <c r="BA314" s="302" t="str">
        <f t="shared" ca="1" si="359"/>
        <v/>
      </c>
      <c r="BB314" s="302" t="str">
        <f t="shared" ca="1" si="359"/>
        <v/>
      </c>
      <c r="BC314" s="302" t="str">
        <f t="shared" ca="1" si="359"/>
        <v/>
      </c>
      <c r="BD314" s="302" t="str">
        <f t="shared" ca="1" si="359"/>
        <v/>
      </c>
      <c r="BE314" s="302" t="str">
        <f t="shared" ca="1" si="359"/>
        <v/>
      </c>
      <c r="BF314" s="302" t="str">
        <f t="shared" ca="1" si="359"/>
        <v/>
      </c>
      <c r="BG314" s="302" t="str">
        <f t="shared" ca="1" si="359"/>
        <v/>
      </c>
      <c r="BH314" s="302" t="str">
        <f t="shared" ca="1" si="359"/>
        <v/>
      </c>
      <c r="BI314" s="302" t="str">
        <f t="shared" ca="1" si="359"/>
        <v/>
      </c>
      <c r="BK314" s="84"/>
      <c r="BL314" s="84"/>
      <c r="BM314" s="84"/>
      <c r="BN314" s="84"/>
      <c r="BO314" s="84"/>
      <c r="BP314" s="84"/>
    </row>
    <row r="315" spans="1:68" ht="15" customHeight="1" outlineLevel="1">
      <c r="A315" s="6"/>
      <c r="B315" s="34">
        <f>$B$57</f>
        <v>44926</v>
      </c>
      <c r="C315" s="34">
        <f ca="1">$C$57</f>
        <v>44926</v>
      </c>
      <c r="D315" s="107" t="e">
        <f ca="1">IF($D$2=FALSE,"-",AVERAGE(OFFSET($AF315,0,MATCH(B315,OFFSET($AF$13,0,0,1,$G$4-$E$4+1),0)-1,1,MATCH(C315,OFFSET($AF$13,0,0,1,$G$4-$E$4+1),0)-MATCH(B315,OFFSET($AF$13,0,0,1,$G$4-$E$4+1),0)+1)))</f>
        <v>#N/A</v>
      </c>
      <c r="E315" s="96">
        <f>IF($D$2=FALSE,0,J315)</f>
        <v>100</v>
      </c>
      <c r="F315" s="107">
        <f>IF($D$2=FALSE,"-",IF(E315="",D315,E315))</f>
        <v>100</v>
      </c>
      <c r="G315" s="34">
        <f>$G$57</f>
        <v>44926</v>
      </c>
      <c r="H315" s="37">
        <f ca="1">$H$57</f>
        <v>44926</v>
      </c>
      <c r="I315" s="107" t="e">
        <f ca="1">IF($D$2=FALSE,"-",AVERAGE(OFFSET($AF315,0,MATCH(G315,OFFSET($AF$13,0,0,1,$G$4-$E$4+1),0)-1,1,MATCH(H315,OFFSET($AF$13,0,0,1,$G$4-$E$4+1),0)-MATCH(G315,OFFSET($AF$13,0,0,1,$G$4-$E$4+1),0)+1)))</f>
        <v>#N/A</v>
      </c>
      <c r="J315" s="96">
        <v>100</v>
      </c>
      <c r="K315" s="127">
        <f>IF($D$2=FALSE,"-",IF(J315="",I315,J315))</f>
        <v>100</v>
      </c>
      <c r="L315" s="126">
        <v>5</v>
      </c>
      <c r="M315" s="81">
        <v>0.1</v>
      </c>
      <c r="P315" s="6"/>
      <c r="Q315" s="22" t="s">
        <v>183</v>
      </c>
      <c r="R315" s="22"/>
      <c r="S315" s="22"/>
      <c r="T315" s="22"/>
      <c r="U315" s="22"/>
      <c r="V315" s="6"/>
      <c r="W315" s="219" t="e">
        <f t="shared" ca="1" si="357"/>
        <v>#N/A</v>
      </c>
      <c r="X315" s="219">
        <f t="shared" ca="1" si="357"/>
        <v>-100</v>
      </c>
      <c r="Y315" s="219">
        <f t="shared" ca="1" si="357"/>
        <v>-100</v>
      </c>
      <c r="Z315" s="219">
        <f t="shared" ca="1" si="357"/>
        <v>-100</v>
      </c>
      <c r="AA315" s="219">
        <f t="shared" ca="1" si="357"/>
        <v>-100</v>
      </c>
      <c r="AB315" s="219">
        <f t="shared" ca="1" si="357"/>
        <v>-100</v>
      </c>
      <c r="AC315" s="98"/>
      <c r="AD315" s="219" t="e">
        <f t="shared" ca="1" si="358"/>
        <v>#N/A</v>
      </c>
      <c r="AE315" s="6"/>
      <c r="AF315" s="291" t="e">
        <f t="shared" ref="AF315:BI315" ca="1" si="360">IF($D$2=FALSE,"-",IF(AF$13="","",IF(AF$4&lt;=0,#N/A,-IF(AF$4&lt;=$L315,IF($M315=0,$F315-((IF($M315=0,($F315-$K315)/$L315,($K315-$F315)/(EXP(-$M315*$L315)-1)))*(AF$4-1)),($F315-(IF($M315=0,($F315-$K315)/$L315,($K315-$F315)/(EXP(-$M315*$L315)-1))))+((IF($M315=0,($F315-$K315)/$L315,($K315-$F315)/(EXP(-$M315*$L315)-1)))*EXP(-$M315*(AF$4-1)))),$K315))))</f>
        <v>#N/A</v>
      </c>
      <c r="AG315" s="292">
        <f t="shared" ca="1" si="360"/>
        <v>-100</v>
      </c>
      <c r="AH315" s="291">
        <f t="shared" ca="1" si="360"/>
        <v>-100</v>
      </c>
      <c r="AI315" s="291">
        <f t="shared" ca="1" si="360"/>
        <v>-100</v>
      </c>
      <c r="AJ315" s="291">
        <f t="shared" ca="1" si="360"/>
        <v>-100</v>
      </c>
      <c r="AK315" s="291">
        <f t="shared" ca="1" si="360"/>
        <v>-100</v>
      </c>
      <c r="AL315" s="291" t="str">
        <f t="shared" ca="1" si="360"/>
        <v/>
      </c>
      <c r="AM315" s="291" t="str">
        <f t="shared" ca="1" si="360"/>
        <v/>
      </c>
      <c r="AN315" s="291" t="str">
        <f t="shared" ca="1" si="360"/>
        <v/>
      </c>
      <c r="AO315" s="291" t="str">
        <f t="shared" ca="1" si="360"/>
        <v/>
      </c>
      <c r="AP315" s="291" t="str">
        <f t="shared" ca="1" si="360"/>
        <v/>
      </c>
      <c r="AQ315" s="291" t="str">
        <f t="shared" ca="1" si="360"/>
        <v/>
      </c>
      <c r="AR315" s="291" t="str">
        <f t="shared" ca="1" si="360"/>
        <v/>
      </c>
      <c r="AS315" s="291" t="str">
        <f t="shared" ca="1" si="360"/>
        <v/>
      </c>
      <c r="AT315" s="291" t="str">
        <f t="shared" ca="1" si="360"/>
        <v/>
      </c>
      <c r="AU315" s="291" t="str">
        <f t="shared" ca="1" si="360"/>
        <v/>
      </c>
      <c r="AV315" s="291" t="str">
        <f t="shared" ca="1" si="360"/>
        <v/>
      </c>
      <c r="AW315" s="291" t="str">
        <f t="shared" ca="1" si="360"/>
        <v/>
      </c>
      <c r="AX315" s="291" t="str">
        <f t="shared" ca="1" si="360"/>
        <v/>
      </c>
      <c r="AY315" s="291" t="str">
        <f t="shared" ca="1" si="360"/>
        <v/>
      </c>
      <c r="AZ315" s="291" t="str">
        <f t="shared" ca="1" si="360"/>
        <v/>
      </c>
      <c r="BA315" s="291" t="str">
        <f t="shared" ca="1" si="360"/>
        <v/>
      </c>
      <c r="BB315" s="291" t="str">
        <f t="shared" ca="1" si="360"/>
        <v/>
      </c>
      <c r="BC315" s="291" t="str">
        <f t="shared" ca="1" si="360"/>
        <v/>
      </c>
      <c r="BD315" s="291" t="str">
        <f t="shared" ca="1" si="360"/>
        <v/>
      </c>
      <c r="BE315" s="291" t="str">
        <f t="shared" ca="1" si="360"/>
        <v/>
      </c>
      <c r="BF315" s="291" t="str">
        <f t="shared" ca="1" si="360"/>
        <v/>
      </c>
      <c r="BG315" s="291" t="str">
        <f t="shared" ca="1" si="360"/>
        <v/>
      </c>
      <c r="BH315" s="291" t="str">
        <f t="shared" ca="1" si="360"/>
        <v/>
      </c>
      <c r="BI315" s="291" t="str">
        <f t="shared" ca="1" si="360"/>
        <v/>
      </c>
      <c r="BK315" s="84"/>
      <c r="BL315" s="84"/>
      <c r="BM315" s="84"/>
      <c r="BN315" s="84"/>
      <c r="BO315" s="84"/>
      <c r="BP315" s="84"/>
    </row>
    <row r="316" spans="1:68" ht="15" customHeight="1" outlineLevel="1">
      <c r="Q316" s="1" t="s">
        <v>184</v>
      </c>
      <c r="W316" s="98" t="e">
        <f t="shared" ca="1" si="357"/>
        <v>#N/A</v>
      </c>
      <c r="X316" s="98">
        <f t="shared" ca="1" si="357"/>
        <v>57.105999999999995</v>
      </c>
      <c r="Y316" s="98">
        <f t="shared" ca="1" si="357"/>
        <v>-0.3533999999999935</v>
      </c>
      <c r="Z316" s="98">
        <f t="shared" ca="1" si="357"/>
        <v>-0.3533999999999935</v>
      </c>
      <c r="AA316" s="98">
        <f t="shared" ca="1" si="357"/>
        <v>82.167489350577881</v>
      </c>
      <c r="AB316" s="98">
        <f t="shared" ca="1" si="357"/>
        <v>172.32200000927304</v>
      </c>
      <c r="AC316" s="98"/>
      <c r="AD316" s="98" t="e">
        <f t="shared" ca="1" si="358"/>
        <v>#N/A</v>
      </c>
      <c r="AF316" s="124" t="e">
        <f t="shared" ref="AF316:BI316" ca="1" si="361">IF($D$2=FALSE,"-",IF(AF$13="","",+SUM(AF314:AF315)))</f>
        <v>#N/A</v>
      </c>
      <c r="AG316" s="125">
        <f t="shared" ca="1" si="361"/>
        <v>57.105999999999995</v>
      </c>
      <c r="AH316" s="125">
        <f t="shared" ca="1" si="361"/>
        <v>-0.3533999999999935</v>
      </c>
      <c r="AI316" s="125">
        <f t="shared" ca="1" si="361"/>
        <v>-0.3533999999999935</v>
      </c>
      <c r="AJ316" s="125">
        <f t="shared" ca="1" si="361"/>
        <v>82.167489350577881</v>
      </c>
      <c r="AK316" s="125">
        <f t="shared" ca="1" si="361"/>
        <v>172.32200000927304</v>
      </c>
      <c r="AL316" s="125" t="str">
        <f t="shared" ca="1" si="361"/>
        <v/>
      </c>
      <c r="AM316" s="125" t="str">
        <f t="shared" ca="1" si="361"/>
        <v/>
      </c>
      <c r="AN316" s="125" t="str">
        <f t="shared" ca="1" si="361"/>
        <v/>
      </c>
      <c r="AO316" s="125" t="str">
        <f t="shared" ca="1" si="361"/>
        <v/>
      </c>
      <c r="AP316" s="125" t="str">
        <f t="shared" ca="1" si="361"/>
        <v/>
      </c>
      <c r="AQ316" s="125" t="str">
        <f t="shared" ca="1" si="361"/>
        <v/>
      </c>
      <c r="AR316" s="125" t="str">
        <f t="shared" ca="1" si="361"/>
        <v/>
      </c>
      <c r="AS316" s="125" t="str">
        <f t="shared" ca="1" si="361"/>
        <v/>
      </c>
      <c r="AT316" s="125" t="str">
        <f t="shared" ca="1" si="361"/>
        <v/>
      </c>
      <c r="AU316" s="125" t="str">
        <f t="shared" ca="1" si="361"/>
        <v/>
      </c>
      <c r="AV316" s="125" t="str">
        <f t="shared" ca="1" si="361"/>
        <v/>
      </c>
      <c r="AW316" s="125" t="str">
        <f t="shared" ca="1" si="361"/>
        <v/>
      </c>
      <c r="AX316" s="125" t="str">
        <f t="shared" ca="1" si="361"/>
        <v/>
      </c>
      <c r="AY316" s="125" t="str">
        <f t="shared" ca="1" si="361"/>
        <v/>
      </c>
      <c r="AZ316" s="125" t="str">
        <f t="shared" ca="1" si="361"/>
        <v/>
      </c>
      <c r="BA316" s="125" t="str">
        <f t="shared" ca="1" si="361"/>
        <v/>
      </c>
      <c r="BB316" s="125" t="str">
        <f t="shared" ca="1" si="361"/>
        <v/>
      </c>
      <c r="BC316" s="125" t="str">
        <f t="shared" ca="1" si="361"/>
        <v/>
      </c>
      <c r="BD316" s="125" t="str">
        <f t="shared" ca="1" si="361"/>
        <v/>
      </c>
      <c r="BE316" s="125" t="str">
        <f t="shared" ca="1" si="361"/>
        <v/>
      </c>
      <c r="BF316" s="125" t="str">
        <f t="shared" ca="1" si="361"/>
        <v/>
      </c>
      <c r="BG316" s="125" t="str">
        <f t="shared" ca="1" si="361"/>
        <v/>
      </c>
      <c r="BH316" s="125" t="str">
        <f t="shared" ca="1" si="361"/>
        <v/>
      </c>
      <c r="BI316" s="125" t="str">
        <f t="shared" ca="1" si="361"/>
        <v/>
      </c>
      <c r="BK316" s="84"/>
      <c r="BL316" s="84"/>
      <c r="BM316" s="84"/>
      <c r="BN316" s="84"/>
      <c r="BO316" s="84"/>
      <c r="BP316" s="84"/>
    </row>
    <row r="317" spans="1:68" ht="15" customHeight="1" outlineLevel="1">
      <c r="Q317" s="100" t="s">
        <v>185</v>
      </c>
      <c r="R317" s="100"/>
      <c r="S317" s="100"/>
      <c r="T317" s="100"/>
      <c r="U317" s="100"/>
      <c r="W317" s="103" t="e">
        <f t="shared" ca="1" si="357"/>
        <v>#N/A</v>
      </c>
      <c r="X317" s="103">
        <f t="shared" ca="1" si="357"/>
        <v>70.650430650000061</v>
      </c>
      <c r="Y317" s="103">
        <f t="shared" ca="1" si="357"/>
        <v>85.192302527365783</v>
      </c>
      <c r="Z317" s="103">
        <f t="shared" ca="1" si="357"/>
        <v>96.928956173212043</v>
      </c>
      <c r="AA317" s="103">
        <f t="shared" ca="1" si="357"/>
        <v>91.507910658695138</v>
      </c>
      <c r="AB317" s="103">
        <f t="shared" ca="1" si="357"/>
        <v>68.171933685836009</v>
      </c>
      <c r="AC317" s="98"/>
      <c r="AD317" s="103" t="e">
        <f t="shared" ca="1" si="358"/>
        <v>#N/A</v>
      </c>
      <c r="AF317" s="221" t="e">
        <f t="shared" ref="AF317:BI317" ca="1" si="362">IF($D$2=FALSE,"-",IF(AF$13="","",+AF294+AF298+AF305))</f>
        <v>#N/A</v>
      </c>
      <c r="AG317" s="209">
        <f t="shared" ca="1" si="362"/>
        <v>70.650430650000061</v>
      </c>
      <c r="AH317" s="209">
        <f t="shared" ca="1" si="362"/>
        <v>85.192302527365783</v>
      </c>
      <c r="AI317" s="209">
        <f t="shared" ca="1" si="362"/>
        <v>96.928956173212043</v>
      </c>
      <c r="AJ317" s="209">
        <f t="shared" ca="1" si="362"/>
        <v>91.507910658695138</v>
      </c>
      <c r="AK317" s="209">
        <f t="shared" ca="1" si="362"/>
        <v>68.171933685836009</v>
      </c>
      <c r="AL317" s="209" t="str">
        <f t="shared" ca="1" si="362"/>
        <v/>
      </c>
      <c r="AM317" s="209" t="str">
        <f t="shared" ca="1" si="362"/>
        <v/>
      </c>
      <c r="AN317" s="209" t="str">
        <f t="shared" ca="1" si="362"/>
        <v/>
      </c>
      <c r="AO317" s="209" t="str">
        <f t="shared" ca="1" si="362"/>
        <v/>
      </c>
      <c r="AP317" s="209" t="str">
        <f t="shared" ca="1" si="362"/>
        <v/>
      </c>
      <c r="AQ317" s="209" t="str">
        <f t="shared" ca="1" si="362"/>
        <v/>
      </c>
      <c r="AR317" s="209" t="str">
        <f t="shared" ca="1" si="362"/>
        <v/>
      </c>
      <c r="AS317" s="209" t="str">
        <f t="shared" ca="1" si="362"/>
        <v/>
      </c>
      <c r="AT317" s="209" t="str">
        <f t="shared" ca="1" si="362"/>
        <v/>
      </c>
      <c r="AU317" s="209" t="str">
        <f t="shared" ca="1" si="362"/>
        <v/>
      </c>
      <c r="AV317" s="209" t="str">
        <f t="shared" ca="1" si="362"/>
        <v/>
      </c>
      <c r="AW317" s="209" t="str">
        <f t="shared" ca="1" si="362"/>
        <v/>
      </c>
      <c r="AX317" s="209" t="str">
        <f t="shared" ca="1" si="362"/>
        <v/>
      </c>
      <c r="AY317" s="209" t="str">
        <f t="shared" ca="1" si="362"/>
        <v/>
      </c>
      <c r="AZ317" s="209" t="str">
        <f t="shared" ca="1" si="362"/>
        <v/>
      </c>
      <c r="BA317" s="209" t="str">
        <f t="shared" ca="1" si="362"/>
        <v/>
      </c>
      <c r="BB317" s="209" t="str">
        <f t="shared" ca="1" si="362"/>
        <v/>
      </c>
      <c r="BC317" s="209" t="str">
        <f t="shared" ca="1" si="362"/>
        <v/>
      </c>
      <c r="BD317" s="209" t="str">
        <f t="shared" ca="1" si="362"/>
        <v/>
      </c>
      <c r="BE317" s="209" t="str">
        <f t="shared" ca="1" si="362"/>
        <v/>
      </c>
      <c r="BF317" s="209" t="str">
        <f t="shared" ca="1" si="362"/>
        <v/>
      </c>
      <c r="BG317" s="209" t="str">
        <f t="shared" ca="1" si="362"/>
        <v/>
      </c>
      <c r="BH317" s="209" t="str">
        <f t="shared" ca="1" si="362"/>
        <v/>
      </c>
      <c r="BI317" s="209" t="str">
        <f t="shared" ca="1" si="362"/>
        <v/>
      </c>
      <c r="BK317" s="84"/>
      <c r="BL317" s="84"/>
      <c r="BM317" s="84"/>
      <c r="BN317" s="84"/>
      <c r="BO317" s="84"/>
      <c r="BP317" s="84"/>
    </row>
    <row r="318" spans="1:68" ht="15" customHeight="1" outlineLevel="1">
      <c r="Q318" s="143" t="s">
        <v>186</v>
      </c>
      <c r="R318" s="143"/>
      <c r="S318" s="143"/>
      <c r="T318" s="143"/>
      <c r="U318" s="143"/>
      <c r="W318" s="146" t="e">
        <f t="shared" ca="1" si="357"/>
        <v>#N/A</v>
      </c>
      <c r="X318" s="146">
        <f t="shared" ca="1" si="357"/>
        <v>127.75643065000006</v>
      </c>
      <c r="Y318" s="146">
        <f t="shared" ca="1" si="357"/>
        <v>84.838902527365789</v>
      </c>
      <c r="Z318" s="146">
        <f t="shared" ca="1" si="357"/>
        <v>96.57555617321205</v>
      </c>
      <c r="AA318" s="146">
        <f t="shared" ca="1" si="357"/>
        <v>173.67540000927301</v>
      </c>
      <c r="AB318" s="146">
        <f t="shared" ca="1" si="357"/>
        <v>240.49393369510904</v>
      </c>
      <c r="AC318" s="98"/>
      <c r="AD318" s="146" t="e">
        <f t="shared" ca="1" si="358"/>
        <v>#N/A</v>
      </c>
      <c r="AF318" s="265" t="e">
        <f t="shared" ref="AF318:BI318" ca="1" si="363">IF($D$2=FALSE,"-",IF(AF$13="","",+SUM(AF316:AF317)))</f>
        <v>#N/A</v>
      </c>
      <c r="AG318" s="227">
        <f t="shared" ca="1" si="363"/>
        <v>127.75643065000006</v>
      </c>
      <c r="AH318" s="227">
        <f t="shared" ca="1" si="363"/>
        <v>84.838902527365789</v>
      </c>
      <c r="AI318" s="227">
        <f t="shared" ca="1" si="363"/>
        <v>96.57555617321205</v>
      </c>
      <c r="AJ318" s="227">
        <f t="shared" ca="1" si="363"/>
        <v>173.67540000927301</v>
      </c>
      <c r="AK318" s="227">
        <f t="shared" ca="1" si="363"/>
        <v>240.49393369510904</v>
      </c>
      <c r="AL318" s="227" t="str">
        <f t="shared" ca="1" si="363"/>
        <v/>
      </c>
      <c r="AM318" s="227" t="str">
        <f t="shared" ca="1" si="363"/>
        <v/>
      </c>
      <c r="AN318" s="227" t="str">
        <f t="shared" ca="1" si="363"/>
        <v/>
      </c>
      <c r="AO318" s="227" t="str">
        <f t="shared" ca="1" si="363"/>
        <v/>
      </c>
      <c r="AP318" s="227" t="str">
        <f t="shared" ca="1" si="363"/>
        <v/>
      </c>
      <c r="AQ318" s="227" t="str">
        <f t="shared" ca="1" si="363"/>
        <v/>
      </c>
      <c r="AR318" s="227" t="str">
        <f t="shared" ca="1" si="363"/>
        <v/>
      </c>
      <c r="AS318" s="227" t="str">
        <f t="shared" ca="1" si="363"/>
        <v/>
      </c>
      <c r="AT318" s="227" t="str">
        <f t="shared" ca="1" si="363"/>
        <v/>
      </c>
      <c r="AU318" s="227" t="str">
        <f t="shared" ca="1" si="363"/>
        <v/>
      </c>
      <c r="AV318" s="227" t="str">
        <f t="shared" ca="1" si="363"/>
        <v/>
      </c>
      <c r="AW318" s="227" t="str">
        <f t="shared" ca="1" si="363"/>
        <v/>
      </c>
      <c r="AX318" s="227" t="str">
        <f t="shared" ca="1" si="363"/>
        <v/>
      </c>
      <c r="AY318" s="227" t="str">
        <f t="shared" ca="1" si="363"/>
        <v/>
      </c>
      <c r="AZ318" s="227" t="str">
        <f t="shared" ca="1" si="363"/>
        <v/>
      </c>
      <c r="BA318" s="227" t="str">
        <f t="shared" ca="1" si="363"/>
        <v/>
      </c>
      <c r="BB318" s="227" t="str">
        <f t="shared" ca="1" si="363"/>
        <v/>
      </c>
      <c r="BC318" s="227" t="str">
        <f t="shared" ca="1" si="363"/>
        <v/>
      </c>
      <c r="BD318" s="227" t="str">
        <f t="shared" ca="1" si="363"/>
        <v/>
      </c>
      <c r="BE318" s="227" t="str">
        <f t="shared" ca="1" si="363"/>
        <v/>
      </c>
      <c r="BF318" s="227" t="str">
        <f t="shared" ca="1" si="363"/>
        <v/>
      </c>
      <c r="BG318" s="227" t="str">
        <f t="shared" ca="1" si="363"/>
        <v/>
      </c>
      <c r="BH318" s="227" t="str">
        <f t="shared" ca="1" si="363"/>
        <v/>
      </c>
      <c r="BI318" s="227" t="str">
        <f t="shared" ca="1" si="363"/>
        <v/>
      </c>
      <c r="BK318" s="84"/>
      <c r="BL318" s="84"/>
      <c r="BM318" s="84"/>
      <c r="BN318" s="84"/>
      <c r="BO318" s="84"/>
      <c r="BP318" s="84"/>
    </row>
    <row r="319" spans="1:68" ht="15" customHeight="1" outlineLevel="1">
      <c r="Q319" s="59" t="s">
        <v>187</v>
      </c>
      <c r="R319" s="59"/>
      <c r="S319" s="59"/>
      <c r="T319" s="59"/>
      <c r="U319" s="59"/>
      <c r="W319" s="235" t="e">
        <f t="shared" ca="1" si="357"/>
        <v>#N/A</v>
      </c>
      <c r="X319" s="235">
        <f t="shared" ca="1" si="357"/>
        <v>-9.3249999999999993</v>
      </c>
      <c r="Y319" s="235">
        <f t="shared" ca="1" si="357"/>
        <v>-9.3249999999999993</v>
      </c>
      <c r="Z319" s="235">
        <f t="shared" ca="1" si="357"/>
        <v>-1</v>
      </c>
      <c r="AA319" s="235">
        <f t="shared" ca="1" si="357"/>
        <v>-1</v>
      </c>
      <c r="AB319" s="235">
        <f t="shared" ca="1" si="357"/>
        <v>-1</v>
      </c>
      <c r="AC319" s="98"/>
      <c r="AD319" s="235" t="e">
        <f t="shared" ca="1" si="358"/>
        <v>#N/A</v>
      </c>
      <c r="AF319" s="264" t="e">
        <f t="shared" ref="AF319:BI319" ca="1" si="364">IF($D$2=FALSE,"-",IF(AF$13="","",+AF337+AF344+AF352))</f>
        <v>#N/A</v>
      </c>
      <c r="AG319" s="133">
        <f t="shared" ca="1" si="364"/>
        <v>-9.3249999999999993</v>
      </c>
      <c r="AH319" s="133">
        <f t="shared" ca="1" si="364"/>
        <v>-9.3249999999999993</v>
      </c>
      <c r="AI319" s="133">
        <f t="shared" ca="1" si="364"/>
        <v>-1</v>
      </c>
      <c r="AJ319" s="133">
        <f t="shared" ca="1" si="364"/>
        <v>-1</v>
      </c>
      <c r="AK319" s="133">
        <f t="shared" ca="1" si="364"/>
        <v>-1</v>
      </c>
      <c r="AL319" s="133" t="str">
        <f t="shared" ca="1" si="364"/>
        <v/>
      </c>
      <c r="AM319" s="133" t="str">
        <f t="shared" ca="1" si="364"/>
        <v/>
      </c>
      <c r="AN319" s="133" t="str">
        <f t="shared" ca="1" si="364"/>
        <v/>
      </c>
      <c r="AO319" s="133" t="str">
        <f t="shared" ca="1" si="364"/>
        <v/>
      </c>
      <c r="AP319" s="133" t="str">
        <f t="shared" ca="1" si="364"/>
        <v/>
      </c>
      <c r="AQ319" s="133" t="str">
        <f t="shared" ca="1" si="364"/>
        <v/>
      </c>
      <c r="AR319" s="133" t="str">
        <f t="shared" ca="1" si="364"/>
        <v/>
      </c>
      <c r="AS319" s="133" t="str">
        <f t="shared" ca="1" si="364"/>
        <v/>
      </c>
      <c r="AT319" s="133" t="str">
        <f t="shared" ca="1" si="364"/>
        <v/>
      </c>
      <c r="AU319" s="133" t="str">
        <f t="shared" ca="1" si="364"/>
        <v/>
      </c>
      <c r="AV319" s="133" t="str">
        <f t="shared" ca="1" si="364"/>
        <v/>
      </c>
      <c r="AW319" s="133" t="str">
        <f t="shared" ca="1" si="364"/>
        <v/>
      </c>
      <c r="AX319" s="133" t="str">
        <f t="shared" ca="1" si="364"/>
        <v/>
      </c>
      <c r="AY319" s="133" t="str">
        <f t="shared" ca="1" si="364"/>
        <v/>
      </c>
      <c r="AZ319" s="133" t="str">
        <f t="shared" ca="1" si="364"/>
        <v/>
      </c>
      <c r="BA319" s="133" t="str">
        <f t="shared" ca="1" si="364"/>
        <v/>
      </c>
      <c r="BB319" s="133" t="str">
        <f t="shared" ca="1" si="364"/>
        <v/>
      </c>
      <c r="BC319" s="133" t="str">
        <f t="shared" ca="1" si="364"/>
        <v/>
      </c>
      <c r="BD319" s="133" t="str">
        <f t="shared" ca="1" si="364"/>
        <v/>
      </c>
      <c r="BE319" s="133" t="str">
        <f t="shared" ca="1" si="364"/>
        <v/>
      </c>
      <c r="BF319" s="133" t="str">
        <f t="shared" ca="1" si="364"/>
        <v/>
      </c>
      <c r="BG319" s="133" t="str">
        <f t="shared" ca="1" si="364"/>
        <v/>
      </c>
      <c r="BH319" s="133" t="str">
        <f t="shared" ca="1" si="364"/>
        <v/>
      </c>
      <c r="BI319" s="133" t="str">
        <f t="shared" ca="1" si="364"/>
        <v/>
      </c>
      <c r="BK319" s="84"/>
      <c r="BL319" s="84"/>
      <c r="BM319" s="84"/>
      <c r="BN319" s="84"/>
      <c r="BO319" s="84"/>
      <c r="BP319" s="84"/>
    </row>
    <row r="320" spans="1:68" ht="15" customHeight="1" outlineLevel="1">
      <c r="Q320" s="229" t="s">
        <v>188</v>
      </c>
      <c r="R320" s="229"/>
      <c r="S320" s="229"/>
      <c r="T320" s="229"/>
      <c r="U320" s="229"/>
      <c r="W320" s="236" t="e">
        <f t="shared" ca="1" si="357"/>
        <v>#N/A</v>
      </c>
      <c r="X320" s="236">
        <f t="shared" ca="1" si="357"/>
        <v>118.43143065000005</v>
      </c>
      <c r="Y320" s="236">
        <f t="shared" ca="1" si="357"/>
        <v>75.513902527365786</v>
      </c>
      <c r="Z320" s="236">
        <f t="shared" ca="1" si="357"/>
        <v>95.57555617321205</v>
      </c>
      <c r="AA320" s="236">
        <f t="shared" ca="1" si="357"/>
        <v>172.67540000927301</v>
      </c>
      <c r="AB320" s="236">
        <f t="shared" ca="1" si="357"/>
        <v>239.49393369510904</v>
      </c>
      <c r="AC320" s="98"/>
      <c r="AD320" s="236" t="e">
        <f t="shared" ca="1" si="358"/>
        <v>#N/A</v>
      </c>
      <c r="AF320" s="266" t="e">
        <f t="shared" ref="AF320:BI320" ca="1" si="365">IF($D$2=FALSE,"-",IF(AF$13="","",+SUM(AF318:AF319)))</f>
        <v>#N/A</v>
      </c>
      <c r="AG320" s="230">
        <f t="shared" ca="1" si="365"/>
        <v>118.43143065000005</v>
      </c>
      <c r="AH320" s="230">
        <f t="shared" ca="1" si="365"/>
        <v>75.513902527365786</v>
      </c>
      <c r="AI320" s="230">
        <f t="shared" ca="1" si="365"/>
        <v>95.57555617321205</v>
      </c>
      <c r="AJ320" s="230">
        <f t="shared" ca="1" si="365"/>
        <v>172.67540000927301</v>
      </c>
      <c r="AK320" s="230">
        <f t="shared" ca="1" si="365"/>
        <v>239.49393369510904</v>
      </c>
      <c r="AL320" s="230" t="str">
        <f t="shared" ca="1" si="365"/>
        <v/>
      </c>
      <c r="AM320" s="230" t="str">
        <f t="shared" ca="1" si="365"/>
        <v/>
      </c>
      <c r="AN320" s="230" t="str">
        <f t="shared" ca="1" si="365"/>
        <v/>
      </c>
      <c r="AO320" s="230" t="str">
        <f t="shared" ca="1" si="365"/>
        <v/>
      </c>
      <c r="AP320" s="230" t="str">
        <f t="shared" ca="1" si="365"/>
        <v/>
      </c>
      <c r="AQ320" s="230" t="str">
        <f t="shared" ca="1" si="365"/>
        <v/>
      </c>
      <c r="AR320" s="230" t="str">
        <f t="shared" ca="1" si="365"/>
        <v/>
      </c>
      <c r="AS320" s="230" t="str">
        <f t="shared" ca="1" si="365"/>
        <v/>
      </c>
      <c r="AT320" s="230" t="str">
        <f t="shared" ca="1" si="365"/>
        <v/>
      </c>
      <c r="AU320" s="230" t="str">
        <f t="shared" ca="1" si="365"/>
        <v/>
      </c>
      <c r="AV320" s="230" t="str">
        <f t="shared" ca="1" si="365"/>
        <v/>
      </c>
      <c r="AW320" s="230" t="str">
        <f t="shared" ca="1" si="365"/>
        <v/>
      </c>
      <c r="AX320" s="230" t="str">
        <f t="shared" ca="1" si="365"/>
        <v/>
      </c>
      <c r="AY320" s="230" t="str">
        <f t="shared" ca="1" si="365"/>
        <v/>
      </c>
      <c r="AZ320" s="230" t="str">
        <f t="shared" ca="1" si="365"/>
        <v/>
      </c>
      <c r="BA320" s="230" t="str">
        <f t="shared" ca="1" si="365"/>
        <v/>
      </c>
      <c r="BB320" s="230" t="str">
        <f t="shared" ca="1" si="365"/>
        <v/>
      </c>
      <c r="BC320" s="230" t="str">
        <f t="shared" ca="1" si="365"/>
        <v/>
      </c>
      <c r="BD320" s="230" t="str">
        <f t="shared" ca="1" si="365"/>
        <v/>
      </c>
      <c r="BE320" s="230" t="str">
        <f t="shared" ca="1" si="365"/>
        <v/>
      </c>
      <c r="BF320" s="230" t="str">
        <f t="shared" ca="1" si="365"/>
        <v/>
      </c>
      <c r="BG320" s="230" t="str">
        <f t="shared" ca="1" si="365"/>
        <v/>
      </c>
      <c r="BH320" s="230" t="str">
        <f t="shared" ca="1" si="365"/>
        <v/>
      </c>
      <c r="BI320" s="230" t="str">
        <f t="shared" ca="1" si="365"/>
        <v/>
      </c>
      <c r="BK320" s="84"/>
      <c r="BL320" s="84"/>
      <c r="BM320" s="84"/>
      <c r="BN320" s="84"/>
      <c r="BO320" s="84"/>
      <c r="BP320" s="84"/>
    </row>
    <row r="321" spans="1:68" ht="15" customHeight="1" outlineLevel="1">
      <c r="Q321" s="228" t="s">
        <v>189</v>
      </c>
      <c r="R321" s="228"/>
      <c r="S321" s="228"/>
      <c r="T321" s="228"/>
      <c r="U321" s="228"/>
      <c r="W321" s="98" t="e">
        <f t="shared" ca="1" si="357"/>
        <v>#N/A</v>
      </c>
      <c r="X321" s="98">
        <f t="shared" ca="1" si="357"/>
        <v>-118.43143065000005</v>
      </c>
      <c r="Y321" s="98">
        <f t="shared" ca="1" si="357"/>
        <v>-75.513902527365786</v>
      </c>
      <c r="Z321" s="98">
        <f t="shared" ca="1" si="357"/>
        <v>-13.054666822634161</v>
      </c>
      <c r="AA321" s="98">
        <f t="shared" ca="1" si="357"/>
        <v>0</v>
      </c>
      <c r="AB321" s="98">
        <f t="shared" ca="1" si="357"/>
        <v>0</v>
      </c>
      <c r="AC321" s="98"/>
      <c r="AD321" s="98" t="e">
        <f t="shared" ca="1" si="358"/>
        <v>#N/A</v>
      </c>
      <c r="AF321" s="124" t="e">
        <f t="shared" ref="AF321:BI321" ca="1" si="366">IF($D$2=FALSE,"-",IF(AF$13="","",+AF328+AF338+AF345))</f>
        <v>#N/A</v>
      </c>
      <c r="AG321" s="125">
        <f t="shared" ca="1" si="366"/>
        <v>-118.43143065000005</v>
      </c>
      <c r="AH321" s="125">
        <f t="shared" ca="1" si="366"/>
        <v>-75.513902527365786</v>
      </c>
      <c r="AI321" s="125">
        <f t="shared" ca="1" si="366"/>
        <v>-13.054666822634161</v>
      </c>
      <c r="AJ321" s="125">
        <f t="shared" ca="1" si="366"/>
        <v>0</v>
      </c>
      <c r="AK321" s="125">
        <f t="shared" ca="1" si="366"/>
        <v>0</v>
      </c>
      <c r="AL321" s="125" t="str">
        <f t="shared" ca="1" si="366"/>
        <v/>
      </c>
      <c r="AM321" s="125" t="str">
        <f t="shared" ca="1" si="366"/>
        <v/>
      </c>
      <c r="AN321" s="125" t="str">
        <f t="shared" ca="1" si="366"/>
        <v/>
      </c>
      <c r="AO321" s="125" t="str">
        <f t="shared" ca="1" si="366"/>
        <v/>
      </c>
      <c r="AP321" s="125" t="str">
        <f t="shared" ca="1" si="366"/>
        <v/>
      </c>
      <c r="AQ321" s="125" t="str">
        <f t="shared" ca="1" si="366"/>
        <v/>
      </c>
      <c r="AR321" s="125" t="str">
        <f t="shared" ca="1" si="366"/>
        <v/>
      </c>
      <c r="AS321" s="125" t="str">
        <f t="shared" ca="1" si="366"/>
        <v/>
      </c>
      <c r="AT321" s="125" t="str">
        <f t="shared" ca="1" si="366"/>
        <v/>
      </c>
      <c r="AU321" s="125" t="str">
        <f t="shared" ca="1" si="366"/>
        <v/>
      </c>
      <c r="AV321" s="125" t="str">
        <f t="shared" ca="1" si="366"/>
        <v/>
      </c>
      <c r="AW321" s="125" t="str">
        <f t="shared" ca="1" si="366"/>
        <v/>
      </c>
      <c r="AX321" s="125" t="str">
        <f t="shared" ca="1" si="366"/>
        <v/>
      </c>
      <c r="AY321" s="125" t="str">
        <f t="shared" ca="1" si="366"/>
        <v/>
      </c>
      <c r="AZ321" s="125" t="str">
        <f t="shared" ca="1" si="366"/>
        <v/>
      </c>
      <c r="BA321" s="125" t="str">
        <f t="shared" ca="1" si="366"/>
        <v/>
      </c>
      <c r="BB321" s="125" t="str">
        <f t="shared" ca="1" si="366"/>
        <v/>
      </c>
      <c r="BC321" s="125" t="str">
        <f t="shared" ca="1" si="366"/>
        <v/>
      </c>
      <c r="BD321" s="125" t="str">
        <f t="shared" ca="1" si="366"/>
        <v/>
      </c>
      <c r="BE321" s="125" t="str">
        <f t="shared" ca="1" si="366"/>
        <v/>
      </c>
      <c r="BF321" s="125" t="str">
        <f t="shared" ca="1" si="366"/>
        <v/>
      </c>
      <c r="BG321" s="125" t="str">
        <f t="shared" ca="1" si="366"/>
        <v/>
      </c>
      <c r="BH321" s="125" t="str">
        <f t="shared" ca="1" si="366"/>
        <v/>
      </c>
      <c r="BI321" s="125" t="str">
        <f t="shared" ca="1" si="366"/>
        <v/>
      </c>
      <c r="BK321" s="84"/>
      <c r="BL321" s="84"/>
      <c r="BM321" s="84"/>
      <c r="BN321" s="84"/>
      <c r="BO321" s="84"/>
      <c r="BP321" s="84"/>
    </row>
    <row r="322" spans="1:68" ht="15" customHeight="1" outlineLevel="1">
      <c r="W322" s="98"/>
      <c r="X322" s="98"/>
      <c r="Y322" s="98"/>
      <c r="Z322" s="98"/>
      <c r="AA322" s="98"/>
      <c r="AB322" s="98"/>
      <c r="AC322" s="98"/>
      <c r="AD322" s="98"/>
      <c r="AF322" s="124"/>
      <c r="AG322" s="125"/>
      <c r="AH322" s="125"/>
      <c r="AI322" s="125"/>
      <c r="AJ322" s="125"/>
      <c r="AK322" s="125"/>
      <c r="AL322" s="125"/>
      <c r="AM322" s="125"/>
      <c r="AN322" s="125"/>
      <c r="AO322" s="125"/>
      <c r="AP322" s="125"/>
      <c r="AQ322" s="125"/>
      <c r="AR322" s="125"/>
      <c r="AS322" s="125"/>
      <c r="AT322" s="125"/>
      <c r="AU322" s="125"/>
      <c r="AV322" s="125"/>
      <c r="AW322" s="125"/>
      <c r="AX322" s="125"/>
      <c r="AY322" s="125"/>
      <c r="AZ322" s="125"/>
      <c r="BA322" s="125"/>
      <c r="BB322" s="125"/>
      <c r="BC322" s="125"/>
      <c r="BD322" s="125"/>
      <c r="BE322" s="125"/>
      <c r="BF322" s="125"/>
      <c r="BG322" s="125"/>
      <c r="BH322" s="125"/>
      <c r="BI322" s="125"/>
    </row>
    <row r="323" spans="1:68" ht="15" customHeight="1" outlineLevel="1">
      <c r="Q323" s="327" t="s">
        <v>29</v>
      </c>
      <c r="R323" s="327"/>
      <c r="S323" s="327"/>
      <c r="T323" s="327"/>
      <c r="U323" s="327"/>
      <c r="W323" s="98" t="e">
        <f t="shared" ref="W323:AB323" ca="1" si="367">IF($D$2=FALSE,"-",IF(W$13="","",OFFSET($AF323,0,W$8)))</f>
        <v>#N/A</v>
      </c>
      <c r="X323" s="98">
        <f t="shared" ca="1" si="367"/>
        <v>0.39276499999999998</v>
      </c>
      <c r="Y323" s="98">
        <f t="shared" ca="1" si="367"/>
        <v>0.24911650000000002</v>
      </c>
      <c r="Z323" s="98">
        <f t="shared" ca="1" si="367"/>
        <v>0.24911650000000002</v>
      </c>
      <c r="AA323" s="98">
        <f t="shared" ca="1" si="367"/>
        <v>0.45541872337644473</v>
      </c>
      <c r="AB323" s="98">
        <f t="shared" ca="1" si="367"/>
        <v>0.68080500002318256</v>
      </c>
      <c r="AC323" s="258" t="s">
        <v>219</v>
      </c>
      <c r="AD323" s="98" t="e">
        <f ca="1">IF($D$2=FALSE,"-",IF(AD$13="","",OFFSET($AF323,0,$F$4-AD$7-1)+OFFSET($AF323,0,$F$4-1)-OFFSET($AF323,0,$F$4-$E$5-1)))</f>
        <v>#N/A</v>
      </c>
      <c r="AF323" s="309" t="e">
        <f t="shared" ref="AF323:BI323" ca="1" si="368">IF($D$2=FALSE,"-",IF(AF$13="","",IF(AF$4&lt;=0,-SUM(OFFSET(AF26,0,-AF$7+1,1,AF$7)),AF373*IF($D$7=1,0.5*(OFFSET(AF196,0,-AF$7)+AF196),OFFSET(AF196,0,-AF$7))*AF$6)))</f>
        <v>#N/A</v>
      </c>
      <c r="AG323" s="317">
        <f t="shared" ca="1" si="368"/>
        <v>0.39276499999999998</v>
      </c>
      <c r="AH323" s="317">
        <f t="shared" ca="1" si="368"/>
        <v>0.24911650000000002</v>
      </c>
      <c r="AI323" s="317">
        <f t="shared" ca="1" si="368"/>
        <v>0.24911650000000002</v>
      </c>
      <c r="AJ323" s="317">
        <f t="shared" ca="1" si="368"/>
        <v>0.45541872337644473</v>
      </c>
      <c r="AK323" s="317">
        <f t="shared" ca="1" si="368"/>
        <v>0.68080500002318256</v>
      </c>
      <c r="AL323" s="317" t="str">
        <f t="shared" ca="1" si="368"/>
        <v/>
      </c>
      <c r="AM323" s="317" t="str">
        <f t="shared" ca="1" si="368"/>
        <v/>
      </c>
      <c r="AN323" s="317" t="str">
        <f t="shared" ca="1" si="368"/>
        <v/>
      </c>
      <c r="AO323" s="317" t="str">
        <f t="shared" ca="1" si="368"/>
        <v/>
      </c>
      <c r="AP323" s="317" t="str">
        <f t="shared" ca="1" si="368"/>
        <v/>
      </c>
      <c r="AQ323" s="317" t="str">
        <f t="shared" ca="1" si="368"/>
        <v/>
      </c>
      <c r="AR323" s="317" t="str">
        <f t="shared" ca="1" si="368"/>
        <v/>
      </c>
      <c r="AS323" s="317" t="str">
        <f t="shared" ca="1" si="368"/>
        <v/>
      </c>
      <c r="AT323" s="317" t="str">
        <f t="shared" ca="1" si="368"/>
        <v/>
      </c>
      <c r="AU323" s="317" t="str">
        <f t="shared" ca="1" si="368"/>
        <v/>
      </c>
      <c r="AV323" s="317" t="str">
        <f t="shared" ca="1" si="368"/>
        <v/>
      </c>
      <c r="AW323" s="317" t="str">
        <f t="shared" ca="1" si="368"/>
        <v/>
      </c>
      <c r="AX323" s="317" t="str">
        <f t="shared" ca="1" si="368"/>
        <v/>
      </c>
      <c r="AY323" s="317" t="str">
        <f t="shared" ca="1" si="368"/>
        <v/>
      </c>
      <c r="AZ323" s="317" t="str">
        <f t="shared" ca="1" si="368"/>
        <v/>
      </c>
      <c r="BA323" s="317" t="str">
        <f t="shared" ca="1" si="368"/>
        <v/>
      </c>
      <c r="BB323" s="317" t="str">
        <f t="shared" ca="1" si="368"/>
        <v/>
      </c>
      <c r="BC323" s="317" t="str">
        <f t="shared" ca="1" si="368"/>
        <v/>
      </c>
      <c r="BD323" s="317" t="str">
        <f t="shared" ca="1" si="368"/>
        <v/>
      </c>
      <c r="BE323" s="317" t="str">
        <f t="shared" ca="1" si="368"/>
        <v/>
      </c>
      <c r="BF323" s="317" t="str">
        <f t="shared" ca="1" si="368"/>
        <v/>
      </c>
      <c r="BG323" s="317" t="str">
        <f t="shared" ca="1" si="368"/>
        <v/>
      </c>
      <c r="BH323" s="317" t="str">
        <f t="shared" ca="1" si="368"/>
        <v/>
      </c>
      <c r="BI323" s="317" t="str">
        <f t="shared" ca="1" si="368"/>
        <v/>
      </c>
    </row>
    <row r="324" spans="1:68" ht="15" customHeight="1" outlineLevel="1">
      <c r="W324" s="98"/>
      <c r="X324" s="98"/>
      <c r="Y324" s="98"/>
      <c r="Z324" s="98"/>
      <c r="AA324" s="98"/>
      <c r="AB324" s="98"/>
      <c r="AC324" s="98"/>
      <c r="AD324" s="98"/>
      <c r="AF324" s="124"/>
      <c r="AG324" s="125"/>
      <c r="AH324" s="125"/>
      <c r="AI324" s="125"/>
      <c r="AJ324" s="125"/>
      <c r="AK324" s="125"/>
      <c r="AL324" s="125"/>
      <c r="AM324" s="125"/>
      <c r="AN324" s="125"/>
      <c r="AO324" s="125"/>
      <c r="AP324" s="125"/>
      <c r="AQ324" s="125"/>
      <c r="AR324" s="125"/>
      <c r="AS324" s="125"/>
      <c r="AT324" s="125"/>
      <c r="AU324" s="125"/>
      <c r="AV324" s="125"/>
      <c r="AW324" s="125"/>
      <c r="AX324" s="125"/>
      <c r="AY324" s="125"/>
      <c r="AZ324" s="125"/>
      <c r="BA324" s="125"/>
      <c r="BB324" s="125"/>
      <c r="BC324" s="125"/>
      <c r="BD324" s="125"/>
      <c r="BE324" s="125"/>
      <c r="BF324" s="125"/>
      <c r="BG324" s="125"/>
      <c r="BH324" s="125"/>
      <c r="BI324" s="125"/>
    </row>
    <row r="325" spans="1:68" ht="15" customHeight="1" outlineLevel="1">
      <c r="Q325" s="327" t="s">
        <v>255</v>
      </c>
      <c r="R325" s="327"/>
      <c r="S325" s="327"/>
      <c r="T325" s="327"/>
      <c r="U325" s="327"/>
      <c r="W325" s="98"/>
      <c r="X325" s="98"/>
      <c r="Y325" s="98"/>
      <c r="Z325" s="98"/>
      <c r="AA325" s="98"/>
      <c r="AB325" s="98"/>
      <c r="AC325" s="98"/>
      <c r="AD325" s="98"/>
      <c r="AF325" s="124"/>
      <c r="AG325" s="125"/>
      <c r="AH325" s="125"/>
      <c r="AI325" s="125"/>
      <c r="AJ325" s="125"/>
      <c r="AK325" s="125"/>
      <c r="AL325" s="125"/>
      <c r="AM325" s="125"/>
      <c r="AN325" s="125"/>
      <c r="AO325" s="125"/>
      <c r="AP325" s="125"/>
      <c r="AQ325" s="125"/>
      <c r="AR325" s="125"/>
      <c r="AS325" s="125"/>
      <c r="AT325" s="125"/>
      <c r="AU325" s="125"/>
      <c r="AV325" s="125"/>
      <c r="AW325" s="125"/>
      <c r="AX325" s="125"/>
      <c r="AY325" s="125"/>
      <c r="AZ325" s="125"/>
      <c r="BA325" s="125"/>
      <c r="BB325" s="125"/>
      <c r="BC325" s="125"/>
      <c r="BD325" s="125"/>
      <c r="BE325" s="125"/>
      <c r="BF325" s="125"/>
      <c r="BG325" s="125"/>
      <c r="BH325" s="125"/>
      <c r="BI325" s="125"/>
    </row>
    <row r="326" spans="1:68" ht="15" customHeight="1" outlineLevel="1">
      <c r="Q326" s="1" t="s">
        <v>129</v>
      </c>
      <c r="W326" s="98" t="e">
        <f t="shared" ref="W326:AB333" ca="1" si="369">IF($D$2=FALSE,"-",IF(W$13="","",OFFSET($AF326,0,W$8)))</f>
        <v>#N/A</v>
      </c>
      <c r="X326" s="98">
        <f t="shared" ca="1" si="369"/>
        <v>200</v>
      </c>
      <c r="Y326" s="98">
        <f t="shared" ca="1" si="369"/>
        <v>81.568569349999947</v>
      </c>
      <c r="Z326" s="98">
        <f t="shared" ca="1" si="369"/>
        <v>6.0546668226341609</v>
      </c>
      <c r="AA326" s="98">
        <f t="shared" ca="1" si="369"/>
        <v>0</v>
      </c>
      <c r="AB326" s="98">
        <f t="shared" ca="1" si="369"/>
        <v>0</v>
      </c>
      <c r="AC326" s="258" t="s">
        <v>219</v>
      </c>
      <c r="AD326" s="98" t="e">
        <f t="shared" ref="AD326:AD333" ca="1" si="370">IF($D$2=FALSE,"-",IF(AD$13="","",OFFSET($AF326,0,$F$4-AD$7-1)+OFFSET($AF326,0,$F$4-1)-OFFSET($AF326,0,$F$4-$E$5-1)))</f>
        <v>#N/A</v>
      </c>
      <c r="AF326" s="310" t="e">
        <f t="shared" ref="AF326:BI326" ca="1" si="371">IF($D$2=FALSE,"-",IF(AF$13="","",IF(AF$4&lt;=0,OFFSET(AF220,0,-AF$7),OFFSET(AF329,0,-AF$7))))</f>
        <v>#N/A</v>
      </c>
      <c r="AG326" s="311">
        <f t="shared" ca="1" si="371"/>
        <v>200</v>
      </c>
      <c r="AH326" s="311">
        <f t="shared" ca="1" si="371"/>
        <v>81.568569349999947</v>
      </c>
      <c r="AI326" s="311">
        <f t="shared" ca="1" si="371"/>
        <v>6.0546668226341609</v>
      </c>
      <c r="AJ326" s="311">
        <f t="shared" ca="1" si="371"/>
        <v>0</v>
      </c>
      <c r="AK326" s="311">
        <f t="shared" ca="1" si="371"/>
        <v>0</v>
      </c>
      <c r="AL326" s="311" t="str">
        <f t="shared" ca="1" si="371"/>
        <v/>
      </c>
      <c r="AM326" s="311" t="str">
        <f t="shared" ca="1" si="371"/>
        <v/>
      </c>
      <c r="AN326" s="311" t="str">
        <f t="shared" ca="1" si="371"/>
        <v/>
      </c>
      <c r="AO326" s="311" t="str">
        <f t="shared" ca="1" si="371"/>
        <v/>
      </c>
      <c r="AP326" s="311" t="str">
        <f t="shared" ca="1" si="371"/>
        <v/>
      </c>
      <c r="AQ326" s="311" t="str">
        <f t="shared" ca="1" si="371"/>
        <v/>
      </c>
      <c r="AR326" s="311" t="str">
        <f t="shared" ca="1" si="371"/>
        <v/>
      </c>
      <c r="AS326" s="311" t="str">
        <f t="shared" ca="1" si="371"/>
        <v/>
      </c>
      <c r="AT326" s="311" t="str">
        <f t="shared" ca="1" si="371"/>
        <v/>
      </c>
      <c r="AU326" s="311" t="str">
        <f t="shared" ca="1" si="371"/>
        <v/>
      </c>
      <c r="AV326" s="311" t="str">
        <f t="shared" ca="1" si="371"/>
        <v/>
      </c>
      <c r="AW326" s="311" t="str">
        <f t="shared" ca="1" si="371"/>
        <v/>
      </c>
      <c r="AX326" s="311" t="str">
        <f t="shared" ca="1" si="371"/>
        <v/>
      </c>
      <c r="AY326" s="311" t="str">
        <f t="shared" ca="1" si="371"/>
        <v/>
      </c>
      <c r="AZ326" s="311" t="str">
        <f t="shared" ca="1" si="371"/>
        <v/>
      </c>
      <c r="BA326" s="311" t="str">
        <f t="shared" ca="1" si="371"/>
        <v/>
      </c>
      <c r="BB326" s="311" t="str">
        <f t="shared" ca="1" si="371"/>
        <v/>
      </c>
      <c r="BC326" s="311" t="str">
        <f t="shared" ca="1" si="371"/>
        <v/>
      </c>
      <c r="BD326" s="311" t="str">
        <f t="shared" ca="1" si="371"/>
        <v/>
      </c>
      <c r="BE326" s="311" t="str">
        <f t="shared" ca="1" si="371"/>
        <v/>
      </c>
      <c r="BF326" s="311" t="str">
        <f t="shared" ca="1" si="371"/>
        <v/>
      </c>
      <c r="BG326" s="311" t="str">
        <f t="shared" ca="1" si="371"/>
        <v/>
      </c>
      <c r="BH326" s="311" t="str">
        <f t="shared" ca="1" si="371"/>
        <v/>
      </c>
      <c r="BI326" s="311" t="str">
        <f t="shared" ca="1" si="371"/>
        <v/>
      </c>
      <c r="BK326" s="84"/>
      <c r="BL326" s="84"/>
      <c r="BM326" s="84"/>
      <c r="BN326" s="84"/>
      <c r="BO326" s="84"/>
      <c r="BP326" s="84"/>
    </row>
    <row r="327" spans="1:68" ht="15" customHeight="1" outlineLevel="1">
      <c r="Q327" s="1" t="str">
        <f>IF($D$2=FALSE,"-","( + ) "&amp;Q325&amp;" draw-down")</f>
        <v>( + ) Bank revolver draw-down</v>
      </c>
      <c r="W327" s="98" t="e">
        <f t="shared" ca="1" si="369"/>
        <v>#N/A</v>
      </c>
      <c r="X327" s="98">
        <f t="shared" ca="1" si="369"/>
        <v>0</v>
      </c>
      <c r="Y327" s="98">
        <f t="shared" ca="1" si="369"/>
        <v>0</v>
      </c>
      <c r="Z327" s="98">
        <f t="shared" ca="1" si="369"/>
        <v>0</v>
      </c>
      <c r="AA327" s="98">
        <f t="shared" ca="1" si="369"/>
        <v>0</v>
      </c>
      <c r="AB327" s="98">
        <f t="shared" ca="1" si="369"/>
        <v>0</v>
      </c>
      <c r="AC327" s="258" t="s">
        <v>219</v>
      </c>
      <c r="AD327" s="98" t="e">
        <f t="shared" ca="1" si="370"/>
        <v>#N/A</v>
      </c>
      <c r="AF327" s="124" t="e">
        <f t="shared" ref="AF327:BI327" ca="1" si="372">IF($D$2=FALSE,"-",IF(AF$13="","",MIN(MAX(0,-AF320),AF331-AF326)))</f>
        <v>#N/A</v>
      </c>
      <c r="AG327" s="125">
        <f t="shared" ca="1" si="372"/>
        <v>0</v>
      </c>
      <c r="AH327" s="125">
        <f t="shared" ca="1" si="372"/>
        <v>0</v>
      </c>
      <c r="AI327" s="125">
        <f t="shared" ca="1" si="372"/>
        <v>0</v>
      </c>
      <c r="AJ327" s="125">
        <f t="shared" ca="1" si="372"/>
        <v>0</v>
      </c>
      <c r="AK327" s="125">
        <f t="shared" ca="1" si="372"/>
        <v>0</v>
      </c>
      <c r="AL327" s="125" t="str">
        <f t="shared" ca="1" si="372"/>
        <v/>
      </c>
      <c r="AM327" s="125" t="str">
        <f t="shared" ca="1" si="372"/>
        <v/>
      </c>
      <c r="AN327" s="125" t="str">
        <f t="shared" ca="1" si="372"/>
        <v/>
      </c>
      <c r="AO327" s="125" t="str">
        <f t="shared" ca="1" si="372"/>
        <v/>
      </c>
      <c r="AP327" s="125" t="str">
        <f t="shared" ca="1" si="372"/>
        <v/>
      </c>
      <c r="AQ327" s="125" t="str">
        <f t="shared" ca="1" si="372"/>
        <v/>
      </c>
      <c r="AR327" s="125" t="str">
        <f t="shared" ca="1" si="372"/>
        <v/>
      </c>
      <c r="AS327" s="125" t="str">
        <f t="shared" ca="1" si="372"/>
        <v/>
      </c>
      <c r="AT327" s="125" t="str">
        <f t="shared" ca="1" si="372"/>
        <v/>
      </c>
      <c r="AU327" s="125" t="str">
        <f t="shared" ca="1" si="372"/>
        <v/>
      </c>
      <c r="AV327" s="125" t="str">
        <f t="shared" ca="1" si="372"/>
        <v/>
      </c>
      <c r="AW327" s="125" t="str">
        <f t="shared" ca="1" si="372"/>
        <v/>
      </c>
      <c r="AX327" s="125" t="str">
        <f t="shared" ca="1" si="372"/>
        <v/>
      </c>
      <c r="AY327" s="125" t="str">
        <f t="shared" ca="1" si="372"/>
        <v/>
      </c>
      <c r="AZ327" s="125" t="str">
        <f t="shared" ca="1" si="372"/>
        <v/>
      </c>
      <c r="BA327" s="125" t="str">
        <f t="shared" ca="1" si="372"/>
        <v/>
      </c>
      <c r="BB327" s="125" t="str">
        <f t="shared" ca="1" si="372"/>
        <v/>
      </c>
      <c r="BC327" s="125" t="str">
        <f t="shared" ca="1" si="372"/>
        <v/>
      </c>
      <c r="BD327" s="125" t="str">
        <f t="shared" ca="1" si="372"/>
        <v/>
      </c>
      <c r="BE327" s="125" t="str">
        <f t="shared" ca="1" si="372"/>
        <v/>
      </c>
      <c r="BF327" s="125" t="str">
        <f t="shared" ca="1" si="372"/>
        <v/>
      </c>
      <c r="BG327" s="125" t="str">
        <f t="shared" ca="1" si="372"/>
        <v/>
      </c>
      <c r="BH327" s="125" t="str">
        <f t="shared" ca="1" si="372"/>
        <v/>
      </c>
      <c r="BI327" s="125" t="str">
        <f t="shared" ca="1" si="372"/>
        <v/>
      </c>
      <c r="BK327" s="84"/>
      <c r="BL327" s="84"/>
      <c r="BM327" s="84"/>
      <c r="BN327" s="84"/>
      <c r="BO327" s="84"/>
      <c r="BP327" s="84"/>
    </row>
    <row r="328" spans="1:68" ht="15" customHeight="1" outlineLevel="1">
      <c r="O328" s="192">
        <v>1</v>
      </c>
      <c r="Q328" s="100" t="str">
        <f>IF($D$2=FALSE,"-","( – ) "&amp;Q325&amp;" pay-down")</f>
        <v>( – ) Bank revolver pay-down</v>
      </c>
      <c r="R328" s="100"/>
      <c r="S328" s="100"/>
      <c r="T328" s="100"/>
      <c r="U328" s="100"/>
      <c r="W328" s="103" t="e">
        <f t="shared" ca="1" si="369"/>
        <v>#N/A</v>
      </c>
      <c r="X328" s="103">
        <f t="shared" ca="1" si="369"/>
        <v>-118.43143065000005</v>
      </c>
      <c r="Y328" s="103">
        <f t="shared" ca="1" si="369"/>
        <v>-75.513902527365786</v>
      </c>
      <c r="Z328" s="103">
        <f t="shared" ca="1" si="369"/>
        <v>-6.0546668226341609</v>
      </c>
      <c r="AA328" s="103">
        <f t="shared" ca="1" si="369"/>
        <v>0</v>
      </c>
      <c r="AB328" s="103">
        <f t="shared" ca="1" si="369"/>
        <v>0</v>
      </c>
      <c r="AC328" s="258" t="s">
        <v>219</v>
      </c>
      <c r="AD328" s="103" t="e">
        <f t="shared" ca="1" si="370"/>
        <v>#N/A</v>
      </c>
      <c r="AF328" s="221" t="e">
        <f t="shared" ref="AF328:BI328" ca="1" si="373">IF($D$2=FALSE,"-",IF(AF$13="","",IF(AF$4&lt;=0,+AF329-AF327-AF326,-MAX(0,MIN(AF326,AF320,OFFSET($AF329,0,$F$4-1)*$O328)))))</f>
        <v>#N/A</v>
      </c>
      <c r="AG328" s="209">
        <f t="shared" ca="1" si="373"/>
        <v>-118.43143065000005</v>
      </c>
      <c r="AH328" s="209">
        <f t="shared" ca="1" si="373"/>
        <v>-75.513902527365786</v>
      </c>
      <c r="AI328" s="209">
        <f t="shared" ca="1" si="373"/>
        <v>-6.0546668226341609</v>
      </c>
      <c r="AJ328" s="209">
        <f t="shared" ca="1" si="373"/>
        <v>0</v>
      </c>
      <c r="AK328" s="209">
        <f t="shared" ca="1" si="373"/>
        <v>0</v>
      </c>
      <c r="AL328" s="209" t="str">
        <f t="shared" ca="1" si="373"/>
        <v/>
      </c>
      <c r="AM328" s="209" t="str">
        <f t="shared" ca="1" si="373"/>
        <v/>
      </c>
      <c r="AN328" s="209" t="str">
        <f t="shared" ca="1" si="373"/>
        <v/>
      </c>
      <c r="AO328" s="209" t="str">
        <f t="shared" ca="1" si="373"/>
        <v/>
      </c>
      <c r="AP328" s="209" t="str">
        <f t="shared" ca="1" si="373"/>
        <v/>
      </c>
      <c r="AQ328" s="209" t="str">
        <f t="shared" ca="1" si="373"/>
        <v/>
      </c>
      <c r="AR328" s="209" t="str">
        <f t="shared" ca="1" si="373"/>
        <v/>
      </c>
      <c r="AS328" s="209" t="str">
        <f t="shared" ca="1" si="373"/>
        <v/>
      </c>
      <c r="AT328" s="209" t="str">
        <f t="shared" ca="1" si="373"/>
        <v/>
      </c>
      <c r="AU328" s="209" t="str">
        <f t="shared" ca="1" si="373"/>
        <v/>
      </c>
      <c r="AV328" s="209" t="str">
        <f t="shared" ca="1" si="373"/>
        <v/>
      </c>
      <c r="AW328" s="209" t="str">
        <f t="shared" ca="1" si="373"/>
        <v/>
      </c>
      <c r="AX328" s="209" t="str">
        <f t="shared" ca="1" si="373"/>
        <v/>
      </c>
      <c r="AY328" s="209" t="str">
        <f t="shared" ca="1" si="373"/>
        <v/>
      </c>
      <c r="AZ328" s="209" t="str">
        <f t="shared" ca="1" si="373"/>
        <v/>
      </c>
      <c r="BA328" s="209" t="str">
        <f t="shared" ca="1" si="373"/>
        <v/>
      </c>
      <c r="BB328" s="209" t="str">
        <f t="shared" ca="1" si="373"/>
        <v/>
      </c>
      <c r="BC328" s="209" t="str">
        <f t="shared" ca="1" si="373"/>
        <v/>
      </c>
      <c r="BD328" s="209" t="str">
        <f t="shared" ca="1" si="373"/>
        <v/>
      </c>
      <c r="BE328" s="209" t="str">
        <f t="shared" ca="1" si="373"/>
        <v/>
      </c>
      <c r="BF328" s="209" t="str">
        <f t="shared" ca="1" si="373"/>
        <v/>
      </c>
      <c r="BG328" s="209" t="str">
        <f t="shared" ca="1" si="373"/>
        <v/>
      </c>
      <c r="BH328" s="209" t="str">
        <f t="shared" ca="1" si="373"/>
        <v/>
      </c>
      <c r="BI328" s="209" t="str">
        <f t="shared" ca="1" si="373"/>
        <v/>
      </c>
      <c r="BK328" s="84"/>
      <c r="BL328" s="84"/>
      <c r="BM328" s="84"/>
      <c r="BN328" s="84"/>
      <c r="BO328" s="84"/>
      <c r="BP328" s="84"/>
    </row>
    <row r="329" spans="1:68" ht="15" customHeight="1" outlineLevel="1">
      <c r="Q329" s="1" t="s">
        <v>131</v>
      </c>
      <c r="W329" s="98">
        <f t="shared" ca="1" si="369"/>
        <v>200</v>
      </c>
      <c r="X329" s="98">
        <f t="shared" ca="1" si="369"/>
        <v>81.568569349999947</v>
      </c>
      <c r="Y329" s="98">
        <f t="shared" ca="1" si="369"/>
        <v>6.0546668226341609</v>
      </c>
      <c r="Z329" s="98">
        <f t="shared" ca="1" si="369"/>
        <v>0</v>
      </c>
      <c r="AA329" s="98">
        <f t="shared" ca="1" si="369"/>
        <v>0</v>
      </c>
      <c r="AB329" s="98">
        <f t="shared" ca="1" si="369"/>
        <v>0</v>
      </c>
      <c r="AC329" s="258" t="s">
        <v>219</v>
      </c>
      <c r="AD329" s="98" t="e">
        <f t="shared" ca="1" si="370"/>
        <v>#N/A</v>
      </c>
      <c r="AF329" s="310">
        <f t="shared" ref="AF329:BI329" ca="1" si="374">IF($D$2=FALSE,"-",IF(AF$13="","",IF(AF$4&lt;=0,AF220,+SUM(AF326:AF328))))</f>
        <v>200</v>
      </c>
      <c r="AG329" s="311">
        <f t="shared" ca="1" si="374"/>
        <v>81.568569349999947</v>
      </c>
      <c r="AH329" s="311">
        <f t="shared" ca="1" si="374"/>
        <v>6.0546668226341609</v>
      </c>
      <c r="AI329" s="311">
        <f t="shared" ca="1" si="374"/>
        <v>0</v>
      </c>
      <c r="AJ329" s="311">
        <f t="shared" ca="1" si="374"/>
        <v>0</v>
      </c>
      <c r="AK329" s="311">
        <f t="shared" ca="1" si="374"/>
        <v>0</v>
      </c>
      <c r="AL329" s="311" t="str">
        <f t="shared" ca="1" si="374"/>
        <v/>
      </c>
      <c r="AM329" s="311" t="str">
        <f t="shared" ca="1" si="374"/>
        <v/>
      </c>
      <c r="AN329" s="311" t="str">
        <f t="shared" ca="1" si="374"/>
        <v/>
      </c>
      <c r="AO329" s="311" t="str">
        <f t="shared" ca="1" si="374"/>
        <v/>
      </c>
      <c r="AP329" s="311" t="str">
        <f t="shared" ca="1" si="374"/>
        <v/>
      </c>
      <c r="AQ329" s="311" t="str">
        <f t="shared" ca="1" si="374"/>
        <v/>
      </c>
      <c r="AR329" s="311" t="str">
        <f t="shared" ca="1" si="374"/>
        <v/>
      </c>
      <c r="AS329" s="311" t="str">
        <f t="shared" ca="1" si="374"/>
        <v/>
      </c>
      <c r="AT329" s="311" t="str">
        <f t="shared" ca="1" si="374"/>
        <v/>
      </c>
      <c r="AU329" s="311" t="str">
        <f t="shared" ca="1" si="374"/>
        <v/>
      </c>
      <c r="AV329" s="311" t="str">
        <f t="shared" ca="1" si="374"/>
        <v/>
      </c>
      <c r="AW329" s="311" t="str">
        <f t="shared" ca="1" si="374"/>
        <v/>
      </c>
      <c r="AX329" s="311" t="str">
        <f t="shared" ca="1" si="374"/>
        <v/>
      </c>
      <c r="AY329" s="311" t="str">
        <f t="shared" ca="1" si="374"/>
        <v/>
      </c>
      <c r="AZ329" s="311" t="str">
        <f t="shared" ca="1" si="374"/>
        <v/>
      </c>
      <c r="BA329" s="311" t="str">
        <f t="shared" ca="1" si="374"/>
        <v/>
      </c>
      <c r="BB329" s="311" t="str">
        <f t="shared" ca="1" si="374"/>
        <v/>
      </c>
      <c r="BC329" s="311" t="str">
        <f t="shared" ca="1" si="374"/>
        <v/>
      </c>
      <c r="BD329" s="311" t="str">
        <f t="shared" ca="1" si="374"/>
        <v/>
      </c>
      <c r="BE329" s="311" t="str">
        <f t="shared" ca="1" si="374"/>
        <v/>
      </c>
      <c r="BF329" s="311" t="str">
        <f t="shared" ca="1" si="374"/>
        <v/>
      </c>
      <c r="BG329" s="311" t="str">
        <f t="shared" ca="1" si="374"/>
        <v/>
      </c>
      <c r="BH329" s="311" t="str">
        <f t="shared" ca="1" si="374"/>
        <v/>
      </c>
      <c r="BI329" s="311" t="str">
        <f t="shared" ca="1" si="374"/>
        <v/>
      </c>
      <c r="BK329" s="84"/>
      <c r="BL329" s="84"/>
      <c r="BM329" s="84"/>
      <c r="BN329" s="84"/>
      <c r="BO329" s="84"/>
      <c r="BP329" s="84"/>
    </row>
    <row r="330" spans="1:68" ht="15" customHeight="1" outlineLevel="1">
      <c r="Q330" s="1" t="s">
        <v>227</v>
      </c>
      <c r="W330" s="98" t="e">
        <f t="shared" ca="1" si="369"/>
        <v>#N/A</v>
      </c>
      <c r="X330" s="98">
        <f t="shared" ca="1" si="369"/>
        <v>15.97945</v>
      </c>
      <c r="Y330" s="98">
        <f t="shared" ca="1" si="369"/>
        <v>6.5171043774992832</v>
      </c>
      <c r="Z330" s="98">
        <f t="shared" ca="1" si="369"/>
        <v>0.48375122879470722</v>
      </c>
      <c r="AA330" s="98">
        <f t="shared" ca="1" si="369"/>
        <v>0</v>
      </c>
      <c r="AB330" s="98">
        <f t="shared" ca="1" si="369"/>
        <v>0</v>
      </c>
      <c r="AC330" s="258" t="s">
        <v>219</v>
      </c>
      <c r="AD330" s="98" t="e">
        <f t="shared" ca="1" si="370"/>
        <v>#N/A</v>
      </c>
      <c r="AF330" s="309" t="e">
        <f t="shared" ref="AF330:BI330" ca="1" si="375">IF($D$2=FALSE,"-",IF(AF$13="","",IF(AF$4&lt;=0,SUM(OFFSET(AF28,0,-AF$7+1,1,AF$7)),AF375*IF($D$7=1,0.5*(AF326+AF329),AF326)*AF$6)))</f>
        <v>#N/A</v>
      </c>
      <c r="AG330" s="317">
        <f t="shared" ca="1" si="375"/>
        <v>15.97945</v>
      </c>
      <c r="AH330" s="317">
        <f t="shared" ca="1" si="375"/>
        <v>6.5171043774992832</v>
      </c>
      <c r="AI330" s="317">
        <f t="shared" ca="1" si="375"/>
        <v>0.48375122879470722</v>
      </c>
      <c r="AJ330" s="317">
        <f t="shared" ca="1" si="375"/>
        <v>0</v>
      </c>
      <c r="AK330" s="317">
        <f t="shared" ca="1" si="375"/>
        <v>0</v>
      </c>
      <c r="AL330" s="317" t="str">
        <f t="shared" ca="1" si="375"/>
        <v/>
      </c>
      <c r="AM330" s="317" t="str">
        <f t="shared" ca="1" si="375"/>
        <v/>
      </c>
      <c r="AN330" s="317" t="str">
        <f t="shared" ca="1" si="375"/>
        <v/>
      </c>
      <c r="AO330" s="317" t="str">
        <f t="shared" ca="1" si="375"/>
        <v/>
      </c>
      <c r="AP330" s="317" t="str">
        <f t="shared" ca="1" si="375"/>
        <v/>
      </c>
      <c r="AQ330" s="317" t="str">
        <f t="shared" ca="1" si="375"/>
        <v/>
      </c>
      <c r="AR330" s="317" t="str">
        <f t="shared" ca="1" si="375"/>
        <v/>
      </c>
      <c r="AS330" s="317" t="str">
        <f t="shared" ca="1" si="375"/>
        <v/>
      </c>
      <c r="AT330" s="317" t="str">
        <f t="shared" ca="1" si="375"/>
        <v/>
      </c>
      <c r="AU330" s="317" t="str">
        <f t="shared" ca="1" si="375"/>
        <v/>
      </c>
      <c r="AV330" s="317" t="str">
        <f t="shared" ca="1" si="375"/>
        <v/>
      </c>
      <c r="AW330" s="317" t="str">
        <f t="shared" ca="1" si="375"/>
        <v/>
      </c>
      <c r="AX330" s="317" t="str">
        <f t="shared" ca="1" si="375"/>
        <v/>
      </c>
      <c r="AY330" s="317" t="str">
        <f t="shared" ca="1" si="375"/>
        <v/>
      </c>
      <c r="AZ330" s="317" t="str">
        <f t="shared" ca="1" si="375"/>
        <v/>
      </c>
      <c r="BA330" s="317" t="str">
        <f t="shared" ca="1" si="375"/>
        <v/>
      </c>
      <c r="BB330" s="317" t="str">
        <f t="shared" ca="1" si="375"/>
        <v/>
      </c>
      <c r="BC330" s="317" t="str">
        <f t="shared" ca="1" si="375"/>
        <v/>
      </c>
      <c r="BD330" s="317" t="str">
        <f t="shared" ca="1" si="375"/>
        <v/>
      </c>
      <c r="BE330" s="317" t="str">
        <f t="shared" ca="1" si="375"/>
        <v/>
      </c>
      <c r="BF330" s="317" t="str">
        <f t="shared" ca="1" si="375"/>
        <v/>
      </c>
      <c r="BG330" s="317" t="str">
        <f t="shared" ca="1" si="375"/>
        <v/>
      </c>
      <c r="BH330" s="317" t="str">
        <f t="shared" ca="1" si="375"/>
        <v/>
      </c>
      <c r="BI330" s="317" t="str">
        <f t="shared" ca="1" si="375"/>
        <v/>
      </c>
    </row>
    <row r="331" spans="1:68" ht="15" customHeight="1" outlineLevel="1">
      <c r="A331" s="6"/>
      <c r="B331" s="34">
        <f>$B$57</f>
        <v>44926</v>
      </c>
      <c r="C331" s="34">
        <f ca="1">$C$57</f>
        <v>44926</v>
      </c>
      <c r="D331" s="107">
        <f ca="1">IF($D$2=FALSE,"-",AVERAGE(OFFSET($AF331,0,MATCH(B331,OFFSET($AF$13,0,0,1,$G$4-$E$4+1),0)-1,1,MATCH(C331,OFFSET($AF$13,0,0,1,$G$4-$E$4+1),0)-MATCH(B331,OFFSET($AF$13,0,0,1,$G$4-$E$4+1),0)+1)))</f>
        <v>200</v>
      </c>
      <c r="E331" s="96">
        <f ca="1">IF($D$2=FALSE,0,J331)</f>
        <v>200</v>
      </c>
      <c r="F331" s="107">
        <f ca="1">IF($D$2=FALSE,"-",IF(E331="",D331,E331))</f>
        <v>200</v>
      </c>
      <c r="G331" s="34">
        <f>$G$57</f>
        <v>44926</v>
      </c>
      <c r="H331" s="37">
        <f ca="1">$H$57</f>
        <v>44926</v>
      </c>
      <c r="I331" s="107">
        <f ca="1">IF($D$2=FALSE,"-",AVERAGE(OFFSET($AF331,0,MATCH(G331,OFFSET($AF$13,0,0,1,$G$4-$E$4+1),0)-1,1,MATCH(H331,OFFSET($AF$13,0,0,1,$G$4-$E$4+1),0)-MATCH(G331,OFFSET($AF$13,0,0,1,$G$4-$E$4+1),0)+1)))</f>
        <v>200</v>
      </c>
      <c r="J331" s="96">
        <f ca="1">IF($D$2=FALSE,0,OFFSET($AF331,0,$F$4-1))</f>
        <v>200</v>
      </c>
      <c r="K331" s="127">
        <f ca="1">IF($D$2=FALSE,"-",IF(J331="",I331,J331))</f>
        <v>200</v>
      </c>
      <c r="L331" s="126">
        <v>5</v>
      </c>
      <c r="M331" s="81">
        <v>0.1</v>
      </c>
      <c r="O331" s="96">
        <f>IF($D$2=FALSE,0,200)</f>
        <v>200</v>
      </c>
      <c r="P331" s="6"/>
      <c r="Q331" s="6" t="s">
        <v>253</v>
      </c>
      <c r="R331" s="6"/>
      <c r="S331" s="6"/>
      <c r="T331" s="6"/>
      <c r="U331" s="6"/>
      <c r="V331" s="6"/>
      <c r="W331" s="135">
        <f t="shared" ca="1" si="369"/>
        <v>200</v>
      </c>
      <c r="X331" s="135">
        <f t="shared" ca="1" si="369"/>
        <v>200</v>
      </c>
      <c r="Y331" s="135">
        <f t="shared" ca="1" si="369"/>
        <v>200</v>
      </c>
      <c r="Z331" s="135">
        <f t="shared" ca="1" si="369"/>
        <v>200</v>
      </c>
      <c r="AA331" s="135">
        <f t="shared" ca="1" si="369"/>
        <v>200</v>
      </c>
      <c r="AB331" s="135">
        <f t="shared" ca="1" si="369"/>
        <v>200</v>
      </c>
      <c r="AC331" s="258" t="s">
        <v>219</v>
      </c>
      <c r="AD331" s="135" t="e">
        <f t="shared" ca="1" si="370"/>
        <v>#N/A</v>
      </c>
      <c r="AE331" s="6"/>
      <c r="AF331" s="252">
        <f ca="1">IF($D$2=FALSE,"-",IF(AF$13="","",IF(AF$4&lt;0,#N/A,IF(AF$4=0,$O331,IF(AF$4&lt;=$L331,IF($M331=0,$F331-((IF($M331=0,($F331-$K331)/$L331,($K331-$F331)/(EXP(-$M331*$L331)-1)))*(AF$4-1)),($F331-(IF($M331=0,($F331-$K331)/$L331,($K331-$F331)/(EXP(-$M331*$L331)-1))))+((IF($M331=0,($F331-$K331)/$L331,($K331-$F331)/(EXP(-$M331*$L331)-1)))*EXP(-$M331*(AF$4-1)))),$K331)))))</f>
        <v>200</v>
      </c>
      <c r="AG331" s="299">
        <f t="shared" ref="AG331:BI331" ca="1" si="376">IF($D$2=FALSE,"-",IF(AG$13="","",IF(AG$4&lt;0,#N/A,IF(AG$4=0,$O331,IF(AG$4&lt;=$L331,IF($M331=0,$F331-((IF($M331=0,($F331-$K331)/$L331,($K331-$F331)/(EXP(-$M331*$L331)-1)))*(AG$4-1)),($F331-(IF($M331=0,($F331-$K331)/$L331,($K331-$F331)/(EXP(-$M331*$L331)-1))))+((IF($M331=0,($F331-$K331)/$L331,($K331-$F331)/(EXP(-$M331*$L331)-1)))*EXP(-$M331*(AG$4-1)))),$K331)))))</f>
        <v>200</v>
      </c>
      <c r="AH331" s="252">
        <f t="shared" ca="1" si="376"/>
        <v>200</v>
      </c>
      <c r="AI331" s="252">
        <f t="shared" ca="1" si="376"/>
        <v>200</v>
      </c>
      <c r="AJ331" s="252">
        <f t="shared" ca="1" si="376"/>
        <v>200</v>
      </c>
      <c r="AK331" s="252">
        <f t="shared" ca="1" si="376"/>
        <v>200</v>
      </c>
      <c r="AL331" s="252" t="str">
        <f t="shared" ca="1" si="376"/>
        <v/>
      </c>
      <c r="AM331" s="252" t="str">
        <f t="shared" ca="1" si="376"/>
        <v/>
      </c>
      <c r="AN331" s="252" t="str">
        <f t="shared" ca="1" si="376"/>
        <v/>
      </c>
      <c r="AO331" s="252" t="str">
        <f t="shared" ca="1" si="376"/>
        <v/>
      </c>
      <c r="AP331" s="252" t="str">
        <f t="shared" ca="1" si="376"/>
        <v/>
      </c>
      <c r="AQ331" s="252" t="str">
        <f t="shared" ca="1" si="376"/>
        <v/>
      </c>
      <c r="AR331" s="252" t="str">
        <f t="shared" ca="1" si="376"/>
        <v/>
      </c>
      <c r="AS331" s="252" t="str">
        <f t="shared" ca="1" si="376"/>
        <v/>
      </c>
      <c r="AT331" s="252" t="str">
        <f t="shared" ca="1" si="376"/>
        <v/>
      </c>
      <c r="AU331" s="252" t="str">
        <f t="shared" ca="1" si="376"/>
        <v/>
      </c>
      <c r="AV331" s="252" t="str">
        <f t="shared" ca="1" si="376"/>
        <v/>
      </c>
      <c r="AW331" s="252" t="str">
        <f t="shared" ca="1" si="376"/>
        <v/>
      </c>
      <c r="AX331" s="252" t="str">
        <f t="shared" ca="1" si="376"/>
        <v/>
      </c>
      <c r="AY331" s="252" t="str">
        <f t="shared" ca="1" si="376"/>
        <v/>
      </c>
      <c r="AZ331" s="252" t="str">
        <f t="shared" ca="1" si="376"/>
        <v/>
      </c>
      <c r="BA331" s="252" t="str">
        <f t="shared" ca="1" si="376"/>
        <v/>
      </c>
      <c r="BB331" s="252" t="str">
        <f t="shared" ca="1" si="376"/>
        <v/>
      </c>
      <c r="BC331" s="252" t="str">
        <f t="shared" ca="1" si="376"/>
        <v/>
      </c>
      <c r="BD331" s="252" t="str">
        <f t="shared" ca="1" si="376"/>
        <v/>
      </c>
      <c r="BE331" s="252" t="str">
        <f t="shared" ca="1" si="376"/>
        <v/>
      </c>
      <c r="BF331" s="252" t="str">
        <f t="shared" ca="1" si="376"/>
        <v/>
      </c>
      <c r="BG331" s="252" t="str">
        <f t="shared" ca="1" si="376"/>
        <v/>
      </c>
      <c r="BH331" s="252" t="str">
        <f t="shared" ca="1" si="376"/>
        <v/>
      </c>
      <c r="BI331" s="252" t="str">
        <f t="shared" ca="1" si="376"/>
        <v/>
      </c>
      <c r="BK331" s="84"/>
      <c r="BL331" s="84"/>
      <c r="BM331" s="84"/>
      <c r="BN331" s="84"/>
      <c r="BO331" s="84"/>
      <c r="BP331" s="84"/>
    </row>
    <row r="332" spans="1:68" ht="15" customHeight="1" outlineLevel="1">
      <c r="Q332" s="1" t="s">
        <v>254</v>
      </c>
      <c r="W332" s="98">
        <f t="shared" ca="1" si="369"/>
        <v>0</v>
      </c>
      <c r="X332" s="98">
        <f t="shared" ca="1" si="369"/>
        <v>118.43143065000005</v>
      </c>
      <c r="Y332" s="98">
        <f t="shared" ca="1" si="369"/>
        <v>193.94533317736585</v>
      </c>
      <c r="Z332" s="98">
        <f t="shared" ca="1" si="369"/>
        <v>200</v>
      </c>
      <c r="AA332" s="98">
        <f t="shared" ca="1" si="369"/>
        <v>200</v>
      </c>
      <c r="AB332" s="98">
        <f t="shared" ca="1" si="369"/>
        <v>200</v>
      </c>
      <c r="AC332" s="258" t="s">
        <v>219</v>
      </c>
      <c r="AD332" s="98" t="e">
        <f t="shared" ca="1" si="370"/>
        <v>#N/A</v>
      </c>
      <c r="AF332" s="124">
        <f t="shared" ref="AF332:BI332" ca="1" si="377">IF($D$2=FALSE,"-",IF(AF$13="","",+AF331-AF329))</f>
        <v>0</v>
      </c>
      <c r="AG332" s="125">
        <f t="shared" ca="1" si="377"/>
        <v>118.43143065000005</v>
      </c>
      <c r="AH332" s="125">
        <f t="shared" ca="1" si="377"/>
        <v>193.94533317736585</v>
      </c>
      <c r="AI332" s="125">
        <f t="shared" ca="1" si="377"/>
        <v>200</v>
      </c>
      <c r="AJ332" s="125">
        <f t="shared" ca="1" si="377"/>
        <v>200</v>
      </c>
      <c r="AK332" s="125">
        <f t="shared" ca="1" si="377"/>
        <v>200</v>
      </c>
      <c r="AL332" s="125" t="str">
        <f t="shared" ca="1" si="377"/>
        <v/>
      </c>
      <c r="AM332" s="125" t="str">
        <f t="shared" ca="1" si="377"/>
        <v/>
      </c>
      <c r="AN332" s="125" t="str">
        <f t="shared" ca="1" si="377"/>
        <v/>
      </c>
      <c r="AO332" s="125" t="str">
        <f t="shared" ca="1" si="377"/>
        <v/>
      </c>
      <c r="AP332" s="125" t="str">
        <f t="shared" ca="1" si="377"/>
        <v/>
      </c>
      <c r="AQ332" s="125" t="str">
        <f t="shared" ca="1" si="377"/>
        <v/>
      </c>
      <c r="AR332" s="125" t="str">
        <f t="shared" ca="1" si="377"/>
        <v/>
      </c>
      <c r="AS332" s="125" t="str">
        <f t="shared" ca="1" si="377"/>
        <v/>
      </c>
      <c r="AT332" s="125" t="str">
        <f t="shared" ca="1" si="377"/>
        <v/>
      </c>
      <c r="AU332" s="125" t="str">
        <f t="shared" ca="1" si="377"/>
        <v/>
      </c>
      <c r="AV332" s="125" t="str">
        <f t="shared" ca="1" si="377"/>
        <v/>
      </c>
      <c r="AW332" s="125" t="str">
        <f t="shared" ca="1" si="377"/>
        <v/>
      </c>
      <c r="AX332" s="125" t="str">
        <f t="shared" ca="1" si="377"/>
        <v/>
      </c>
      <c r="AY332" s="125" t="str">
        <f t="shared" ca="1" si="377"/>
        <v/>
      </c>
      <c r="AZ332" s="125" t="str">
        <f t="shared" ca="1" si="377"/>
        <v/>
      </c>
      <c r="BA332" s="125" t="str">
        <f t="shared" ca="1" si="377"/>
        <v/>
      </c>
      <c r="BB332" s="125" t="str">
        <f t="shared" ca="1" si="377"/>
        <v/>
      </c>
      <c r="BC332" s="125" t="str">
        <f t="shared" ca="1" si="377"/>
        <v/>
      </c>
      <c r="BD332" s="125" t="str">
        <f t="shared" ca="1" si="377"/>
        <v/>
      </c>
      <c r="BE332" s="125" t="str">
        <f t="shared" ca="1" si="377"/>
        <v/>
      </c>
      <c r="BF332" s="125" t="str">
        <f t="shared" ca="1" si="377"/>
        <v/>
      </c>
      <c r="BG332" s="125" t="str">
        <f t="shared" ca="1" si="377"/>
        <v/>
      </c>
      <c r="BH332" s="125" t="str">
        <f t="shared" ca="1" si="377"/>
        <v/>
      </c>
      <c r="BI332" s="125" t="str">
        <f t="shared" ca="1" si="377"/>
        <v/>
      </c>
      <c r="BK332" s="84"/>
      <c r="BL332" s="84"/>
      <c r="BM332" s="84"/>
      <c r="BN332" s="84"/>
      <c r="BO332" s="84"/>
      <c r="BP332" s="84"/>
    </row>
    <row r="333" spans="1:68" ht="15" customHeight="1" outlineLevel="1">
      <c r="Q333" s="1" t="s">
        <v>198</v>
      </c>
      <c r="W333" s="98" t="e">
        <f t="shared" ca="1" si="369"/>
        <v>#N/A</v>
      </c>
      <c r="X333" s="98">
        <f t="shared" ca="1" si="369"/>
        <v>0</v>
      </c>
      <c r="Y333" s="98">
        <f t="shared" ca="1" si="369"/>
        <v>0.59215715325000029</v>
      </c>
      <c r="Z333" s="98">
        <f t="shared" ca="1" si="369"/>
        <v>0.96972666588682932</v>
      </c>
      <c r="AA333" s="98">
        <f t="shared" ca="1" si="369"/>
        <v>1</v>
      </c>
      <c r="AB333" s="98">
        <f t="shared" ca="1" si="369"/>
        <v>1</v>
      </c>
      <c r="AC333" s="258" t="s">
        <v>219</v>
      </c>
      <c r="AD333" s="98" t="e">
        <f t="shared" ca="1" si="370"/>
        <v>#N/A</v>
      </c>
      <c r="AF333" s="309" t="e">
        <f t="shared" ref="AF333:BI333" ca="1" si="378">IF($D$2=FALSE,"-",IF(AF$13="","",IF(AF$4&lt;=0,SUM(OFFSET(AF27,0,-AF$7+1,1,AF$7)),AF374*IF($D$7=1,0.5*(OFFSET(AF332,0,-AF$7)+AF332),OFFSET(AF332,0,-AF$7))*AF$6)))</f>
        <v>#N/A</v>
      </c>
      <c r="AG333" s="317">
        <f t="shared" ca="1" si="378"/>
        <v>0</v>
      </c>
      <c r="AH333" s="317">
        <f t="shared" ca="1" si="378"/>
        <v>0.59215715325000029</v>
      </c>
      <c r="AI333" s="317">
        <f t="shared" ca="1" si="378"/>
        <v>0.96972666588682932</v>
      </c>
      <c r="AJ333" s="317">
        <f t="shared" ca="1" si="378"/>
        <v>1</v>
      </c>
      <c r="AK333" s="317">
        <f t="shared" ca="1" si="378"/>
        <v>1</v>
      </c>
      <c r="AL333" s="317" t="str">
        <f t="shared" ca="1" si="378"/>
        <v/>
      </c>
      <c r="AM333" s="317" t="str">
        <f t="shared" ca="1" si="378"/>
        <v/>
      </c>
      <c r="AN333" s="317" t="str">
        <f t="shared" ca="1" si="378"/>
        <v/>
      </c>
      <c r="AO333" s="317" t="str">
        <f t="shared" ca="1" si="378"/>
        <v/>
      </c>
      <c r="AP333" s="317" t="str">
        <f t="shared" ca="1" si="378"/>
        <v/>
      </c>
      <c r="AQ333" s="317" t="str">
        <f t="shared" ca="1" si="378"/>
        <v/>
      </c>
      <c r="AR333" s="317" t="str">
        <f t="shared" ca="1" si="378"/>
        <v/>
      </c>
      <c r="AS333" s="317" t="str">
        <f t="shared" ca="1" si="378"/>
        <v/>
      </c>
      <c r="AT333" s="317" t="str">
        <f t="shared" ca="1" si="378"/>
        <v/>
      </c>
      <c r="AU333" s="317" t="str">
        <f t="shared" ca="1" si="378"/>
        <v/>
      </c>
      <c r="AV333" s="317" t="str">
        <f t="shared" ca="1" si="378"/>
        <v/>
      </c>
      <c r="AW333" s="317" t="str">
        <f t="shared" ca="1" si="378"/>
        <v/>
      </c>
      <c r="AX333" s="317" t="str">
        <f t="shared" ca="1" si="378"/>
        <v/>
      </c>
      <c r="AY333" s="317" t="str">
        <f t="shared" ca="1" si="378"/>
        <v/>
      </c>
      <c r="AZ333" s="317" t="str">
        <f t="shared" ca="1" si="378"/>
        <v/>
      </c>
      <c r="BA333" s="317" t="str">
        <f t="shared" ca="1" si="378"/>
        <v/>
      </c>
      <c r="BB333" s="317" t="str">
        <f t="shared" ca="1" si="378"/>
        <v/>
      </c>
      <c r="BC333" s="317" t="str">
        <f t="shared" ca="1" si="378"/>
        <v/>
      </c>
      <c r="BD333" s="317" t="str">
        <f t="shared" ca="1" si="378"/>
        <v/>
      </c>
      <c r="BE333" s="317" t="str">
        <f t="shared" ca="1" si="378"/>
        <v/>
      </c>
      <c r="BF333" s="317" t="str">
        <f t="shared" ca="1" si="378"/>
        <v/>
      </c>
      <c r="BG333" s="317" t="str">
        <f t="shared" ca="1" si="378"/>
        <v/>
      </c>
      <c r="BH333" s="317" t="str">
        <f t="shared" ca="1" si="378"/>
        <v/>
      </c>
      <c r="BI333" s="317" t="str">
        <f t="shared" ca="1" si="378"/>
        <v/>
      </c>
    </row>
    <row r="334" spans="1:68" ht="15" customHeight="1" outlineLevel="1">
      <c r="W334" s="98"/>
      <c r="X334" s="98"/>
      <c r="Y334" s="98"/>
      <c r="Z334" s="98"/>
      <c r="AA334" s="98"/>
      <c r="AB334" s="98"/>
      <c r="AC334" s="98"/>
      <c r="AD334" s="98"/>
      <c r="AF334" s="124"/>
      <c r="AG334" s="125"/>
      <c r="AH334" s="125"/>
      <c r="AI334" s="125"/>
      <c r="AJ334" s="125"/>
      <c r="AK334" s="125"/>
      <c r="AL334" s="125"/>
      <c r="AM334" s="125"/>
      <c r="AN334" s="125"/>
      <c r="AO334" s="125"/>
      <c r="AP334" s="125"/>
      <c r="AQ334" s="125"/>
      <c r="AR334" s="125"/>
      <c r="AS334" s="125"/>
      <c r="AT334" s="125"/>
      <c r="AU334" s="125"/>
      <c r="AV334" s="125"/>
      <c r="AW334" s="125"/>
      <c r="AX334" s="125"/>
      <c r="AY334" s="125"/>
      <c r="AZ334" s="125"/>
      <c r="BA334" s="125"/>
      <c r="BB334" s="125"/>
      <c r="BC334" s="125"/>
      <c r="BD334" s="125"/>
      <c r="BE334" s="125"/>
      <c r="BF334" s="125"/>
      <c r="BG334" s="125"/>
      <c r="BH334" s="125"/>
      <c r="BI334" s="125"/>
    </row>
    <row r="335" spans="1:68" ht="15" customHeight="1" outlineLevel="1">
      <c r="Q335" s="327" t="str">
        <f>IF($D$2=FALSE,"-",Q221)</f>
        <v>Senior credit facility</v>
      </c>
      <c r="R335" s="327"/>
      <c r="S335" s="327"/>
      <c r="T335" s="327"/>
      <c r="U335" s="327"/>
      <c r="W335" s="98"/>
      <c r="X335" s="98"/>
      <c r="Y335" s="98"/>
      <c r="Z335" s="98"/>
      <c r="AA335" s="98"/>
      <c r="AB335" s="98"/>
      <c r="AC335" s="98"/>
      <c r="AD335" s="98"/>
      <c r="AF335" s="124"/>
      <c r="AG335" s="125"/>
      <c r="AH335" s="125"/>
      <c r="AI335" s="125"/>
      <c r="AJ335" s="125"/>
      <c r="AK335" s="125"/>
      <c r="AL335" s="125"/>
      <c r="AM335" s="125"/>
      <c r="AN335" s="125"/>
      <c r="AO335" s="125"/>
      <c r="AP335" s="125"/>
      <c r="AQ335" s="125"/>
      <c r="AR335" s="125"/>
      <c r="AS335" s="125"/>
      <c r="AT335" s="125"/>
      <c r="AU335" s="125"/>
      <c r="AV335" s="125"/>
      <c r="AW335" s="125"/>
      <c r="AX335" s="125"/>
      <c r="AY335" s="125"/>
      <c r="AZ335" s="125"/>
      <c r="BA335" s="125"/>
      <c r="BB335" s="125"/>
      <c r="BC335" s="125"/>
      <c r="BD335" s="125"/>
      <c r="BE335" s="125"/>
      <c r="BF335" s="125"/>
      <c r="BG335" s="125"/>
      <c r="BH335" s="125"/>
      <c r="BI335" s="125"/>
    </row>
    <row r="336" spans="1:68" ht="15" customHeight="1" outlineLevel="1">
      <c r="P336" s="222"/>
      <c r="Q336" s="1" t="s">
        <v>129</v>
      </c>
      <c r="W336" s="98" t="e">
        <f t="shared" ref="W336:AB340" ca="1" si="379">IF($D$2=FALSE,"-",IF(W$13="","",OFFSET($AF336,0,W$8)))</f>
        <v>#N/A</v>
      </c>
      <c r="X336" s="98">
        <f t="shared" ca="1" si="379"/>
        <v>10</v>
      </c>
      <c r="Y336" s="98">
        <f t="shared" ca="1" si="379"/>
        <v>8.5</v>
      </c>
      <c r="Z336" s="98">
        <f t="shared" ca="1" si="379"/>
        <v>7</v>
      </c>
      <c r="AA336" s="98">
        <f t="shared" ca="1" si="379"/>
        <v>0</v>
      </c>
      <c r="AB336" s="98">
        <f t="shared" ca="1" si="379"/>
        <v>0</v>
      </c>
      <c r="AC336" s="258" t="s">
        <v>219</v>
      </c>
      <c r="AD336" s="98" t="e">
        <f ca="1">IF($D$2=FALSE,"-",IF(AD$13="","",OFFSET($AF336,0,$F$4-AD$7-1)+OFFSET($AF336,0,$F$4-1)-OFFSET($AF336,0,$F$4-$E$5-1)))</f>
        <v>#N/A</v>
      </c>
      <c r="AF336" s="310" t="e">
        <f t="shared" ref="AF336:BI336" ca="1" si="380">IF($D$2=FALSE,"-",IF(AF$13="","",IF(AF$4&lt;=0,OFFSET(AF221,0,-AF$7),OFFSET(AF339,0,-AF$7))))</f>
        <v>#N/A</v>
      </c>
      <c r="AG336" s="311">
        <f t="shared" ca="1" si="380"/>
        <v>10</v>
      </c>
      <c r="AH336" s="311">
        <f t="shared" ca="1" si="380"/>
        <v>8.5</v>
      </c>
      <c r="AI336" s="311">
        <f t="shared" ca="1" si="380"/>
        <v>7</v>
      </c>
      <c r="AJ336" s="311">
        <f t="shared" ca="1" si="380"/>
        <v>0</v>
      </c>
      <c r="AK336" s="311">
        <f t="shared" ca="1" si="380"/>
        <v>0</v>
      </c>
      <c r="AL336" s="311" t="str">
        <f t="shared" ca="1" si="380"/>
        <v/>
      </c>
      <c r="AM336" s="311" t="str">
        <f t="shared" ca="1" si="380"/>
        <v/>
      </c>
      <c r="AN336" s="311" t="str">
        <f t="shared" ca="1" si="380"/>
        <v/>
      </c>
      <c r="AO336" s="311" t="str">
        <f t="shared" ca="1" si="380"/>
        <v/>
      </c>
      <c r="AP336" s="311" t="str">
        <f t="shared" ca="1" si="380"/>
        <v/>
      </c>
      <c r="AQ336" s="311" t="str">
        <f t="shared" ca="1" si="380"/>
        <v/>
      </c>
      <c r="AR336" s="311" t="str">
        <f t="shared" ca="1" si="380"/>
        <v/>
      </c>
      <c r="AS336" s="311" t="str">
        <f t="shared" ca="1" si="380"/>
        <v/>
      </c>
      <c r="AT336" s="311" t="str">
        <f t="shared" ca="1" si="380"/>
        <v/>
      </c>
      <c r="AU336" s="311" t="str">
        <f t="shared" ca="1" si="380"/>
        <v/>
      </c>
      <c r="AV336" s="311" t="str">
        <f t="shared" ca="1" si="380"/>
        <v/>
      </c>
      <c r="AW336" s="311" t="str">
        <f t="shared" ca="1" si="380"/>
        <v/>
      </c>
      <c r="AX336" s="311" t="str">
        <f t="shared" ca="1" si="380"/>
        <v/>
      </c>
      <c r="AY336" s="311" t="str">
        <f t="shared" ca="1" si="380"/>
        <v/>
      </c>
      <c r="AZ336" s="311" t="str">
        <f t="shared" ca="1" si="380"/>
        <v/>
      </c>
      <c r="BA336" s="311" t="str">
        <f t="shared" ca="1" si="380"/>
        <v/>
      </c>
      <c r="BB336" s="311" t="str">
        <f t="shared" ca="1" si="380"/>
        <v/>
      </c>
      <c r="BC336" s="311" t="str">
        <f t="shared" ca="1" si="380"/>
        <v/>
      </c>
      <c r="BD336" s="311" t="str">
        <f t="shared" ca="1" si="380"/>
        <v/>
      </c>
      <c r="BE336" s="311" t="str">
        <f t="shared" ca="1" si="380"/>
        <v/>
      </c>
      <c r="BF336" s="311" t="str">
        <f t="shared" ca="1" si="380"/>
        <v/>
      </c>
      <c r="BG336" s="311" t="str">
        <f t="shared" ca="1" si="380"/>
        <v/>
      </c>
      <c r="BH336" s="311" t="str">
        <f t="shared" ca="1" si="380"/>
        <v/>
      </c>
      <c r="BI336" s="311" t="str">
        <f t="shared" ca="1" si="380"/>
        <v/>
      </c>
      <c r="BK336" s="84"/>
      <c r="BL336" s="84"/>
      <c r="BM336" s="84"/>
      <c r="BN336" s="84"/>
      <c r="BO336" s="84"/>
      <c r="BP336" s="84"/>
    </row>
    <row r="337" spans="1:68" ht="15" customHeight="1" outlineLevel="1">
      <c r="P337" s="222"/>
      <c r="Q337" s="1" t="s">
        <v>190</v>
      </c>
      <c r="W337" s="98" t="e">
        <f t="shared" ca="1" si="379"/>
        <v>#N/A</v>
      </c>
      <c r="X337" s="98">
        <f t="shared" ca="1" si="379"/>
        <v>-1.5</v>
      </c>
      <c r="Y337" s="98">
        <f t="shared" ca="1" si="379"/>
        <v>-1.5</v>
      </c>
      <c r="Z337" s="98">
        <f t="shared" ca="1" si="379"/>
        <v>0</v>
      </c>
      <c r="AA337" s="98">
        <f t="shared" ca="1" si="379"/>
        <v>0</v>
      </c>
      <c r="AB337" s="98">
        <f t="shared" ca="1" si="379"/>
        <v>0</v>
      </c>
      <c r="AC337" s="258" t="s">
        <v>219</v>
      </c>
      <c r="AD337" s="98" t="e">
        <f ca="1">IF($D$2=FALSE,"-",IF(AD$13="","",OFFSET($AF337,0,$F$4-AD$7-1)+OFFSET($AF337,0,$F$4-1)-OFFSET($AF337,0,$F$4-$E$5-1)))</f>
        <v>#N/A</v>
      </c>
      <c r="AF337" s="124" t="e">
        <f t="shared" ref="AF337:BI337" ca="1" si="381">IF($D$2=FALSE,"-",IF(AF$13="","",IF(AF$4&lt;=0,AF339-AF336-AF338,-MIN(OFFSET($AF339,0,$F$4-1)*AF366,AF336))))</f>
        <v>#N/A</v>
      </c>
      <c r="AG337" s="125">
        <f t="shared" ca="1" si="381"/>
        <v>-1.5</v>
      </c>
      <c r="AH337" s="125">
        <f t="shared" ca="1" si="381"/>
        <v>-1.5</v>
      </c>
      <c r="AI337" s="125">
        <f t="shared" ca="1" si="381"/>
        <v>0</v>
      </c>
      <c r="AJ337" s="125">
        <f t="shared" ca="1" si="381"/>
        <v>0</v>
      </c>
      <c r="AK337" s="125">
        <f t="shared" ca="1" si="381"/>
        <v>0</v>
      </c>
      <c r="AL337" s="125" t="str">
        <f t="shared" ca="1" si="381"/>
        <v/>
      </c>
      <c r="AM337" s="125" t="str">
        <f t="shared" ca="1" si="381"/>
        <v/>
      </c>
      <c r="AN337" s="125" t="str">
        <f t="shared" ca="1" si="381"/>
        <v/>
      </c>
      <c r="AO337" s="125" t="str">
        <f t="shared" ca="1" si="381"/>
        <v/>
      </c>
      <c r="AP337" s="125" t="str">
        <f t="shared" ca="1" si="381"/>
        <v/>
      </c>
      <c r="AQ337" s="125" t="str">
        <f t="shared" ca="1" si="381"/>
        <v/>
      </c>
      <c r="AR337" s="125" t="str">
        <f t="shared" ca="1" si="381"/>
        <v/>
      </c>
      <c r="AS337" s="125" t="str">
        <f t="shared" ca="1" si="381"/>
        <v/>
      </c>
      <c r="AT337" s="125" t="str">
        <f t="shared" ca="1" si="381"/>
        <v/>
      </c>
      <c r="AU337" s="125" t="str">
        <f t="shared" ca="1" si="381"/>
        <v/>
      </c>
      <c r="AV337" s="125" t="str">
        <f t="shared" ca="1" si="381"/>
        <v/>
      </c>
      <c r="AW337" s="125" t="str">
        <f t="shared" ca="1" si="381"/>
        <v/>
      </c>
      <c r="AX337" s="125" t="str">
        <f t="shared" ca="1" si="381"/>
        <v/>
      </c>
      <c r="AY337" s="125" t="str">
        <f t="shared" ca="1" si="381"/>
        <v/>
      </c>
      <c r="AZ337" s="125" t="str">
        <f t="shared" ca="1" si="381"/>
        <v/>
      </c>
      <c r="BA337" s="125" t="str">
        <f t="shared" ca="1" si="381"/>
        <v/>
      </c>
      <c r="BB337" s="125" t="str">
        <f t="shared" ca="1" si="381"/>
        <v/>
      </c>
      <c r="BC337" s="125" t="str">
        <f t="shared" ca="1" si="381"/>
        <v/>
      </c>
      <c r="BD337" s="125" t="str">
        <f t="shared" ca="1" si="381"/>
        <v/>
      </c>
      <c r="BE337" s="125" t="str">
        <f t="shared" ca="1" si="381"/>
        <v/>
      </c>
      <c r="BF337" s="125" t="str">
        <f t="shared" ca="1" si="381"/>
        <v/>
      </c>
      <c r="BG337" s="125" t="str">
        <f t="shared" ca="1" si="381"/>
        <v/>
      </c>
      <c r="BH337" s="125" t="str">
        <f t="shared" ca="1" si="381"/>
        <v/>
      </c>
      <c r="BI337" s="125" t="str">
        <f t="shared" ca="1" si="381"/>
        <v/>
      </c>
      <c r="BK337" s="84"/>
      <c r="BL337" s="84"/>
      <c r="BM337" s="84"/>
      <c r="BN337" s="84"/>
      <c r="BO337" s="84"/>
      <c r="BP337" s="84"/>
    </row>
    <row r="338" spans="1:68" ht="15" customHeight="1" outlineLevel="1">
      <c r="O338" s="192">
        <v>1</v>
      </c>
      <c r="P338" s="222"/>
      <c r="Q338" s="100" t="s">
        <v>191</v>
      </c>
      <c r="R338" s="100"/>
      <c r="S338" s="100"/>
      <c r="T338" s="100"/>
      <c r="U338" s="100"/>
      <c r="W338" s="103" t="e">
        <f t="shared" ca="1" si="379"/>
        <v>#N/A</v>
      </c>
      <c r="X338" s="103">
        <f t="shared" ca="1" si="379"/>
        <v>0</v>
      </c>
      <c r="Y338" s="103">
        <f t="shared" ca="1" si="379"/>
        <v>0</v>
      </c>
      <c r="Z338" s="103">
        <f t="shared" ca="1" si="379"/>
        <v>-7</v>
      </c>
      <c r="AA338" s="103">
        <f t="shared" ca="1" si="379"/>
        <v>0</v>
      </c>
      <c r="AB338" s="103">
        <f t="shared" ca="1" si="379"/>
        <v>0</v>
      </c>
      <c r="AC338" s="258" t="s">
        <v>219</v>
      </c>
      <c r="AD338" s="103" t="e">
        <f ca="1">IF($D$2=FALSE,"-",IF(AD$13="","",OFFSET($AF338,0,$F$4-AD$7-1)+OFFSET($AF338,0,$F$4-1)-OFFSET($AF338,0,$F$4-$E$5-1)))</f>
        <v>#N/A</v>
      </c>
      <c r="AF338" s="293" t="e">
        <f t="shared" ref="AF338:BI338" ca="1" si="382">IF($D$2=FALSE,"-",IF(AF$13="","",IF(AF$4&lt;=0,#N/A,-MAX(0,MIN(AF336+AF337,AF320+AF328,OFFSET($AF339,0,$F$4-1)*$O338)))))</f>
        <v>#N/A</v>
      </c>
      <c r="AG338" s="291">
        <f t="shared" ca="1" si="382"/>
        <v>0</v>
      </c>
      <c r="AH338" s="291">
        <f t="shared" ca="1" si="382"/>
        <v>0</v>
      </c>
      <c r="AI338" s="291">
        <f t="shared" ca="1" si="382"/>
        <v>-7</v>
      </c>
      <c r="AJ338" s="291">
        <f t="shared" ca="1" si="382"/>
        <v>0</v>
      </c>
      <c r="AK338" s="291">
        <f t="shared" ca="1" si="382"/>
        <v>0</v>
      </c>
      <c r="AL338" s="291" t="str">
        <f t="shared" ca="1" si="382"/>
        <v/>
      </c>
      <c r="AM338" s="291" t="str">
        <f t="shared" ca="1" si="382"/>
        <v/>
      </c>
      <c r="AN338" s="291" t="str">
        <f t="shared" ca="1" si="382"/>
        <v/>
      </c>
      <c r="AO338" s="291" t="str">
        <f t="shared" ca="1" si="382"/>
        <v/>
      </c>
      <c r="AP338" s="291" t="str">
        <f t="shared" ca="1" si="382"/>
        <v/>
      </c>
      <c r="AQ338" s="291" t="str">
        <f t="shared" ca="1" si="382"/>
        <v/>
      </c>
      <c r="AR338" s="291" t="str">
        <f t="shared" ca="1" si="382"/>
        <v/>
      </c>
      <c r="AS338" s="291" t="str">
        <f t="shared" ca="1" si="382"/>
        <v/>
      </c>
      <c r="AT338" s="291" t="str">
        <f t="shared" ca="1" si="382"/>
        <v/>
      </c>
      <c r="AU338" s="291" t="str">
        <f t="shared" ca="1" si="382"/>
        <v/>
      </c>
      <c r="AV338" s="291" t="str">
        <f t="shared" ca="1" si="382"/>
        <v/>
      </c>
      <c r="AW338" s="291" t="str">
        <f t="shared" ca="1" si="382"/>
        <v/>
      </c>
      <c r="AX338" s="291" t="str">
        <f t="shared" ca="1" si="382"/>
        <v/>
      </c>
      <c r="AY338" s="291" t="str">
        <f t="shared" ca="1" si="382"/>
        <v/>
      </c>
      <c r="AZ338" s="291" t="str">
        <f t="shared" ca="1" si="382"/>
        <v/>
      </c>
      <c r="BA338" s="291" t="str">
        <f t="shared" ca="1" si="382"/>
        <v/>
      </c>
      <c r="BB338" s="291" t="str">
        <f t="shared" ca="1" si="382"/>
        <v/>
      </c>
      <c r="BC338" s="291" t="str">
        <f t="shared" ca="1" si="382"/>
        <v/>
      </c>
      <c r="BD338" s="291" t="str">
        <f t="shared" ca="1" si="382"/>
        <v/>
      </c>
      <c r="BE338" s="291" t="str">
        <f t="shared" ca="1" si="382"/>
        <v/>
      </c>
      <c r="BF338" s="291" t="str">
        <f t="shared" ca="1" si="382"/>
        <v/>
      </c>
      <c r="BG338" s="291" t="str">
        <f t="shared" ca="1" si="382"/>
        <v/>
      </c>
      <c r="BH338" s="291" t="str">
        <f t="shared" ca="1" si="382"/>
        <v/>
      </c>
      <c r="BI338" s="291" t="str">
        <f t="shared" ca="1" si="382"/>
        <v/>
      </c>
      <c r="BK338" s="84"/>
      <c r="BL338" s="84"/>
      <c r="BM338" s="84"/>
      <c r="BN338" s="84"/>
      <c r="BO338" s="84"/>
      <c r="BP338" s="84"/>
    </row>
    <row r="339" spans="1:68" ht="15" customHeight="1" outlineLevel="1">
      <c r="P339" s="222"/>
      <c r="Q339" s="1" t="s">
        <v>131</v>
      </c>
      <c r="W339" s="98">
        <f t="shared" ca="1" si="379"/>
        <v>10</v>
      </c>
      <c r="X339" s="98">
        <f t="shared" ca="1" si="379"/>
        <v>8.5</v>
      </c>
      <c r="Y339" s="98">
        <f t="shared" ca="1" si="379"/>
        <v>7</v>
      </c>
      <c r="Z339" s="98">
        <f t="shared" ca="1" si="379"/>
        <v>0</v>
      </c>
      <c r="AA339" s="98">
        <f t="shared" ca="1" si="379"/>
        <v>0</v>
      </c>
      <c r="AB339" s="98">
        <f t="shared" ca="1" si="379"/>
        <v>0</v>
      </c>
      <c r="AC339" s="258" t="s">
        <v>219</v>
      </c>
      <c r="AD339" s="98" t="e">
        <f ca="1">IF($D$2=FALSE,"-",IF(AD$13="","",OFFSET($AF339,0,$F$4-AD$7-1)+OFFSET($AF339,0,$F$4-1)-OFFSET($AF339,0,$F$4-$E$5-1)))</f>
        <v>#N/A</v>
      </c>
      <c r="AF339" s="310">
        <f t="shared" ref="AF339:BI339" ca="1" si="383">IF($D$2=FALSE,"-",IF(AF$13="","",IF(AF$4&lt;=0,AF221,+SUM(AF336:AF338))))</f>
        <v>10</v>
      </c>
      <c r="AG339" s="311">
        <f t="shared" ca="1" si="383"/>
        <v>8.5</v>
      </c>
      <c r="AH339" s="311">
        <f t="shared" ca="1" si="383"/>
        <v>7</v>
      </c>
      <c r="AI339" s="311">
        <f t="shared" ca="1" si="383"/>
        <v>0</v>
      </c>
      <c r="AJ339" s="311">
        <f t="shared" ca="1" si="383"/>
        <v>0</v>
      </c>
      <c r="AK339" s="311">
        <f t="shared" ca="1" si="383"/>
        <v>0</v>
      </c>
      <c r="AL339" s="311" t="str">
        <f t="shared" ca="1" si="383"/>
        <v/>
      </c>
      <c r="AM339" s="311" t="str">
        <f t="shared" ca="1" si="383"/>
        <v/>
      </c>
      <c r="AN339" s="311" t="str">
        <f t="shared" ca="1" si="383"/>
        <v/>
      </c>
      <c r="AO339" s="311" t="str">
        <f t="shared" ca="1" si="383"/>
        <v/>
      </c>
      <c r="AP339" s="311" t="str">
        <f t="shared" ca="1" si="383"/>
        <v/>
      </c>
      <c r="AQ339" s="311" t="str">
        <f t="shared" ca="1" si="383"/>
        <v/>
      </c>
      <c r="AR339" s="311" t="str">
        <f t="shared" ca="1" si="383"/>
        <v/>
      </c>
      <c r="AS339" s="311" t="str">
        <f t="shared" ca="1" si="383"/>
        <v/>
      </c>
      <c r="AT339" s="311" t="str">
        <f t="shared" ca="1" si="383"/>
        <v/>
      </c>
      <c r="AU339" s="311" t="str">
        <f t="shared" ca="1" si="383"/>
        <v/>
      </c>
      <c r="AV339" s="311" t="str">
        <f t="shared" ca="1" si="383"/>
        <v/>
      </c>
      <c r="AW339" s="311" t="str">
        <f t="shared" ca="1" si="383"/>
        <v/>
      </c>
      <c r="AX339" s="311" t="str">
        <f t="shared" ca="1" si="383"/>
        <v/>
      </c>
      <c r="AY339" s="311" t="str">
        <f t="shared" ca="1" si="383"/>
        <v/>
      </c>
      <c r="AZ339" s="311" t="str">
        <f t="shared" ca="1" si="383"/>
        <v/>
      </c>
      <c r="BA339" s="311" t="str">
        <f t="shared" ca="1" si="383"/>
        <v/>
      </c>
      <c r="BB339" s="311" t="str">
        <f t="shared" ca="1" si="383"/>
        <v/>
      </c>
      <c r="BC339" s="311" t="str">
        <f t="shared" ca="1" si="383"/>
        <v/>
      </c>
      <c r="BD339" s="311" t="str">
        <f t="shared" ca="1" si="383"/>
        <v/>
      </c>
      <c r="BE339" s="311" t="str">
        <f t="shared" ca="1" si="383"/>
        <v/>
      </c>
      <c r="BF339" s="311" t="str">
        <f t="shared" ca="1" si="383"/>
        <v/>
      </c>
      <c r="BG339" s="311" t="str">
        <f t="shared" ca="1" si="383"/>
        <v/>
      </c>
      <c r="BH339" s="311" t="str">
        <f t="shared" ca="1" si="383"/>
        <v/>
      </c>
      <c r="BI339" s="311" t="str">
        <f t="shared" ca="1" si="383"/>
        <v/>
      </c>
      <c r="BK339" s="84"/>
      <c r="BL339" s="84"/>
      <c r="BM339" s="84"/>
      <c r="BN339" s="84"/>
      <c r="BO339" s="84"/>
      <c r="BP339" s="84"/>
    </row>
    <row r="340" spans="1:68" ht="15" customHeight="1" outlineLevel="1">
      <c r="Q340" s="1" t="s">
        <v>227</v>
      </c>
      <c r="W340" s="98" t="e">
        <f t="shared" ca="1" si="379"/>
        <v>#N/A</v>
      </c>
      <c r="X340" s="98">
        <f t="shared" ca="1" si="379"/>
        <v>0.84897250000000013</v>
      </c>
      <c r="Y340" s="98">
        <f t="shared" ca="1" si="379"/>
        <v>0.72162662500000008</v>
      </c>
      <c r="Z340" s="98">
        <f t="shared" ca="1" si="379"/>
        <v>0.59428075000000002</v>
      </c>
      <c r="AA340" s="98">
        <f t="shared" ca="1" si="379"/>
        <v>0</v>
      </c>
      <c r="AB340" s="98">
        <f t="shared" ca="1" si="379"/>
        <v>0</v>
      </c>
      <c r="AC340" s="258" t="s">
        <v>219</v>
      </c>
      <c r="AD340" s="98" t="e">
        <f ca="1">IF($D$2=FALSE,"-",IF(AD$13="","",OFFSET($AF340,0,$F$4-AD$7-1)+OFFSET($AF340,0,$F$4-1)-OFFSET($AF340,0,$F$4-$E$5-1)))</f>
        <v>#N/A</v>
      </c>
      <c r="AF340" s="309" t="e">
        <f t="shared" ref="AF340:BI340" ca="1" si="384">IF($D$2=FALSE,"-",IF(AF$13="","",IF(AF$4&lt;=0,SUM(OFFSET(AF29,0,-AF$7+1,1,AF$7)),AF376*IF($D$7=1,0.5*(AF336+AF339),AF336)*AF$6)))</f>
        <v>#N/A</v>
      </c>
      <c r="AG340" s="317">
        <f t="shared" ca="1" si="384"/>
        <v>0.84897250000000013</v>
      </c>
      <c r="AH340" s="317">
        <f t="shared" ca="1" si="384"/>
        <v>0.72162662500000008</v>
      </c>
      <c r="AI340" s="317">
        <f t="shared" ca="1" si="384"/>
        <v>0.59428075000000002</v>
      </c>
      <c r="AJ340" s="317">
        <f t="shared" ca="1" si="384"/>
        <v>0</v>
      </c>
      <c r="AK340" s="317">
        <f t="shared" ca="1" si="384"/>
        <v>0</v>
      </c>
      <c r="AL340" s="317" t="str">
        <f t="shared" ca="1" si="384"/>
        <v/>
      </c>
      <c r="AM340" s="317" t="str">
        <f t="shared" ca="1" si="384"/>
        <v/>
      </c>
      <c r="AN340" s="317" t="str">
        <f t="shared" ca="1" si="384"/>
        <v/>
      </c>
      <c r="AO340" s="317" t="str">
        <f t="shared" ca="1" si="384"/>
        <v/>
      </c>
      <c r="AP340" s="317" t="str">
        <f t="shared" ca="1" si="384"/>
        <v/>
      </c>
      <c r="AQ340" s="317" t="str">
        <f t="shared" ca="1" si="384"/>
        <v/>
      </c>
      <c r="AR340" s="317" t="str">
        <f t="shared" ca="1" si="384"/>
        <v/>
      </c>
      <c r="AS340" s="317" t="str">
        <f t="shared" ca="1" si="384"/>
        <v/>
      </c>
      <c r="AT340" s="317" t="str">
        <f t="shared" ca="1" si="384"/>
        <v/>
      </c>
      <c r="AU340" s="317" t="str">
        <f t="shared" ca="1" si="384"/>
        <v/>
      </c>
      <c r="AV340" s="317" t="str">
        <f t="shared" ca="1" si="384"/>
        <v/>
      </c>
      <c r="AW340" s="317" t="str">
        <f t="shared" ca="1" si="384"/>
        <v/>
      </c>
      <c r="AX340" s="317" t="str">
        <f t="shared" ca="1" si="384"/>
        <v/>
      </c>
      <c r="AY340" s="317" t="str">
        <f t="shared" ca="1" si="384"/>
        <v/>
      </c>
      <c r="AZ340" s="317" t="str">
        <f t="shared" ca="1" si="384"/>
        <v/>
      </c>
      <c r="BA340" s="317" t="str">
        <f t="shared" ca="1" si="384"/>
        <v/>
      </c>
      <c r="BB340" s="317" t="str">
        <f t="shared" ca="1" si="384"/>
        <v/>
      </c>
      <c r="BC340" s="317" t="str">
        <f t="shared" ca="1" si="384"/>
        <v/>
      </c>
      <c r="BD340" s="317" t="str">
        <f t="shared" ca="1" si="384"/>
        <v/>
      </c>
      <c r="BE340" s="317" t="str">
        <f t="shared" ca="1" si="384"/>
        <v/>
      </c>
      <c r="BF340" s="317" t="str">
        <f t="shared" ca="1" si="384"/>
        <v/>
      </c>
      <c r="BG340" s="317" t="str">
        <f t="shared" ca="1" si="384"/>
        <v/>
      </c>
      <c r="BH340" s="317" t="str">
        <f t="shared" ca="1" si="384"/>
        <v/>
      </c>
      <c r="BI340" s="317" t="str">
        <f t="shared" ca="1" si="384"/>
        <v/>
      </c>
    </row>
    <row r="341" spans="1:68" ht="15" customHeight="1" outlineLevel="1">
      <c r="W341" s="98"/>
      <c r="X341" s="98"/>
      <c r="Y341" s="98"/>
      <c r="Z341" s="98"/>
      <c r="AA341" s="98"/>
      <c r="AB341" s="98"/>
      <c r="AC341" s="98"/>
      <c r="AD341" s="98"/>
      <c r="AF341" s="124"/>
      <c r="AG341" s="125"/>
      <c r="AH341" s="125"/>
      <c r="AI341" s="125"/>
      <c r="AJ341" s="125"/>
      <c r="AK341" s="125"/>
      <c r="AL341" s="125"/>
      <c r="AM341" s="125"/>
      <c r="AN341" s="125"/>
      <c r="AO341" s="125"/>
      <c r="AP341" s="125"/>
      <c r="AQ341" s="125"/>
      <c r="AR341" s="125"/>
      <c r="AS341" s="125"/>
      <c r="AT341" s="125"/>
      <c r="AU341" s="125"/>
      <c r="AV341" s="125"/>
      <c r="AW341" s="125"/>
      <c r="AX341" s="125"/>
      <c r="AY341" s="125"/>
      <c r="AZ341" s="125"/>
      <c r="BA341" s="125"/>
      <c r="BB341" s="125"/>
      <c r="BC341" s="125"/>
      <c r="BD341" s="125"/>
      <c r="BE341" s="125"/>
      <c r="BF341" s="125"/>
      <c r="BG341" s="125"/>
      <c r="BH341" s="125"/>
      <c r="BI341" s="125"/>
    </row>
    <row r="342" spans="1:68" ht="15" customHeight="1" outlineLevel="1">
      <c r="Q342" s="327" t="str">
        <f>IF($D$2=FALSE,"-",Q222)</f>
        <v>Subordinated note</v>
      </c>
      <c r="R342" s="327"/>
      <c r="S342" s="327"/>
      <c r="T342" s="327"/>
      <c r="U342" s="327"/>
      <c r="W342" s="98"/>
      <c r="X342" s="98"/>
      <c r="Y342" s="98"/>
      <c r="Z342" s="98"/>
      <c r="AA342" s="98"/>
      <c r="AB342" s="98"/>
      <c r="AC342" s="98"/>
      <c r="AD342" s="98"/>
      <c r="AF342" s="124"/>
      <c r="AG342" s="125"/>
      <c r="AH342" s="125"/>
      <c r="AI342" s="125"/>
      <c r="AJ342" s="125"/>
      <c r="AK342" s="125"/>
      <c r="AL342" s="125"/>
      <c r="AM342" s="125"/>
      <c r="AN342" s="125"/>
      <c r="AO342" s="125"/>
      <c r="AP342" s="125"/>
      <c r="AQ342" s="125"/>
      <c r="AR342" s="125"/>
      <c r="AS342" s="125"/>
      <c r="AT342" s="125"/>
      <c r="AU342" s="125"/>
      <c r="AV342" s="125"/>
      <c r="AW342" s="125"/>
      <c r="AX342" s="125"/>
      <c r="AY342" s="125"/>
      <c r="AZ342" s="125"/>
      <c r="BA342" s="125"/>
      <c r="BB342" s="125"/>
      <c r="BC342" s="125"/>
      <c r="BD342" s="125"/>
      <c r="BE342" s="125"/>
      <c r="BF342" s="125"/>
      <c r="BG342" s="125"/>
      <c r="BH342" s="125"/>
      <c r="BI342" s="125"/>
    </row>
    <row r="343" spans="1:68" ht="15" customHeight="1" outlineLevel="1">
      <c r="P343" s="222"/>
      <c r="Q343" s="1" t="s">
        <v>129</v>
      </c>
      <c r="W343" s="98" t="e">
        <f t="shared" ref="W343:AB347" ca="1" si="385">IF($D$2=FALSE,"-",IF(W$13="","",OFFSET($AF343,0,W$8)))</f>
        <v>#N/A</v>
      </c>
      <c r="X343" s="98">
        <f t="shared" ca="1" si="385"/>
        <v>45.5</v>
      </c>
      <c r="Y343" s="98">
        <f t="shared" ca="1" si="385"/>
        <v>38.674999999999997</v>
      </c>
      <c r="Z343" s="98">
        <f t="shared" ca="1" si="385"/>
        <v>31.849999999999998</v>
      </c>
      <c r="AA343" s="98">
        <f t="shared" ca="1" si="385"/>
        <v>31.849999999999998</v>
      </c>
      <c r="AB343" s="98">
        <f t="shared" ca="1" si="385"/>
        <v>31.849999999999998</v>
      </c>
      <c r="AC343" s="258" t="s">
        <v>219</v>
      </c>
      <c r="AD343" s="98" t="e">
        <f ca="1">IF($D$2=FALSE,"-",IF(AD$13="","",OFFSET($AF343,0,$F$4-AD$7-1)+OFFSET($AF343,0,$F$4-1)-OFFSET($AF343,0,$F$4-$E$5-1)))</f>
        <v>#N/A</v>
      </c>
      <c r="AF343" s="310" t="e">
        <f t="shared" ref="AF343:BI343" ca="1" si="386">IF($D$2=FALSE,"-",IF(AF$13="","",IF(AF$4&lt;=0,OFFSET(AF222,0,-AF$7),OFFSET(AF346,0,-AF$7))))</f>
        <v>#N/A</v>
      </c>
      <c r="AG343" s="311">
        <f t="shared" ca="1" si="386"/>
        <v>45.5</v>
      </c>
      <c r="AH343" s="311">
        <f t="shared" ca="1" si="386"/>
        <v>38.674999999999997</v>
      </c>
      <c r="AI343" s="311">
        <f t="shared" ca="1" si="386"/>
        <v>31.849999999999998</v>
      </c>
      <c r="AJ343" s="311">
        <f t="shared" ca="1" si="386"/>
        <v>31.849999999999998</v>
      </c>
      <c r="AK343" s="311">
        <f t="shared" ca="1" si="386"/>
        <v>31.849999999999998</v>
      </c>
      <c r="AL343" s="311" t="str">
        <f t="shared" ca="1" si="386"/>
        <v/>
      </c>
      <c r="AM343" s="311" t="str">
        <f t="shared" ca="1" si="386"/>
        <v/>
      </c>
      <c r="AN343" s="311" t="str">
        <f t="shared" ca="1" si="386"/>
        <v/>
      </c>
      <c r="AO343" s="311" t="str">
        <f t="shared" ca="1" si="386"/>
        <v/>
      </c>
      <c r="AP343" s="311" t="str">
        <f t="shared" ca="1" si="386"/>
        <v/>
      </c>
      <c r="AQ343" s="311" t="str">
        <f t="shared" ca="1" si="386"/>
        <v/>
      </c>
      <c r="AR343" s="311" t="str">
        <f t="shared" ca="1" si="386"/>
        <v/>
      </c>
      <c r="AS343" s="311" t="str">
        <f t="shared" ca="1" si="386"/>
        <v/>
      </c>
      <c r="AT343" s="311" t="str">
        <f t="shared" ca="1" si="386"/>
        <v/>
      </c>
      <c r="AU343" s="311" t="str">
        <f t="shared" ca="1" si="386"/>
        <v/>
      </c>
      <c r="AV343" s="311" t="str">
        <f t="shared" ca="1" si="386"/>
        <v/>
      </c>
      <c r="AW343" s="311" t="str">
        <f t="shared" ca="1" si="386"/>
        <v/>
      </c>
      <c r="AX343" s="311" t="str">
        <f t="shared" ca="1" si="386"/>
        <v/>
      </c>
      <c r="AY343" s="311" t="str">
        <f t="shared" ca="1" si="386"/>
        <v/>
      </c>
      <c r="AZ343" s="311" t="str">
        <f t="shared" ca="1" si="386"/>
        <v/>
      </c>
      <c r="BA343" s="311" t="str">
        <f t="shared" ca="1" si="386"/>
        <v/>
      </c>
      <c r="BB343" s="311" t="str">
        <f t="shared" ca="1" si="386"/>
        <v/>
      </c>
      <c r="BC343" s="311" t="str">
        <f t="shared" ca="1" si="386"/>
        <v/>
      </c>
      <c r="BD343" s="311" t="str">
        <f t="shared" ca="1" si="386"/>
        <v/>
      </c>
      <c r="BE343" s="311" t="str">
        <f t="shared" ca="1" si="386"/>
        <v/>
      </c>
      <c r="BF343" s="311" t="str">
        <f t="shared" ca="1" si="386"/>
        <v/>
      </c>
      <c r="BG343" s="311" t="str">
        <f t="shared" ca="1" si="386"/>
        <v/>
      </c>
      <c r="BH343" s="311" t="str">
        <f t="shared" ca="1" si="386"/>
        <v/>
      </c>
      <c r="BI343" s="311" t="str">
        <f t="shared" ca="1" si="386"/>
        <v/>
      </c>
      <c r="BK343" s="84"/>
      <c r="BL343" s="84"/>
      <c r="BM343" s="84"/>
      <c r="BN343" s="84"/>
      <c r="BO343" s="84"/>
      <c r="BP343" s="84"/>
    </row>
    <row r="344" spans="1:68" ht="15" customHeight="1" outlineLevel="1">
      <c r="P344" s="222"/>
      <c r="Q344" s="1" t="s">
        <v>192</v>
      </c>
      <c r="W344" s="98" t="e">
        <f t="shared" ca="1" si="385"/>
        <v>#N/A</v>
      </c>
      <c r="X344" s="98">
        <f t="shared" ca="1" si="385"/>
        <v>-6.8250000000000002</v>
      </c>
      <c r="Y344" s="98">
        <f t="shared" ca="1" si="385"/>
        <v>-6.8250000000000002</v>
      </c>
      <c r="Z344" s="98">
        <f t="shared" ca="1" si="385"/>
        <v>0</v>
      </c>
      <c r="AA344" s="98">
        <f t="shared" ca="1" si="385"/>
        <v>0</v>
      </c>
      <c r="AB344" s="98">
        <f t="shared" ca="1" si="385"/>
        <v>0</v>
      </c>
      <c r="AC344" s="258" t="s">
        <v>219</v>
      </c>
      <c r="AD344" s="98" t="e">
        <f ca="1">IF($D$2=FALSE,"-",IF(AD$13="","",OFFSET($AF344,0,$F$4-AD$7-1)+OFFSET($AF344,0,$F$4-1)-OFFSET($AF344,0,$F$4-$E$5-1)))</f>
        <v>#N/A</v>
      </c>
      <c r="AF344" s="124" t="e">
        <f t="shared" ref="AF344:BI344" ca="1" si="387">IF($D$2=FALSE,"-",IF(AF$13="","",IF(AF$4&lt;=0,AF346-AF343-AF345,-MIN(OFFSET($AF346,0,$F$4-1)*AF367,AF343))))</f>
        <v>#N/A</v>
      </c>
      <c r="AG344" s="125">
        <f t="shared" ca="1" si="387"/>
        <v>-6.8250000000000002</v>
      </c>
      <c r="AH344" s="125">
        <f t="shared" ca="1" si="387"/>
        <v>-6.8250000000000002</v>
      </c>
      <c r="AI344" s="125">
        <f t="shared" ca="1" si="387"/>
        <v>0</v>
      </c>
      <c r="AJ344" s="125">
        <f t="shared" ca="1" si="387"/>
        <v>0</v>
      </c>
      <c r="AK344" s="125">
        <f t="shared" ca="1" si="387"/>
        <v>0</v>
      </c>
      <c r="AL344" s="125" t="str">
        <f t="shared" ca="1" si="387"/>
        <v/>
      </c>
      <c r="AM344" s="125" t="str">
        <f t="shared" ca="1" si="387"/>
        <v/>
      </c>
      <c r="AN344" s="125" t="str">
        <f t="shared" ca="1" si="387"/>
        <v/>
      </c>
      <c r="AO344" s="125" t="str">
        <f t="shared" ca="1" si="387"/>
        <v/>
      </c>
      <c r="AP344" s="125" t="str">
        <f t="shared" ca="1" si="387"/>
        <v/>
      </c>
      <c r="AQ344" s="125" t="str">
        <f t="shared" ca="1" si="387"/>
        <v/>
      </c>
      <c r="AR344" s="125" t="str">
        <f t="shared" ca="1" si="387"/>
        <v/>
      </c>
      <c r="AS344" s="125" t="str">
        <f t="shared" ca="1" si="387"/>
        <v/>
      </c>
      <c r="AT344" s="125" t="str">
        <f t="shared" ca="1" si="387"/>
        <v/>
      </c>
      <c r="AU344" s="125" t="str">
        <f t="shared" ca="1" si="387"/>
        <v/>
      </c>
      <c r="AV344" s="125" t="str">
        <f t="shared" ca="1" si="387"/>
        <v/>
      </c>
      <c r="AW344" s="125" t="str">
        <f t="shared" ca="1" si="387"/>
        <v/>
      </c>
      <c r="AX344" s="125" t="str">
        <f t="shared" ca="1" si="387"/>
        <v/>
      </c>
      <c r="AY344" s="125" t="str">
        <f t="shared" ca="1" si="387"/>
        <v/>
      </c>
      <c r="AZ344" s="125" t="str">
        <f t="shared" ca="1" si="387"/>
        <v/>
      </c>
      <c r="BA344" s="125" t="str">
        <f t="shared" ca="1" si="387"/>
        <v/>
      </c>
      <c r="BB344" s="125" t="str">
        <f t="shared" ca="1" si="387"/>
        <v/>
      </c>
      <c r="BC344" s="125" t="str">
        <f t="shared" ca="1" si="387"/>
        <v/>
      </c>
      <c r="BD344" s="125" t="str">
        <f t="shared" ca="1" si="387"/>
        <v/>
      </c>
      <c r="BE344" s="125" t="str">
        <f t="shared" ca="1" si="387"/>
        <v/>
      </c>
      <c r="BF344" s="125" t="str">
        <f t="shared" ca="1" si="387"/>
        <v/>
      </c>
      <c r="BG344" s="125" t="str">
        <f t="shared" ca="1" si="387"/>
        <v/>
      </c>
      <c r="BH344" s="125" t="str">
        <f t="shared" ca="1" si="387"/>
        <v/>
      </c>
      <c r="BI344" s="125" t="str">
        <f t="shared" ca="1" si="387"/>
        <v/>
      </c>
      <c r="BK344" s="84"/>
      <c r="BL344" s="84"/>
      <c r="BM344" s="84"/>
      <c r="BN344" s="84"/>
      <c r="BO344" s="84"/>
      <c r="BP344" s="84"/>
    </row>
    <row r="345" spans="1:68" ht="15" customHeight="1" outlineLevel="1">
      <c r="O345" s="192">
        <v>0</v>
      </c>
      <c r="P345" s="222"/>
      <c r="Q345" s="100" t="s">
        <v>191</v>
      </c>
      <c r="R345" s="100"/>
      <c r="S345" s="100"/>
      <c r="T345" s="100"/>
      <c r="U345" s="100"/>
      <c r="W345" s="103" t="e">
        <f t="shared" ca="1" si="385"/>
        <v>#N/A</v>
      </c>
      <c r="X345" s="103">
        <f t="shared" ca="1" si="385"/>
        <v>0</v>
      </c>
      <c r="Y345" s="103">
        <f t="shared" ca="1" si="385"/>
        <v>0</v>
      </c>
      <c r="Z345" s="103">
        <f t="shared" ca="1" si="385"/>
        <v>0</v>
      </c>
      <c r="AA345" s="103">
        <f t="shared" ca="1" si="385"/>
        <v>0</v>
      </c>
      <c r="AB345" s="103">
        <f t="shared" ca="1" si="385"/>
        <v>0</v>
      </c>
      <c r="AC345" s="258" t="s">
        <v>219</v>
      </c>
      <c r="AD345" s="103" t="e">
        <f ca="1">IF($D$2=FALSE,"-",IF(AD$13="","",OFFSET($AF345,0,$F$4-AD$7-1)+OFFSET($AF345,0,$F$4-1)-OFFSET($AF345,0,$F$4-$E$5-1)))</f>
        <v>#N/A</v>
      </c>
      <c r="AF345" s="293" t="e">
        <f t="shared" ref="AF345:BI345" ca="1" si="388">IF($D$2=FALSE,"-",IF(AF$13="","",IF(AF$4&lt;=0,#N/A,-MAX(0,MIN(AF343+AF344,AF320+AF328+AF338,OFFSET($AF346,0,$F$4-1)*$O345)))))</f>
        <v>#N/A</v>
      </c>
      <c r="AG345" s="291">
        <f t="shared" ca="1" si="388"/>
        <v>0</v>
      </c>
      <c r="AH345" s="291">
        <f t="shared" ca="1" si="388"/>
        <v>0</v>
      </c>
      <c r="AI345" s="291">
        <f t="shared" ca="1" si="388"/>
        <v>0</v>
      </c>
      <c r="AJ345" s="291">
        <f t="shared" ca="1" si="388"/>
        <v>0</v>
      </c>
      <c r="AK345" s="291">
        <f t="shared" ca="1" si="388"/>
        <v>0</v>
      </c>
      <c r="AL345" s="291" t="str">
        <f t="shared" ca="1" si="388"/>
        <v/>
      </c>
      <c r="AM345" s="291" t="str">
        <f t="shared" ca="1" si="388"/>
        <v/>
      </c>
      <c r="AN345" s="291" t="str">
        <f t="shared" ca="1" si="388"/>
        <v/>
      </c>
      <c r="AO345" s="291" t="str">
        <f t="shared" ca="1" si="388"/>
        <v/>
      </c>
      <c r="AP345" s="291" t="str">
        <f t="shared" ca="1" si="388"/>
        <v/>
      </c>
      <c r="AQ345" s="291" t="str">
        <f t="shared" ca="1" si="388"/>
        <v/>
      </c>
      <c r="AR345" s="291" t="str">
        <f t="shared" ca="1" si="388"/>
        <v/>
      </c>
      <c r="AS345" s="291" t="str">
        <f t="shared" ca="1" si="388"/>
        <v/>
      </c>
      <c r="AT345" s="291" t="str">
        <f t="shared" ca="1" si="388"/>
        <v/>
      </c>
      <c r="AU345" s="291" t="str">
        <f t="shared" ca="1" si="388"/>
        <v/>
      </c>
      <c r="AV345" s="291" t="str">
        <f t="shared" ca="1" si="388"/>
        <v/>
      </c>
      <c r="AW345" s="291" t="str">
        <f t="shared" ca="1" si="388"/>
        <v/>
      </c>
      <c r="AX345" s="291" t="str">
        <f t="shared" ca="1" si="388"/>
        <v/>
      </c>
      <c r="AY345" s="291" t="str">
        <f t="shared" ca="1" si="388"/>
        <v/>
      </c>
      <c r="AZ345" s="291" t="str">
        <f t="shared" ca="1" si="388"/>
        <v/>
      </c>
      <c r="BA345" s="291" t="str">
        <f t="shared" ca="1" si="388"/>
        <v/>
      </c>
      <c r="BB345" s="291" t="str">
        <f t="shared" ca="1" si="388"/>
        <v/>
      </c>
      <c r="BC345" s="291" t="str">
        <f t="shared" ca="1" si="388"/>
        <v/>
      </c>
      <c r="BD345" s="291" t="str">
        <f t="shared" ca="1" si="388"/>
        <v/>
      </c>
      <c r="BE345" s="291" t="str">
        <f t="shared" ca="1" si="388"/>
        <v/>
      </c>
      <c r="BF345" s="291" t="str">
        <f t="shared" ca="1" si="388"/>
        <v/>
      </c>
      <c r="BG345" s="291" t="str">
        <f t="shared" ca="1" si="388"/>
        <v/>
      </c>
      <c r="BH345" s="291" t="str">
        <f t="shared" ca="1" si="388"/>
        <v/>
      </c>
      <c r="BI345" s="291" t="str">
        <f t="shared" ca="1" si="388"/>
        <v/>
      </c>
      <c r="BK345" s="84"/>
      <c r="BL345" s="84"/>
      <c r="BM345" s="84"/>
      <c r="BN345" s="84"/>
      <c r="BO345" s="84"/>
      <c r="BP345" s="84"/>
    </row>
    <row r="346" spans="1:68" ht="15" customHeight="1" outlineLevel="1">
      <c r="P346" s="222"/>
      <c r="Q346" s="1" t="s">
        <v>131</v>
      </c>
      <c r="W346" s="98">
        <f t="shared" ca="1" si="385"/>
        <v>45.5</v>
      </c>
      <c r="X346" s="98">
        <f t="shared" ca="1" si="385"/>
        <v>38.674999999999997</v>
      </c>
      <c r="Y346" s="98">
        <f t="shared" ca="1" si="385"/>
        <v>31.849999999999998</v>
      </c>
      <c r="Z346" s="98">
        <f t="shared" ca="1" si="385"/>
        <v>31.849999999999998</v>
      </c>
      <c r="AA346" s="98">
        <f t="shared" ca="1" si="385"/>
        <v>31.849999999999998</v>
      </c>
      <c r="AB346" s="98">
        <f t="shared" ca="1" si="385"/>
        <v>31.849999999999998</v>
      </c>
      <c r="AC346" s="258" t="s">
        <v>219</v>
      </c>
      <c r="AD346" s="98" t="e">
        <f ca="1">IF($D$2=FALSE,"-",IF(AD$13="","",OFFSET($AF346,0,$F$4-AD$7-1)+OFFSET($AF346,0,$F$4-1)-OFFSET($AF346,0,$F$4-$E$5-1)))</f>
        <v>#N/A</v>
      </c>
      <c r="AF346" s="310">
        <f t="shared" ref="AF346:BI346" ca="1" si="389">IF($D$2=FALSE,"-",IF(AF$13="","",IF(AF$4&lt;=0,AF222,+SUM(AF343:AF345))))</f>
        <v>45.5</v>
      </c>
      <c r="AG346" s="311">
        <f t="shared" ca="1" si="389"/>
        <v>38.674999999999997</v>
      </c>
      <c r="AH346" s="311">
        <f t="shared" ca="1" si="389"/>
        <v>31.849999999999998</v>
      </c>
      <c r="AI346" s="311">
        <f t="shared" ca="1" si="389"/>
        <v>31.849999999999998</v>
      </c>
      <c r="AJ346" s="311">
        <f t="shared" ca="1" si="389"/>
        <v>31.849999999999998</v>
      </c>
      <c r="AK346" s="311">
        <f t="shared" ca="1" si="389"/>
        <v>31.849999999999998</v>
      </c>
      <c r="AL346" s="311" t="str">
        <f t="shared" ca="1" si="389"/>
        <v/>
      </c>
      <c r="AM346" s="311" t="str">
        <f t="shared" ca="1" si="389"/>
        <v/>
      </c>
      <c r="AN346" s="311" t="str">
        <f t="shared" ca="1" si="389"/>
        <v/>
      </c>
      <c r="AO346" s="311" t="str">
        <f t="shared" ca="1" si="389"/>
        <v/>
      </c>
      <c r="AP346" s="311" t="str">
        <f t="shared" ca="1" si="389"/>
        <v/>
      </c>
      <c r="AQ346" s="311" t="str">
        <f t="shared" ca="1" si="389"/>
        <v/>
      </c>
      <c r="AR346" s="311" t="str">
        <f t="shared" ca="1" si="389"/>
        <v/>
      </c>
      <c r="AS346" s="311" t="str">
        <f t="shared" ca="1" si="389"/>
        <v/>
      </c>
      <c r="AT346" s="311" t="str">
        <f t="shared" ca="1" si="389"/>
        <v/>
      </c>
      <c r="AU346" s="311" t="str">
        <f t="shared" ca="1" si="389"/>
        <v/>
      </c>
      <c r="AV346" s="311" t="str">
        <f t="shared" ca="1" si="389"/>
        <v/>
      </c>
      <c r="AW346" s="311" t="str">
        <f t="shared" ca="1" si="389"/>
        <v/>
      </c>
      <c r="AX346" s="311" t="str">
        <f t="shared" ca="1" si="389"/>
        <v/>
      </c>
      <c r="AY346" s="311" t="str">
        <f t="shared" ca="1" si="389"/>
        <v/>
      </c>
      <c r="AZ346" s="311" t="str">
        <f t="shared" ca="1" si="389"/>
        <v/>
      </c>
      <c r="BA346" s="311" t="str">
        <f t="shared" ca="1" si="389"/>
        <v/>
      </c>
      <c r="BB346" s="311" t="str">
        <f t="shared" ca="1" si="389"/>
        <v/>
      </c>
      <c r="BC346" s="311" t="str">
        <f t="shared" ca="1" si="389"/>
        <v/>
      </c>
      <c r="BD346" s="311" t="str">
        <f t="shared" ca="1" si="389"/>
        <v/>
      </c>
      <c r="BE346" s="311" t="str">
        <f t="shared" ca="1" si="389"/>
        <v/>
      </c>
      <c r="BF346" s="311" t="str">
        <f t="shared" ca="1" si="389"/>
        <v/>
      </c>
      <c r="BG346" s="311" t="str">
        <f t="shared" ca="1" si="389"/>
        <v/>
      </c>
      <c r="BH346" s="311" t="str">
        <f t="shared" ca="1" si="389"/>
        <v/>
      </c>
      <c r="BI346" s="311" t="str">
        <f t="shared" ca="1" si="389"/>
        <v/>
      </c>
      <c r="BK346" s="84"/>
      <c r="BL346" s="84"/>
      <c r="BM346" s="84"/>
      <c r="BN346" s="84"/>
      <c r="BO346" s="84"/>
      <c r="BP346" s="84"/>
    </row>
    <row r="347" spans="1:68" ht="15" customHeight="1" outlineLevel="1">
      <c r="Q347" s="1" t="s">
        <v>227</v>
      </c>
      <c r="W347" s="98" t="e">
        <f t="shared" ca="1" si="385"/>
        <v>#N/A</v>
      </c>
      <c r="X347" s="98">
        <f t="shared" ca="1" si="385"/>
        <v>3.7537500000000001</v>
      </c>
      <c r="Y347" s="98">
        <f t="shared" ca="1" si="385"/>
        <v>3.1906875000000001</v>
      </c>
      <c r="Z347" s="98">
        <f t="shared" ca="1" si="385"/>
        <v>2.6276250000000001</v>
      </c>
      <c r="AA347" s="98">
        <f t="shared" ca="1" si="385"/>
        <v>2.6276250000000001</v>
      </c>
      <c r="AB347" s="98">
        <f t="shared" ca="1" si="385"/>
        <v>2.6276250000000001</v>
      </c>
      <c r="AC347" s="258" t="s">
        <v>219</v>
      </c>
      <c r="AD347" s="98" t="e">
        <f ca="1">IF($D$2=FALSE,"-",IF(AD$13="","",OFFSET($AF347,0,$F$4-AD$7-1)+OFFSET($AF347,0,$F$4-1)-OFFSET($AF347,0,$F$4-$E$5-1)))</f>
        <v>#N/A</v>
      </c>
      <c r="AF347" s="309" t="e">
        <f t="shared" ref="AF347:BI347" ca="1" si="390">IF($D$2=FALSE,"-",IF(AF$13="","",IF(AF$4&lt;=0,SUM(OFFSET(AF30,0,-AF$7+1,1,AF$7)),AF377*IF($D$7=1,0.5*(AF343+AF346),AF343)*AF$6)))</f>
        <v>#N/A</v>
      </c>
      <c r="AG347" s="317">
        <f t="shared" ca="1" si="390"/>
        <v>3.7537500000000001</v>
      </c>
      <c r="AH347" s="317">
        <f t="shared" ca="1" si="390"/>
        <v>3.1906875000000001</v>
      </c>
      <c r="AI347" s="317">
        <f t="shared" ca="1" si="390"/>
        <v>2.6276250000000001</v>
      </c>
      <c r="AJ347" s="317">
        <f t="shared" ca="1" si="390"/>
        <v>2.6276250000000001</v>
      </c>
      <c r="AK347" s="317">
        <f t="shared" ca="1" si="390"/>
        <v>2.6276250000000001</v>
      </c>
      <c r="AL347" s="317" t="str">
        <f t="shared" ca="1" si="390"/>
        <v/>
      </c>
      <c r="AM347" s="317" t="str">
        <f t="shared" ca="1" si="390"/>
        <v/>
      </c>
      <c r="AN347" s="317" t="str">
        <f t="shared" ca="1" si="390"/>
        <v/>
      </c>
      <c r="AO347" s="317" t="str">
        <f t="shared" ca="1" si="390"/>
        <v/>
      </c>
      <c r="AP347" s="317" t="str">
        <f t="shared" ca="1" si="390"/>
        <v/>
      </c>
      <c r="AQ347" s="317" t="str">
        <f t="shared" ca="1" si="390"/>
        <v/>
      </c>
      <c r="AR347" s="317" t="str">
        <f t="shared" ca="1" si="390"/>
        <v/>
      </c>
      <c r="AS347" s="317" t="str">
        <f t="shared" ca="1" si="390"/>
        <v/>
      </c>
      <c r="AT347" s="317" t="str">
        <f t="shared" ca="1" si="390"/>
        <v/>
      </c>
      <c r="AU347" s="317" t="str">
        <f t="shared" ca="1" si="390"/>
        <v/>
      </c>
      <c r="AV347" s="317" t="str">
        <f t="shared" ca="1" si="390"/>
        <v/>
      </c>
      <c r="AW347" s="317" t="str">
        <f t="shared" ca="1" si="390"/>
        <v/>
      </c>
      <c r="AX347" s="317" t="str">
        <f t="shared" ca="1" si="390"/>
        <v/>
      </c>
      <c r="AY347" s="317" t="str">
        <f t="shared" ca="1" si="390"/>
        <v/>
      </c>
      <c r="AZ347" s="317" t="str">
        <f t="shared" ca="1" si="390"/>
        <v/>
      </c>
      <c r="BA347" s="317" t="str">
        <f t="shared" ca="1" si="390"/>
        <v/>
      </c>
      <c r="BB347" s="317" t="str">
        <f t="shared" ca="1" si="390"/>
        <v/>
      </c>
      <c r="BC347" s="317" t="str">
        <f t="shared" ca="1" si="390"/>
        <v/>
      </c>
      <c r="BD347" s="317" t="str">
        <f t="shared" ca="1" si="390"/>
        <v/>
      </c>
      <c r="BE347" s="317" t="str">
        <f t="shared" ca="1" si="390"/>
        <v/>
      </c>
      <c r="BF347" s="317" t="str">
        <f t="shared" ca="1" si="390"/>
        <v/>
      </c>
      <c r="BG347" s="317" t="str">
        <f t="shared" ca="1" si="390"/>
        <v/>
      </c>
      <c r="BH347" s="317" t="str">
        <f t="shared" ca="1" si="390"/>
        <v/>
      </c>
      <c r="BI347" s="317" t="str">
        <f t="shared" ca="1" si="390"/>
        <v/>
      </c>
    </row>
    <row r="348" spans="1:68" ht="15" customHeight="1" outlineLevel="1">
      <c r="W348" s="98"/>
      <c r="X348" s="98"/>
      <c r="Y348" s="98"/>
      <c r="Z348" s="98"/>
      <c r="AA348" s="98"/>
      <c r="AB348" s="98"/>
      <c r="AC348" s="98"/>
      <c r="AD348" s="98"/>
      <c r="AF348" s="124"/>
      <c r="AG348" s="125"/>
      <c r="AH348" s="125"/>
      <c r="AI348" s="125"/>
      <c r="AJ348" s="125"/>
      <c r="AK348" s="125"/>
      <c r="AL348" s="125"/>
      <c r="AM348" s="125"/>
      <c r="AN348" s="125"/>
      <c r="AO348" s="125"/>
      <c r="AP348" s="125"/>
      <c r="AQ348" s="125"/>
      <c r="AR348" s="125"/>
      <c r="AS348" s="125"/>
      <c r="AT348" s="125"/>
      <c r="AU348" s="125"/>
      <c r="AV348" s="125"/>
      <c r="AW348" s="125"/>
      <c r="AX348" s="125"/>
      <c r="AY348" s="125"/>
      <c r="AZ348" s="125"/>
      <c r="BA348" s="125"/>
      <c r="BB348" s="125"/>
      <c r="BC348" s="125"/>
      <c r="BD348" s="125"/>
      <c r="BE348" s="125"/>
      <c r="BF348" s="125"/>
      <c r="BG348" s="125"/>
      <c r="BH348" s="125"/>
      <c r="BI348" s="125"/>
    </row>
    <row r="349" spans="1:68" ht="15" customHeight="1" outlineLevel="1">
      <c r="Q349" s="327" t="str">
        <f>IF($D$2=FALSE,"-",Q223)</f>
        <v>Convertible bond</v>
      </c>
      <c r="R349" s="327"/>
      <c r="S349" s="327"/>
      <c r="T349" s="327"/>
      <c r="U349" s="327"/>
      <c r="W349" s="98"/>
      <c r="X349" s="98"/>
      <c r="Y349" s="98"/>
      <c r="Z349" s="98"/>
      <c r="AA349" s="98"/>
      <c r="AB349" s="98"/>
      <c r="AC349" s="98"/>
      <c r="AD349" s="98"/>
      <c r="AF349" s="124"/>
      <c r="AG349" s="125"/>
      <c r="AH349" s="125"/>
      <c r="AI349" s="125"/>
      <c r="AJ349" s="125"/>
      <c r="AK349" s="125"/>
      <c r="AL349" s="125"/>
      <c r="AM349" s="125"/>
      <c r="AN349" s="125"/>
      <c r="AO349" s="125"/>
      <c r="AP349" s="125"/>
      <c r="AQ349" s="125"/>
      <c r="AR349" s="125"/>
      <c r="AS349" s="125"/>
      <c r="AT349" s="125"/>
      <c r="AU349" s="125"/>
      <c r="AV349" s="125"/>
      <c r="AW349" s="125"/>
      <c r="AX349" s="125"/>
      <c r="AY349" s="125"/>
      <c r="AZ349" s="125"/>
      <c r="BA349" s="125"/>
      <c r="BB349" s="125"/>
      <c r="BC349" s="125"/>
      <c r="BD349" s="125"/>
      <c r="BE349" s="125"/>
      <c r="BF349" s="125"/>
      <c r="BG349" s="125"/>
      <c r="BH349" s="125"/>
      <c r="BI349" s="125"/>
    </row>
    <row r="350" spans="1:68" ht="15" customHeight="1" outlineLevel="1">
      <c r="P350" s="222"/>
      <c r="Q350" s="1" t="s">
        <v>129</v>
      </c>
      <c r="W350" s="98" t="e">
        <f t="shared" ref="W350:AB354" ca="1" si="391">IF($D$2=FALSE,"-",IF(W$13="","",OFFSET($AF350,0,W$8)))</f>
        <v>#N/A</v>
      </c>
      <c r="X350" s="98">
        <f t="shared" ca="1" si="391"/>
        <v>190</v>
      </c>
      <c r="Y350" s="98">
        <f t="shared" ca="1" si="391"/>
        <v>198.02500000000001</v>
      </c>
      <c r="Z350" s="98">
        <f t="shared" ca="1" si="391"/>
        <v>206.43118749999999</v>
      </c>
      <c r="AA350" s="98">
        <f t="shared" ca="1" si="391"/>
        <v>215.23666890625</v>
      </c>
      <c r="AB350" s="98">
        <f t="shared" ca="1" si="391"/>
        <v>214.23666890625</v>
      </c>
      <c r="AC350" s="258" t="s">
        <v>219</v>
      </c>
      <c r="AD350" s="98" t="e">
        <f ca="1">IF($D$2=FALSE,"-",IF(AD$13="","",OFFSET($AF350,0,$F$4-AD$7-1)+OFFSET($AF350,0,$F$4-1)-OFFSET($AF350,0,$F$4-$E$5-1)))</f>
        <v>#N/A</v>
      </c>
      <c r="AF350" s="310" t="e">
        <f t="shared" ref="AF350:BI350" ca="1" si="392">IF($D$2=FALSE,"-",IF(AF$13="","",IF(AF$4&lt;=0,OFFSET(AF223,0,-AF$7),OFFSET(AF353,0,-AF$7))))</f>
        <v>#N/A</v>
      </c>
      <c r="AG350" s="311">
        <f t="shared" ca="1" si="392"/>
        <v>190</v>
      </c>
      <c r="AH350" s="311">
        <f t="shared" ca="1" si="392"/>
        <v>198.02500000000001</v>
      </c>
      <c r="AI350" s="311">
        <f t="shared" ca="1" si="392"/>
        <v>206.43118749999999</v>
      </c>
      <c r="AJ350" s="311">
        <f t="shared" ca="1" si="392"/>
        <v>215.23666890625</v>
      </c>
      <c r="AK350" s="311">
        <f t="shared" ca="1" si="392"/>
        <v>214.23666890625</v>
      </c>
      <c r="AL350" s="311" t="str">
        <f t="shared" ca="1" si="392"/>
        <v/>
      </c>
      <c r="AM350" s="311" t="str">
        <f t="shared" ca="1" si="392"/>
        <v/>
      </c>
      <c r="AN350" s="311" t="str">
        <f t="shared" ca="1" si="392"/>
        <v/>
      </c>
      <c r="AO350" s="311" t="str">
        <f t="shared" ca="1" si="392"/>
        <v/>
      </c>
      <c r="AP350" s="311" t="str">
        <f t="shared" ca="1" si="392"/>
        <v/>
      </c>
      <c r="AQ350" s="311" t="str">
        <f t="shared" ca="1" si="392"/>
        <v/>
      </c>
      <c r="AR350" s="311" t="str">
        <f t="shared" ca="1" si="392"/>
        <v/>
      </c>
      <c r="AS350" s="311" t="str">
        <f t="shared" ca="1" si="392"/>
        <v/>
      </c>
      <c r="AT350" s="311" t="str">
        <f t="shared" ca="1" si="392"/>
        <v/>
      </c>
      <c r="AU350" s="311" t="str">
        <f t="shared" ca="1" si="392"/>
        <v/>
      </c>
      <c r="AV350" s="311" t="str">
        <f t="shared" ca="1" si="392"/>
        <v/>
      </c>
      <c r="AW350" s="311" t="str">
        <f t="shared" ca="1" si="392"/>
        <v/>
      </c>
      <c r="AX350" s="311" t="str">
        <f t="shared" ca="1" si="392"/>
        <v/>
      </c>
      <c r="AY350" s="311" t="str">
        <f t="shared" ca="1" si="392"/>
        <v/>
      </c>
      <c r="AZ350" s="311" t="str">
        <f t="shared" ca="1" si="392"/>
        <v/>
      </c>
      <c r="BA350" s="311" t="str">
        <f t="shared" ca="1" si="392"/>
        <v/>
      </c>
      <c r="BB350" s="311" t="str">
        <f t="shared" ca="1" si="392"/>
        <v/>
      </c>
      <c r="BC350" s="311" t="str">
        <f t="shared" ca="1" si="392"/>
        <v/>
      </c>
      <c r="BD350" s="311" t="str">
        <f t="shared" ca="1" si="392"/>
        <v/>
      </c>
      <c r="BE350" s="311" t="str">
        <f t="shared" ca="1" si="392"/>
        <v/>
      </c>
      <c r="BF350" s="311" t="str">
        <f t="shared" ca="1" si="392"/>
        <v/>
      </c>
      <c r="BG350" s="311" t="str">
        <f t="shared" ca="1" si="392"/>
        <v/>
      </c>
      <c r="BH350" s="311" t="str">
        <f t="shared" ca="1" si="392"/>
        <v/>
      </c>
      <c r="BI350" s="311" t="str">
        <f t="shared" ca="1" si="392"/>
        <v/>
      </c>
      <c r="BK350" s="84"/>
      <c r="BL350" s="84"/>
      <c r="BM350" s="84"/>
      <c r="BN350" s="84"/>
      <c r="BO350" s="84"/>
      <c r="BP350" s="84"/>
    </row>
    <row r="351" spans="1:68" ht="15" customHeight="1" outlineLevel="1">
      <c r="O351" s="96">
        <v>0</v>
      </c>
      <c r="P351" s="222"/>
      <c r="Q351" s="1" t="s">
        <v>193</v>
      </c>
      <c r="W351" s="98">
        <f t="shared" ca="1" si="391"/>
        <v>0</v>
      </c>
      <c r="X351" s="98">
        <f t="shared" ca="1" si="391"/>
        <v>9.0250000000000004</v>
      </c>
      <c r="Y351" s="98">
        <f t="shared" ca="1" si="391"/>
        <v>9.4061874999999997</v>
      </c>
      <c r="Z351" s="98">
        <f t="shared" ca="1" si="391"/>
        <v>9.8054814062499993</v>
      </c>
      <c r="AA351" s="98">
        <f t="shared" ca="1" si="391"/>
        <v>0</v>
      </c>
      <c r="AB351" s="98">
        <f t="shared" ca="1" si="391"/>
        <v>0</v>
      </c>
      <c r="AC351" s="258" t="s">
        <v>219</v>
      </c>
      <c r="AD351" s="98" t="e">
        <f ca="1">IF($D$2=FALSE,"-",IF(AD$13="","",OFFSET($AF351,0,$F$4-AD$7-1)+OFFSET($AF351,0,$F$4-1)-OFFSET($AF351,0,$F$4-$E$5-1)))</f>
        <v>#N/A</v>
      </c>
      <c r="AF351" s="124">
        <f ca="1">IF($D$2=FALSE,"-",IF(AF$13="","",IF(AF$4&lt;0,#N/A,IF(AF$4=0,$O351,AF389*AF406))))</f>
        <v>0</v>
      </c>
      <c r="AG351" s="125">
        <f t="shared" ref="AG351:BI351" ca="1" si="393">IF($D$2=FALSE,"-",IF(AG$13="","",IF(AG$4&lt;0,#N/A,IF(AG$4=0,$O351,AG389*AG406))))</f>
        <v>9.0250000000000004</v>
      </c>
      <c r="AH351" s="125">
        <f t="shared" ca="1" si="393"/>
        <v>9.4061874999999997</v>
      </c>
      <c r="AI351" s="125">
        <f t="shared" ca="1" si="393"/>
        <v>9.8054814062499993</v>
      </c>
      <c r="AJ351" s="125">
        <f t="shared" ca="1" si="393"/>
        <v>0</v>
      </c>
      <c r="AK351" s="125">
        <f t="shared" ca="1" si="393"/>
        <v>0</v>
      </c>
      <c r="AL351" s="125" t="str">
        <f t="shared" ca="1" si="393"/>
        <v/>
      </c>
      <c r="AM351" s="125" t="str">
        <f t="shared" ca="1" si="393"/>
        <v/>
      </c>
      <c r="AN351" s="125" t="str">
        <f t="shared" ca="1" si="393"/>
        <v/>
      </c>
      <c r="AO351" s="125" t="str">
        <f t="shared" ca="1" si="393"/>
        <v/>
      </c>
      <c r="AP351" s="125" t="str">
        <f t="shared" ca="1" si="393"/>
        <v/>
      </c>
      <c r="AQ351" s="125" t="str">
        <f t="shared" ca="1" si="393"/>
        <v/>
      </c>
      <c r="AR351" s="125" t="str">
        <f t="shared" ca="1" si="393"/>
        <v/>
      </c>
      <c r="AS351" s="125" t="str">
        <f t="shared" ca="1" si="393"/>
        <v/>
      </c>
      <c r="AT351" s="125" t="str">
        <f t="shared" ca="1" si="393"/>
        <v/>
      </c>
      <c r="AU351" s="125" t="str">
        <f t="shared" ca="1" si="393"/>
        <v/>
      </c>
      <c r="AV351" s="125" t="str">
        <f t="shared" ca="1" si="393"/>
        <v/>
      </c>
      <c r="AW351" s="125" t="str">
        <f t="shared" ca="1" si="393"/>
        <v/>
      </c>
      <c r="AX351" s="125" t="str">
        <f t="shared" ca="1" si="393"/>
        <v/>
      </c>
      <c r="AY351" s="125" t="str">
        <f t="shared" ca="1" si="393"/>
        <v/>
      </c>
      <c r="AZ351" s="125" t="str">
        <f t="shared" ca="1" si="393"/>
        <v/>
      </c>
      <c r="BA351" s="125" t="str">
        <f t="shared" ca="1" si="393"/>
        <v/>
      </c>
      <c r="BB351" s="125" t="str">
        <f t="shared" ca="1" si="393"/>
        <v/>
      </c>
      <c r="BC351" s="125" t="str">
        <f t="shared" ca="1" si="393"/>
        <v/>
      </c>
      <c r="BD351" s="125" t="str">
        <f t="shared" ca="1" si="393"/>
        <v/>
      </c>
      <c r="BE351" s="125" t="str">
        <f t="shared" ca="1" si="393"/>
        <v/>
      </c>
      <c r="BF351" s="125" t="str">
        <f t="shared" ca="1" si="393"/>
        <v/>
      </c>
      <c r="BG351" s="125" t="str">
        <f t="shared" ca="1" si="393"/>
        <v/>
      </c>
      <c r="BH351" s="125" t="str">
        <f t="shared" ca="1" si="393"/>
        <v/>
      </c>
      <c r="BI351" s="125" t="str">
        <f t="shared" ca="1" si="393"/>
        <v/>
      </c>
      <c r="BK351" s="84"/>
      <c r="BL351" s="84"/>
      <c r="BM351" s="84"/>
      <c r="BN351" s="84"/>
      <c r="BO351" s="84"/>
      <c r="BP351" s="84"/>
    </row>
    <row r="352" spans="1:68" ht="15" customHeight="1" outlineLevel="1">
      <c r="A352" s="6"/>
      <c r="B352" s="34">
        <f t="shared" ref="B352" si="394">$B$57</f>
        <v>44926</v>
      </c>
      <c r="C352" s="34">
        <f t="shared" ref="C352" ca="1" si="395">$C$57</f>
        <v>44926</v>
      </c>
      <c r="D352" s="201" t="e">
        <f ca="1">IF($D$2=FALSE,"-",AVERAGE(OFFSET($AF352,0,MATCH(B352,OFFSET($AF$13,0,0,1,$G$4-$E$4+1),0)-1,1,MATCH(C352,OFFSET($AF$13,0,0,1,$G$4-$E$4+1),0)-MATCH(B352,OFFSET($AF$13,0,0,1,$G$4-$E$4+1),0)+1)))</f>
        <v>#N/A</v>
      </c>
      <c r="E352" s="96">
        <v>1</v>
      </c>
      <c r="F352" s="201">
        <f>IF($D$2=FALSE,"-",IF(E352="",D352,E352))</f>
        <v>1</v>
      </c>
      <c r="G352" s="34">
        <f t="shared" ref="G352" si="396">$G$57</f>
        <v>44926</v>
      </c>
      <c r="H352" s="37">
        <f t="shared" ref="H352" ca="1" si="397">$H$57</f>
        <v>44926</v>
      </c>
      <c r="I352" s="201" t="e">
        <f ca="1">IF($D$2=FALSE,"-",AVERAGE(OFFSET($AF352,0,MATCH(G352,OFFSET($AF$13,0,0,1,$G$4-$E$4+1),0)-1,1,MATCH(H352,OFFSET($AF$13,0,0,1,$G$4-$E$4+1),0)-MATCH(G352,OFFSET($AF$13,0,0,1,$G$4-$E$4+1),0)+1)))</f>
        <v>#N/A</v>
      </c>
      <c r="J352" s="96">
        <v>1</v>
      </c>
      <c r="K352" s="202">
        <f>IF($D$2=FALSE,"-",IF(J352="",I352,J352))</f>
        <v>1</v>
      </c>
      <c r="L352" s="126">
        <v>5</v>
      </c>
      <c r="M352" s="81">
        <v>0.1</v>
      </c>
      <c r="P352" s="222"/>
      <c r="Q352" s="100" t="s">
        <v>192</v>
      </c>
      <c r="R352" s="100"/>
      <c r="S352" s="100"/>
      <c r="T352" s="100"/>
      <c r="U352" s="100"/>
      <c r="V352" s="6"/>
      <c r="W352" s="219" t="e">
        <f t="shared" ca="1" si="391"/>
        <v>#N/A</v>
      </c>
      <c r="X352" s="219">
        <f t="shared" ca="1" si="391"/>
        <v>-1</v>
      </c>
      <c r="Y352" s="219">
        <f t="shared" ca="1" si="391"/>
        <v>-1</v>
      </c>
      <c r="Z352" s="219">
        <f t="shared" ca="1" si="391"/>
        <v>-1</v>
      </c>
      <c r="AA352" s="219">
        <f t="shared" ca="1" si="391"/>
        <v>-1</v>
      </c>
      <c r="AB352" s="219">
        <f t="shared" ca="1" si="391"/>
        <v>-1</v>
      </c>
      <c r="AC352" s="258" t="s">
        <v>219</v>
      </c>
      <c r="AD352" s="219" t="e">
        <f ca="1">IF($D$2=FALSE,"-",IF(AD$13="","",OFFSET($AF352,0,$F$4-AD$7-1)+OFFSET($AF352,0,$F$4-1)-OFFSET($AF352,0,$F$4-$E$5-1)))</f>
        <v>#N/A</v>
      </c>
      <c r="AE352" s="6"/>
      <c r="AF352" s="312" t="e">
        <f t="shared" ref="AF352:BI352" ca="1" si="398">IF($D$2=FALSE,"-",IF(AF$13="","",IF(AF$4&lt;=0,AF353-AF350-AF351,-IF(AF$4&lt;=$L352,IF($M352=0,$F352-((IF($M352=0,($F352-$K352)/$L352,($K352-$F352)/(EXP(-$M352*$L352)-1)))*(AF$4-1)),($F352-(IF($M352=0,($F352-$K352)/$L352,($K352-$F352)/(EXP(-$M352*$L352)-1))))+((IF($M352=0,($F352-$K352)/$L352,($K352-$F352)/(EXP(-$M352*$L352)-1)))*EXP(-$M352*(AF$4-1)))),$K352))))</f>
        <v>#N/A</v>
      </c>
      <c r="AG352" s="313">
        <f t="shared" ca="1" si="398"/>
        <v>-1</v>
      </c>
      <c r="AH352" s="312">
        <f t="shared" ca="1" si="398"/>
        <v>-1</v>
      </c>
      <c r="AI352" s="312">
        <f t="shared" ca="1" si="398"/>
        <v>-1</v>
      </c>
      <c r="AJ352" s="312">
        <f t="shared" ca="1" si="398"/>
        <v>-1</v>
      </c>
      <c r="AK352" s="312">
        <f t="shared" ca="1" si="398"/>
        <v>-1</v>
      </c>
      <c r="AL352" s="312" t="str">
        <f t="shared" ca="1" si="398"/>
        <v/>
      </c>
      <c r="AM352" s="312" t="str">
        <f t="shared" ca="1" si="398"/>
        <v/>
      </c>
      <c r="AN352" s="312" t="str">
        <f t="shared" ca="1" si="398"/>
        <v/>
      </c>
      <c r="AO352" s="312" t="str">
        <f t="shared" ca="1" si="398"/>
        <v/>
      </c>
      <c r="AP352" s="312" t="str">
        <f t="shared" ca="1" si="398"/>
        <v/>
      </c>
      <c r="AQ352" s="312" t="str">
        <f t="shared" ca="1" si="398"/>
        <v/>
      </c>
      <c r="AR352" s="312" t="str">
        <f t="shared" ca="1" si="398"/>
        <v/>
      </c>
      <c r="AS352" s="312" t="str">
        <f t="shared" ca="1" si="398"/>
        <v/>
      </c>
      <c r="AT352" s="312" t="str">
        <f t="shared" ca="1" si="398"/>
        <v/>
      </c>
      <c r="AU352" s="312" t="str">
        <f t="shared" ca="1" si="398"/>
        <v/>
      </c>
      <c r="AV352" s="312" t="str">
        <f t="shared" ca="1" si="398"/>
        <v/>
      </c>
      <c r="AW352" s="312" t="str">
        <f t="shared" ca="1" si="398"/>
        <v/>
      </c>
      <c r="AX352" s="312" t="str">
        <f t="shared" ca="1" si="398"/>
        <v/>
      </c>
      <c r="AY352" s="312" t="str">
        <f t="shared" ca="1" si="398"/>
        <v/>
      </c>
      <c r="AZ352" s="312" t="str">
        <f t="shared" ca="1" si="398"/>
        <v/>
      </c>
      <c r="BA352" s="312" t="str">
        <f t="shared" ca="1" si="398"/>
        <v/>
      </c>
      <c r="BB352" s="312" t="str">
        <f t="shared" ca="1" si="398"/>
        <v/>
      </c>
      <c r="BC352" s="312" t="str">
        <f t="shared" ca="1" si="398"/>
        <v/>
      </c>
      <c r="BD352" s="312" t="str">
        <f t="shared" ca="1" si="398"/>
        <v/>
      </c>
      <c r="BE352" s="312" t="str">
        <f t="shared" ca="1" si="398"/>
        <v/>
      </c>
      <c r="BF352" s="312" t="str">
        <f t="shared" ca="1" si="398"/>
        <v/>
      </c>
      <c r="BG352" s="312" t="str">
        <f t="shared" ca="1" si="398"/>
        <v/>
      </c>
      <c r="BH352" s="312" t="str">
        <f t="shared" ca="1" si="398"/>
        <v/>
      </c>
      <c r="BI352" s="312" t="str">
        <f t="shared" ca="1" si="398"/>
        <v/>
      </c>
      <c r="BK352" s="84"/>
      <c r="BL352" s="84"/>
      <c r="BM352" s="84"/>
      <c r="BN352" s="84"/>
      <c r="BO352" s="84"/>
      <c r="BP352" s="84"/>
    </row>
    <row r="353" spans="1:68" ht="15" customHeight="1" outlineLevel="1">
      <c r="P353" s="222"/>
      <c r="Q353" s="1" t="s">
        <v>131</v>
      </c>
      <c r="W353" s="98">
        <f t="shared" ca="1" si="391"/>
        <v>190</v>
      </c>
      <c r="X353" s="98">
        <f t="shared" ca="1" si="391"/>
        <v>198.02500000000001</v>
      </c>
      <c r="Y353" s="98">
        <f t="shared" ca="1" si="391"/>
        <v>206.43118749999999</v>
      </c>
      <c r="Z353" s="98">
        <f t="shared" ca="1" si="391"/>
        <v>215.23666890625</v>
      </c>
      <c r="AA353" s="98">
        <f t="shared" ca="1" si="391"/>
        <v>214.23666890625</v>
      </c>
      <c r="AB353" s="98">
        <f t="shared" ca="1" si="391"/>
        <v>213.23666890625</v>
      </c>
      <c r="AC353" s="258" t="s">
        <v>219</v>
      </c>
      <c r="AD353" s="98" t="e">
        <f ca="1">IF($D$2=FALSE,"-",IF(AD$13="","",OFFSET($AF353,0,$F$4-AD$7-1)+OFFSET($AF353,0,$F$4-1)-OFFSET($AF353,0,$F$4-$E$5-1)))</f>
        <v>#N/A</v>
      </c>
      <c r="AF353" s="310">
        <f t="shared" ref="AF353:BI353" ca="1" si="399">IF($D$2=FALSE,"-",IF(AF$13="","",IF(AF$4&lt;=0,AF223,+SUM(AF350:AF352))))</f>
        <v>190</v>
      </c>
      <c r="AG353" s="311">
        <f t="shared" ca="1" si="399"/>
        <v>198.02500000000001</v>
      </c>
      <c r="AH353" s="311">
        <f t="shared" ca="1" si="399"/>
        <v>206.43118749999999</v>
      </c>
      <c r="AI353" s="311">
        <f t="shared" ca="1" si="399"/>
        <v>215.23666890625</v>
      </c>
      <c r="AJ353" s="311">
        <f t="shared" ca="1" si="399"/>
        <v>214.23666890625</v>
      </c>
      <c r="AK353" s="311">
        <f t="shared" ca="1" si="399"/>
        <v>213.23666890625</v>
      </c>
      <c r="AL353" s="311" t="str">
        <f t="shared" ca="1" si="399"/>
        <v/>
      </c>
      <c r="AM353" s="311" t="str">
        <f t="shared" ca="1" si="399"/>
        <v/>
      </c>
      <c r="AN353" s="311" t="str">
        <f t="shared" ca="1" si="399"/>
        <v/>
      </c>
      <c r="AO353" s="311" t="str">
        <f t="shared" ca="1" si="399"/>
        <v/>
      </c>
      <c r="AP353" s="311" t="str">
        <f t="shared" ca="1" si="399"/>
        <v/>
      </c>
      <c r="AQ353" s="311" t="str">
        <f t="shared" ca="1" si="399"/>
        <v/>
      </c>
      <c r="AR353" s="311" t="str">
        <f t="shared" ca="1" si="399"/>
        <v/>
      </c>
      <c r="AS353" s="311" t="str">
        <f t="shared" ca="1" si="399"/>
        <v/>
      </c>
      <c r="AT353" s="311" t="str">
        <f t="shared" ca="1" si="399"/>
        <v/>
      </c>
      <c r="AU353" s="311" t="str">
        <f t="shared" ca="1" si="399"/>
        <v/>
      </c>
      <c r="AV353" s="311" t="str">
        <f t="shared" ca="1" si="399"/>
        <v/>
      </c>
      <c r="AW353" s="311" t="str">
        <f t="shared" ca="1" si="399"/>
        <v/>
      </c>
      <c r="AX353" s="311" t="str">
        <f t="shared" ca="1" si="399"/>
        <v/>
      </c>
      <c r="AY353" s="311" t="str">
        <f t="shared" ca="1" si="399"/>
        <v/>
      </c>
      <c r="AZ353" s="311" t="str">
        <f t="shared" ca="1" si="399"/>
        <v/>
      </c>
      <c r="BA353" s="311" t="str">
        <f t="shared" ca="1" si="399"/>
        <v/>
      </c>
      <c r="BB353" s="311" t="str">
        <f t="shared" ca="1" si="399"/>
        <v/>
      </c>
      <c r="BC353" s="311" t="str">
        <f t="shared" ca="1" si="399"/>
        <v/>
      </c>
      <c r="BD353" s="311" t="str">
        <f t="shared" ca="1" si="399"/>
        <v/>
      </c>
      <c r="BE353" s="311" t="str">
        <f t="shared" ca="1" si="399"/>
        <v/>
      </c>
      <c r="BF353" s="311" t="str">
        <f t="shared" ca="1" si="399"/>
        <v/>
      </c>
      <c r="BG353" s="311" t="str">
        <f t="shared" ca="1" si="399"/>
        <v/>
      </c>
      <c r="BH353" s="311" t="str">
        <f t="shared" ca="1" si="399"/>
        <v/>
      </c>
      <c r="BI353" s="311" t="str">
        <f t="shared" ca="1" si="399"/>
        <v/>
      </c>
      <c r="BK353" s="84"/>
      <c r="BL353" s="84"/>
      <c r="BM353" s="84"/>
      <c r="BN353" s="84"/>
      <c r="BO353" s="84"/>
      <c r="BP353" s="84"/>
    </row>
    <row r="354" spans="1:68" ht="15" customHeight="1" outlineLevel="1">
      <c r="Q354" s="1" t="s">
        <v>227</v>
      </c>
      <c r="W354" s="98" t="e">
        <f t="shared" ca="1" si="391"/>
        <v>#N/A</v>
      </c>
      <c r="X354" s="98">
        <f t="shared" ca="1" si="391"/>
        <v>18.05</v>
      </c>
      <c r="Y354" s="98">
        <f t="shared" ca="1" si="391"/>
        <v>18.812374999999999</v>
      </c>
      <c r="Z354" s="98">
        <f t="shared" ca="1" si="391"/>
        <v>19.610962812499999</v>
      </c>
      <c r="AA354" s="98">
        <f t="shared" ca="1" si="391"/>
        <v>20.44748354609375</v>
      </c>
      <c r="AB354" s="98">
        <f t="shared" ca="1" si="391"/>
        <v>20.352483546093751</v>
      </c>
      <c r="AC354" s="258" t="s">
        <v>219</v>
      </c>
      <c r="AD354" s="98" t="e">
        <f ca="1">IF($D$2=FALSE,"-",IF(AD$13="","",OFFSET($AF354,0,$F$4-AD$7-1)+OFFSET($AF354,0,$F$4-1)-OFFSET($AF354,0,$F$4-$E$5-1)))</f>
        <v>#N/A</v>
      </c>
      <c r="AF354" s="309" t="e">
        <f t="shared" ref="AF354:BI354" ca="1" si="400">IF($D$2=FALSE,"-",IF(AF$13="","",IF(AF$4&lt;=0,SUM(OFFSET(AF31,0,-AF$7+1,1,AF$7)),AF378*IF($D$7=1,0.5*(AF350+AF353),AF350)*AF$6)))</f>
        <v>#N/A</v>
      </c>
      <c r="AG354" s="317">
        <f t="shared" ca="1" si="400"/>
        <v>18.05</v>
      </c>
      <c r="AH354" s="317">
        <f t="shared" ca="1" si="400"/>
        <v>18.812374999999999</v>
      </c>
      <c r="AI354" s="317">
        <f t="shared" ca="1" si="400"/>
        <v>19.610962812499999</v>
      </c>
      <c r="AJ354" s="317">
        <f t="shared" ca="1" si="400"/>
        <v>20.44748354609375</v>
      </c>
      <c r="AK354" s="317">
        <f t="shared" ca="1" si="400"/>
        <v>20.352483546093751</v>
      </c>
      <c r="AL354" s="317" t="str">
        <f t="shared" ca="1" si="400"/>
        <v/>
      </c>
      <c r="AM354" s="317" t="str">
        <f t="shared" ca="1" si="400"/>
        <v/>
      </c>
      <c r="AN354" s="317" t="str">
        <f t="shared" ca="1" si="400"/>
        <v/>
      </c>
      <c r="AO354" s="317" t="str">
        <f t="shared" ca="1" si="400"/>
        <v/>
      </c>
      <c r="AP354" s="317" t="str">
        <f t="shared" ca="1" si="400"/>
        <v/>
      </c>
      <c r="AQ354" s="317" t="str">
        <f t="shared" ca="1" si="400"/>
        <v/>
      </c>
      <c r="AR354" s="317" t="str">
        <f t="shared" ca="1" si="400"/>
        <v/>
      </c>
      <c r="AS354" s="317" t="str">
        <f t="shared" ca="1" si="400"/>
        <v/>
      </c>
      <c r="AT354" s="317" t="str">
        <f t="shared" ca="1" si="400"/>
        <v/>
      </c>
      <c r="AU354" s="317" t="str">
        <f t="shared" ca="1" si="400"/>
        <v/>
      </c>
      <c r="AV354" s="317" t="str">
        <f t="shared" ca="1" si="400"/>
        <v/>
      </c>
      <c r="AW354" s="317" t="str">
        <f t="shared" ca="1" si="400"/>
        <v/>
      </c>
      <c r="AX354" s="317" t="str">
        <f t="shared" ca="1" si="400"/>
        <v/>
      </c>
      <c r="AY354" s="317" t="str">
        <f t="shared" ca="1" si="400"/>
        <v/>
      </c>
      <c r="AZ354" s="317" t="str">
        <f t="shared" ca="1" si="400"/>
        <v/>
      </c>
      <c r="BA354" s="317" t="str">
        <f t="shared" ca="1" si="400"/>
        <v/>
      </c>
      <c r="BB354" s="317" t="str">
        <f t="shared" ca="1" si="400"/>
        <v/>
      </c>
      <c r="BC354" s="317" t="str">
        <f t="shared" ca="1" si="400"/>
        <v/>
      </c>
      <c r="BD354" s="317" t="str">
        <f t="shared" ca="1" si="400"/>
        <v/>
      </c>
      <c r="BE354" s="317" t="str">
        <f t="shared" ca="1" si="400"/>
        <v/>
      </c>
      <c r="BF354" s="317" t="str">
        <f t="shared" ca="1" si="400"/>
        <v/>
      </c>
      <c r="BG354" s="317" t="str">
        <f t="shared" ca="1" si="400"/>
        <v/>
      </c>
      <c r="BH354" s="317" t="str">
        <f t="shared" ca="1" si="400"/>
        <v/>
      </c>
      <c r="BI354" s="317" t="str">
        <f t="shared" ca="1" si="400"/>
        <v/>
      </c>
    </row>
    <row r="355" spans="1:68" ht="15" customHeight="1" outlineLevel="1">
      <c r="W355" s="98"/>
      <c r="X355" s="98"/>
      <c r="Y355" s="98"/>
      <c r="Z355" s="98"/>
      <c r="AA355" s="98"/>
      <c r="AB355" s="98"/>
      <c r="AC355" s="98"/>
      <c r="AD355" s="98"/>
      <c r="AF355" s="124"/>
      <c r="AG355" s="125"/>
      <c r="AH355" s="125"/>
      <c r="AI355" s="125"/>
      <c r="AJ355" s="125"/>
      <c r="AK355" s="125"/>
      <c r="AL355" s="125"/>
      <c r="AM355" s="125"/>
      <c r="AN355" s="125"/>
      <c r="AO355" s="125"/>
      <c r="AP355" s="125"/>
      <c r="AQ355" s="125"/>
      <c r="AR355" s="125"/>
      <c r="AS355" s="125"/>
      <c r="AT355" s="125"/>
      <c r="AU355" s="125"/>
      <c r="AV355" s="125"/>
      <c r="AW355" s="125"/>
      <c r="AX355" s="125"/>
      <c r="AY355" s="125"/>
      <c r="AZ355" s="125"/>
      <c r="BA355" s="125"/>
      <c r="BB355" s="125"/>
      <c r="BC355" s="125"/>
      <c r="BD355" s="125"/>
      <c r="BE355" s="125"/>
      <c r="BF355" s="125"/>
      <c r="BG355" s="125"/>
      <c r="BH355" s="125"/>
      <c r="BI355" s="125"/>
    </row>
    <row r="356" spans="1:68" ht="15" customHeight="1" outlineLevel="1">
      <c r="Q356" s="327" t="str">
        <f>IF($D$2=FALSE,"-",Q229)</f>
        <v>Preferred stock</v>
      </c>
      <c r="R356" s="327"/>
      <c r="S356" s="327"/>
      <c r="T356" s="327"/>
      <c r="U356" s="327"/>
      <c r="W356" s="98"/>
      <c r="X356" s="98"/>
      <c r="Y356" s="98"/>
      <c r="Z356" s="98"/>
      <c r="AA356" s="98"/>
      <c r="AB356" s="98"/>
      <c r="AC356" s="98"/>
      <c r="AD356" s="98"/>
      <c r="AF356" s="124"/>
      <c r="AG356" s="125"/>
      <c r="AH356" s="125"/>
      <c r="AI356" s="125"/>
      <c r="AJ356" s="125"/>
      <c r="AK356" s="125"/>
      <c r="AL356" s="125"/>
      <c r="AM356" s="125"/>
      <c r="AN356" s="125"/>
      <c r="AO356" s="125"/>
      <c r="AP356" s="125"/>
      <c r="AQ356" s="125"/>
      <c r="AR356" s="125"/>
      <c r="AS356" s="125"/>
      <c r="AT356" s="125"/>
      <c r="AU356" s="125"/>
      <c r="AV356" s="125"/>
      <c r="AW356" s="125"/>
      <c r="AX356" s="125"/>
      <c r="AY356" s="125"/>
      <c r="AZ356" s="125"/>
      <c r="BA356" s="125"/>
      <c r="BB356" s="125"/>
      <c r="BC356" s="125"/>
      <c r="BD356" s="125"/>
      <c r="BE356" s="125"/>
      <c r="BF356" s="125"/>
      <c r="BG356" s="125"/>
      <c r="BH356" s="125"/>
      <c r="BI356" s="125"/>
    </row>
    <row r="357" spans="1:68" ht="15" customHeight="1" outlineLevel="1">
      <c r="P357" s="222"/>
      <c r="Q357" s="1" t="s">
        <v>129</v>
      </c>
      <c r="W357" s="98" t="e">
        <f t="shared" ref="W357:AB361" ca="1" si="401">IF($D$2=FALSE,"-",IF(W$13="","",OFFSET($AF357,0,W$8)))</f>
        <v>#N/A</v>
      </c>
      <c r="X357" s="98">
        <f t="shared" ca="1" si="401"/>
        <v>100</v>
      </c>
      <c r="Y357" s="98">
        <f t="shared" ca="1" si="401"/>
        <v>99</v>
      </c>
      <c r="Z357" s="98">
        <f t="shared" ca="1" si="401"/>
        <v>98</v>
      </c>
      <c r="AA357" s="98">
        <f t="shared" ca="1" si="401"/>
        <v>97</v>
      </c>
      <c r="AB357" s="98">
        <f t="shared" ca="1" si="401"/>
        <v>96</v>
      </c>
      <c r="AC357" s="258" t="s">
        <v>219</v>
      </c>
      <c r="AD357" s="98" t="e">
        <f ca="1">IF($D$2=FALSE,"-",IF(AD$13="","",OFFSET($AF357,0,$F$4-AD$7-1)+OFFSET($AF357,0,$F$4-1)-OFFSET($AF357,0,$F$4-$E$5-1)))</f>
        <v>#N/A</v>
      </c>
      <c r="AF357" s="310" t="e">
        <f t="shared" ref="AF357:BI357" ca="1" si="402">IF($D$2=FALSE,"-",IF(AF$13="","",IF(AF$4&lt;=0,OFFSET(AF229,0,-AF$7),OFFSET(AF360,0,-AF$7))))</f>
        <v>#N/A</v>
      </c>
      <c r="AG357" s="311">
        <f t="shared" ca="1" si="402"/>
        <v>100</v>
      </c>
      <c r="AH357" s="311">
        <f t="shared" ca="1" si="402"/>
        <v>99</v>
      </c>
      <c r="AI357" s="311">
        <f t="shared" ca="1" si="402"/>
        <v>98</v>
      </c>
      <c r="AJ357" s="311">
        <f t="shared" ca="1" si="402"/>
        <v>97</v>
      </c>
      <c r="AK357" s="311">
        <f t="shared" ca="1" si="402"/>
        <v>96</v>
      </c>
      <c r="AL357" s="311" t="str">
        <f t="shared" ca="1" si="402"/>
        <v/>
      </c>
      <c r="AM357" s="311" t="str">
        <f t="shared" ca="1" si="402"/>
        <v/>
      </c>
      <c r="AN357" s="311" t="str">
        <f t="shared" ca="1" si="402"/>
        <v/>
      </c>
      <c r="AO357" s="311" t="str">
        <f t="shared" ca="1" si="402"/>
        <v/>
      </c>
      <c r="AP357" s="311" t="str">
        <f t="shared" ca="1" si="402"/>
        <v/>
      </c>
      <c r="AQ357" s="311" t="str">
        <f t="shared" ca="1" si="402"/>
        <v/>
      </c>
      <c r="AR357" s="311" t="str">
        <f t="shared" ca="1" si="402"/>
        <v/>
      </c>
      <c r="AS357" s="311" t="str">
        <f t="shared" ca="1" si="402"/>
        <v/>
      </c>
      <c r="AT357" s="311" t="str">
        <f t="shared" ca="1" si="402"/>
        <v/>
      </c>
      <c r="AU357" s="311" t="str">
        <f t="shared" ca="1" si="402"/>
        <v/>
      </c>
      <c r="AV357" s="311" t="str">
        <f t="shared" ca="1" si="402"/>
        <v/>
      </c>
      <c r="AW357" s="311" t="str">
        <f t="shared" ca="1" si="402"/>
        <v/>
      </c>
      <c r="AX357" s="311" t="str">
        <f t="shared" ca="1" si="402"/>
        <v/>
      </c>
      <c r="AY357" s="311" t="str">
        <f t="shared" ca="1" si="402"/>
        <v/>
      </c>
      <c r="AZ357" s="311" t="str">
        <f t="shared" ca="1" si="402"/>
        <v/>
      </c>
      <c r="BA357" s="311" t="str">
        <f t="shared" ca="1" si="402"/>
        <v/>
      </c>
      <c r="BB357" s="311" t="str">
        <f t="shared" ca="1" si="402"/>
        <v/>
      </c>
      <c r="BC357" s="311" t="str">
        <f t="shared" ca="1" si="402"/>
        <v/>
      </c>
      <c r="BD357" s="311" t="str">
        <f t="shared" ca="1" si="402"/>
        <v/>
      </c>
      <c r="BE357" s="311" t="str">
        <f t="shared" ca="1" si="402"/>
        <v/>
      </c>
      <c r="BF357" s="311" t="str">
        <f t="shared" ca="1" si="402"/>
        <v/>
      </c>
      <c r="BG357" s="311" t="str">
        <f t="shared" ca="1" si="402"/>
        <v/>
      </c>
      <c r="BH357" s="311" t="str">
        <f t="shared" ca="1" si="402"/>
        <v/>
      </c>
      <c r="BI357" s="311" t="str">
        <f t="shared" ca="1" si="402"/>
        <v/>
      </c>
      <c r="BK357" s="84"/>
      <c r="BL357" s="84"/>
      <c r="BM357" s="84"/>
      <c r="BN357" s="84"/>
      <c r="BO357" s="84"/>
      <c r="BP357" s="84"/>
    </row>
    <row r="358" spans="1:68" ht="15" customHeight="1" outlineLevel="1">
      <c r="O358" s="96">
        <v>0</v>
      </c>
      <c r="P358" s="222"/>
      <c r="Q358" s="1" t="s">
        <v>193</v>
      </c>
      <c r="W358" s="98">
        <f t="shared" ca="1" si="401"/>
        <v>0</v>
      </c>
      <c r="X358" s="98">
        <f t="shared" ca="1" si="401"/>
        <v>0</v>
      </c>
      <c r="Y358" s="98">
        <f t="shared" ca="1" si="401"/>
        <v>0</v>
      </c>
      <c r="Z358" s="98">
        <f t="shared" ca="1" si="401"/>
        <v>0</v>
      </c>
      <c r="AA358" s="98">
        <f t="shared" ca="1" si="401"/>
        <v>0</v>
      </c>
      <c r="AB358" s="98">
        <f t="shared" ca="1" si="401"/>
        <v>0</v>
      </c>
      <c r="AC358" s="258" t="s">
        <v>219</v>
      </c>
      <c r="AD358" s="98" t="e">
        <f ca="1">IF($D$2=FALSE,"-",IF(AD$13="","",OFFSET($AF358,0,$F$4-AD$7-1)+OFFSET($AF358,0,$F$4-1)-OFFSET($AF358,0,$F$4-$E$5-1)))</f>
        <v>#N/A</v>
      </c>
      <c r="AF358" s="124">
        <f ca="1">IF($D$2=FALSE,"-",IF(AF$13="","",IF(AF$4&lt;0,#N/A,IF(AF$4=0,$O358,AF390*AF407))))</f>
        <v>0</v>
      </c>
      <c r="AG358" s="125">
        <f t="shared" ref="AG358:BI358" ca="1" si="403">IF($D$2=FALSE,"-",IF(AG$13="","",IF(AG$4&lt;0,#N/A,IF(AG$4=0,$O358,AG390*AG407))))</f>
        <v>0</v>
      </c>
      <c r="AH358" s="125">
        <f t="shared" ca="1" si="403"/>
        <v>0</v>
      </c>
      <c r="AI358" s="125">
        <f t="shared" ca="1" si="403"/>
        <v>0</v>
      </c>
      <c r="AJ358" s="125">
        <f t="shared" ca="1" si="403"/>
        <v>0</v>
      </c>
      <c r="AK358" s="125">
        <f t="shared" ca="1" si="403"/>
        <v>0</v>
      </c>
      <c r="AL358" s="125" t="str">
        <f t="shared" ca="1" si="403"/>
        <v/>
      </c>
      <c r="AM358" s="125" t="str">
        <f t="shared" ca="1" si="403"/>
        <v/>
      </c>
      <c r="AN358" s="125" t="str">
        <f t="shared" ca="1" si="403"/>
        <v/>
      </c>
      <c r="AO358" s="125" t="str">
        <f t="shared" ca="1" si="403"/>
        <v/>
      </c>
      <c r="AP358" s="125" t="str">
        <f t="shared" ca="1" si="403"/>
        <v/>
      </c>
      <c r="AQ358" s="125" t="str">
        <f t="shared" ca="1" si="403"/>
        <v/>
      </c>
      <c r="AR358" s="125" t="str">
        <f t="shared" ca="1" si="403"/>
        <v/>
      </c>
      <c r="AS358" s="125" t="str">
        <f t="shared" ca="1" si="403"/>
        <v/>
      </c>
      <c r="AT358" s="125" t="str">
        <f t="shared" ca="1" si="403"/>
        <v/>
      </c>
      <c r="AU358" s="125" t="str">
        <f t="shared" ca="1" si="403"/>
        <v/>
      </c>
      <c r="AV358" s="125" t="str">
        <f t="shared" ca="1" si="403"/>
        <v/>
      </c>
      <c r="AW358" s="125" t="str">
        <f t="shared" ca="1" si="403"/>
        <v/>
      </c>
      <c r="AX358" s="125" t="str">
        <f t="shared" ca="1" si="403"/>
        <v/>
      </c>
      <c r="AY358" s="125" t="str">
        <f t="shared" ca="1" si="403"/>
        <v/>
      </c>
      <c r="AZ358" s="125" t="str">
        <f t="shared" ca="1" si="403"/>
        <v/>
      </c>
      <c r="BA358" s="125" t="str">
        <f t="shared" ca="1" si="403"/>
        <v/>
      </c>
      <c r="BB358" s="125" t="str">
        <f t="shared" ca="1" si="403"/>
        <v/>
      </c>
      <c r="BC358" s="125" t="str">
        <f t="shared" ca="1" si="403"/>
        <v/>
      </c>
      <c r="BD358" s="125" t="str">
        <f t="shared" ca="1" si="403"/>
        <v/>
      </c>
      <c r="BE358" s="125" t="str">
        <f t="shared" ca="1" si="403"/>
        <v/>
      </c>
      <c r="BF358" s="125" t="str">
        <f t="shared" ca="1" si="403"/>
        <v/>
      </c>
      <c r="BG358" s="125" t="str">
        <f t="shared" ca="1" si="403"/>
        <v/>
      </c>
      <c r="BH358" s="125" t="str">
        <f t="shared" ca="1" si="403"/>
        <v/>
      </c>
      <c r="BI358" s="125" t="str">
        <f t="shared" ca="1" si="403"/>
        <v/>
      </c>
      <c r="BK358" s="84"/>
      <c r="BL358" s="84"/>
      <c r="BM358" s="84"/>
      <c r="BN358" s="84"/>
      <c r="BO358" s="84"/>
      <c r="BP358" s="84"/>
    </row>
    <row r="359" spans="1:68" ht="15" customHeight="1" outlineLevel="1">
      <c r="B359" s="34">
        <f t="shared" ref="B359" si="404">$B$57</f>
        <v>44926</v>
      </c>
      <c r="C359" s="34">
        <f t="shared" ref="C359" ca="1" si="405">$C$57</f>
        <v>44926</v>
      </c>
      <c r="D359" s="201" t="e">
        <f ca="1">IF($D$2=FALSE,"-",AVERAGE(OFFSET($AF359,0,MATCH(B359,OFFSET($AF$13,0,0,1,$G$4-$E$4+1),0)-1,1,MATCH(C359,OFFSET($AF$13,0,0,1,$G$4-$E$4+1),0)-MATCH(B359,OFFSET($AF$13,0,0,1,$G$4-$E$4+1),0)+1)))</f>
        <v>#N/A</v>
      </c>
      <c r="E359" s="96">
        <v>1</v>
      </c>
      <c r="F359" s="201">
        <f>IF($D$2=FALSE,"-",IF(E359="",D359,E359))</f>
        <v>1</v>
      </c>
      <c r="G359" s="34">
        <f t="shared" ref="G359" si="406">$G$57</f>
        <v>44926</v>
      </c>
      <c r="H359" s="37">
        <f t="shared" ref="H359" ca="1" si="407">$H$57</f>
        <v>44926</v>
      </c>
      <c r="I359" s="201" t="e">
        <f ca="1">IF($D$2=FALSE,"-",AVERAGE(OFFSET($AF359,0,MATCH(G359,OFFSET($AF$13,0,0,1,$G$4-$E$4+1),0)-1,1,MATCH(H359,OFFSET($AF$13,0,0,1,$G$4-$E$4+1),0)-MATCH(G359,OFFSET($AF$13,0,0,1,$G$4-$E$4+1),0)+1)))</f>
        <v>#N/A</v>
      </c>
      <c r="J359" s="96">
        <v>1</v>
      </c>
      <c r="K359" s="202">
        <f>IF($D$2=FALSE,"-",IF(J359="",I359,J359))</f>
        <v>1</v>
      </c>
      <c r="L359" s="126">
        <v>5</v>
      </c>
      <c r="M359" s="81">
        <v>0.1</v>
      </c>
      <c r="P359" s="222"/>
      <c r="Q359" s="100" t="s">
        <v>194</v>
      </c>
      <c r="R359" s="100"/>
      <c r="S359" s="100"/>
      <c r="T359" s="100"/>
      <c r="U359" s="100"/>
      <c r="W359" s="103" t="e">
        <f t="shared" ca="1" si="401"/>
        <v>#N/A</v>
      </c>
      <c r="X359" s="103">
        <f t="shared" ca="1" si="401"/>
        <v>-1</v>
      </c>
      <c r="Y359" s="103">
        <f t="shared" ca="1" si="401"/>
        <v>-1</v>
      </c>
      <c r="Z359" s="103">
        <f t="shared" ca="1" si="401"/>
        <v>-1</v>
      </c>
      <c r="AA359" s="103">
        <f t="shared" ca="1" si="401"/>
        <v>-1</v>
      </c>
      <c r="AB359" s="103">
        <f t="shared" ca="1" si="401"/>
        <v>-1</v>
      </c>
      <c r="AC359" s="258" t="s">
        <v>219</v>
      </c>
      <c r="AD359" s="103" t="e">
        <f ca="1">IF($D$2=FALSE,"-",IF(AD$13="","",OFFSET($AF359,0,$F$4-AD$7-1)+OFFSET($AF359,0,$F$4-1)-OFFSET($AF359,0,$F$4-$E$5-1)))</f>
        <v>#N/A</v>
      </c>
      <c r="AF359" s="314" t="e">
        <f t="shared" ref="AF359:BI359" ca="1" si="408">IF($D$2=FALSE,"-",IF(AF$13="","",IF(AF$4&lt;=0,AF360-AF357-AF358,-IF(AF$4&lt;=$L359,IF($M359=0,$F359-((IF($M359=0,($F359-$K359)/$L359,($K359-$F359)/(EXP(-$M359*$L359)-1)))*(AF$4-1)),($F359-(IF($M359=0,($F359-$K359)/$L359,($K359-$F359)/(EXP(-$M359*$L359)-1))))+((IF($M359=0,($F359-$K359)/$L359,($K359-$F359)/(EXP(-$M359*$L359)-1)))*EXP(-$M359*(AF$4-1)))),$K359))))</f>
        <v>#N/A</v>
      </c>
      <c r="AG359" s="291">
        <f t="shared" ca="1" si="408"/>
        <v>-1</v>
      </c>
      <c r="AH359" s="291">
        <f t="shared" ca="1" si="408"/>
        <v>-1</v>
      </c>
      <c r="AI359" s="291">
        <f t="shared" ca="1" si="408"/>
        <v>-1</v>
      </c>
      <c r="AJ359" s="291">
        <f t="shared" ca="1" si="408"/>
        <v>-1</v>
      </c>
      <c r="AK359" s="291">
        <f t="shared" ca="1" si="408"/>
        <v>-1</v>
      </c>
      <c r="AL359" s="291" t="str">
        <f t="shared" ca="1" si="408"/>
        <v/>
      </c>
      <c r="AM359" s="291" t="str">
        <f t="shared" ca="1" si="408"/>
        <v/>
      </c>
      <c r="AN359" s="291" t="str">
        <f t="shared" ca="1" si="408"/>
        <v/>
      </c>
      <c r="AO359" s="291" t="str">
        <f t="shared" ca="1" si="408"/>
        <v/>
      </c>
      <c r="AP359" s="291" t="str">
        <f t="shared" ca="1" si="408"/>
        <v/>
      </c>
      <c r="AQ359" s="291" t="str">
        <f t="shared" ca="1" si="408"/>
        <v/>
      </c>
      <c r="AR359" s="291" t="str">
        <f t="shared" ca="1" si="408"/>
        <v/>
      </c>
      <c r="AS359" s="291" t="str">
        <f t="shared" ca="1" si="408"/>
        <v/>
      </c>
      <c r="AT359" s="291" t="str">
        <f t="shared" ca="1" si="408"/>
        <v/>
      </c>
      <c r="AU359" s="291" t="str">
        <f t="shared" ca="1" si="408"/>
        <v/>
      </c>
      <c r="AV359" s="291" t="str">
        <f t="shared" ca="1" si="408"/>
        <v/>
      </c>
      <c r="AW359" s="291" t="str">
        <f t="shared" ca="1" si="408"/>
        <v/>
      </c>
      <c r="AX359" s="291" t="str">
        <f t="shared" ca="1" si="408"/>
        <v/>
      </c>
      <c r="AY359" s="291" t="str">
        <f t="shared" ca="1" si="408"/>
        <v/>
      </c>
      <c r="AZ359" s="291" t="str">
        <f t="shared" ca="1" si="408"/>
        <v/>
      </c>
      <c r="BA359" s="291" t="str">
        <f t="shared" ca="1" si="408"/>
        <v/>
      </c>
      <c r="BB359" s="291" t="str">
        <f t="shared" ca="1" si="408"/>
        <v/>
      </c>
      <c r="BC359" s="291" t="str">
        <f t="shared" ca="1" si="408"/>
        <v/>
      </c>
      <c r="BD359" s="291" t="str">
        <f t="shared" ca="1" si="408"/>
        <v/>
      </c>
      <c r="BE359" s="291" t="str">
        <f t="shared" ca="1" si="408"/>
        <v/>
      </c>
      <c r="BF359" s="291" t="str">
        <f t="shared" ca="1" si="408"/>
        <v/>
      </c>
      <c r="BG359" s="291" t="str">
        <f t="shared" ca="1" si="408"/>
        <v/>
      </c>
      <c r="BH359" s="291" t="str">
        <f t="shared" ca="1" si="408"/>
        <v/>
      </c>
      <c r="BI359" s="291" t="str">
        <f t="shared" ca="1" si="408"/>
        <v/>
      </c>
      <c r="BK359" s="84"/>
      <c r="BL359" s="84"/>
      <c r="BM359" s="84"/>
      <c r="BN359" s="84"/>
      <c r="BO359" s="84"/>
      <c r="BP359" s="84"/>
    </row>
    <row r="360" spans="1:68" ht="15" customHeight="1" outlineLevel="1">
      <c r="P360" s="222"/>
      <c r="Q360" s="1" t="s">
        <v>131</v>
      </c>
      <c r="W360" s="98">
        <f t="shared" ca="1" si="401"/>
        <v>100</v>
      </c>
      <c r="X360" s="98">
        <f t="shared" ca="1" si="401"/>
        <v>99</v>
      </c>
      <c r="Y360" s="98">
        <f t="shared" ca="1" si="401"/>
        <v>98</v>
      </c>
      <c r="Z360" s="98">
        <f t="shared" ca="1" si="401"/>
        <v>97</v>
      </c>
      <c r="AA360" s="98">
        <f t="shared" ca="1" si="401"/>
        <v>96</v>
      </c>
      <c r="AB360" s="98">
        <f t="shared" ca="1" si="401"/>
        <v>95</v>
      </c>
      <c r="AC360" s="258" t="s">
        <v>219</v>
      </c>
      <c r="AD360" s="98" t="e">
        <f ca="1">IF($D$2=FALSE,"-",IF(AD$13="","",OFFSET($AF360,0,$F$4-AD$7-1)+OFFSET($AF360,0,$F$4-1)-OFFSET($AF360,0,$F$4-$E$5-1)))</f>
        <v>#N/A</v>
      </c>
      <c r="AF360" s="310">
        <f t="shared" ref="AF360:BI360" ca="1" si="409">IF($D$2=FALSE,"-",IF(AF$13="","",IF(AF$4&lt;=0,AF229,+SUM(AF357:AF359))))</f>
        <v>100</v>
      </c>
      <c r="AG360" s="311">
        <f t="shared" ca="1" si="409"/>
        <v>99</v>
      </c>
      <c r="AH360" s="311">
        <f t="shared" ca="1" si="409"/>
        <v>98</v>
      </c>
      <c r="AI360" s="311">
        <f t="shared" ca="1" si="409"/>
        <v>97</v>
      </c>
      <c r="AJ360" s="311">
        <f t="shared" ca="1" si="409"/>
        <v>96</v>
      </c>
      <c r="AK360" s="311">
        <f t="shared" ca="1" si="409"/>
        <v>95</v>
      </c>
      <c r="AL360" s="311" t="str">
        <f t="shared" ca="1" si="409"/>
        <v/>
      </c>
      <c r="AM360" s="311" t="str">
        <f t="shared" ca="1" si="409"/>
        <v/>
      </c>
      <c r="AN360" s="311" t="str">
        <f t="shared" ca="1" si="409"/>
        <v/>
      </c>
      <c r="AO360" s="311" t="str">
        <f t="shared" ca="1" si="409"/>
        <v/>
      </c>
      <c r="AP360" s="311" t="str">
        <f t="shared" ca="1" si="409"/>
        <v/>
      </c>
      <c r="AQ360" s="311" t="str">
        <f t="shared" ca="1" si="409"/>
        <v/>
      </c>
      <c r="AR360" s="311" t="str">
        <f t="shared" ca="1" si="409"/>
        <v/>
      </c>
      <c r="AS360" s="311" t="str">
        <f t="shared" ca="1" si="409"/>
        <v/>
      </c>
      <c r="AT360" s="311" t="str">
        <f t="shared" ca="1" si="409"/>
        <v/>
      </c>
      <c r="AU360" s="311" t="str">
        <f t="shared" ca="1" si="409"/>
        <v/>
      </c>
      <c r="AV360" s="311" t="str">
        <f t="shared" ca="1" si="409"/>
        <v/>
      </c>
      <c r="AW360" s="311" t="str">
        <f t="shared" ca="1" si="409"/>
        <v/>
      </c>
      <c r="AX360" s="311" t="str">
        <f t="shared" ca="1" si="409"/>
        <v/>
      </c>
      <c r="AY360" s="311" t="str">
        <f t="shared" ca="1" si="409"/>
        <v/>
      </c>
      <c r="AZ360" s="311" t="str">
        <f t="shared" ca="1" si="409"/>
        <v/>
      </c>
      <c r="BA360" s="311" t="str">
        <f t="shared" ca="1" si="409"/>
        <v/>
      </c>
      <c r="BB360" s="311" t="str">
        <f t="shared" ca="1" si="409"/>
        <v/>
      </c>
      <c r="BC360" s="311" t="str">
        <f t="shared" ca="1" si="409"/>
        <v/>
      </c>
      <c r="BD360" s="311" t="str">
        <f t="shared" ca="1" si="409"/>
        <v/>
      </c>
      <c r="BE360" s="311" t="str">
        <f t="shared" ca="1" si="409"/>
        <v/>
      </c>
      <c r="BF360" s="311" t="str">
        <f t="shared" ca="1" si="409"/>
        <v/>
      </c>
      <c r="BG360" s="311" t="str">
        <f t="shared" ca="1" si="409"/>
        <v/>
      </c>
      <c r="BH360" s="311" t="str">
        <f t="shared" ca="1" si="409"/>
        <v/>
      </c>
      <c r="BI360" s="311" t="str">
        <f t="shared" ca="1" si="409"/>
        <v/>
      </c>
      <c r="BK360" s="84"/>
      <c r="BL360" s="84"/>
      <c r="BM360" s="84"/>
      <c r="BN360" s="84"/>
      <c r="BO360" s="84"/>
      <c r="BP360" s="84"/>
    </row>
    <row r="361" spans="1:68" ht="15" customHeight="1" outlineLevel="1">
      <c r="Q361" s="1" t="s">
        <v>27</v>
      </c>
      <c r="W361" s="98" t="e">
        <f t="shared" ca="1" si="401"/>
        <v>#N/A</v>
      </c>
      <c r="X361" s="98">
        <f t="shared" ca="1" si="401"/>
        <v>10.25</v>
      </c>
      <c r="Y361" s="98">
        <f t="shared" ca="1" si="401"/>
        <v>10.147499999999999</v>
      </c>
      <c r="Z361" s="98">
        <f t="shared" ca="1" si="401"/>
        <v>10.045</v>
      </c>
      <c r="AA361" s="98">
        <f t="shared" ca="1" si="401"/>
        <v>9.942499999999999</v>
      </c>
      <c r="AB361" s="98">
        <f t="shared" ca="1" si="401"/>
        <v>9.84</v>
      </c>
      <c r="AC361" s="258" t="s">
        <v>219</v>
      </c>
      <c r="AD361" s="98" t="e">
        <f ca="1">IF($D$2=FALSE,"-",IF(AD$13="","",OFFSET($AF361,0,$F$4-AD$7-1)+OFFSET($AF361,0,$F$4-1)-OFFSET($AF361,0,$F$4-$E$5-1)))</f>
        <v>#N/A</v>
      </c>
      <c r="AF361" s="309" t="e">
        <f t="shared" ref="AF361:BI361" ca="1" si="410">IF($D$2=FALSE,"-",IF(AF$13="","",IF(AF$4&lt;=0,SUM(OFFSET(AF39,0,-AF$7+1,1,AF$7)),AF379*IF($D$7=1,0.5*(AF357+AF360),AF357)*AF$6)))</f>
        <v>#N/A</v>
      </c>
      <c r="AG361" s="317">
        <f t="shared" ca="1" si="410"/>
        <v>10.25</v>
      </c>
      <c r="AH361" s="317">
        <f t="shared" ca="1" si="410"/>
        <v>10.147499999999999</v>
      </c>
      <c r="AI361" s="317">
        <f t="shared" ca="1" si="410"/>
        <v>10.045</v>
      </c>
      <c r="AJ361" s="317">
        <f t="shared" ca="1" si="410"/>
        <v>9.942499999999999</v>
      </c>
      <c r="AK361" s="317">
        <f t="shared" ca="1" si="410"/>
        <v>9.84</v>
      </c>
      <c r="AL361" s="317" t="str">
        <f t="shared" ca="1" si="410"/>
        <v/>
      </c>
      <c r="AM361" s="317" t="str">
        <f t="shared" ca="1" si="410"/>
        <v/>
      </c>
      <c r="AN361" s="317" t="str">
        <f t="shared" ca="1" si="410"/>
        <v/>
      </c>
      <c r="AO361" s="317" t="str">
        <f t="shared" ca="1" si="410"/>
        <v/>
      </c>
      <c r="AP361" s="317" t="str">
        <f t="shared" ca="1" si="410"/>
        <v/>
      </c>
      <c r="AQ361" s="317" t="str">
        <f t="shared" ca="1" si="410"/>
        <v/>
      </c>
      <c r="AR361" s="317" t="str">
        <f t="shared" ca="1" si="410"/>
        <v/>
      </c>
      <c r="AS361" s="317" t="str">
        <f t="shared" ca="1" si="410"/>
        <v/>
      </c>
      <c r="AT361" s="317" t="str">
        <f t="shared" ca="1" si="410"/>
        <v/>
      </c>
      <c r="AU361" s="317" t="str">
        <f t="shared" ca="1" si="410"/>
        <v/>
      </c>
      <c r="AV361" s="317" t="str">
        <f t="shared" ca="1" si="410"/>
        <v/>
      </c>
      <c r="AW361" s="317" t="str">
        <f t="shared" ca="1" si="410"/>
        <v/>
      </c>
      <c r="AX361" s="317" t="str">
        <f t="shared" ca="1" si="410"/>
        <v/>
      </c>
      <c r="AY361" s="317" t="str">
        <f t="shared" ca="1" si="410"/>
        <v/>
      </c>
      <c r="AZ361" s="317" t="str">
        <f t="shared" ca="1" si="410"/>
        <v/>
      </c>
      <c r="BA361" s="317" t="str">
        <f t="shared" ca="1" si="410"/>
        <v/>
      </c>
      <c r="BB361" s="317" t="str">
        <f t="shared" ca="1" si="410"/>
        <v/>
      </c>
      <c r="BC361" s="317" t="str">
        <f t="shared" ca="1" si="410"/>
        <v/>
      </c>
      <c r="BD361" s="317" t="str">
        <f t="shared" ca="1" si="410"/>
        <v/>
      </c>
      <c r="BE361" s="317" t="str">
        <f t="shared" ca="1" si="410"/>
        <v/>
      </c>
      <c r="BF361" s="317" t="str">
        <f t="shared" ca="1" si="410"/>
        <v/>
      </c>
      <c r="BG361" s="317" t="str">
        <f t="shared" ca="1" si="410"/>
        <v/>
      </c>
      <c r="BH361" s="317" t="str">
        <f t="shared" ca="1" si="410"/>
        <v/>
      </c>
      <c r="BI361" s="317" t="str">
        <f t="shared" ca="1" si="410"/>
        <v/>
      </c>
    </row>
    <row r="362" spans="1:68" ht="15" customHeight="1" outlineLevel="1">
      <c r="W362" s="98"/>
      <c r="X362" s="98"/>
      <c r="Y362" s="98"/>
      <c r="Z362" s="98"/>
      <c r="AA362" s="98"/>
      <c r="AB362" s="98"/>
      <c r="AC362" s="98"/>
      <c r="AD362" s="98"/>
      <c r="AF362" s="187"/>
      <c r="AG362" s="188"/>
      <c r="AH362" s="188"/>
      <c r="AI362" s="188"/>
      <c r="AJ362" s="188"/>
      <c r="AK362" s="188"/>
      <c r="AL362" s="188"/>
      <c r="AM362" s="188"/>
      <c r="AN362" s="188"/>
      <c r="AO362" s="188"/>
      <c r="AP362" s="188"/>
      <c r="AQ362" s="188"/>
      <c r="AR362" s="188"/>
      <c r="AS362" s="188"/>
      <c r="AT362" s="188"/>
      <c r="AU362" s="188"/>
      <c r="AV362" s="188"/>
      <c r="AW362" s="188"/>
      <c r="AX362" s="188"/>
      <c r="AY362" s="188"/>
      <c r="AZ362" s="188"/>
      <c r="BA362" s="188"/>
      <c r="BB362" s="188"/>
      <c r="BC362" s="188"/>
      <c r="BD362" s="188"/>
      <c r="BE362" s="188"/>
      <c r="BF362" s="188"/>
      <c r="BG362" s="188"/>
      <c r="BH362" s="188"/>
      <c r="BI362" s="188"/>
    </row>
    <row r="363" spans="1:68" ht="15" customHeight="1" outlineLevel="1">
      <c r="W363" s="98"/>
      <c r="X363" s="98"/>
      <c r="Y363" s="98"/>
      <c r="Z363" s="98"/>
      <c r="AA363" s="98"/>
      <c r="AB363" s="98"/>
      <c r="AC363" s="98"/>
      <c r="AD363" s="98"/>
      <c r="AF363" s="187"/>
      <c r="AG363" s="188"/>
      <c r="AH363" s="188"/>
      <c r="AI363" s="188"/>
      <c r="AJ363" s="188"/>
      <c r="AK363" s="188"/>
      <c r="AL363" s="188"/>
      <c r="AM363" s="188"/>
      <c r="AN363" s="188"/>
      <c r="AO363" s="188"/>
      <c r="AP363" s="188"/>
      <c r="AQ363" s="188"/>
      <c r="AR363" s="188"/>
      <c r="AS363" s="188"/>
      <c r="AT363" s="188"/>
      <c r="AU363" s="188"/>
      <c r="AV363" s="188"/>
      <c r="AW363" s="188"/>
      <c r="AX363" s="188"/>
      <c r="AY363" s="188"/>
      <c r="AZ363" s="188"/>
      <c r="BA363" s="188"/>
      <c r="BB363" s="188"/>
      <c r="BC363" s="188"/>
      <c r="BD363" s="188"/>
      <c r="BE363" s="188"/>
      <c r="BF363" s="188"/>
      <c r="BG363" s="188"/>
      <c r="BH363" s="188"/>
      <c r="BI363" s="188"/>
    </row>
    <row r="364" spans="1:68" ht="15" customHeight="1" outlineLevel="1">
      <c r="Q364" s="25" t="s">
        <v>195</v>
      </c>
      <c r="R364" s="25"/>
      <c r="S364" s="25"/>
      <c r="T364" s="25"/>
      <c r="U364" s="25"/>
      <c r="W364" s="235"/>
      <c r="X364" s="235"/>
      <c r="Y364" s="235"/>
      <c r="Z364" s="235"/>
      <c r="AA364" s="235"/>
      <c r="AB364" s="235"/>
      <c r="AC364" s="98"/>
      <c r="AD364" s="235"/>
      <c r="AF364" s="189"/>
      <c r="AG364" s="190"/>
      <c r="AH364" s="190"/>
      <c r="AI364" s="190"/>
      <c r="AJ364" s="190"/>
      <c r="AK364" s="190"/>
      <c r="AL364" s="190"/>
      <c r="AM364" s="190"/>
      <c r="AN364" s="190"/>
      <c r="AO364" s="190"/>
      <c r="AP364" s="190"/>
      <c r="AQ364" s="190"/>
      <c r="AR364" s="190"/>
      <c r="AS364" s="190"/>
      <c r="AT364" s="190"/>
      <c r="AU364" s="190"/>
      <c r="AV364" s="190"/>
      <c r="AW364" s="190"/>
      <c r="AX364" s="190"/>
      <c r="AY364" s="190"/>
      <c r="AZ364" s="190"/>
      <c r="BA364" s="190"/>
      <c r="BB364" s="190"/>
      <c r="BC364" s="190"/>
      <c r="BD364" s="190"/>
      <c r="BE364" s="190"/>
      <c r="BF364" s="190"/>
      <c r="BG364" s="190"/>
      <c r="BH364" s="190"/>
      <c r="BI364" s="190"/>
    </row>
    <row r="365" spans="1:68" ht="15" customHeight="1" outlineLevel="1">
      <c r="W365" s="98"/>
      <c r="X365" s="98"/>
      <c r="Y365" s="98"/>
      <c r="Z365" s="98"/>
      <c r="AA365" s="98"/>
      <c r="AB365" s="98"/>
      <c r="AC365" s="98"/>
      <c r="AD365" s="98"/>
      <c r="AF365" s="187"/>
      <c r="AG365" s="188"/>
      <c r="AH365" s="188"/>
      <c r="AI365" s="188"/>
      <c r="AJ365" s="188"/>
      <c r="AK365" s="188"/>
      <c r="AL365" s="188"/>
      <c r="AM365" s="188"/>
      <c r="AN365" s="188"/>
      <c r="AO365" s="188"/>
      <c r="AP365" s="188"/>
      <c r="AQ365" s="188"/>
      <c r="AR365" s="188"/>
      <c r="AS365" s="188"/>
      <c r="AT365" s="188"/>
      <c r="AU365" s="188"/>
      <c r="AV365" s="188"/>
      <c r="AW365" s="188"/>
      <c r="AX365" s="188"/>
      <c r="AY365" s="188"/>
      <c r="AZ365" s="188"/>
      <c r="BA365" s="188"/>
      <c r="BB365" s="188"/>
      <c r="BC365" s="188"/>
      <c r="BD365" s="188"/>
      <c r="BE365" s="188"/>
      <c r="BF365" s="188"/>
      <c r="BG365" s="188"/>
      <c r="BH365" s="188"/>
      <c r="BI365" s="188"/>
    </row>
    <row r="366" spans="1:68" ht="15" customHeight="1" outlineLevel="1">
      <c r="A366" s="6"/>
      <c r="B366" s="34">
        <f>$B$57</f>
        <v>44926</v>
      </c>
      <c r="C366" s="34">
        <f ca="1">$C$57</f>
        <v>44926</v>
      </c>
      <c r="D366" s="194" t="e">
        <f ca="1">IF($D$2=FALSE,"-",AVERAGE(OFFSET($AF366,0,MATCH(B366,OFFSET($AF$13,0,0,1,$G$4-$E$4+1),0)-1,1,MATCH(C366,OFFSET($AF$13,0,0,1,$G$4-$E$4+1),0)-MATCH(B366,OFFSET($AF$13,0,0,1,$G$4-$E$4+1),0)+1)))</f>
        <v>#N/A</v>
      </c>
      <c r="E366" s="195">
        <v>0.15</v>
      </c>
      <c r="F366" s="194">
        <f>IF($D$2=FALSE,"-",IF(E366="",D366,E366))</f>
        <v>0.15</v>
      </c>
      <c r="G366" s="34">
        <f>$G$57</f>
        <v>44926</v>
      </c>
      <c r="H366" s="37">
        <f ca="1">$H$57</f>
        <v>44926</v>
      </c>
      <c r="I366" s="194" t="e">
        <f ca="1">IF($D$2=FALSE,"-",AVERAGE(OFFSET($AF366,0,MATCH(G366,OFFSET($AF$13,0,0,1,$G$4-$E$4+1),0)-1,1,MATCH(H366,OFFSET($AF$13,0,0,1,$G$4-$E$4+1),0)-MATCH(G366,OFFSET($AF$13,0,0,1,$G$4-$E$4+1),0)+1)))</f>
        <v>#N/A</v>
      </c>
      <c r="J366" s="195">
        <v>0</v>
      </c>
      <c r="K366" s="196">
        <f>IF($D$2=FALSE,"-",IF(J366="",I366,J366))</f>
        <v>0</v>
      </c>
      <c r="L366" s="126">
        <v>2</v>
      </c>
      <c r="M366" s="81">
        <v>-100</v>
      </c>
      <c r="P366" s="6"/>
      <c r="Q366" s="6" t="s">
        <v>62</v>
      </c>
      <c r="R366" s="6"/>
      <c r="S366" s="6"/>
      <c r="T366" s="6"/>
      <c r="U366" s="6"/>
      <c r="V366" s="6"/>
      <c r="W366" s="69" t="e">
        <f t="shared" ref="W366:AB367" ca="1" si="411">IF($D$2=FALSE,"-",IF(W$13="","",SUM(OFFSET($AF366,0,W$8,1,-$E$5))))</f>
        <v>#N/A</v>
      </c>
      <c r="X366" s="69">
        <f t="shared" ca="1" si="411"/>
        <v>0.15</v>
      </c>
      <c r="Y366" s="69">
        <f t="shared" ca="1" si="411"/>
        <v>0.15</v>
      </c>
      <c r="Z366" s="69">
        <f t="shared" ca="1" si="411"/>
        <v>0</v>
      </c>
      <c r="AA366" s="69">
        <f t="shared" ca="1" si="411"/>
        <v>0</v>
      </c>
      <c r="AB366" s="69">
        <f t="shared" ca="1" si="411"/>
        <v>0</v>
      </c>
      <c r="AC366" s="69"/>
      <c r="AD366" s="69" t="e">
        <f ca="1">IF($D$2=FALSE,"-",IF(AD$13="","",SUM(OFFSET($AF366,0,$F$4-AD$7-1,1,-$E$5))+SUM(OFFSET($AF366,0,$F$4-1,1,-AD$7))-SUM(OFFSET($AF366,0,$F$4-$E$5-1,1,-AD$7))))</f>
        <v>#N/A</v>
      </c>
      <c r="AE366" s="6"/>
      <c r="AF366" s="253" t="e">
        <f ca="1">IF($D$2=FALSE,"-",IF(AF$13="","",IF(AF$4&lt;0,#N/A,IF(AF$4=0,#N/A,IF(AF$4&lt;=$L366,IF($M366=0,$F366-((IF($M366=0,($F366-$K366)/$L366,($K366-$F366)/(EXP(-$M366*$L366)-1)))*(AF$4-1)),($F366-(IF($M366=0,($F366-$K366)/$L366,($K366-$F366)/(EXP(-$M366*$L366)-1))))+((IF($M366=0,($F366-$K366)/$L366,($K366-$F366)/(EXP(-$M366*$L366)-1)))*EXP(-$M366*(AF$4-1)))),$K366)))))</f>
        <v>#N/A</v>
      </c>
      <c r="AG366" s="255">
        <f t="shared" ref="AG366:BI367" ca="1" si="412">IF($D$2=FALSE,"-",IF(AG$13="","",IF(AG$4&lt;0,#N/A,IF(AG$4=0,#N/A,IF(AG$4&lt;=$L366,IF($M366=0,$F366-((IF($M366=0,($F366-$K366)/$L366,($K366-$F366)/(EXP(-$M366*$L366)-1)))*(AG$4-1)),($F366-(IF($M366=0,($F366-$K366)/$L366,($K366-$F366)/(EXP(-$M366*$L366)-1))))+((IF($M366=0,($F366-$K366)/$L366,($K366-$F366)/(EXP(-$M366*$L366)-1)))*EXP(-$M366*(AG$4-1)))),$K366)))))</f>
        <v>0.15</v>
      </c>
      <c r="AH366" s="253">
        <f t="shared" ca="1" si="412"/>
        <v>0.15</v>
      </c>
      <c r="AI366" s="253">
        <f t="shared" ca="1" si="412"/>
        <v>0</v>
      </c>
      <c r="AJ366" s="253">
        <f t="shared" ca="1" si="412"/>
        <v>0</v>
      </c>
      <c r="AK366" s="253">
        <f t="shared" ca="1" si="412"/>
        <v>0</v>
      </c>
      <c r="AL366" s="253" t="str">
        <f t="shared" ca="1" si="412"/>
        <v/>
      </c>
      <c r="AM366" s="253" t="str">
        <f t="shared" ca="1" si="412"/>
        <v/>
      </c>
      <c r="AN366" s="253" t="str">
        <f t="shared" ca="1" si="412"/>
        <v/>
      </c>
      <c r="AO366" s="253" t="str">
        <f t="shared" ca="1" si="412"/>
        <v/>
      </c>
      <c r="AP366" s="253" t="str">
        <f t="shared" ca="1" si="412"/>
        <v/>
      </c>
      <c r="AQ366" s="253" t="str">
        <f t="shared" ca="1" si="412"/>
        <v/>
      </c>
      <c r="AR366" s="253" t="str">
        <f t="shared" ca="1" si="412"/>
        <v/>
      </c>
      <c r="AS366" s="253" t="str">
        <f t="shared" ca="1" si="412"/>
        <v/>
      </c>
      <c r="AT366" s="253" t="str">
        <f t="shared" ca="1" si="412"/>
        <v/>
      </c>
      <c r="AU366" s="253" t="str">
        <f t="shared" ca="1" si="412"/>
        <v/>
      </c>
      <c r="AV366" s="253" t="str">
        <f t="shared" ca="1" si="412"/>
        <v/>
      </c>
      <c r="AW366" s="253" t="str">
        <f t="shared" ca="1" si="412"/>
        <v/>
      </c>
      <c r="AX366" s="253" t="str">
        <f t="shared" ca="1" si="412"/>
        <v/>
      </c>
      <c r="AY366" s="253" t="str">
        <f t="shared" ca="1" si="412"/>
        <v/>
      </c>
      <c r="AZ366" s="253" t="str">
        <f t="shared" ca="1" si="412"/>
        <v/>
      </c>
      <c r="BA366" s="253" t="str">
        <f t="shared" ca="1" si="412"/>
        <v/>
      </c>
      <c r="BB366" s="253" t="str">
        <f t="shared" ca="1" si="412"/>
        <v/>
      </c>
      <c r="BC366" s="253" t="str">
        <f t="shared" ca="1" si="412"/>
        <v/>
      </c>
      <c r="BD366" s="253" t="str">
        <f t="shared" ca="1" si="412"/>
        <v/>
      </c>
      <c r="BE366" s="253" t="str">
        <f t="shared" ca="1" si="412"/>
        <v/>
      </c>
      <c r="BF366" s="253" t="str">
        <f t="shared" ca="1" si="412"/>
        <v/>
      </c>
      <c r="BG366" s="253" t="str">
        <f t="shared" ca="1" si="412"/>
        <v/>
      </c>
      <c r="BH366" s="253" t="str">
        <f t="shared" ca="1" si="412"/>
        <v/>
      </c>
      <c r="BI366" s="253" t="str">
        <f t="shared" ca="1" si="412"/>
        <v/>
      </c>
      <c r="BK366" s="84"/>
      <c r="BL366" s="84"/>
      <c r="BM366" s="84"/>
      <c r="BN366" s="84"/>
      <c r="BO366" s="84"/>
      <c r="BP366" s="84"/>
    </row>
    <row r="367" spans="1:68" ht="15" customHeight="1" outlineLevel="1">
      <c r="A367" s="6"/>
      <c r="B367" s="34">
        <f>$B$57</f>
        <v>44926</v>
      </c>
      <c r="C367" s="34">
        <f ca="1">$C$57</f>
        <v>44926</v>
      </c>
      <c r="D367" s="194" t="e">
        <f ca="1">IF($D$2=FALSE,"-",AVERAGE(OFFSET($AF367,0,MATCH(B367,OFFSET($AF$13,0,0,1,$G$4-$E$4+1),0)-1,1,MATCH(C367,OFFSET($AF$13,0,0,1,$G$4-$E$4+1),0)-MATCH(B367,OFFSET($AF$13,0,0,1,$G$4-$E$4+1),0)+1)))</f>
        <v>#N/A</v>
      </c>
      <c r="E367" s="195">
        <v>0.15</v>
      </c>
      <c r="F367" s="194">
        <f>IF($D$2=FALSE,"-",IF(E367="",D367,E367))</f>
        <v>0.15</v>
      </c>
      <c r="G367" s="34">
        <f>$G$57</f>
        <v>44926</v>
      </c>
      <c r="H367" s="37">
        <f ca="1">$H$57</f>
        <v>44926</v>
      </c>
      <c r="I367" s="194" t="e">
        <f ca="1">IF($D$2=FALSE,"-",AVERAGE(OFFSET($AF367,0,MATCH(G367,OFFSET($AF$13,0,0,1,$G$4-$E$4+1),0)-1,1,MATCH(H367,OFFSET($AF$13,0,0,1,$G$4-$E$4+1),0)-MATCH(G367,OFFSET($AF$13,0,0,1,$G$4-$E$4+1),0)+1)))</f>
        <v>#N/A</v>
      </c>
      <c r="J367" s="195">
        <v>0</v>
      </c>
      <c r="K367" s="196">
        <f>IF($D$2=FALSE,"-",IF(J367="",I367,J367))</f>
        <v>0</v>
      </c>
      <c r="L367" s="126">
        <v>2</v>
      </c>
      <c r="M367" s="81">
        <v>-100</v>
      </c>
      <c r="P367" s="6"/>
      <c r="Q367" s="6" t="s">
        <v>63</v>
      </c>
      <c r="R367" s="6"/>
      <c r="S367" s="6"/>
      <c r="T367" s="6"/>
      <c r="U367" s="6"/>
      <c r="V367" s="6"/>
      <c r="W367" s="69" t="e">
        <f t="shared" ca="1" si="411"/>
        <v>#N/A</v>
      </c>
      <c r="X367" s="69">
        <f t="shared" ca="1" si="411"/>
        <v>0.15</v>
      </c>
      <c r="Y367" s="69">
        <f t="shared" ca="1" si="411"/>
        <v>0.15</v>
      </c>
      <c r="Z367" s="69">
        <f t="shared" ca="1" si="411"/>
        <v>0</v>
      </c>
      <c r="AA367" s="69">
        <f t="shared" ca="1" si="411"/>
        <v>0</v>
      </c>
      <c r="AB367" s="69">
        <f t="shared" ca="1" si="411"/>
        <v>0</v>
      </c>
      <c r="AC367" s="69"/>
      <c r="AD367" s="69" t="e">
        <f ca="1">IF($D$2=FALSE,"-",IF(AD$13="","",SUM(OFFSET($AF367,0,$F$4-AD$7-1,1,-$E$5))+SUM(OFFSET($AF367,0,$F$4-1,1,-AD$7))-SUM(OFFSET($AF367,0,$F$4-$E$5-1,1,-AD$7))))</f>
        <v>#N/A</v>
      </c>
      <c r="AE367" s="6"/>
      <c r="AF367" s="253" t="e">
        <f ca="1">IF($D$2=FALSE,"-",IF(AF$13="","",IF(AF$4&lt;0,#N/A,IF(AF$4=0,#N/A,IF(AF$4&lt;=$L367,IF($M367=0,$F367-((IF($M367=0,($F367-$K367)/$L367,($K367-$F367)/(EXP(-$M367*$L367)-1)))*(AF$4-1)),($F367-(IF($M367=0,($F367-$K367)/$L367,($K367-$F367)/(EXP(-$M367*$L367)-1))))+((IF($M367=0,($F367-$K367)/$L367,($K367-$F367)/(EXP(-$M367*$L367)-1)))*EXP(-$M367*(AF$4-1)))),$K367)))))</f>
        <v>#N/A</v>
      </c>
      <c r="AG367" s="255">
        <f t="shared" ca="1" si="412"/>
        <v>0.15</v>
      </c>
      <c r="AH367" s="253">
        <f t="shared" ca="1" si="412"/>
        <v>0.15</v>
      </c>
      <c r="AI367" s="253">
        <f t="shared" ca="1" si="412"/>
        <v>0</v>
      </c>
      <c r="AJ367" s="253">
        <f t="shared" ca="1" si="412"/>
        <v>0</v>
      </c>
      <c r="AK367" s="253">
        <f t="shared" ca="1" si="412"/>
        <v>0</v>
      </c>
      <c r="AL367" s="253" t="str">
        <f t="shared" ca="1" si="412"/>
        <v/>
      </c>
      <c r="AM367" s="253" t="str">
        <f t="shared" ca="1" si="412"/>
        <v/>
      </c>
      <c r="AN367" s="253" t="str">
        <f t="shared" ca="1" si="412"/>
        <v/>
      </c>
      <c r="AO367" s="253" t="str">
        <f t="shared" ca="1" si="412"/>
        <v/>
      </c>
      <c r="AP367" s="253" t="str">
        <f t="shared" ca="1" si="412"/>
        <v/>
      </c>
      <c r="AQ367" s="253" t="str">
        <f t="shared" ca="1" si="412"/>
        <v/>
      </c>
      <c r="AR367" s="253" t="str">
        <f t="shared" ca="1" si="412"/>
        <v/>
      </c>
      <c r="AS367" s="253" t="str">
        <f t="shared" ca="1" si="412"/>
        <v/>
      </c>
      <c r="AT367" s="253" t="str">
        <f t="shared" ca="1" si="412"/>
        <v/>
      </c>
      <c r="AU367" s="253" t="str">
        <f t="shared" ca="1" si="412"/>
        <v/>
      </c>
      <c r="AV367" s="253" t="str">
        <f t="shared" ca="1" si="412"/>
        <v/>
      </c>
      <c r="AW367" s="253" t="str">
        <f t="shared" ca="1" si="412"/>
        <v/>
      </c>
      <c r="AX367" s="253" t="str">
        <f t="shared" ca="1" si="412"/>
        <v/>
      </c>
      <c r="AY367" s="253" t="str">
        <f t="shared" ca="1" si="412"/>
        <v/>
      </c>
      <c r="AZ367" s="253" t="str">
        <f t="shared" ca="1" si="412"/>
        <v/>
      </c>
      <c r="BA367" s="253" t="str">
        <f t="shared" ca="1" si="412"/>
        <v/>
      </c>
      <c r="BB367" s="253" t="str">
        <f t="shared" ca="1" si="412"/>
        <v/>
      </c>
      <c r="BC367" s="253" t="str">
        <f t="shared" ca="1" si="412"/>
        <v/>
      </c>
      <c r="BD367" s="253" t="str">
        <f t="shared" ca="1" si="412"/>
        <v/>
      </c>
      <c r="BE367" s="253" t="str">
        <f t="shared" ca="1" si="412"/>
        <v/>
      </c>
      <c r="BF367" s="253" t="str">
        <f t="shared" ca="1" si="412"/>
        <v/>
      </c>
      <c r="BG367" s="253" t="str">
        <f t="shared" ca="1" si="412"/>
        <v/>
      </c>
      <c r="BH367" s="253" t="str">
        <f t="shared" ca="1" si="412"/>
        <v/>
      </c>
      <c r="BI367" s="253" t="str">
        <f t="shared" ca="1" si="412"/>
        <v/>
      </c>
      <c r="BK367" s="84"/>
      <c r="BL367" s="84"/>
      <c r="BM367" s="84"/>
      <c r="BN367" s="84"/>
      <c r="BO367" s="84"/>
      <c r="BP367" s="84"/>
    </row>
    <row r="368" spans="1:68" ht="15" customHeight="1" outlineLevel="1">
      <c r="W368" s="98"/>
      <c r="X368" s="98"/>
      <c r="Y368" s="98"/>
      <c r="Z368" s="98"/>
      <c r="AA368" s="98"/>
      <c r="AB368" s="98"/>
      <c r="AC368" s="98"/>
      <c r="AD368" s="98"/>
      <c r="AF368" s="187"/>
      <c r="AG368" s="188"/>
      <c r="AH368" s="188"/>
      <c r="AI368" s="188"/>
      <c r="AJ368" s="188"/>
      <c r="AK368" s="188"/>
      <c r="AL368" s="188"/>
      <c r="AM368" s="188"/>
      <c r="AN368" s="188"/>
      <c r="AO368" s="188"/>
      <c r="AP368" s="188"/>
      <c r="AQ368" s="188"/>
      <c r="AR368" s="188"/>
      <c r="AS368" s="188"/>
      <c r="AT368" s="188"/>
      <c r="AU368" s="188"/>
      <c r="AV368" s="188"/>
      <c r="AW368" s="188"/>
      <c r="AX368" s="188"/>
      <c r="AY368" s="188"/>
      <c r="AZ368" s="188"/>
      <c r="BA368" s="188"/>
      <c r="BB368" s="188"/>
      <c r="BC368" s="188"/>
      <c r="BD368" s="188"/>
      <c r="BE368" s="188"/>
      <c r="BF368" s="188"/>
      <c r="BG368" s="188"/>
      <c r="BH368" s="188"/>
      <c r="BI368" s="188"/>
    </row>
    <row r="369" spans="1:68" ht="15" customHeight="1" outlineLevel="1">
      <c r="Q369" s="25" t="s">
        <v>196</v>
      </c>
      <c r="R369" s="25"/>
      <c r="S369" s="25"/>
      <c r="T369" s="25"/>
      <c r="U369" s="25"/>
      <c r="V369" s="24"/>
      <c r="W369" s="237"/>
      <c r="X369" s="237"/>
      <c r="Y369" s="237"/>
      <c r="Z369" s="237"/>
      <c r="AA369" s="237"/>
      <c r="AB369" s="237"/>
      <c r="AC369" s="245"/>
      <c r="AD369" s="237"/>
      <c r="AE369" s="24"/>
      <c r="AF369" s="267"/>
      <c r="AG369" s="191"/>
      <c r="AH369" s="191"/>
      <c r="AI369" s="191"/>
      <c r="AJ369" s="191"/>
      <c r="AK369" s="191"/>
      <c r="AL369" s="191"/>
      <c r="AM369" s="191"/>
      <c r="AN369" s="191"/>
      <c r="AO369" s="191"/>
      <c r="AP369" s="191"/>
      <c r="AQ369" s="191"/>
      <c r="AR369" s="191"/>
      <c r="AS369" s="191"/>
      <c r="AT369" s="191"/>
      <c r="AU369" s="191"/>
      <c r="AV369" s="191"/>
      <c r="AW369" s="191"/>
      <c r="AX369" s="191"/>
      <c r="AY369" s="191"/>
      <c r="AZ369" s="191"/>
      <c r="BA369" s="191"/>
      <c r="BB369" s="191"/>
      <c r="BC369" s="191"/>
      <c r="BD369" s="191"/>
      <c r="BE369" s="191"/>
      <c r="BF369" s="191"/>
      <c r="BG369" s="191"/>
      <c r="BH369" s="191"/>
      <c r="BI369" s="191"/>
    </row>
    <row r="370" spans="1:68" ht="15" customHeight="1" outlineLevel="1">
      <c r="W370" s="98"/>
      <c r="X370" s="98"/>
      <c r="Y370" s="98"/>
      <c r="Z370" s="98"/>
      <c r="AA370" s="98"/>
      <c r="AB370" s="98"/>
      <c r="AC370" s="98"/>
      <c r="AD370" s="98"/>
      <c r="AF370" s="187"/>
      <c r="AG370" s="188"/>
      <c r="AH370" s="188"/>
      <c r="AI370" s="188"/>
      <c r="AJ370" s="188"/>
      <c r="AK370" s="188"/>
      <c r="AL370" s="188"/>
      <c r="AM370" s="188"/>
      <c r="AN370" s="188"/>
      <c r="AO370" s="188"/>
      <c r="AP370" s="188"/>
      <c r="AQ370" s="188"/>
      <c r="AR370" s="188"/>
      <c r="AS370" s="188"/>
      <c r="AT370" s="188"/>
      <c r="AU370" s="188"/>
      <c r="AV370" s="188"/>
      <c r="AW370" s="188"/>
      <c r="AX370" s="188"/>
      <c r="AY370" s="188"/>
      <c r="AZ370" s="188"/>
      <c r="BA370" s="188"/>
      <c r="BB370" s="188"/>
      <c r="BC370" s="188"/>
      <c r="BD370" s="188"/>
      <c r="BE370" s="188"/>
      <c r="BF370" s="188"/>
      <c r="BG370" s="188"/>
      <c r="BH370" s="188"/>
      <c r="BI370" s="188"/>
    </row>
    <row r="371" spans="1:68" ht="15" customHeight="1" outlineLevel="1">
      <c r="A371" s="6"/>
      <c r="B371" s="34">
        <f t="shared" ref="B371:B374" si="413">$B$57</f>
        <v>44926</v>
      </c>
      <c r="C371" s="34">
        <f t="shared" ref="C371:C374" ca="1" si="414">$C$57</f>
        <v>44926</v>
      </c>
      <c r="D371" s="194" t="e">
        <f ca="1">IF($D$2=FALSE,"-",AVERAGE(OFFSET($AF371,0,MATCH(B371,OFFSET($AF$13,0,0,1,$G$4-$E$4+1),0)-1,1,MATCH(C371,OFFSET($AF$13,0,0,1,$G$4-$E$4+1),0)-MATCH(B371,OFFSET($AF$13,0,0,1,$G$4-$E$4+1),0)+1)))</f>
        <v>#N/A</v>
      </c>
      <c r="E371" s="195">
        <f>IF($D$2=FALSE,0,J371)</f>
        <v>3.739725E-2</v>
      </c>
      <c r="F371" s="194">
        <f>IF($D$2=FALSE,"-",IF(E371="",D371,E371))</f>
        <v>3.739725E-2</v>
      </c>
      <c r="G371" s="34">
        <f t="shared" ref="G371:G374" si="415">$G$57</f>
        <v>44926</v>
      </c>
      <c r="H371" s="37">
        <f t="shared" ref="H371:H374" ca="1" si="416">$H$57</f>
        <v>44926</v>
      </c>
      <c r="I371" s="194" t="e">
        <f ca="1">IF($D$2=FALSE,"-",AVERAGE(OFFSET($AF371,0,MATCH(G371,OFFSET($AF$13,0,0,1,$G$4-$E$4+1),0)-1,1,MATCH(H371,OFFSET($AF$13,0,0,1,$G$4-$E$4+1),0)-MATCH(G371,OFFSET($AF$13,0,0,1,$G$4-$E$4+1),0)+1)))</f>
        <v>#N/A</v>
      </c>
      <c r="J371" s="195">
        <v>3.739725E-2</v>
      </c>
      <c r="K371" s="196">
        <f>IF($D$2=FALSE,"-",IF(J371="",I371,J371))</f>
        <v>3.739725E-2</v>
      </c>
      <c r="L371" s="126">
        <v>5</v>
      </c>
      <c r="M371" s="81">
        <v>0.1</v>
      </c>
      <c r="O371" s="6"/>
      <c r="P371" s="6"/>
      <c r="Q371" s="6" t="s">
        <v>197</v>
      </c>
      <c r="R371" s="6"/>
      <c r="S371" s="6"/>
      <c r="T371" s="6"/>
      <c r="U371" s="6"/>
      <c r="V371" s="6"/>
      <c r="W371" s="69" t="e">
        <f t="array" aca="1" ref="W371" ca="1">IF($D$2=FALSE,"-",IF(W$13="","",-1+PRODUCT(1+(OFFSET($AF371,0,W$8,1,-$E$5)))))</f>
        <v>#N/A</v>
      </c>
      <c r="X371" s="69">
        <f t="array" aca="1" ref="X371" ca="1">IF($D$2=FALSE,"-",IF(X$13="","",-1+PRODUCT(1+(OFFSET($AF371,0,X$8,1,-$E$5)))))</f>
        <v>3.7397249999999937E-2</v>
      </c>
      <c r="Y371" s="69">
        <f t="array" aca="1" ref="Y371" ca="1">IF($D$2=FALSE,"-",IF(Y$13="","",-1+PRODUCT(1+(OFFSET($AF371,0,Y$8,1,-$E$5)))))</f>
        <v>3.7397249999999937E-2</v>
      </c>
      <c r="Z371" s="69">
        <f t="array" aca="1" ref="Z371" ca="1">IF($D$2=FALSE,"-",IF(Z$13="","",-1+PRODUCT(1+(OFFSET($AF371,0,Z$8,1,-$E$5)))))</f>
        <v>3.7397249999999937E-2</v>
      </c>
      <c r="AA371" s="69">
        <f t="array" aca="1" ref="AA371" ca="1">IF($D$2=FALSE,"-",IF(AA$13="","",-1+PRODUCT(1+(OFFSET($AF371,0,AA$8,1,-$E$5)))))</f>
        <v>3.7397249999999937E-2</v>
      </c>
      <c r="AB371" s="69">
        <f t="array" aca="1" ref="AB371" ca="1">IF($D$2=FALSE,"-",IF(AB$13="","",-1+PRODUCT(1+(OFFSET($AF371,0,AB$8,1,-$E$5)))))</f>
        <v>3.7397249999999937E-2</v>
      </c>
      <c r="AC371" s="260"/>
      <c r="AD371" s="69" t="e">
        <f t="array" aca="1" ref="AD371" ca="1">IF($D$2=FALSE,"-",IF(AD$13="","",-1+PRODUCT(1+(OFFSET($AF371,0,$F$4-AD$7-1,1,-$E$5)),1+(OFFSET($AF371,0,$F$4-1,1,-AD$7)),1-(OFFSET($AF371,0,$F$4-$E$5-1,1,-AD$7)))))</f>
        <v>#N/A</v>
      </c>
      <c r="AE371" s="6"/>
      <c r="AF371" s="253" t="e">
        <f ca="1">IF($D$2=FALSE,"-",IF(AF$13="","",IF(AF$4&lt;=0,#N/A,IF(AF$4&lt;=$L371,IF($M371=0,$F371-((IF($M371=0,($F371-$K371)/$L371,($K371-$F371)/(EXP(-$M371*$L371)-1)))*(AF$4-1)),($F371-(IF($M371=0,($F371-$K371)/$L371,($K371-$F371)/(EXP(-$M371*$L371)-1))))+((IF($M371=0,($F371-$K371)/$L371,($K371-$F371)/(EXP(-$M371*$L371)-1)))*EXP(-$M371*(AF$4-1)))),$K371))))</f>
        <v>#N/A</v>
      </c>
      <c r="AG371" s="255">
        <f t="shared" ref="AG371:BI371" ca="1" si="417">IF($D$2=FALSE,"-",IF(AG$13="","",IF(AG$4&lt;=0,#N/A,IF(AG$4&lt;=$L371,IF($M371=0,$F371-((IF($M371=0,($F371-$K371)/$L371,($K371-$F371)/(EXP(-$M371*$L371)-1)))*(AG$4-1)),($F371-(IF($M371=0,($F371-$K371)/$L371,($K371-$F371)/(EXP(-$M371*$L371)-1))))+((IF($M371=0,($F371-$K371)/$L371,($K371-$F371)/(EXP(-$M371*$L371)-1)))*EXP(-$M371*(AG$4-1)))),$K371))))</f>
        <v>3.739725E-2</v>
      </c>
      <c r="AH371" s="253">
        <f t="shared" ca="1" si="417"/>
        <v>3.739725E-2</v>
      </c>
      <c r="AI371" s="253">
        <f t="shared" ca="1" si="417"/>
        <v>3.739725E-2</v>
      </c>
      <c r="AJ371" s="253">
        <f t="shared" ca="1" si="417"/>
        <v>3.739725E-2</v>
      </c>
      <c r="AK371" s="253">
        <f t="shared" ca="1" si="417"/>
        <v>3.739725E-2</v>
      </c>
      <c r="AL371" s="253" t="str">
        <f t="shared" ca="1" si="417"/>
        <v/>
      </c>
      <c r="AM371" s="253" t="str">
        <f t="shared" ca="1" si="417"/>
        <v/>
      </c>
      <c r="AN371" s="253" t="str">
        <f t="shared" ca="1" si="417"/>
        <v/>
      </c>
      <c r="AO371" s="253" t="str">
        <f t="shared" ca="1" si="417"/>
        <v/>
      </c>
      <c r="AP371" s="253" t="str">
        <f t="shared" ca="1" si="417"/>
        <v/>
      </c>
      <c r="AQ371" s="253" t="str">
        <f t="shared" ca="1" si="417"/>
        <v/>
      </c>
      <c r="AR371" s="253" t="str">
        <f t="shared" ca="1" si="417"/>
        <v/>
      </c>
      <c r="AS371" s="253" t="str">
        <f t="shared" ca="1" si="417"/>
        <v/>
      </c>
      <c r="AT371" s="253" t="str">
        <f t="shared" ca="1" si="417"/>
        <v/>
      </c>
      <c r="AU371" s="253" t="str">
        <f t="shared" ca="1" si="417"/>
        <v/>
      </c>
      <c r="AV371" s="253" t="str">
        <f t="shared" ca="1" si="417"/>
        <v/>
      </c>
      <c r="AW371" s="253" t="str">
        <f t="shared" ca="1" si="417"/>
        <v/>
      </c>
      <c r="AX371" s="253" t="str">
        <f t="shared" ca="1" si="417"/>
        <v/>
      </c>
      <c r="AY371" s="253" t="str">
        <f t="shared" ca="1" si="417"/>
        <v/>
      </c>
      <c r="AZ371" s="253" t="str">
        <f t="shared" ca="1" si="417"/>
        <v/>
      </c>
      <c r="BA371" s="253" t="str">
        <f t="shared" ca="1" si="417"/>
        <v/>
      </c>
      <c r="BB371" s="253" t="str">
        <f t="shared" ca="1" si="417"/>
        <v/>
      </c>
      <c r="BC371" s="253" t="str">
        <f t="shared" ca="1" si="417"/>
        <v/>
      </c>
      <c r="BD371" s="253" t="str">
        <f t="shared" ca="1" si="417"/>
        <v/>
      </c>
      <c r="BE371" s="253" t="str">
        <f t="shared" ca="1" si="417"/>
        <v/>
      </c>
      <c r="BF371" s="253" t="str">
        <f t="shared" ca="1" si="417"/>
        <v/>
      </c>
      <c r="BG371" s="253" t="str">
        <f t="shared" ca="1" si="417"/>
        <v/>
      </c>
      <c r="BH371" s="253" t="str">
        <f t="shared" ca="1" si="417"/>
        <v/>
      </c>
      <c r="BI371" s="253" t="str">
        <f t="shared" ca="1" si="417"/>
        <v/>
      </c>
      <c r="BK371" s="84"/>
      <c r="BL371" s="84"/>
      <c r="BM371" s="84"/>
      <c r="BN371" s="84"/>
      <c r="BO371" s="84"/>
      <c r="BP371" s="84"/>
    </row>
    <row r="372" spans="1:68" ht="15" customHeight="1" outlineLevel="1">
      <c r="A372" s="6"/>
      <c r="B372" s="6"/>
      <c r="C372" s="6"/>
      <c r="D372" s="6"/>
      <c r="E372" s="6"/>
      <c r="F372" s="6"/>
      <c r="G372" s="6"/>
      <c r="H372" s="6"/>
      <c r="I372" s="6"/>
      <c r="J372" s="6"/>
      <c r="K372" s="6"/>
      <c r="L372" s="6"/>
      <c r="M372" s="6"/>
      <c r="N372" s="6"/>
      <c r="O372" s="6"/>
      <c r="P372" s="6"/>
      <c r="Q372" s="6"/>
      <c r="R372" s="6"/>
      <c r="S372" s="6"/>
      <c r="T372" s="6"/>
      <c r="U372" s="6"/>
      <c r="V372" s="6"/>
      <c r="W372" s="69"/>
      <c r="X372" s="69"/>
      <c r="Y372" s="69"/>
      <c r="Z372" s="69"/>
      <c r="AA372" s="69"/>
      <c r="AB372" s="69"/>
      <c r="AC372" s="260"/>
      <c r="AD372" s="69"/>
      <c r="AE372" s="6"/>
      <c r="AF372" s="69"/>
      <c r="AG372" s="193"/>
      <c r="AH372" s="69"/>
      <c r="AI372" s="69"/>
      <c r="AJ372" s="69"/>
      <c r="AK372" s="69"/>
      <c r="AL372" s="69"/>
      <c r="AM372" s="69"/>
      <c r="AN372" s="69"/>
      <c r="AO372" s="69"/>
      <c r="AP372" s="69"/>
      <c r="AQ372" s="69"/>
      <c r="AR372" s="69"/>
      <c r="AS372" s="69"/>
      <c r="AT372" s="69"/>
      <c r="AU372" s="69"/>
      <c r="AV372" s="69"/>
      <c r="AW372" s="69"/>
      <c r="AX372" s="69"/>
      <c r="AY372" s="69"/>
      <c r="AZ372" s="69"/>
      <c r="BA372" s="69"/>
      <c r="BB372" s="69"/>
      <c r="BC372" s="69"/>
      <c r="BD372" s="69"/>
      <c r="BE372" s="69"/>
      <c r="BF372" s="69"/>
      <c r="BG372" s="69"/>
      <c r="BH372" s="69"/>
      <c r="BI372" s="69"/>
      <c r="BK372" s="332"/>
      <c r="BL372" s="332"/>
      <c r="BM372" s="84"/>
      <c r="BN372" s="84"/>
      <c r="BO372" s="84"/>
      <c r="BP372" s="84"/>
    </row>
    <row r="373" spans="1:68" ht="15" customHeight="1" outlineLevel="1">
      <c r="A373" s="6"/>
      <c r="B373" s="34">
        <f t="shared" si="413"/>
        <v>44926</v>
      </c>
      <c r="C373" s="34">
        <f t="shared" ca="1" si="414"/>
        <v>44926</v>
      </c>
      <c r="D373" s="194" t="e">
        <f ca="1">IF($D$2=FALSE,"-",AVERAGE(OFFSET($AF373,0,MATCH(B373,OFFSET($AF$13,0,0,1,$G$4-$E$4+1),0)-1,1,MATCH(C373,OFFSET($AF$13,0,0,1,$G$4-$E$4+1),0)-MATCH(B373,OFFSET($AF$13,0,0,1,$G$4-$E$4+1),0)+1)))</f>
        <v>#N/A</v>
      </c>
      <c r="E373" s="195">
        <f>IF($D$2=FALSE,0,J373)</f>
        <v>2.5000000000000001E-3</v>
      </c>
      <c r="F373" s="194">
        <f>IF($D$2=FALSE,"-",IF(E373="",D373,E373))</f>
        <v>2.5000000000000001E-3</v>
      </c>
      <c r="G373" s="34">
        <f t="shared" si="415"/>
        <v>44926</v>
      </c>
      <c r="H373" s="37">
        <f t="shared" ca="1" si="416"/>
        <v>44926</v>
      </c>
      <c r="I373" s="194" t="e">
        <f ca="1">IF($D$2=FALSE,"-",AVERAGE(OFFSET($AF373,0,MATCH(G373,OFFSET($AF$13,0,0,1,$G$4-$E$4+1),0)-1,1,MATCH(H373,OFFSET($AF$13,0,0,1,$G$4-$E$4+1),0)-MATCH(G373,OFFSET($AF$13,0,0,1,$G$4-$E$4+1),0)+1)))</f>
        <v>#N/A</v>
      </c>
      <c r="J373" s="195">
        <v>2.5000000000000001E-3</v>
      </c>
      <c r="K373" s="196">
        <f>IF($D$2=FALSE,"-",IF(J373="",I373,J373))</f>
        <v>2.5000000000000001E-3</v>
      </c>
      <c r="L373" s="126">
        <v>5</v>
      </c>
      <c r="M373" s="81">
        <v>0.1</v>
      </c>
      <c r="O373" s="6"/>
      <c r="P373" s="6"/>
      <c r="Q373" s="6" t="str">
        <f t="shared" ref="Q373:Q378" si="418">IF($D$2=FALSE,"-",Q26)</f>
        <v>Cash</v>
      </c>
      <c r="R373" s="6"/>
      <c r="S373" s="6"/>
      <c r="T373" s="6"/>
      <c r="U373" s="6"/>
      <c r="V373" s="6"/>
      <c r="W373" s="69" t="e">
        <f t="array" aca="1" ref="W373" ca="1">IF($D$2=FALSE,"-",IF(W$13="","",-1+PRODUCT(1+(OFFSET($AF373,0,W$8,1,-$E$5)))))</f>
        <v>#N/A</v>
      </c>
      <c r="X373" s="69">
        <f t="array" aca="1" ref="X373" ca="1">IF($D$2=FALSE,"-",IF(X$13="","",-1+PRODUCT(1+(OFFSET($AF373,0,X$8,1,-$E$5)))))</f>
        <v>2.4999999999999467E-3</v>
      </c>
      <c r="Y373" s="69">
        <f t="array" aca="1" ref="Y373" ca="1">IF($D$2=FALSE,"-",IF(Y$13="","",-1+PRODUCT(1+(OFFSET($AF373,0,Y$8,1,-$E$5)))))</f>
        <v>2.4999999999999467E-3</v>
      </c>
      <c r="Z373" s="69">
        <f t="array" aca="1" ref="Z373" ca="1">IF($D$2=FALSE,"-",IF(Z$13="","",-1+PRODUCT(1+(OFFSET($AF373,0,Z$8,1,-$E$5)))))</f>
        <v>2.4999999999999467E-3</v>
      </c>
      <c r="AA373" s="69">
        <f t="array" aca="1" ref="AA373" ca="1">IF($D$2=FALSE,"-",IF(AA$13="","",-1+PRODUCT(1+(OFFSET($AF373,0,AA$8,1,-$E$5)))))</f>
        <v>2.4999999999999467E-3</v>
      </c>
      <c r="AB373" s="69">
        <f t="array" aca="1" ref="AB373" ca="1">IF($D$2=FALSE,"-",IF(AB$13="","",-1+PRODUCT(1+(OFFSET($AF373,0,AB$8,1,-$E$5)))))</f>
        <v>2.4999999999999467E-3</v>
      </c>
      <c r="AC373" s="260"/>
      <c r="AD373" s="69" t="e">
        <f t="array" aca="1" ref="AD373" ca="1">IF($D$2=FALSE,"-",IF(AD$13="","",-1+PRODUCT(1+(OFFSET($AF373,0,$F$4-AD$7-1,1,-$E$5)),1+(OFFSET($AF373,0,$F$4-1,1,-AD$7)),1-(OFFSET($AF373,0,$F$4-$E$5-1,1,-AD$7)))))</f>
        <v>#N/A</v>
      </c>
      <c r="AE373" s="6"/>
      <c r="AF373" s="69" t="e">
        <f ca="1">IF($D$2=FALSE,"-",IF(AF$13="","",IF(AF$4&lt;=0,AF323/IF($D$7=1,0.5*(OFFSET(AF196,0,-AF$7)+AF196),OFFSET(AF196,0,-AF$7))/AF$6,IF(AF$4&lt;=$L373,IF($M373=0,$F373-((IF($M373=0,($F373-$K373)/$L373,($K373-$F373)/(EXP(-$M373*$L373)-1)))*(AF$4-1)),($F373-(IF($M373=0,($F373-$K373)/$L373,($K373-$F373)/(EXP(-$M373*$L373)-1))))+((IF($M373=0,($F373-$K373)/$L373,($K373-$F373)/(EXP(-$M373*$L373)-1)))*EXP(-$M373*(AF$4-1)))),$K373))))</f>
        <v>#N/A</v>
      </c>
      <c r="AG373" s="193">
        <f t="shared" ref="AG373:BI373" ca="1" si="419">IF($D$2=FALSE,"-",IF(AG$13="","",IF(AG$4&lt;=0,AG323/IF($D$7=1,0.5*(OFFSET(AG196,0,-AG$7)+AG196),OFFSET(AG196,0,-AG$7))/AG$6,IF(AG$4&lt;=$L373,IF($M373=0,$F373-((IF($M373=0,($F373-$K373)/$L373,($K373-$F373)/(EXP(-$M373*$L373)-1)))*(AG$4-1)),($F373-(IF($M373=0,($F373-$K373)/$L373,($K373-$F373)/(EXP(-$M373*$L373)-1))))+((IF($M373=0,($F373-$K373)/$L373,($K373-$F373)/(EXP(-$M373*$L373)-1)))*EXP(-$M373*(AG$4-1)))),$K373))))</f>
        <v>2.5000000000000001E-3</v>
      </c>
      <c r="AH373" s="69">
        <f t="shared" ca="1" si="419"/>
        <v>2.5000000000000001E-3</v>
      </c>
      <c r="AI373" s="69">
        <f t="shared" ca="1" si="419"/>
        <v>2.5000000000000001E-3</v>
      </c>
      <c r="AJ373" s="69">
        <f t="shared" ca="1" si="419"/>
        <v>2.5000000000000001E-3</v>
      </c>
      <c r="AK373" s="69">
        <f t="shared" ca="1" si="419"/>
        <v>2.5000000000000001E-3</v>
      </c>
      <c r="AL373" s="69" t="str">
        <f t="shared" ca="1" si="419"/>
        <v/>
      </c>
      <c r="AM373" s="69" t="str">
        <f t="shared" ca="1" si="419"/>
        <v/>
      </c>
      <c r="AN373" s="69" t="str">
        <f t="shared" ca="1" si="419"/>
        <v/>
      </c>
      <c r="AO373" s="69" t="str">
        <f t="shared" ca="1" si="419"/>
        <v/>
      </c>
      <c r="AP373" s="69" t="str">
        <f t="shared" ca="1" si="419"/>
        <v/>
      </c>
      <c r="AQ373" s="69" t="str">
        <f t="shared" ca="1" si="419"/>
        <v/>
      </c>
      <c r="AR373" s="69" t="str">
        <f t="shared" ca="1" si="419"/>
        <v/>
      </c>
      <c r="AS373" s="69" t="str">
        <f t="shared" ca="1" si="419"/>
        <v/>
      </c>
      <c r="AT373" s="69" t="str">
        <f t="shared" ca="1" si="419"/>
        <v/>
      </c>
      <c r="AU373" s="69" t="str">
        <f t="shared" ca="1" si="419"/>
        <v/>
      </c>
      <c r="AV373" s="69" t="str">
        <f t="shared" ca="1" si="419"/>
        <v/>
      </c>
      <c r="AW373" s="69" t="str">
        <f t="shared" ca="1" si="419"/>
        <v/>
      </c>
      <c r="AX373" s="69" t="str">
        <f t="shared" ca="1" si="419"/>
        <v/>
      </c>
      <c r="AY373" s="69" t="str">
        <f t="shared" ca="1" si="419"/>
        <v/>
      </c>
      <c r="AZ373" s="69" t="str">
        <f t="shared" ca="1" si="419"/>
        <v/>
      </c>
      <c r="BA373" s="69" t="str">
        <f t="shared" ca="1" si="419"/>
        <v/>
      </c>
      <c r="BB373" s="69" t="str">
        <f t="shared" ca="1" si="419"/>
        <v/>
      </c>
      <c r="BC373" s="69" t="str">
        <f t="shared" ca="1" si="419"/>
        <v/>
      </c>
      <c r="BD373" s="69" t="str">
        <f t="shared" ca="1" si="419"/>
        <v/>
      </c>
      <c r="BE373" s="69" t="str">
        <f t="shared" ca="1" si="419"/>
        <v/>
      </c>
      <c r="BF373" s="69" t="str">
        <f t="shared" ca="1" si="419"/>
        <v/>
      </c>
      <c r="BG373" s="69" t="str">
        <f t="shared" ca="1" si="419"/>
        <v/>
      </c>
      <c r="BH373" s="69" t="str">
        <f t="shared" ca="1" si="419"/>
        <v/>
      </c>
      <c r="BI373" s="69" t="str">
        <f t="shared" ca="1" si="419"/>
        <v/>
      </c>
      <c r="BK373" s="84"/>
      <c r="BL373" s="84"/>
      <c r="BM373" s="84"/>
      <c r="BN373" s="84"/>
      <c r="BO373" s="84"/>
      <c r="BP373" s="84"/>
    </row>
    <row r="374" spans="1:68" ht="15" customHeight="1" outlineLevel="1">
      <c r="A374" s="6"/>
      <c r="B374" s="34">
        <f t="shared" si="413"/>
        <v>44926</v>
      </c>
      <c r="C374" s="34">
        <f t="shared" ca="1" si="414"/>
        <v>44926</v>
      </c>
      <c r="D374" s="194" t="e">
        <f ca="1">IF($D$2=FALSE,"-",AVERAGE(OFFSET($AF374,0,MATCH(B374,OFFSET($AF$13,0,0,1,$G$4-$E$4+1),0)-1,1,MATCH(C374,OFFSET($AF$13,0,0,1,$G$4-$E$4+1),0)-MATCH(B374,OFFSET($AF$13,0,0,1,$G$4-$E$4+1),0)+1)))</f>
        <v>#N/A</v>
      </c>
      <c r="E374" s="195">
        <f>IF($D$2=FALSE,0,J374)</f>
        <v>5.0000000000000001E-3</v>
      </c>
      <c r="F374" s="194">
        <f>IF($D$2=FALSE,"-",IF(E374="",D374,E374))</f>
        <v>5.0000000000000001E-3</v>
      </c>
      <c r="G374" s="34">
        <f t="shared" si="415"/>
        <v>44926</v>
      </c>
      <c r="H374" s="37">
        <f t="shared" ca="1" si="416"/>
        <v>44926</v>
      </c>
      <c r="I374" s="194" t="e">
        <f ca="1">IF($D$2=FALSE,"-",AVERAGE(OFFSET($AF374,0,MATCH(G374,OFFSET($AF$13,0,0,1,$G$4-$E$4+1),0)-1,1,MATCH(H374,OFFSET($AF$13,0,0,1,$G$4-$E$4+1),0)-MATCH(G374,OFFSET($AF$13,0,0,1,$G$4-$E$4+1),0)+1)))</f>
        <v>#N/A</v>
      </c>
      <c r="J374" s="195">
        <v>5.0000000000000001E-3</v>
      </c>
      <c r="K374" s="196">
        <f>IF($D$2=FALSE,"-",IF(J374="",I374,J374))</f>
        <v>5.0000000000000001E-3</v>
      </c>
      <c r="L374" s="126">
        <v>5</v>
      </c>
      <c r="M374" s="81">
        <v>0.1</v>
      </c>
      <c r="P374" s="6"/>
      <c r="Q374" s="6" t="str">
        <f t="shared" si="418"/>
        <v>Bank revolver - undrawn commitment fee</v>
      </c>
      <c r="R374" s="6"/>
      <c r="S374" s="6"/>
      <c r="T374" s="6"/>
      <c r="U374" s="6"/>
      <c r="V374" s="6"/>
      <c r="W374" s="69" t="e">
        <f t="shared" ref="W374:AB374" ca="1" si="420">IF($D$2=FALSE,"-",IF(W$13="","",IF(IF($D$7=1,0.5*(SUM(OFFSET($AF332,0,W$8-$E$5,1,-$E$5))+W332),SUM(OFFSET($AF332,0,W$8-$E$5,1,-$E$5)))=0,#N/A,W385/IF($D$7=1,0.5*(SUM(OFFSET($AF332,0,W$8-$E$5,1,-$E$5))+W332),SUM(OFFSET($AF332,0,W$8-$E$5,1,-$E$5))))))</f>
        <v>#N/A</v>
      </c>
      <c r="X374" s="69" t="e">
        <f t="shared" ca="1" si="420"/>
        <v>#N/A</v>
      </c>
      <c r="Y374" s="69">
        <f t="shared" ca="1" si="420"/>
        <v>5.0000000000000001E-3</v>
      </c>
      <c r="Z374" s="69">
        <f t="shared" ca="1" si="420"/>
        <v>5.0000000000000001E-3</v>
      </c>
      <c r="AA374" s="69">
        <f t="shared" ca="1" si="420"/>
        <v>5.0000000000000001E-3</v>
      </c>
      <c r="AB374" s="69">
        <f t="shared" ca="1" si="420"/>
        <v>5.0000000000000001E-3</v>
      </c>
      <c r="AC374" s="260"/>
      <c r="AD374" s="69" t="e">
        <f ca="1">IF($D$2=FALSE,"-",IF(AD$13="","",IF(IF($D$7=1,0.5*(SUM(OFFSET($AF332,0,$F$4-AD$7-1,1,-$E$5))+AD332),SUM(OFFSET($AF332,0,$F$4-AD$7-1,1,-$E$5)))=0,#N/A,AD385/IF($D$7=1,0.5*(SUM(OFFSET($AF332,0,$F$4-AD$7-1,1,-$E$5))+AD332),SUM(OFFSET($AF332,0,$F$4-AD$7-1,1,-$E$5))))))</f>
        <v>#N/A</v>
      </c>
      <c r="AE374" s="6"/>
      <c r="AF374" s="69" t="e">
        <f ca="1">IF($D$2=FALSE,"-",IF(AF$13="","",IF(AF$4&lt;=0,AF333/IF($D$7=1,0.5*(OFFSET(AF332,0,-AF$7)+AF332),OFFSET(AF332,0,-AF$7))/AF$6,IF(AF$4&lt;=$L374,IF($M374=0,$F374-((IF($M374=0,($F374-$K374)/$L374,($K374-$F374)/(EXP(-$M374*$L374)-1)))*(AF$4-1)),($F374-(IF($M374=0,($F374-$K374)/$L374,($K374-$F374)/(EXP(-$M374*$L374)-1))))+((IF($M374=0,($F374-$K374)/$L374,($K374-$F374)/(EXP(-$M374*$L374)-1)))*EXP(-$M374*(AF$4-1)))),$K374))))</f>
        <v>#N/A</v>
      </c>
      <c r="AG374" s="193">
        <f t="shared" ref="AG374:BI374" ca="1" si="421">IF($D$2=FALSE,"-",IF(AG$13="","",IF(AG$4&lt;=0,AG333/IF($D$7=1,0.5*(OFFSET(AG332,0,-AG$7)+AG332),OFFSET(AG332,0,-AG$7))/AG$6,IF(AG$4&lt;=$L374,IF($M374=0,$F374-((IF($M374=0,($F374-$K374)/$L374,($K374-$F374)/(EXP(-$M374*$L374)-1)))*(AG$4-1)),($F374-(IF($M374=0,($F374-$K374)/$L374,($K374-$F374)/(EXP(-$M374*$L374)-1))))+((IF($M374=0,($F374-$K374)/$L374,($K374-$F374)/(EXP(-$M374*$L374)-1)))*EXP(-$M374*(AG$4-1)))),$K374))))</f>
        <v>5.0000000000000001E-3</v>
      </c>
      <c r="AH374" s="69">
        <f t="shared" ca="1" si="421"/>
        <v>5.0000000000000001E-3</v>
      </c>
      <c r="AI374" s="69">
        <f t="shared" ca="1" si="421"/>
        <v>5.0000000000000001E-3</v>
      </c>
      <c r="AJ374" s="69">
        <f t="shared" ca="1" si="421"/>
        <v>5.0000000000000001E-3</v>
      </c>
      <c r="AK374" s="69">
        <f t="shared" ca="1" si="421"/>
        <v>5.0000000000000001E-3</v>
      </c>
      <c r="AL374" s="69" t="str">
        <f t="shared" ca="1" si="421"/>
        <v/>
      </c>
      <c r="AM374" s="69" t="str">
        <f t="shared" ca="1" si="421"/>
        <v/>
      </c>
      <c r="AN374" s="69" t="str">
        <f t="shared" ca="1" si="421"/>
        <v/>
      </c>
      <c r="AO374" s="69" t="str">
        <f t="shared" ca="1" si="421"/>
        <v/>
      </c>
      <c r="AP374" s="69" t="str">
        <f t="shared" ca="1" si="421"/>
        <v/>
      </c>
      <c r="AQ374" s="69" t="str">
        <f t="shared" ca="1" si="421"/>
        <v/>
      </c>
      <c r="AR374" s="69" t="str">
        <f t="shared" ca="1" si="421"/>
        <v/>
      </c>
      <c r="AS374" s="69" t="str">
        <f t="shared" ca="1" si="421"/>
        <v/>
      </c>
      <c r="AT374" s="69" t="str">
        <f t="shared" ca="1" si="421"/>
        <v/>
      </c>
      <c r="AU374" s="69" t="str">
        <f t="shared" ca="1" si="421"/>
        <v/>
      </c>
      <c r="AV374" s="69" t="str">
        <f t="shared" ca="1" si="421"/>
        <v/>
      </c>
      <c r="AW374" s="69" t="str">
        <f t="shared" ca="1" si="421"/>
        <v/>
      </c>
      <c r="AX374" s="69" t="str">
        <f t="shared" ca="1" si="421"/>
        <v/>
      </c>
      <c r="AY374" s="69" t="str">
        <f t="shared" ca="1" si="421"/>
        <v/>
      </c>
      <c r="AZ374" s="69" t="str">
        <f t="shared" ca="1" si="421"/>
        <v/>
      </c>
      <c r="BA374" s="69" t="str">
        <f t="shared" ca="1" si="421"/>
        <v/>
      </c>
      <c r="BB374" s="69" t="str">
        <f t="shared" ca="1" si="421"/>
        <v/>
      </c>
      <c r="BC374" s="69" t="str">
        <f t="shared" ca="1" si="421"/>
        <v/>
      </c>
      <c r="BD374" s="69" t="str">
        <f t="shared" ca="1" si="421"/>
        <v/>
      </c>
      <c r="BE374" s="69" t="str">
        <f t="shared" ca="1" si="421"/>
        <v/>
      </c>
      <c r="BF374" s="69" t="str">
        <f t="shared" ca="1" si="421"/>
        <v/>
      </c>
      <c r="BG374" s="69" t="str">
        <f t="shared" ca="1" si="421"/>
        <v/>
      </c>
      <c r="BH374" s="69" t="str">
        <f t="shared" ca="1" si="421"/>
        <v/>
      </c>
      <c r="BI374" s="69" t="str">
        <f t="shared" ca="1" si="421"/>
        <v/>
      </c>
      <c r="BK374" s="84"/>
      <c r="BL374" s="84"/>
      <c r="BM374" s="84"/>
      <c r="BN374" s="84"/>
      <c r="BO374" s="84"/>
      <c r="BP374" s="84"/>
    </row>
    <row r="375" spans="1:68" ht="15" customHeight="1" outlineLevel="1">
      <c r="L375" s="195">
        <v>0</v>
      </c>
      <c r="M375" s="195">
        <v>4.2500000000000003E-2</v>
      </c>
      <c r="Q375" s="6" t="str">
        <f t="shared" si="418"/>
        <v>Bank revolver</v>
      </c>
      <c r="R375" s="6"/>
      <c r="S375" s="6"/>
      <c r="T375" s="6"/>
      <c r="U375" s="6"/>
      <c r="W375" s="69" t="e">
        <f t="array" aca="1" ref="W375" ca="1">IF($D$2=FALSE,"-",IF(W$13="","",-1+PRODUCT(1+(OFFSET($AF375,0,W$8,1,-$E$5)))))</f>
        <v>#N/A</v>
      </c>
      <c r="X375" s="69">
        <f t="array" aca="1" ref="X375" ca="1">IF($D$2=FALSE,"-",IF(X$13="","",-1+PRODUCT(1+(OFFSET($AF375,0,X$8,1,-$E$5)))))</f>
        <v>7.989724999999992E-2</v>
      </c>
      <c r="Y375" s="69">
        <f t="array" aca="1" ref="Y375" ca="1">IF($D$2=FALSE,"-",IF(Y$13="","",-1+PRODUCT(1+(OFFSET($AF375,0,Y$8,1,-$E$5)))))</f>
        <v>7.989724999999992E-2</v>
      </c>
      <c r="Z375" s="69">
        <f t="array" aca="1" ref="Z375" ca="1">IF($D$2=FALSE,"-",IF(Z$13="","",-1+PRODUCT(1+(OFFSET($AF375,0,Z$8,1,-$E$5)))))</f>
        <v>7.989724999999992E-2</v>
      </c>
      <c r="AA375" s="69">
        <f t="array" aca="1" ref="AA375" ca="1">IF($D$2=FALSE,"-",IF(AA$13="","",-1+PRODUCT(1+(OFFSET($AF375,0,AA$8,1,-$E$5)))))</f>
        <v>7.989724999999992E-2</v>
      </c>
      <c r="AB375" s="69">
        <f t="array" aca="1" ref="AB375" ca="1">IF($D$2=FALSE,"-",IF(AB$13="","",-1+PRODUCT(1+(OFFSET($AF375,0,AB$8,1,-$E$5)))))</f>
        <v>7.989724999999992E-2</v>
      </c>
      <c r="AC375" s="260"/>
      <c r="AD375" s="69" t="e">
        <f t="array" aca="1" ref="AD375" ca="1">IF($D$2=FALSE,"-",IF(AD$13="","",-1+PRODUCT(1+(OFFSET($AF375,0,$F$4-AD$7-1,1,-$E$5)),1+(OFFSET($AF375,0,$F$4-1,1,-AD$7)),1-(OFFSET($AF375,0,$F$4-$E$5-1,1,-AD$7)))))</f>
        <v>#N/A</v>
      </c>
      <c r="AF375" s="326" t="e">
        <f ca="1">IF($D$2=FALSE,"-",IF(AF$13="","",IF(AF$4&lt;=0,AF330/IF($D$7=1,0.5*(AF326+AF329),AF326)/AF$6,$L375+(AF371+$M375)*($L375=0))))</f>
        <v>#N/A</v>
      </c>
      <c r="AG375" s="203">
        <f t="shared" ref="AG375:BI375" ca="1" si="422">IF($D$2=FALSE,"-",IF(AG$13="","",IF(AG$4&lt;=0,AG330/IF($D$7=1,0.5*(AG326+AG329),AG326)/AG$6,$L375+(AG371+$M375)*($L375=0))))</f>
        <v>7.9897250000000003E-2</v>
      </c>
      <c r="AH375" s="203">
        <f t="shared" ca="1" si="422"/>
        <v>7.9897250000000003E-2</v>
      </c>
      <c r="AI375" s="203">
        <f t="shared" ca="1" si="422"/>
        <v>7.9897250000000003E-2</v>
      </c>
      <c r="AJ375" s="203">
        <f t="shared" ca="1" si="422"/>
        <v>7.9897250000000003E-2</v>
      </c>
      <c r="AK375" s="203">
        <f t="shared" ca="1" si="422"/>
        <v>7.9897250000000003E-2</v>
      </c>
      <c r="AL375" s="203" t="str">
        <f t="shared" ca="1" si="422"/>
        <v/>
      </c>
      <c r="AM375" s="203" t="str">
        <f t="shared" ca="1" si="422"/>
        <v/>
      </c>
      <c r="AN375" s="203" t="str">
        <f t="shared" ca="1" si="422"/>
        <v/>
      </c>
      <c r="AO375" s="203" t="str">
        <f t="shared" ca="1" si="422"/>
        <v/>
      </c>
      <c r="AP375" s="203" t="str">
        <f t="shared" ca="1" si="422"/>
        <v/>
      </c>
      <c r="AQ375" s="203" t="str">
        <f t="shared" ca="1" si="422"/>
        <v/>
      </c>
      <c r="AR375" s="203" t="str">
        <f t="shared" ca="1" si="422"/>
        <v/>
      </c>
      <c r="AS375" s="203" t="str">
        <f t="shared" ca="1" si="422"/>
        <v/>
      </c>
      <c r="AT375" s="203" t="str">
        <f t="shared" ca="1" si="422"/>
        <v/>
      </c>
      <c r="AU375" s="203" t="str">
        <f t="shared" ca="1" si="422"/>
        <v/>
      </c>
      <c r="AV375" s="203" t="str">
        <f t="shared" ca="1" si="422"/>
        <v/>
      </c>
      <c r="AW375" s="203" t="str">
        <f t="shared" ca="1" si="422"/>
        <v/>
      </c>
      <c r="AX375" s="203" t="str">
        <f t="shared" ca="1" si="422"/>
        <v/>
      </c>
      <c r="AY375" s="203" t="str">
        <f t="shared" ca="1" si="422"/>
        <v/>
      </c>
      <c r="AZ375" s="203" t="str">
        <f t="shared" ca="1" si="422"/>
        <v/>
      </c>
      <c r="BA375" s="203" t="str">
        <f t="shared" ca="1" si="422"/>
        <v/>
      </c>
      <c r="BB375" s="203" t="str">
        <f t="shared" ca="1" si="422"/>
        <v/>
      </c>
      <c r="BC375" s="203" t="str">
        <f t="shared" ca="1" si="422"/>
        <v/>
      </c>
      <c r="BD375" s="203" t="str">
        <f t="shared" ca="1" si="422"/>
        <v/>
      </c>
      <c r="BE375" s="203" t="str">
        <f t="shared" ca="1" si="422"/>
        <v/>
      </c>
      <c r="BF375" s="203" t="str">
        <f t="shared" ca="1" si="422"/>
        <v/>
      </c>
      <c r="BG375" s="203" t="str">
        <f t="shared" ca="1" si="422"/>
        <v/>
      </c>
      <c r="BH375" s="203" t="str">
        <f t="shared" ca="1" si="422"/>
        <v/>
      </c>
      <c r="BI375" s="203" t="str">
        <f t="shared" ca="1" si="422"/>
        <v/>
      </c>
      <c r="BK375" s="84"/>
      <c r="BL375" s="84"/>
      <c r="BM375" s="84"/>
      <c r="BN375" s="84"/>
      <c r="BO375" s="84"/>
      <c r="BP375" s="84"/>
    </row>
    <row r="376" spans="1:68" ht="15" customHeight="1" outlineLevel="1">
      <c r="L376" s="195">
        <v>0</v>
      </c>
      <c r="M376" s="195">
        <v>4.7500000000000001E-2</v>
      </c>
      <c r="Q376" s="6" t="str">
        <f t="shared" si="418"/>
        <v>Senior credit facility</v>
      </c>
      <c r="R376" s="6"/>
      <c r="S376" s="6"/>
      <c r="T376" s="6"/>
      <c r="U376" s="6"/>
      <c r="W376" s="69" t="e">
        <f t="array" aca="1" ref="W376" ca="1">IF($D$2=FALSE,"-",IF(W$13="","",-1+PRODUCT(1+(OFFSET($AF376,0,W$8,1,-$E$5)))))</f>
        <v>#N/A</v>
      </c>
      <c r="X376" s="69">
        <f t="array" aca="1" ref="X376" ca="1">IF($D$2=FALSE,"-",IF(X$13="","",-1+PRODUCT(1+(OFFSET($AF376,0,X$8,1,-$E$5)))))</f>
        <v>8.4897250000000035E-2</v>
      </c>
      <c r="Y376" s="69">
        <f t="array" aca="1" ref="Y376" ca="1">IF($D$2=FALSE,"-",IF(Y$13="","",-1+PRODUCT(1+(OFFSET($AF376,0,Y$8,1,-$E$5)))))</f>
        <v>8.4897250000000035E-2</v>
      </c>
      <c r="Z376" s="69">
        <f t="array" aca="1" ref="Z376" ca="1">IF($D$2=FALSE,"-",IF(Z$13="","",-1+PRODUCT(1+(OFFSET($AF376,0,Z$8,1,-$E$5)))))</f>
        <v>8.4897250000000035E-2</v>
      </c>
      <c r="AA376" s="69">
        <f t="array" aca="1" ref="AA376" ca="1">IF($D$2=FALSE,"-",IF(AA$13="","",-1+PRODUCT(1+(OFFSET($AF376,0,AA$8,1,-$E$5)))))</f>
        <v>8.4897250000000035E-2</v>
      </c>
      <c r="AB376" s="69">
        <f t="array" aca="1" ref="AB376" ca="1">IF($D$2=FALSE,"-",IF(AB$13="","",-1+PRODUCT(1+(OFFSET($AF376,0,AB$8,1,-$E$5)))))</f>
        <v>8.4897250000000035E-2</v>
      </c>
      <c r="AC376" s="260"/>
      <c r="AD376" s="69" t="e">
        <f t="array" aca="1" ref="AD376" ca="1">IF($D$2=FALSE,"-",IF(AD$13="","",-1+PRODUCT(1+(OFFSET($AF376,0,$F$4-AD$7-1,1,-$E$5)),1+(OFFSET($AF376,0,$F$4-1,1,-AD$7)),1-(OFFSET($AF376,0,$F$4-$E$5-1,1,-AD$7)))))</f>
        <v>#N/A</v>
      </c>
      <c r="AF376" s="326" t="e">
        <f ca="1">IF($D$2=FALSE,"-",IF(AF$13="","",IF(AF$4&lt;=0,AF340/IF($D$7=1,0.5*(AF336+AF339),AF336)/AF$6,$L376+(AF371+$M376)*($L376=0))))</f>
        <v>#N/A</v>
      </c>
      <c r="AG376" s="203">
        <f t="shared" ref="AG376:BI376" ca="1" si="423">IF($D$2=FALSE,"-",IF(AG$13="","",IF(AG$4&lt;=0,AG340/IF($D$7=1,0.5*(AG336+AG339),AG336)/AG$6,$L376+(AG371+$M376)*($L376=0))))</f>
        <v>8.4897250000000007E-2</v>
      </c>
      <c r="AH376" s="203">
        <f t="shared" ca="1" si="423"/>
        <v>8.4897250000000007E-2</v>
      </c>
      <c r="AI376" s="203">
        <f t="shared" ca="1" si="423"/>
        <v>8.4897250000000007E-2</v>
      </c>
      <c r="AJ376" s="203">
        <f t="shared" ca="1" si="423"/>
        <v>8.4897250000000007E-2</v>
      </c>
      <c r="AK376" s="203">
        <f t="shared" ca="1" si="423"/>
        <v>8.4897250000000007E-2</v>
      </c>
      <c r="AL376" s="203" t="str">
        <f t="shared" ca="1" si="423"/>
        <v/>
      </c>
      <c r="AM376" s="203" t="str">
        <f t="shared" ca="1" si="423"/>
        <v/>
      </c>
      <c r="AN376" s="203" t="str">
        <f t="shared" ca="1" si="423"/>
        <v/>
      </c>
      <c r="AO376" s="203" t="str">
        <f t="shared" ca="1" si="423"/>
        <v/>
      </c>
      <c r="AP376" s="203" t="str">
        <f t="shared" ca="1" si="423"/>
        <v/>
      </c>
      <c r="AQ376" s="203" t="str">
        <f t="shared" ca="1" si="423"/>
        <v/>
      </c>
      <c r="AR376" s="203" t="str">
        <f t="shared" ca="1" si="423"/>
        <v/>
      </c>
      <c r="AS376" s="203" t="str">
        <f t="shared" ca="1" si="423"/>
        <v/>
      </c>
      <c r="AT376" s="203" t="str">
        <f t="shared" ca="1" si="423"/>
        <v/>
      </c>
      <c r="AU376" s="203" t="str">
        <f t="shared" ca="1" si="423"/>
        <v/>
      </c>
      <c r="AV376" s="203" t="str">
        <f t="shared" ca="1" si="423"/>
        <v/>
      </c>
      <c r="AW376" s="203" t="str">
        <f t="shared" ca="1" si="423"/>
        <v/>
      </c>
      <c r="AX376" s="203" t="str">
        <f t="shared" ca="1" si="423"/>
        <v/>
      </c>
      <c r="AY376" s="203" t="str">
        <f t="shared" ca="1" si="423"/>
        <v/>
      </c>
      <c r="AZ376" s="203" t="str">
        <f t="shared" ca="1" si="423"/>
        <v/>
      </c>
      <c r="BA376" s="203" t="str">
        <f t="shared" ca="1" si="423"/>
        <v/>
      </c>
      <c r="BB376" s="203" t="str">
        <f t="shared" ca="1" si="423"/>
        <v/>
      </c>
      <c r="BC376" s="203" t="str">
        <f t="shared" ca="1" si="423"/>
        <v/>
      </c>
      <c r="BD376" s="203" t="str">
        <f t="shared" ca="1" si="423"/>
        <v/>
      </c>
      <c r="BE376" s="203" t="str">
        <f t="shared" ca="1" si="423"/>
        <v/>
      </c>
      <c r="BF376" s="203" t="str">
        <f t="shared" ca="1" si="423"/>
        <v/>
      </c>
      <c r="BG376" s="203" t="str">
        <f t="shared" ca="1" si="423"/>
        <v/>
      </c>
      <c r="BH376" s="203" t="str">
        <f t="shared" ca="1" si="423"/>
        <v/>
      </c>
      <c r="BI376" s="203" t="str">
        <f t="shared" ca="1" si="423"/>
        <v/>
      </c>
      <c r="BK376" s="84"/>
      <c r="BL376" s="84"/>
      <c r="BM376" s="84"/>
      <c r="BN376" s="84"/>
      <c r="BO376" s="84"/>
      <c r="BP376" s="84"/>
    </row>
    <row r="377" spans="1:68" ht="15" customHeight="1" outlineLevel="1">
      <c r="L377" s="195">
        <v>8.2500000000000004E-2</v>
      </c>
      <c r="M377" s="195">
        <v>0</v>
      </c>
      <c r="Q377" s="6" t="str">
        <f t="shared" si="418"/>
        <v>Subordinated note</v>
      </c>
      <c r="R377" s="6"/>
      <c r="S377" s="6"/>
      <c r="T377" s="6"/>
      <c r="U377" s="6"/>
      <c r="W377" s="69" t="e">
        <f t="array" aca="1" ref="W377" ca="1">IF($D$2=FALSE,"-",IF(W$13="","",-1+PRODUCT(1+(OFFSET($AF377,0,W$8,1,-$E$5)))))</f>
        <v>#N/A</v>
      </c>
      <c r="X377" s="69">
        <f t="array" aca="1" ref="X377" ca="1">IF($D$2=FALSE,"-",IF(X$13="","",-1+PRODUCT(1+(OFFSET($AF377,0,X$8,1,-$E$5)))))</f>
        <v>8.2500000000000018E-2</v>
      </c>
      <c r="Y377" s="69">
        <f t="array" aca="1" ref="Y377" ca="1">IF($D$2=FALSE,"-",IF(Y$13="","",-1+PRODUCT(1+(OFFSET($AF377,0,Y$8,1,-$E$5)))))</f>
        <v>8.2500000000000018E-2</v>
      </c>
      <c r="Z377" s="69">
        <f t="array" aca="1" ref="Z377" ca="1">IF($D$2=FALSE,"-",IF(Z$13="","",-1+PRODUCT(1+(OFFSET($AF377,0,Z$8,1,-$E$5)))))</f>
        <v>8.2500000000000018E-2</v>
      </c>
      <c r="AA377" s="69">
        <f t="array" aca="1" ref="AA377" ca="1">IF($D$2=FALSE,"-",IF(AA$13="","",-1+PRODUCT(1+(OFFSET($AF377,0,AA$8,1,-$E$5)))))</f>
        <v>8.2500000000000018E-2</v>
      </c>
      <c r="AB377" s="69">
        <f t="array" aca="1" ref="AB377" ca="1">IF($D$2=FALSE,"-",IF(AB$13="","",-1+PRODUCT(1+(OFFSET($AF377,0,AB$8,1,-$E$5)))))</f>
        <v>8.2500000000000018E-2</v>
      </c>
      <c r="AC377" s="260"/>
      <c r="AD377" s="69" t="e">
        <f t="array" aca="1" ref="AD377" ca="1">IF($D$2=FALSE,"-",IF(AD$13="","",-1+PRODUCT(1+(OFFSET($AF377,0,$F$4-AD$7-1,1,-$E$5)),1+(OFFSET($AF377,0,$F$4-1,1,-AD$7)),1-(OFFSET($AF377,0,$F$4-$E$5-1,1,-AD$7)))))</f>
        <v>#N/A</v>
      </c>
      <c r="AF377" s="326" t="e">
        <f ca="1">IF($D$2=FALSE,"-",IF(AF$13="","",IF(AF$4&lt;=0,AF347/IF($D$7=1,0.5*(AF343+AF346),AF343)/AF$6,$L377+(AF371+$M377)*($L377=0))))</f>
        <v>#N/A</v>
      </c>
      <c r="AG377" s="203">
        <f t="shared" ref="AG377:BI377" ca="1" si="424">IF($D$2=FALSE,"-",IF(AG$13="","",IF(AG$4&lt;=0,AG347/IF($D$7=1,0.5*(AG343+AG346),AG343)/AG$6,$L377+(AG371+$M377)*($L377=0))))</f>
        <v>8.2500000000000004E-2</v>
      </c>
      <c r="AH377" s="203">
        <f t="shared" ca="1" si="424"/>
        <v>8.2500000000000004E-2</v>
      </c>
      <c r="AI377" s="203">
        <f t="shared" ca="1" si="424"/>
        <v>8.2500000000000004E-2</v>
      </c>
      <c r="AJ377" s="203">
        <f t="shared" ca="1" si="424"/>
        <v>8.2500000000000004E-2</v>
      </c>
      <c r="AK377" s="203">
        <f t="shared" ca="1" si="424"/>
        <v>8.2500000000000004E-2</v>
      </c>
      <c r="AL377" s="203" t="str">
        <f t="shared" ca="1" si="424"/>
        <v/>
      </c>
      <c r="AM377" s="203" t="str">
        <f t="shared" ca="1" si="424"/>
        <v/>
      </c>
      <c r="AN377" s="203" t="str">
        <f t="shared" ca="1" si="424"/>
        <v/>
      </c>
      <c r="AO377" s="203" t="str">
        <f t="shared" ca="1" si="424"/>
        <v/>
      </c>
      <c r="AP377" s="203" t="str">
        <f t="shared" ca="1" si="424"/>
        <v/>
      </c>
      <c r="AQ377" s="203" t="str">
        <f t="shared" ca="1" si="424"/>
        <v/>
      </c>
      <c r="AR377" s="203" t="str">
        <f t="shared" ca="1" si="424"/>
        <v/>
      </c>
      <c r="AS377" s="203" t="str">
        <f t="shared" ca="1" si="424"/>
        <v/>
      </c>
      <c r="AT377" s="203" t="str">
        <f t="shared" ca="1" si="424"/>
        <v/>
      </c>
      <c r="AU377" s="203" t="str">
        <f t="shared" ca="1" si="424"/>
        <v/>
      </c>
      <c r="AV377" s="203" t="str">
        <f t="shared" ca="1" si="424"/>
        <v/>
      </c>
      <c r="AW377" s="203" t="str">
        <f t="shared" ca="1" si="424"/>
        <v/>
      </c>
      <c r="AX377" s="203" t="str">
        <f t="shared" ca="1" si="424"/>
        <v/>
      </c>
      <c r="AY377" s="203" t="str">
        <f t="shared" ca="1" si="424"/>
        <v/>
      </c>
      <c r="AZ377" s="203" t="str">
        <f t="shared" ca="1" si="424"/>
        <v/>
      </c>
      <c r="BA377" s="203" t="str">
        <f t="shared" ca="1" si="424"/>
        <v/>
      </c>
      <c r="BB377" s="203" t="str">
        <f t="shared" ca="1" si="424"/>
        <v/>
      </c>
      <c r="BC377" s="203" t="str">
        <f t="shared" ca="1" si="424"/>
        <v/>
      </c>
      <c r="BD377" s="203" t="str">
        <f t="shared" ca="1" si="424"/>
        <v/>
      </c>
      <c r="BE377" s="203" t="str">
        <f t="shared" ca="1" si="424"/>
        <v/>
      </c>
      <c r="BF377" s="203" t="str">
        <f t="shared" ca="1" si="424"/>
        <v/>
      </c>
      <c r="BG377" s="203" t="str">
        <f t="shared" ca="1" si="424"/>
        <v/>
      </c>
      <c r="BH377" s="203" t="str">
        <f t="shared" ca="1" si="424"/>
        <v/>
      </c>
      <c r="BI377" s="203" t="str">
        <f t="shared" ca="1" si="424"/>
        <v/>
      </c>
      <c r="BK377" s="84"/>
      <c r="BL377" s="84"/>
      <c r="BM377" s="84"/>
      <c r="BN377" s="84"/>
      <c r="BO377" s="84"/>
      <c r="BP377" s="84"/>
    </row>
    <row r="378" spans="1:68" ht="15" customHeight="1" outlineLevel="1">
      <c r="L378" s="195">
        <v>9.5000000000000001E-2</v>
      </c>
      <c r="M378" s="195">
        <v>0</v>
      </c>
      <c r="Q378" s="6" t="str">
        <f t="shared" si="418"/>
        <v>Convertible bond</v>
      </c>
      <c r="R378" s="6"/>
      <c r="S378" s="6"/>
      <c r="T378" s="6"/>
      <c r="U378" s="6"/>
      <c r="W378" s="69" t="e">
        <f t="array" aca="1" ref="W378" ca="1">IF($D$2=FALSE,"-",IF(W$13="","",-1+PRODUCT(1+(OFFSET($AF378,0,W$8,1,-$E$5)))))</f>
        <v>#N/A</v>
      </c>
      <c r="X378" s="69">
        <f t="array" aca="1" ref="X378" ca="1">IF($D$2=FALSE,"-",IF(X$13="","",-1+PRODUCT(1+(OFFSET($AF378,0,X$8,1,-$E$5)))))</f>
        <v>9.4999999999999973E-2</v>
      </c>
      <c r="Y378" s="69">
        <f t="array" aca="1" ref="Y378" ca="1">IF($D$2=FALSE,"-",IF(Y$13="","",-1+PRODUCT(1+(OFFSET($AF378,0,Y$8,1,-$E$5)))))</f>
        <v>9.4999999999999973E-2</v>
      </c>
      <c r="Z378" s="69">
        <f t="array" aca="1" ref="Z378" ca="1">IF($D$2=FALSE,"-",IF(Z$13="","",-1+PRODUCT(1+(OFFSET($AF378,0,Z$8,1,-$E$5)))))</f>
        <v>9.4999999999999973E-2</v>
      </c>
      <c r="AA378" s="69">
        <f t="array" aca="1" ref="AA378" ca="1">IF($D$2=FALSE,"-",IF(AA$13="","",-1+PRODUCT(1+(OFFSET($AF378,0,AA$8,1,-$E$5)))))</f>
        <v>9.4999999999999973E-2</v>
      </c>
      <c r="AB378" s="69">
        <f t="array" aca="1" ref="AB378" ca="1">IF($D$2=FALSE,"-",IF(AB$13="","",-1+PRODUCT(1+(OFFSET($AF378,0,AB$8,1,-$E$5)))))</f>
        <v>9.4999999999999973E-2</v>
      </c>
      <c r="AC378" s="260"/>
      <c r="AD378" s="69" t="e">
        <f t="array" aca="1" ref="AD378" ca="1">IF($D$2=FALSE,"-",IF(AD$13="","",-1+PRODUCT(1+(OFFSET($AF378,0,$F$4-AD$7-1,1,-$E$5)),1+(OFFSET($AF378,0,$F$4-1,1,-AD$7)),1-(OFFSET($AF378,0,$F$4-$E$5-1,1,-AD$7)))))</f>
        <v>#N/A</v>
      </c>
      <c r="AF378" s="326" t="e">
        <f ca="1">IF($D$2=FALSE,"-",IF(AF$13="","",IF(AF$4&lt;=0,AF354/IF($D$7=1,0.5*(AF350+AF353),AF350)/AF$6,$L378+(AF371+$M378)*($L378=0))))</f>
        <v>#N/A</v>
      </c>
      <c r="AG378" s="203">
        <f t="shared" ref="AG378:BI378" ca="1" si="425">IF($D$2=FALSE,"-",IF(AG$13="","",IF(AG$4&lt;=0,AG354/IF($D$7=1,0.5*(AG350+AG353),AG350)/AG$6,$L378+(AG371+$M378)*($L378=0))))</f>
        <v>9.5000000000000001E-2</v>
      </c>
      <c r="AH378" s="203">
        <f t="shared" ca="1" si="425"/>
        <v>9.5000000000000001E-2</v>
      </c>
      <c r="AI378" s="203">
        <f t="shared" ca="1" si="425"/>
        <v>9.5000000000000001E-2</v>
      </c>
      <c r="AJ378" s="203">
        <f t="shared" ca="1" si="425"/>
        <v>9.5000000000000001E-2</v>
      </c>
      <c r="AK378" s="203">
        <f t="shared" ca="1" si="425"/>
        <v>9.5000000000000001E-2</v>
      </c>
      <c r="AL378" s="203" t="str">
        <f t="shared" ca="1" si="425"/>
        <v/>
      </c>
      <c r="AM378" s="203" t="str">
        <f t="shared" ca="1" si="425"/>
        <v/>
      </c>
      <c r="AN378" s="203" t="str">
        <f t="shared" ca="1" si="425"/>
        <v/>
      </c>
      <c r="AO378" s="203" t="str">
        <f t="shared" ca="1" si="425"/>
        <v/>
      </c>
      <c r="AP378" s="203" t="str">
        <f t="shared" ca="1" si="425"/>
        <v/>
      </c>
      <c r="AQ378" s="203" t="str">
        <f t="shared" ca="1" si="425"/>
        <v/>
      </c>
      <c r="AR378" s="203" t="str">
        <f t="shared" ca="1" si="425"/>
        <v/>
      </c>
      <c r="AS378" s="203" t="str">
        <f t="shared" ca="1" si="425"/>
        <v/>
      </c>
      <c r="AT378" s="203" t="str">
        <f t="shared" ca="1" si="425"/>
        <v/>
      </c>
      <c r="AU378" s="203" t="str">
        <f t="shared" ca="1" si="425"/>
        <v/>
      </c>
      <c r="AV378" s="203" t="str">
        <f t="shared" ca="1" si="425"/>
        <v/>
      </c>
      <c r="AW378" s="203" t="str">
        <f t="shared" ca="1" si="425"/>
        <v/>
      </c>
      <c r="AX378" s="203" t="str">
        <f t="shared" ca="1" si="425"/>
        <v/>
      </c>
      <c r="AY378" s="203" t="str">
        <f t="shared" ca="1" si="425"/>
        <v/>
      </c>
      <c r="AZ378" s="203" t="str">
        <f t="shared" ca="1" si="425"/>
        <v/>
      </c>
      <c r="BA378" s="203" t="str">
        <f t="shared" ca="1" si="425"/>
        <v/>
      </c>
      <c r="BB378" s="203" t="str">
        <f t="shared" ca="1" si="425"/>
        <v/>
      </c>
      <c r="BC378" s="203" t="str">
        <f t="shared" ca="1" si="425"/>
        <v/>
      </c>
      <c r="BD378" s="203" t="str">
        <f t="shared" ca="1" si="425"/>
        <v/>
      </c>
      <c r="BE378" s="203" t="str">
        <f t="shared" ca="1" si="425"/>
        <v/>
      </c>
      <c r="BF378" s="203" t="str">
        <f t="shared" ca="1" si="425"/>
        <v/>
      </c>
      <c r="BG378" s="203" t="str">
        <f t="shared" ca="1" si="425"/>
        <v/>
      </c>
      <c r="BH378" s="203" t="str">
        <f t="shared" ca="1" si="425"/>
        <v/>
      </c>
      <c r="BI378" s="203" t="str">
        <f t="shared" ca="1" si="425"/>
        <v/>
      </c>
      <c r="BK378" s="84"/>
      <c r="BL378" s="84"/>
      <c r="BM378" s="84"/>
      <c r="BN378" s="84"/>
      <c r="BO378" s="84"/>
      <c r="BP378" s="84"/>
    </row>
    <row r="379" spans="1:68" ht="15" customHeight="1" outlineLevel="1">
      <c r="L379" s="195">
        <v>0.10249999999999999</v>
      </c>
      <c r="M379" s="195">
        <v>0</v>
      </c>
      <c r="Q379" s="6" t="str">
        <f>IF($D$2=FALSE,"-",Q39)</f>
        <v>Preferred dividends</v>
      </c>
      <c r="R379" s="6"/>
      <c r="S379" s="6"/>
      <c r="T379" s="6"/>
      <c r="U379" s="6"/>
      <c r="W379" s="69" t="e">
        <f t="array" aca="1" ref="W379" ca="1">IF($D$2=FALSE,"-",IF(W$13="","",-1+PRODUCT(1+(OFFSET($AF379,0,W$8,1,-$E$5)))))</f>
        <v>#N/A</v>
      </c>
      <c r="X379" s="69">
        <f t="array" aca="1" ref="X379" ca="1">IF($D$2=FALSE,"-",IF(X$13="","",-1+PRODUCT(1+(OFFSET($AF379,0,X$8,1,-$E$5)))))</f>
        <v>0.10250000000000004</v>
      </c>
      <c r="Y379" s="69">
        <f t="array" aca="1" ref="Y379" ca="1">IF($D$2=FALSE,"-",IF(Y$13="","",-1+PRODUCT(1+(OFFSET($AF379,0,Y$8,1,-$E$5)))))</f>
        <v>0.10250000000000004</v>
      </c>
      <c r="Z379" s="69">
        <f t="array" aca="1" ref="Z379" ca="1">IF($D$2=FALSE,"-",IF(Z$13="","",-1+PRODUCT(1+(OFFSET($AF379,0,Z$8,1,-$E$5)))))</f>
        <v>0.10250000000000004</v>
      </c>
      <c r="AA379" s="69">
        <f t="array" aca="1" ref="AA379" ca="1">IF($D$2=FALSE,"-",IF(AA$13="","",-1+PRODUCT(1+(OFFSET($AF379,0,AA$8,1,-$E$5)))))</f>
        <v>0.10250000000000004</v>
      </c>
      <c r="AB379" s="69">
        <f t="array" aca="1" ref="AB379" ca="1">IF($D$2=FALSE,"-",IF(AB$13="","",-1+PRODUCT(1+(OFFSET($AF379,0,AB$8,1,-$E$5)))))</f>
        <v>0.10250000000000004</v>
      </c>
      <c r="AC379" s="260"/>
      <c r="AD379" s="69" t="e">
        <f t="array" aca="1" ref="AD379" ca="1">IF($D$2=FALSE,"-",IF(AD$13="","",-1+PRODUCT(1+(OFFSET($AF379,0,$F$4-AD$7-1,1,-$E$5)),1+(OFFSET($AF379,0,$F$4-1,1,-AD$7)),1-(OFFSET($AF379,0,$F$4-$E$5-1,1,-AD$7)))))</f>
        <v>#N/A</v>
      </c>
      <c r="AF379" s="326" t="e">
        <f ca="1">IF($D$2=FALSE,"-",IF(AF$13="","",IF(AF$4&lt;=0,AF361/IF($D$7=1,0.5*(AF357+AF360),AF357)/AF$6,$L379+(AF371+$M379)*($L379=0))))</f>
        <v>#N/A</v>
      </c>
      <c r="AG379" s="203">
        <f t="shared" ref="AG379:BI379" ca="1" si="426">IF($D$2=FALSE,"-",IF(AG$13="","",IF(AG$4&lt;=0,AG361/IF($D$7=1,0.5*(AG357+AG360),AG357)/AG$6,$L379+(AG371+$M379)*($L379=0))))</f>
        <v>0.10249999999999999</v>
      </c>
      <c r="AH379" s="203">
        <f t="shared" ca="1" si="426"/>
        <v>0.10249999999999999</v>
      </c>
      <c r="AI379" s="203">
        <f t="shared" ca="1" si="426"/>
        <v>0.10249999999999999</v>
      </c>
      <c r="AJ379" s="203">
        <f t="shared" ca="1" si="426"/>
        <v>0.10249999999999999</v>
      </c>
      <c r="AK379" s="203">
        <f t="shared" ca="1" si="426"/>
        <v>0.10249999999999999</v>
      </c>
      <c r="AL379" s="203" t="str">
        <f t="shared" ca="1" si="426"/>
        <v/>
      </c>
      <c r="AM379" s="203" t="str">
        <f t="shared" ca="1" si="426"/>
        <v/>
      </c>
      <c r="AN379" s="203" t="str">
        <f t="shared" ca="1" si="426"/>
        <v/>
      </c>
      <c r="AO379" s="203" t="str">
        <f t="shared" ca="1" si="426"/>
        <v/>
      </c>
      <c r="AP379" s="203" t="str">
        <f t="shared" ca="1" si="426"/>
        <v/>
      </c>
      <c r="AQ379" s="203" t="str">
        <f t="shared" ca="1" si="426"/>
        <v/>
      </c>
      <c r="AR379" s="203" t="str">
        <f t="shared" ca="1" si="426"/>
        <v/>
      </c>
      <c r="AS379" s="203" t="str">
        <f t="shared" ca="1" si="426"/>
        <v/>
      </c>
      <c r="AT379" s="203" t="str">
        <f t="shared" ca="1" si="426"/>
        <v/>
      </c>
      <c r="AU379" s="203" t="str">
        <f t="shared" ca="1" si="426"/>
        <v/>
      </c>
      <c r="AV379" s="203" t="str">
        <f t="shared" ca="1" si="426"/>
        <v/>
      </c>
      <c r="AW379" s="203" t="str">
        <f t="shared" ca="1" si="426"/>
        <v/>
      </c>
      <c r="AX379" s="203" t="str">
        <f t="shared" ca="1" si="426"/>
        <v/>
      </c>
      <c r="AY379" s="203" t="str">
        <f t="shared" ca="1" si="426"/>
        <v/>
      </c>
      <c r="AZ379" s="203" t="str">
        <f t="shared" ca="1" si="426"/>
        <v/>
      </c>
      <c r="BA379" s="203" t="str">
        <f t="shared" ca="1" si="426"/>
        <v/>
      </c>
      <c r="BB379" s="203" t="str">
        <f t="shared" ca="1" si="426"/>
        <v/>
      </c>
      <c r="BC379" s="203" t="str">
        <f t="shared" ca="1" si="426"/>
        <v/>
      </c>
      <c r="BD379" s="203" t="str">
        <f t="shared" ca="1" si="426"/>
        <v/>
      </c>
      <c r="BE379" s="203" t="str">
        <f t="shared" ca="1" si="426"/>
        <v/>
      </c>
      <c r="BF379" s="203" t="str">
        <f t="shared" ca="1" si="426"/>
        <v/>
      </c>
      <c r="BG379" s="203" t="str">
        <f t="shared" ca="1" si="426"/>
        <v/>
      </c>
      <c r="BH379" s="203" t="str">
        <f t="shared" ca="1" si="426"/>
        <v/>
      </c>
      <c r="BI379" s="203" t="str">
        <f t="shared" ca="1" si="426"/>
        <v/>
      </c>
      <c r="BK379" s="84"/>
      <c r="BL379" s="84"/>
      <c r="BM379" s="84"/>
      <c r="BN379" s="84"/>
      <c r="BO379" s="84"/>
      <c r="BP379" s="84"/>
    </row>
    <row r="380" spans="1:68" ht="15" customHeight="1" outlineLevel="1">
      <c r="W380" s="98"/>
      <c r="X380" s="98"/>
      <c r="Y380" s="98"/>
      <c r="Z380" s="98"/>
      <c r="AA380" s="98"/>
      <c r="AB380" s="98"/>
      <c r="AC380" s="98"/>
      <c r="AD380" s="98"/>
      <c r="AF380" s="187"/>
      <c r="AG380" s="188"/>
      <c r="AH380" s="188"/>
      <c r="AI380" s="188"/>
      <c r="AJ380" s="188"/>
      <c r="AK380" s="188"/>
      <c r="AL380" s="188"/>
      <c r="AM380" s="188"/>
      <c r="AN380" s="188"/>
      <c r="AO380" s="188"/>
      <c r="AP380" s="188"/>
      <c r="AQ380" s="188"/>
      <c r="AR380" s="188"/>
      <c r="AS380" s="188"/>
      <c r="AT380" s="188"/>
      <c r="AU380" s="188"/>
      <c r="AV380" s="188"/>
      <c r="AW380" s="188"/>
      <c r="AX380" s="188"/>
      <c r="AY380" s="188"/>
      <c r="AZ380" s="188"/>
      <c r="BA380" s="188"/>
      <c r="BB380" s="188"/>
      <c r="BC380" s="188"/>
      <c r="BD380" s="188"/>
      <c r="BE380" s="188"/>
      <c r="BF380" s="188"/>
      <c r="BG380" s="188"/>
      <c r="BH380" s="188"/>
      <c r="BI380" s="188"/>
    </row>
    <row r="381" spans="1:68" ht="15" customHeight="1" outlineLevel="1">
      <c r="Q381" s="25" t="s">
        <v>252</v>
      </c>
      <c r="R381" s="25"/>
      <c r="S381" s="25"/>
      <c r="T381" s="25"/>
      <c r="U381" s="25"/>
      <c r="W381" s="235"/>
      <c r="X381" s="235"/>
      <c r="Y381" s="235"/>
      <c r="Z381" s="235"/>
      <c r="AA381" s="235"/>
      <c r="AB381" s="235"/>
      <c r="AC381" s="98"/>
      <c r="AD381" s="235"/>
      <c r="AF381" s="189"/>
      <c r="AG381" s="190"/>
      <c r="AH381" s="190"/>
      <c r="AI381" s="190"/>
      <c r="AJ381" s="190"/>
      <c r="AK381" s="190"/>
      <c r="AL381" s="190"/>
      <c r="AM381" s="190"/>
      <c r="AN381" s="190"/>
      <c r="AO381" s="190"/>
      <c r="AP381" s="190"/>
      <c r="AQ381" s="190"/>
      <c r="AR381" s="190"/>
      <c r="AS381" s="190"/>
      <c r="AT381" s="190"/>
      <c r="AU381" s="190"/>
      <c r="AV381" s="190"/>
      <c r="AW381" s="190"/>
      <c r="AX381" s="190"/>
      <c r="AY381" s="190"/>
      <c r="AZ381" s="190"/>
      <c r="BA381" s="190"/>
      <c r="BB381" s="190"/>
      <c r="BC381" s="190"/>
      <c r="BD381" s="190"/>
      <c r="BE381" s="190"/>
      <c r="BF381" s="190"/>
      <c r="BG381" s="190"/>
      <c r="BH381" s="190"/>
      <c r="BI381" s="190"/>
    </row>
    <row r="382" spans="1:68" ht="15" customHeight="1" outlineLevel="1">
      <c r="W382" s="98"/>
      <c r="X382" s="98"/>
      <c r="Y382" s="98"/>
      <c r="Z382" s="98"/>
      <c r="AA382" s="98"/>
      <c r="AB382" s="98"/>
      <c r="AC382" s="98"/>
      <c r="AD382" s="98"/>
      <c r="AF382" s="187"/>
      <c r="AG382" s="188"/>
      <c r="AH382" s="188"/>
      <c r="AI382" s="188"/>
      <c r="AJ382" s="188"/>
      <c r="AK382" s="188"/>
      <c r="AL382" s="188"/>
      <c r="AM382" s="188"/>
      <c r="AN382" s="188"/>
      <c r="AO382" s="188"/>
      <c r="AP382" s="188"/>
      <c r="AQ382" s="188"/>
      <c r="AR382" s="188"/>
      <c r="AS382" s="188"/>
      <c r="AT382" s="188"/>
      <c r="AU382" s="188"/>
      <c r="AV382" s="188"/>
      <c r="AW382" s="188"/>
      <c r="AX382" s="188"/>
      <c r="AY382" s="188"/>
      <c r="AZ382" s="188"/>
      <c r="BA382" s="188"/>
      <c r="BB382" s="188"/>
      <c r="BC382" s="188"/>
      <c r="BD382" s="188"/>
      <c r="BE382" s="188"/>
      <c r="BF382" s="188"/>
      <c r="BG382" s="188"/>
      <c r="BH382" s="188"/>
      <c r="BI382" s="188"/>
    </row>
    <row r="383" spans="1:68" ht="15" customHeight="1" outlineLevel="1">
      <c r="Q383" s="1" t="str">
        <f>IF($D$2=FALSE,"-",Q26)</f>
        <v>Cash</v>
      </c>
      <c r="W383" s="135" t="e">
        <f t="shared" ref="W383:AB383" ca="1" si="427">IF($D$2=FALSE,"-",IF(W$13="","",SUM(OFFSET($AF383,0,W$8,1,-$E$5))))</f>
        <v>#N/A</v>
      </c>
      <c r="X383" s="135">
        <f t="shared" ca="1" si="427"/>
        <v>0.39276499999999998</v>
      </c>
      <c r="Y383" s="135">
        <f t="shared" ca="1" si="427"/>
        <v>0.24911650000000002</v>
      </c>
      <c r="Z383" s="135">
        <f t="shared" ca="1" si="427"/>
        <v>0.24911650000000002</v>
      </c>
      <c r="AA383" s="135">
        <f t="shared" ca="1" si="427"/>
        <v>0.45541872337644473</v>
      </c>
      <c r="AB383" s="135">
        <f t="shared" ca="1" si="427"/>
        <v>0.68080500002318256</v>
      </c>
      <c r="AC383" s="258" t="s">
        <v>219</v>
      </c>
      <c r="AD383" s="135" t="e">
        <f ca="1">IF($D$2=FALSE,"-",IF(AD$13="","",SUM(OFFSET($AF383,0,$F$4-AD$7-1,1,-$E$5))+SUM(OFFSET($AF383,0,$F$4-1,1,-AD$7))-SUM(OFFSET($AF383,0,$F$4-$E$5-1,1,-AD$7))))</f>
        <v>#N/A</v>
      </c>
      <c r="AF383" s="281" t="e">
        <f ca="1">IF($D$2=FALSE,"-",IF(AF$13="","",IF(AF$4&lt;=0,AF26,IF(AF$7=$E$5,+AF323,+AF323-OFFSET(AF323,0,-1)))))</f>
        <v>#N/A</v>
      </c>
      <c r="AG383" s="282">
        <f t="shared" ref="AG383:BI383" ca="1" si="428">IF($D$2=FALSE,"-",IF(AG$13="","",IF(AG$4&lt;=0,AG26,IF(AG$7=$E$5,+AG323,+AG323-OFFSET(AG323,0,-1)))))</f>
        <v>0.39276499999999998</v>
      </c>
      <c r="AH383" s="282">
        <f t="shared" ca="1" si="428"/>
        <v>0.24911650000000002</v>
      </c>
      <c r="AI383" s="282">
        <f t="shared" ca="1" si="428"/>
        <v>0.24911650000000002</v>
      </c>
      <c r="AJ383" s="282">
        <f t="shared" ca="1" si="428"/>
        <v>0.45541872337644473</v>
      </c>
      <c r="AK383" s="282">
        <f t="shared" ca="1" si="428"/>
        <v>0.68080500002318256</v>
      </c>
      <c r="AL383" s="282" t="str">
        <f t="shared" ca="1" si="428"/>
        <v/>
      </c>
      <c r="AM383" s="282" t="str">
        <f t="shared" ca="1" si="428"/>
        <v/>
      </c>
      <c r="AN383" s="282" t="str">
        <f t="shared" ca="1" si="428"/>
        <v/>
      </c>
      <c r="AO383" s="282" t="str">
        <f t="shared" ca="1" si="428"/>
        <v/>
      </c>
      <c r="AP383" s="282" t="str">
        <f t="shared" ca="1" si="428"/>
        <v/>
      </c>
      <c r="AQ383" s="282" t="str">
        <f t="shared" ca="1" si="428"/>
        <v/>
      </c>
      <c r="AR383" s="282" t="str">
        <f t="shared" ca="1" si="428"/>
        <v/>
      </c>
      <c r="AS383" s="282" t="str">
        <f t="shared" ca="1" si="428"/>
        <v/>
      </c>
      <c r="AT383" s="282" t="str">
        <f t="shared" ca="1" si="428"/>
        <v/>
      </c>
      <c r="AU383" s="282" t="str">
        <f t="shared" ca="1" si="428"/>
        <v/>
      </c>
      <c r="AV383" s="282" t="str">
        <f t="shared" ca="1" si="428"/>
        <v/>
      </c>
      <c r="AW383" s="282" t="str">
        <f t="shared" ca="1" si="428"/>
        <v/>
      </c>
      <c r="AX383" s="282" t="str">
        <f t="shared" ca="1" si="428"/>
        <v/>
      </c>
      <c r="AY383" s="282" t="str">
        <f t="shared" ca="1" si="428"/>
        <v/>
      </c>
      <c r="AZ383" s="282" t="str">
        <f t="shared" ca="1" si="428"/>
        <v/>
      </c>
      <c r="BA383" s="282" t="str">
        <f t="shared" ca="1" si="428"/>
        <v/>
      </c>
      <c r="BB383" s="282" t="str">
        <f t="shared" ca="1" si="428"/>
        <v/>
      </c>
      <c r="BC383" s="282" t="str">
        <f t="shared" ca="1" si="428"/>
        <v/>
      </c>
      <c r="BD383" s="282" t="str">
        <f t="shared" ca="1" si="428"/>
        <v/>
      </c>
      <c r="BE383" s="282" t="str">
        <f t="shared" ca="1" si="428"/>
        <v/>
      </c>
      <c r="BF383" s="282" t="str">
        <f t="shared" ca="1" si="428"/>
        <v/>
      </c>
      <c r="BG383" s="282" t="str">
        <f t="shared" ca="1" si="428"/>
        <v/>
      </c>
      <c r="BH383" s="282" t="str">
        <f t="shared" ca="1" si="428"/>
        <v/>
      </c>
      <c r="BI383" s="282" t="str">
        <f t="shared" ca="1" si="428"/>
        <v/>
      </c>
    </row>
    <row r="384" spans="1:68" ht="15" customHeight="1" outlineLevel="1">
      <c r="S384" s="218" t="s">
        <v>258</v>
      </c>
      <c r="T384" s="218" t="s">
        <v>259</v>
      </c>
      <c r="U384" s="218" t="s">
        <v>260</v>
      </c>
      <c r="V384" s="1" t="s">
        <v>1</v>
      </c>
      <c r="W384" s="135"/>
      <c r="X384" s="135"/>
      <c r="Y384" s="135"/>
      <c r="Z384" s="135"/>
      <c r="AA384" s="135"/>
      <c r="AB384" s="135"/>
      <c r="AC384" s="258"/>
      <c r="AD384" s="135"/>
      <c r="AF384" s="97"/>
      <c r="AG384" s="98"/>
      <c r="AH384" s="98"/>
      <c r="AI384" s="98"/>
      <c r="AJ384" s="98"/>
      <c r="AK384" s="98"/>
      <c r="AL384" s="98"/>
      <c r="AM384" s="98"/>
      <c r="AN384" s="98"/>
      <c r="AO384" s="98"/>
      <c r="AP384" s="98"/>
      <c r="AQ384" s="98"/>
      <c r="AR384" s="98"/>
      <c r="AS384" s="98"/>
      <c r="AT384" s="98"/>
      <c r="AU384" s="98"/>
      <c r="AV384" s="98"/>
      <c r="AW384" s="98"/>
      <c r="AX384" s="98"/>
      <c r="AY384" s="98"/>
      <c r="AZ384" s="98"/>
      <c r="BA384" s="98"/>
      <c r="BB384" s="98"/>
      <c r="BC384" s="98"/>
      <c r="BD384" s="98"/>
      <c r="BE384" s="98"/>
      <c r="BF384" s="98"/>
      <c r="BG384" s="98"/>
      <c r="BH384" s="98"/>
      <c r="BI384" s="98"/>
    </row>
    <row r="385" spans="16:68" ht="15" customHeight="1" outlineLevel="1">
      <c r="Q385" s="1" t="str">
        <f>IF($D$2=FALSE,"-",Q27)</f>
        <v>Bank revolver - undrawn commitment fee</v>
      </c>
      <c r="W385" s="135" t="e">
        <f t="shared" ref="W385:AB390" ca="1" si="429">IF($D$2=FALSE,"-",IF(W$13="","",SUM(OFFSET($AF385,0,W$8,1,-$E$5))))</f>
        <v>#N/A</v>
      </c>
      <c r="X385" s="135">
        <f t="shared" ca="1" si="429"/>
        <v>0</v>
      </c>
      <c r="Y385" s="135">
        <f t="shared" ca="1" si="429"/>
        <v>0.59215715325000029</v>
      </c>
      <c r="Z385" s="135">
        <f t="shared" ca="1" si="429"/>
        <v>0.96972666588682932</v>
      </c>
      <c r="AA385" s="135">
        <f t="shared" ca="1" si="429"/>
        <v>1</v>
      </c>
      <c r="AB385" s="135">
        <f t="shared" ca="1" si="429"/>
        <v>1</v>
      </c>
      <c r="AC385" s="258" t="s">
        <v>219</v>
      </c>
      <c r="AD385" s="135" t="e">
        <f t="shared" ref="AD385:AD390" ca="1" si="430">IF($D$2=FALSE,"-",IF(AD$13="","",SUM(OFFSET($AF385,0,$F$4-AD$7-1,1,-$E$5))+SUM(OFFSET($AF385,0,$F$4-1,1,-AD$7))-SUM(OFFSET($AF385,0,$F$4-$E$5-1,1,-AD$7))))</f>
        <v>#N/A</v>
      </c>
      <c r="AF385" s="281" t="e">
        <f t="shared" ref="AF385" ca="1" si="431">IF($D$2=FALSE,"-",IF(AF$13="","",IF(AF$4&lt;=0,AF27,IF(AF$7=$E$5,+AF333,+AF333-OFFSET(AF333,0,-1)))))</f>
        <v>#N/A</v>
      </c>
      <c r="AG385" s="282">
        <f t="shared" ref="AG385:BI385" ca="1" si="432">IF($D$2=FALSE,"-",IF(AG$13="","",IF(AG$4&lt;=0,AG27,IF(AG$7=$E$5,+AG333,+AG333-OFFSET(AG333,0,-1)))))</f>
        <v>0</v>
      </c>
      <c r="AH385" s="282">
        <f t="shared" ca="1" si="432"/>
        <v>0.59215715325000029</v>
      </c>
      <c r="AI385" s="282">
        <f t="shared" ca="1" si="432"/>
        <v>0.96972666588682932</v>
      </c>
      <c r="AJ385" s="282">
        <f t="shared" ca="1" si="432"/>
        <v>1</v>
      </c>
      <c r="AK385" s="282">
        <f t="shared" ca="1" si="432"/>
        <v>1</v>
      </c>
      <c r="AL385" s="282" t="str">
        <f t="shared" ca="1" si="432"/>
        <v/>
      </c>
      <c r="AM385" s="282" t="str">
        <f t="shared" ca="1" si="432"/>
        <v/>
      </c>
      <c r="AN385" s="282" t="str">
        <f t="shared" ca="1" si="432"/>
        <v/>
      </c>
      <c r="AO385" s="282" t="str">
        <f t="shared" ca="1" si="432"/>
        <v/>
      </c>
      <c r="AP385" s="282" t="str">
        <f t="shared" ca="1" si="432"/>
        <v/>
      </c>
      <c r="AQ385" s="282" t="str">
        <f t="shared" ca="1" si="432"/>
        <v/>
      </c>
      <c r="AR385" s="282" t="str">
        <f t="shared" ca="1" si="432"/>
        <v/>
      </c>
      <c r="AS385" s="282" t="str">
        <f t="shared" ca="1" si="432"/>
        <v/>
      </c>
      <c r="AT385" s="282" t="str">
        <f t="shared" ca="1" si="432"/>
        <v/>
      </c>
      <c r="AU385" s="282" t="str">
        <f t="shared" ca="1" si="432"/>
        <v/>
      </c>
      <c r="AV385" s="282" t="str">
        <f t="shared" ca="1" si="432"/>
        <v/>
      </c>
      <c r="AW385" s="282" t="str">
        <f t="shared" ca="1" si="432"/>
        <v/>
      </c>
      <c r="AX385" s="282" t="str">
        <f t="shared" ca="1" si="432"/>
        <v/>
      </c>
      <c r="AY385" s="282" t="str">
        <f t="shared" ca="1" si="432"/>
        <v/>
      </c>
      <c r="AZ385" s="282" t="str">
        <f t="shared" ca="1" si="432"/>
        <v/>
      </c>
      <c r="BA385" s="282" t="str">
        <f t="shared" ca="1" si="432"/>
        <v/>
      </c>
      <c r="BB385" s="282" t="str">
        <f t="shared" ca="1" si="432"/>
        <v/>
      </c>
      <c r="BC385" s="282" t="str">
        <f t="shared" ca="1" si="432"/>
        <v/>
      </c>
      <c r="BD385" s="282" t="str">
        <f t="shared" ca="1" si="432"/>
        <v/>
      </c>
      <c r="BE385" s="282" t="str">
        <f t="shared" ca="1" si="432"/>
        <v/>
      </c>
      <c r="BF385" s="282" t="str">
        <f t="shared" ca="1" si="432"/>
        <v/>
      </c>
      <c r="BG385" s="282" t="str">
        <f t="shared" ca="1" si="432"/>
        <v/>
      </c>
      <c r="BH385" s="282" t="str">
        <f t="shared" ca="1" si="432"/>
        <v/>
      </c>
      <c r="BI385" s="282" t="str">
        <f t="shared" ca="1" si="432"/>
        <v/>
      </c>
      <c r="BK385" s="84"/>
      <c r="BL385" s="84"/>
      <c r="BM385" s="84"/>
      <c r="BN385" s="84"/>
      <c r="BO385" s="84"/>
      <c r="BP385" s="84"/>
    </row>
    <row r="386" spans="16:68" ht="15" customHeight="1" outlineLevel="1">
      <c r="Q386" s="1" t="str">
        <f>IF($D$2=FALSE,"-",Q28)</f>
        <v>Bank revolver</v>
      </c>
      <c r="S386" s="172">
        <v>1</v>
      </c>
      <c r="T386" s="172">
        <v>0</v>
      </c>
      <c r="U386" s="172">
        <v>0</v>
      </c>
      <c r="W386" s="135" t="e">
        <f t="shared" ca="1" si="429"/>
        <v>#N/A</v>
      </c>
      <c r="X386" s="135">
        <f t="shared" ca="1" si="429"/>
        <v>15.97945</v>
      </c>
      <c r="Y386" s="135">
        <f t="shared" ca="1" si="429"/>
        <v>6.5171043774992832</v>
      </c>
      <c r="Z386" s="135">
        <f t="shared" ca="1" si="429"/>
        <v>0.48375122879470722</v>
      </c>
      <c r="AA386" s="135">
        <f t="shared" ca="1" si="429"/>
        <v>0</v>
      </c>
      <c r="AB386" s="135">
        <f t="shared" ca="1" si="429"/>
        <v>0</v>
      </c>
      <c r="AC386" s="258" t="s">
        <v>219</v>
      </c>
      <c r="AD386" s="135" t="e">
        <f t="shared" ca="1" si="430"/>
        <v>#N/A</v>
      </c>
      <c r="AF386" s="281" t="e">
        <f t="shared" ref="AF386" ca="1" si="433">IF($D$2=FALSE,"-",IF(AF$13="","",IF(AF$4&lt;=0,AF28,IF(AF$7=$E$5,+AF330,+AF330-OFFSET(AF330,0,-1)))))</f>
        <v>#N/A</v>
      </c>
      <c r="AG386" s="282">
        <f t="shared" ref="AG386:BI386" ca="1" si="434">IF($D$2=FALSE,"-",IF(AG$13="","",IF(AG$4&lt;=0,AG28,IF(AG$7=$E$5,+AG330,+AG330-OFFSET(AG330,0,-1)))))</f>
        <v>15.97945</v>
      </c>
      <c r="AH386" s="282">
        <f t="shared" ca="1" si="434"/>
        <v>6.5171043774992832</v>
      </c>
      <c r="AI386" s="282">
        <f t="shared" ca="1" si="434"/>
        <v>0.48375122879470722</v>
      </c>
      <c r="AJ386" s="282">
        <f t="shared" ca="1" si="434"/>
        <v>0</v>
      </c>
      <c r="AK386" s="282">
        <f t="shared" ca="1" si="434"/>
        <v>0</v>
      </c>
      <c r="AL386" s="282" t="str">
        <f t="shared" ca="1" si="434"/>
        <v/>
      </c>
      <c r="AM386" s="282" t="str">
        <f t="shared" ca="1" si="434"/>
        <v/>
      </c>
      <c r="AN386" s="282" t="str">
        <f t="shared" ca="1" si="434"/>
        <v/>
      </c>
      <c r="AO386" s="282" t="str">
        <f t="shared" ca="1" si="434"/>
        <v/>
      </c>
      <c r="AP386" s="282" t="str">
        <f t="shared" ca="1" si="434"/>
        <v/>
      </c>
      <c r="AQ386" s="282" t="str">
        <f t="shared" ca="1" si="434"/>
        <v/>
      </c>
      <c r="AR386" s="282" t="str">
        <f t="shared" ca="1" si="434"/>
        <v/>
      </c>
      <c r="AS386" s="282" t="str">
        <f t="shared" ca="1" si="434"/>
        <v/>
      </c>
      <c r="AT386" s="282" t="str">
        <f t="shared" ca="1" si="434"/>
        <v/>
      </c>
      <c r="AU386" s="282" t="str">
        <f t="shared" ca="1" si="434"/>
        <v/>
      </c>
      <c r="AV386" s="282" t="str">
        <f t="shared" ca="1" si="434"/>
        <v/>
      </c>
      <c r="AW386" s="282" t="str">
        <f t="shared" ca="1" si="434"/>
        <v/>
      </c>
      <c r="AX386" s="282" t="str">
        <f t="shared" ca="1" si="434"/>
        <v/>
      </c>
      <c r="AY386" s="282" t="str">
        <f t="shared" ca="1" si="434"/>
        <v/>
      </c>
      <c r="AZ386" s="282" t="str">
        <f t="shared" ca="1" si="434"/>
        <v/>
      </c>
      <c r="BA386" s="282" t="str">
        <f t="shared" ca="1" si="434"/>
        <v/>
      </c>
      <c r="BB386" s="282" t="str">
        <f t="shared" ca="1" si="434"/>
        <v/>
      </c>
      <c r="BC386" s="282" t="str">
        <f t="shared" ca="1" si="434"/>
        <v/>
      </c>
      <c r="BD386" s="282" t="str">
        <f t="shared" ca="1" si="434"/>
        <v/>
      </c>
      <c r="BE386" s="282" t="str">
        <f t="shared" ca="1" si="434"/>
        <v/>
      </c>
      <c r="BF386" s="282" t="str">
        <f t="shared" ca="1" si="434"/>
        <v/>
      </c>
      <c r="BG386" s="282" t="str">
        <f t="shared" ca="1" si="434"/>
        <v/>
      </c>
      <c r="BH386" s="282" t="str">
        <f t="shared" ca="1" si="434"/>
        <v/>
      </c>
      <c r="BI386" s="282" t="str">
        <f t="shared" ca="1" si="434"/>
        <v/>
      </c>
      <c r="BK386" s="84"/>
      <c r="BL386" s="84"/>
      <c r="BM386" s="84"/>
      <c r="BN386" s="84"/>
      <c r="BO386" s="84"/>
      <c r="BP386" s="84"/>
    </row>
    <row r="387" spans="16:68" ht="15" customHeight="1" outlineLevel="1">
      <c r="Q387" s="1" t="str">
        <f>IF($D$2=FALSE,"-",Q29)</f>
        <v>Senior credit facility</v>
      </c>
      <c r="S387" s="172">
        <v>1</v>
      </c>
      <c r="T387" s="172">
        <v>0</v>
      </c>
      <c r="U387" s="172">
        <v>0</v>
      </c>
      <c r="W387" s="135" t="e">
        <f t="shared" ca="1" si="429"/>
        <v>#N/A</v>
      </c>
      <c r="X387" s="135">
        <f t="shared" ca="1" si="429"/>
        <v>0.84897250000000013</v>
      </c>
      <c r="Y387" s="135">
        <f t="shared" ca="1" si="429"/>
        <v>0.72162662500000008</v>
      </c>
      <c r="Z387" s="135">
        <f t="shared" ca="1" si="429"/>
        <v>0.59428075000000002</v>
      </c>
      <c r="AA387" s="135">
        <f t="shared" ca="1" si="429"/>
        <v>0</v>
      </c>
      <c r="AB387" s="135">
        <f t="shared" ca="1" si="429"/>
        <v>0</v>
      </c>
      <c r="AC387" s="258" t="s">
        <v>219</v>
      </c>
      <c r="AD387" s="135" t="e">
        <f t="shared" ca="1" si="430"/>
        <v>#N/A</v>
      </c>
      <c r="AF387" s="281" t="e">
        <f t="shared" ref="AF387" ca="1" si="435">IF($D$2=FALSE,"-",IF(AF$13="","",IF(AF$4&lt;=0,AF29,IF(AF$7=$E$5,+AF340,+AF340-OFFSET(AF340,0,-1)))))</f>
        <v>#N/A</v>
      </c>
      <c r="AG387" s="282">
        <f t="shared" ref="AG387:BI387" ca="1" si="436">IF($D$2=FALSE,"-",IF(AG$13="","",IF(AG$4&lt;=0,AG29,IF(AG$7=$E$5,+AG340,+AG340-OFFSET(AG340,0,-1)))))</f>
        <v>0.84897250000000013</v>
      </c>
      <c r="AH387" s="282">
        <f t="shared" ca="1" si="436"/>
        <v>0.72162662500000008</v>
      </c>
      <c r="AI387" s="282">
        <f t="shared" ca="1" si="436"/>
        <v>0.59428075000000002</v>
      </c>
      <c r="AJ387" s="282">
        <f t="shared" ca="1" si="436"/>
        <v>0</v>
      </c>
      <c r="AK387" s="282">
        <f t="shared" ca="1" si="436"/>
        <v>0</v>
      </c>
      <c r="AL387" s="282" t="str">
        <f t="shared" ca="1" si="436"/>
        <v/>
      </c>
      <c r="AM387" s="282" t="str">
        <f t="shared" ca="1" si="436"/>
        <v/>
      </c>
      <c r="AN387" s="282" t="str">
        <f t="shared" ca="1" si="436"/>
        <v/>
      </c>
      <c r="AO387" s="282" t="str">
        <f t="shared" ca="1" si="436"/>
        <v/>
      </c>
      <c r="AP387" s="282" t="str">
        <f t="shared" ca="1" si="436"/>
        <v/>
      </c>
      <c r="AQ387" s="282" t="str">
        <f t="shared" ca="1" si="436"/>
        <v/>
      </c>
      <c r="AR387" s="282" t="str">
        <f t="shared" ca="1" si="436"/>
        <v/>
      </c>
      <c r="AS387" s="282" t="str">
        <f t="shared" ca="1" si="436"/>
        <v/>
      </c>
      <c r="AT387" s="282" t="str">
        <f t="shared" ca="1" si="436"/>
        <v/>
      </c>
      <c r="AU387" s="282" t="str">
        <f t="shared" ca="1" si="436"/>
        <v/>
      </c>
      <c r="AV387" s="282" t="str">
        <f t="shared" ca="1" si="436"/>
        <v/>
      </c>
      <c r="AW387" s="282" t="str">
        <f t="shared" ca="1" si="436"/>
        <v/>
      </c>
      <c r="AX387" s="282" t="str">
        <f t="shared" ca="1" si="436"/>
        <v/>
      </c>
      <c r="AY387" s="282" t="str">
        <f t="shared" ca="1" si="436"/>
        <v/>
      </c>
      <c r="AZ387" s="282" t="str">
        <f t="shared" ca="1" si="436"/>
        <v/>
      </c>
      <c r="BA387" s="282" t="str">
        <f t="shared" ca="1" si="436"/>
        <v/>
      </c>
      <c r="BB387" s="282" t="str">
        <f t="shared" ca="1" si="436"/>
        <v/>
      </c>
      <c r="BC387" s="282" t="str">
        <f t="shared" ca="1" si="436"/>
        <v/>
      </c>
      <c r="BD387" s="282" t="str">
        <f t="shared" ca="1" si="436"/>
        <v/>
      </c>
      <c r="BE387" s="282" t="str">
        <f t="shared" ca="1" si="436"/>
        <v/>
      </c>
      <c r="BF387" s="282" t="str">
        <f t="shared" ca="1" si="436"/>
        <v/>
      </c>
      <c r="BG387" s="282" t="str">
        <f t="shared" ca="1" si="436"/>
        <v/>
      </c>
      <c r="BH387" s="282" t="str">
        <f t="shared" ca="1" si="436"/>
        <v/>
      </c>
      <c r="BI387" s="282" t="str">
        <f t="shared" ca="1" si="436"/>
        <v/>
      </c>
      <c r="BK387" s="84"/>
      <c r="BL387" s="84"/>
      <c r="BM387" s="84"/>
      <c r="BN387" s="84"/>
      <c r="BO387" s="84"/>
      <c r="BP387" s="84"/>
    </row>
    <row r="388" spans="16:68" ht="15" customHeight="1" outlineLevel="1">
      <c r="Q388" s="1" t="str">
        <f>IF($D$2=FALSE,"-",Q30)</f>
        <v>Subordinated note</v>
      </c>
      <c r="S388" s="172">
        <v>0</v>
      </c>
      <c r="T388" s="172">
        <v>0</v>
      </c>
      <c r="U388" s="172">
        <v>0</v>
      </c>
      <c r="W388" s="135" t="e">
        <f t="shared" ca="1" si="429"/>
        <v>#N/A</v>
      </c>
      <c r="X388" s="135">
        <f t="shared" ca="1" si="429"/>
        <v>3.7537500000000001</v>
      </c>
      <c r="Y388" s="135">
        <f t="shared" ca="1" si="429"/>
        <v>3.1906875000000001</v>
      </c>
      <c r="Z388" s="135">
        <f t="shared" ca="1" si="429"/>
        <v>2.6276250000000001</v>
      </c>
      <c r="AA388" s="135">
        <f t="shared" ca="1" si="429"/>
        <v>2.6276250000000001</v>
      </c>
      <c r="AB388" s="135">
        <f t="shared" ca="1" si="429"/>
        <v>2.6276250000000001</v>
      </c>
      <c r="AC388" s="258" t="s">
        <v>219</v>
      </c>
      <c r="AD388" s="135" t="e">
        <f t="shared" ca="1" si="430"/>
        <v>#N/A</v>
      </c>
      <c r="AF388" s="281" t="e">
        <f t="shared" ref="AF388" ca="1" si="437">IF($D$2=FALSE,"-",IF(AF$13="","",IF(AF$4&lt;=0,AF30,IF(AF$7=$E$5,+AF347,+AF347-OFFSET(AF347,0,-1)))))</f>
        <v>#N/A</v>
      </c>
      <c r="AG388" s="282">
        <f t="shared" ref="AG388:BI388" ca="1" si="438">IF($D$2=FALSE,"-",IF(AG$13="","",IF(AG$4&lt;=0,AG30,IF(AG$7=$E$5,+AG347,+AG347-OFFSET(AG347,0,-1)))))</f>
        <v>3.7537500000000001</v>
      </c>
      <c r="AH388" s="282">
        <f t="shared" ca="1" si="438"/>
        <v>3.1906875000000001</v>
      </c>
      <c r="AI388" s="282">
        <f t="shared" ca="1" si="438"/>
        <v>2.6276250000000001</v>
      </c>
      <c r="AJ388" s="282">
        <f t="shared" ca="1" si="438"/>
        <v>2.6276250000000001</v>
      </c>
      <c r="AK388" s="282">
        <f t="shared" ca="1" si="438"/>
        <v>2.6276250000000001</v>
      </c>
      <c r="AL388" s="282" t="str">
        <f t="shared" ca="1" si="438"/>
        <v/>
      </c>
      <c r="AM388" s="282" t="str">
        <f t="shared" ca="1" si="438"/>
        <v/>
      </c>
      <c r="AN388" s="282" t="str">
        <f t="shared" ca="1" si="438"/>
        <v/>
      </c>
      <c r="AO388" s="282" t="str">
        <f t="shared" ca="1" si="438"/>
        <v/>
      </c>
      <c r="AP388" s="282" t="str">
        <f t="shared" ca="1" si="438"/>
        <v/>
      </c>
      <c r="AQ388" s="282" t="str">
        <f t="shared" ca="1" si="438"/>
        <v/>
      </c>
      <c r="AR388" s="282" t="str">
        <f t="shared" ca="1" si="438"/>
        <v/>
      </c>
      <c r="AS388" s="282" t="str">
        <f t="shared" ca="1" si="438"/>
        <v/>
      </c>
      <c r="AT388" s="282" t="str">
        <f t="shared" ca="1" si="438"/>
        <v/>
      </c>
      <c r="AU388" s="282" t="str">
        <f t="shared" ca="1" si="438"/>
        <v/>
      </c>
      <c r="AV388" s="282" t="str">
        <f t="shared" ca="1" si="438"/>
        <v/>
      </c>
      <c r="AW388" s="282" t="str">
        <f t="shared" ca="1" si="438"/>
        <v/>
      </c>
      <c r="AX388" s="282" t="str">
        <f t="shared" ca="1" si="438"/>
        <v/>
      </c>
      <c r="AY388" s="282" t="str">
        <f t="shared" ca="1" si="438"/>
        <v/>
      </c>
      <c r="AZ388" s="282" t="str">
        <f t="shared" ca="1" si="438"/>
        <v/>
      </c>
      <c r="BA388" s="282" t="str">
        <f t="shared" ca="1" si="438"/>
        <v/>
      </c>
      <c r="BB388" s="282" t="str">
        <f t="shared" ca="1" si="438"/>
        <v/>
      </c>
      <c r="BC388" s="282" t="str">
        <f t="shared" ca="1" si="438"/>
        <v/>
      </c>
      <c r="BD388" s="282" t="str">
        <f t="shared" ca="1" si="438"/>
        <v/>
      </c>
      <c r="BE388" s="282" t="str">
        <f t="shared" ca="1" si="438"/>
        <v/>
      </c>
      <c r="BF388" s="282" t="str">
        <f t="shared" ca="1" si="438"/>
        <v/>
      </c>
      <c r="BG388" s="282" t="str">
        <f t="shared" ca="1" si="438"/>
        <v/>
      </c>
      <c r="BH388" s="282" t="str">
        <f t="shared" ca="1" si="438"/>
        <v/>
      </c>
      <c r="BI388" s="282" t="str">
        <f t="shared" ca="1" si="438"/>
        <v/>
      </c>
      <c r="BK388" s="84"/>
      <c r="BL388" s="84"/>
      <c r="BM388" s="84"/>
      <c r="BN388" s="84"/>
      <c r="BO388" s="84"/>
      <c r="BP388" s="84"/>
    </row>
    <row r="389" spans="16:68" ht="15" customHeight="1" outlineLevel="1">
      <c r="Q389" s="1" t="str">
        <f>IF($D$2=FALSE,"-",Q31)</f>
        <v>Convertible bond</v>
      </c>
      <c r="S389" s="172">
        <v>0</v>
      </c>
      <c r="T389" s="172">
        <v>0</v>
      </c>
      <c r="U389" s="172">
        <v>1</v>
      </c>
      <c r="W389" s="135" t="e">
        <f t="shared" ca="1" si="429"/>
        <v>#N/A</v>
      </c>
      <c r="X389" s="135">
        <f t="shared" ca="1" si="429"/>
        <v>18.05</v>
      </c>
      <c r="Y389" s="135">
        <f t="shared" ca="1" si="429"/>
        <v>18.812374999999999</v>
      </c>
      <c r="Z389" s="135">
        <f t="shared" ca="1" si="429"/>
        <v>19.610962812499999</v>
      </c>
      <c r="AA389" s="135">
        <f t="shared" ca="1" si="429"/>
        <v>20.44748354609375</v>
      </c>
      <c r="AB389" s="135">
        <f t="shared" ca="1" si="429"/>
        <v>20.352483546093751</v>
      </c>
      <c r="AC389" s="258" t="s">
        <v>219</v>
      </c>
      <c r="AD389" s="135" t="e">
        <f t="shared" ca="1" si="430"/>
        <v>#N/A</v>
      </c>
      <c r="AF389" s="281" t="e">
        <f t="shared" ref="AF389" ca="1" si="439">IF($D$2=FALSE,"-",IF(AF$13="","",IF(AF$4&lt;=0,AF31,IF(AF$7=$E$5,+AF354,+AF354-OFFSET(AF354,0,-1)))))</f>
        <v>#N/A</v>
      </c>
      <c r="AG389" s="282">
        <f t="shared" ref="AG389:BI389" ca="1" si="440">IF($D$2=FALSE,"-",IF(AG$13="","",IF(AG$4&lt;=0,AG31,IF(AG$7=$E$5,+AG354,+AG354-OFFSET(AG354,0,-1)))))</f>
        <v>18.05</v>
      </c>
      <c r="AH389" s="282">
        <f t="shared" ca="1" si="440"/>
        <v>18.812374999999999</v>
      </c>
      <c r="AI389" s="282">
        <f t="shared" ca="1" si="440"/>
        <v>19.610962812499999</v>
      </c>
      <c r="AJ389" s="282">
        <f t="shared" ca="1" si="440"/>
        <v>20.44748354609375</v>
      </c>
      <c r="AK389" s="282">
        <f t="shared" ca="1" si="440"/>
        <v>20.352483546093751</v>
      </c>
      <c r="AL389" s="282" t="str">
        <f t="shared" ca="1" si="440"/>
        <v/>
      </c>
      <c r="AM389" s="282" t="str">
        <f t="shared" ca="1" si="440"/>
        <v/>
      </c>
      <c r="AN389" s="282" t="str">
        <f t="shared" ca="1" si="440"/>
        <v/>
      </c>
      <c r="AO389" s="282" t="str">
        <f t="shared" ca="1" si="440"/>
        <v/>
      </c>
      <c r="AP389" s="282" t="str">
        <f t="shared" ca="1" si="440"/>
        <v/>
      </c>
      <c r="AQ389" s="282" t="str">
        <f t="shared" ca="1" si="440"/>
        <v/>
      </c>
      <c r="AR389" s="282" t="str">
        <f t="shared" ca="1" si="440"/>
        <v/>
      </c>
      <c r="AS389" s="282" t="str">
        <f t="shared" ca="1" si="440"/>
        <v/>
      </c>
      <c r="AT389" s="282" t="str">
        <f t="shared" ca="1" si="440"/>
        <v/>
      </c>
      <c r="AU389" s="282" t="str">
        <f t="shared" ca="1" si="440"/>
        <v/>
      </c>
      <c r="AV389" s="282" t="str">
        <f t="shared" ca="1" si="440"/>
        <v/>
      </c>
      <c r="AW389" s="282" t="str">
        <f t="shared" ca="1" si="440"/>
        <v/>
      </c>
      <c r="AX389" s="282" t="str">
        <f t="shared" ca="1" si="440"/>
        <v/>
      </c>
      <c r="AY389" s="282" t="str">
        <f t="shared" ca="1" si="440"/>
        <v/>
      </c>
      <c r="AZ389" s="282" t="str">
        <f t="shared" ca="1" si="440"/>
        <v/>
      </c>
      <c r="BA389" s="282" t="str">
        <f t="shared" ca="1" si="440"/>
        <v/>
      </c>
      <c r="BB389" s="282" t="str">
        <f t="shared" ca="1" si="440"/>
        <v/>
      </c>
      <c r="BC389" s="282" t="str">
        <f t="shared" ca="1" si="440"/>
        <v/>
      </c>
      <c r="BD389" s="282" t="str">
        <f t="shared" ca="1" si="440"/>
        <v/>
      </c>
      <c r="BE389" s="282" t="str">
        <f t="shared" ca="1" si="440"/>
        <v/>
      </c>
      <c r="BF389" s="282" t="str">
        <f t="shared" ca="1" si="440"/>
        <v/>
      </c>
      <c r="BG389" s="282" t="str">
        <f t="shared" ca="1" si="440"/>
        <v/>
      </c>
      <c r="BH389" s="282" t="str">
        <f t="shared" ca="1" si="440"/>
        <v/>
      </c>
      <c r="BI389" s="282" t="str">
        <f t="shared" ca="1" si="440"/>
        <v/>
      </c>
      <c r="BK389" s="84"/>
      <c r="BL389" s="84"/>
      <c r="BM389" s="84"/>
      <c r="BN389" s="84"/>
      <c r="BO389" s="84"/>
      <c r="BP389" s="84"/>
    </row>
    <row r="390" spans="16:68" ht="15" customHeight="1" outlineLevel="1">
      <c r="P390" s="222"/>
      <c r="Q390" s="1" t="str">
        <f>IF($D$2=FALSE,"-",Q39)</f>
        <v>Preferred dividends</v>
      </c>
      <c r="S390" s="172">
        <v>0</v>
      </c>
      <c r="T390" s="172">
        <v>1</v>
      </c>
      <c r="U390" s="172">
        <v>0</v>
      </c>
      <c r="W390" s="135" t="e">
        <f t="shared" ca="1" si="429"/>
        <v>#N/A</v>
      </c>
      <c r="X390" s="135">
        <f t="shared" ca="1" si="429"/>
        <v>10.25</v>
      </c>
      <c r="Y390" s="135">
        <f t="shared" ca="1" si="429"/>
        <v>10.147499999999999</v>
      </c>
      <c r="Z390" s="135">
        <f t="shared" ca="1" si="429"/>
        <v>10.045</v>
      </c>
      <c r="AA390" s="135">
        <f t="shared" ca="1" si="429"/>
        <v>9.942499999999999</v>
      </c>
      <c r="AB390" s="135">
        <f t="shared" ca="1" si="429"/>
        <v>9.84</v>
      </c>
      <c r="AC390" s="258" t="s">
        <v>219</v>
      </c>
      <c r="AD390" s="135" t="e">
        <f t="shared" ca="1" si="430"/>
        <v>#N/A</v>
      </c>
      <c r="AF390" s="249" t="e">
        <f ca="1">IF($D$2=FALSE,"-",IF(AF$13="","",IF(AF$4&lt;=0,#N/A,IF(AF$7=$E$5,+AF361,+AF361-OFFSET(AF361,0,-1)))))</f>
        <v>#N/A</v>
      </c>
      <c r="AG390" s="250">
        <f t="shared" ref="AG390:BI390" ca="1" si="441">IF($D$2=FALSE,"-",IF(AG$13="","",IF(AG$4&lt;=0,#N/A,IF(AG$7=$E$5,+AG361,+AG361-OFFSET(AG361,0,-1)))))</f>
        <v>10.25</v>
      </c>
      <c r="AH390" s="250">
        <f t="shared" ca="1" si="441"/>
        <v>10.147499999999999</v>
      </c>
      <c r="AI390" s="250">
        <f t="shared" ca="1" si="441"/>
        <v>10.045</v>
      </c>
      <c r="AJ390" s="250">
        <f t="shared" ca="1" si="441"/>
        <v>9.942499999999999</v>
      </c>
      <c r="AK390" s="250">
        <f t="shared" ca="1" si="441"/>
        <v>9.84</v>
      </c>
      <c r="AL390" s="250" t="str">
        <f t="shared" ca="1" si="441"/>
        <v/>
      </c>
      <c r="AM390" s="250" t="str">
        <f t="shared" ca="1" si="441"/>
        <v/>
      </c>
      <c r="AN390" s="250" t="str">
        <f t="shared" ca="1" si="441"/>
        <v/>
      </c>
      <c r="AO390" s="250" t="str">
        <f t="shared" ca="1" si="441"/>
        <v/>
      </c>
      <c r="AP390" s="250" t="str">
        <f t="shared" ca="1" si="441"/>
        <v/>
      </c>
      <c r="AQ390" s="250" t="str">
        <f t="shared" ca="1" si="441"/>
        <v/>
      </c>
      <c r="AR390" s="250" t="str">
        <f t="shared" ca="1" si="441"/>
        <v/>
      </c>
      <c r="AS390" s="250" t="str">
        <f t="shared" ca="1" si="441"/>
        <v/>
      </c>
      <c r="AT390" s="250" t="str">
        <f t="shared" ca="1" si="441"/>
        <v/>
      </c>
      <c r="AU390" s="250" t="str">
        <f t="shared" ca="1" si="441"/>
        <v/>
      </c>
      <c r="AV390" s="250" t="str">
        <f t="shared" ca="1" si="441"/>
        <v/>
      </c>
      <c r="AW390" s="250" t="str">
        <f t="shared" ca="1" si="441"/>
        <v/>
      </c>
      <c r="AX390" s="250" t="str">
        <f t="shared" ca="1" si="441"/>
        <v/>
      </c>
      <c r="AY390" s="250" t="str">
        <f t="shared" ca="1" si="441"/>
        <v/>
      </c>
      <c r="AZ390" s="250" t="str">
        <f t="shared" ca="1" si="441"/>
        <v/>
      </c>
      <c r="BA390" s="250" t="str">
        <f t="shared" ca="1" si="441"/>
        <v/>
      </c>
      <c r="BB390" s="250" t="str">
        <f t="shared" ca="1" si="441"/>
        <v/>
      </c>
      <c r="BC390" s="250" t="str">
        <f t="shared" ca="1" si="441"/>
        <v/>
      </c>
      <c r="BD390" s="250" t="str">
        <f t="shared" ca="1" si="441"/>
        <v/>
      </c>
      <c r="BE390" s="250" t="str">
        <f t="shared" ca="1" si="441"/>
        <v/>
      </c>
      <c r="BF390" s="250" t="str">
        <f t="shared" ca="1" si="441"/>
        <v/>
      </c>
      <c r="BG390" s="250" t="str">
        <f t="shared" ca="1" si="441"/>
        <v/>
      </c>
      <c r="BH390" s="250" t="str">
        <f t="shared" ca="1" si="441"/>
        <v/>
      </c>
      <c r="BI390" s="250" t="str">
        <f t="shared" ca="1" si="441"/>
        <v/>
      </c>
      <c r="BK390" s="84"/>
      <c r="BL390" s="84"/>
      <c r="BM390" s="84"/>
      <c r="BN390" s="84"/>
      <c r="BO390" s="84"/>
      <c r="BP390" s="84"/>
    </row>
    <row r="391" spans="16:68" ht="15" customHeight="1" outlineLevel="1">
      <c r="W391" s="98"/>
      <c r="X391" s="98"/>
      <c r="Y391" s="98"/>
      <c r="Z391" s="98"/>
      <c r="AA391" s="98"/>
      <c r="AB391" s="98"/>
      <c r="AC391" s="98"/>
      <c r="AD391" s="98"/>
      <c r="AF391" s="187"/>
      <c r="AG391" s="98"/>
      <c r="AH391" s="188"/>
      <c r="AI391" s="188"/>
      <c r="AJ391" s="188"/>
      <c r="AK391" s="188"/>
      <c r="AL391" s="188"/>
      <c r="AM391" s="188"/>
      <c r="AN391" s="188"/>
      <c r="AO391" s="188"/>
      <c r="AP391" s="188"/>
      <c r="AQ391" s="188"/>
      <c r="AR391" s="188"/>
      <c r="AS391" s="188"/>
      <c r="AT391" s="188"/>
      <c r="AU391" s="188"/>
      <c r="AV391" s="188"/>
      <c r="AW391" s="188"/>
      <c r="AX391" s="188"/>
      <c r="AY391" s="188"/>
      <c r="AZ391" s="188"/>
      <c r="BA391" s="188"/>
      <c r="BB391" s="188"/>
      <c r="BC391" s="188"/>
      <c r="BD391" s="188"/>
      <c r="BE391" s="188"/>
      <c r="BF391" s="188"/>
      <c r="BG391" s="188"/>
      <c r="BH391" s="188"/>
      <c r="BI391" s="188"/>
    </row>
    <row r="392" spans="16:68" ht="15" customHeight="1" outlineLevel="1">
      <c r="Q392" s="25" t="s">
        <v>202</v>
      </c>
      <c r="R392" s="25"/>
      <c r="S392" s="25"/>
      <c r="T392" s="25"/>
      <c r="U392" s="25"/>
      <c r="W392" s="235"/>
      <c r="X392" s="235"/>
      <c r="Y392" s="235"/>
      <c r="Z392" s="235"/>
      <c r="AA392" s="235"/>
      <c r="AB392" s="235"/>
      <c r="AC392" s="98"/>
      <c r="AD392" s="235"/>
      <c r="AF392" s="189"/>
      <c r="AG392" s="190"/>
      <c r="AH392" s="190"/>
      <c r="AI392" s="190"/>
      <c r="AJ392" s="190"/>
      <c r="AK392" s="190"/>
      <c r="AL392" s="190"/>
      <c r="AM392" s="190"/>
      <c r="AN392" s="190"/>
      <c r="AO392" s="190"/>
      <c r="AP392" s="190"/>
      <c r="AQ392" s="190"/>
      <c r="AR392" s="190"/>
      <c r="AS392" s="190"/>
      <c r="AT392" s="190"/>
      <c r="AU392" s="190"/>
      <c r="AV392" s="190"/>
      <c r="AW392" s="190"/>
      <c r="AX392" s="190"/>
      <c r="AY392" s="190"/>
      <c r="AZ392" s="190"/>
      <c r="BA392" s="190"/>
      <c r="BB392" s="190"/>
      <c r="BC392" s="190"/>
      <c r="BD392" s="190"/>
      <c r="BE392" s="190"/>
      <c r="BF392" s="190"/>
      <c r="BG392" s="190"/>
      <c r="BH392" s="190"/>
      <c r="BI392" s="190"/>
    </row>
    <row r="393" spans="16:68" ht="15" customHeight="1" outlineLevel="1">
      <c r="W393" s="98"/>
      <c r="X393" s="98"/>
      <c r="Y393" s="98"/>
      <c r="Z393" s="98"/>
      <c r="AA393" s="98"/>
      <c r="AB393" s="98"/>
      <c r="AC393" s="98"/>
      <c r="AD393" s="98"/>
      <c r="AF393" s="187"/>
      <c r="AG393" s="98"/>
      <c r="AH393" s="188"/>
      <c r="AI393" s="188"/>
      <c r="AJ393" s="188"/>
      <c r="AK393" s="188"/>
      <c r="AL393" s="188"/>
      <c r="AM393" s="188"/>
      <c r="AN393" s="188"/>
      <c r="AO393" s="188"/>
      <c r="AP393" s="188"/>
      <c r="AQ393" s="188"/>
      <c r="AR393" s="188"/>
      <c r="AS393" s="188"/>
      <c r="AT393" s="188"/>
      <c r="AU393" s="188"/>
      <c r="AV393" s="188"/>
      <c r="AW393" s="188"/>
      <c r="AX393" s="188"/>
      <c r="AY393" s="188"/>
      <c r="AZ393" s="188"/>
      <c r="BA393" s="188"/>
      <c r="BB393" s="188"/>
      <c r="BC393" s="188"/>
      <c r="BD393" s="188"/>
      <c r="BE393" s="188"/>
      <c r="BF393" s="188"/>
      <c r="BG393" s="188"/>
      <c r="BH393" s="188"/>
      <c r="BI393" s="188"/>
    </row>
    <row r="394" spans="16:68" ht="15" customHeight="1" outlineLevel="1">
      <c r="Q394" s="1" t="s">
        <v>199</v>
      </c>
      <c r="W394" s="98" t="e">
        <f t="shared" ref="W394:AB399" ca="1" si="442">IF($D$2=FALSE,"-",IF(W$13="","",SUM(OFFSET($AF394,0,W$8,1,-$E$5))))</f>
        <v>#N/A</v>
      </c>
      <c r="X394" s="98">
        <f t="shared" ca="1" si="442"/>
        <v>16.828422499999999</v>
      </c>
      <c r="Y394" s="98">
        <f t="shared" ca="1" si="442"/>
        <v>7.8308881557492835</v>
      </c>
      <c r="Z394" s="98">
        <f t="shared" ca="1" si="442"/>
        <v>2.0477586446815366</v>
      </c>
      <c r="AA394" s="98">
        <f t="shared" ca="1" si="442"/>
        <v>1</v>
      </c>
      <c r="AB394" s="98">
        <f t="shared" ca="1" si="442"/>
        <v>1</v>
      </c>
      <c r="AC394" s="258" t="s">
        <v>219</v>
      </c>
      <c r="AD394" s="98" t="e">
        <f t="shared" ref="AD394:AD399" ca="1" si="443">IF($D$2=FALSE,"-",IF(AD$13="","",SUM(OFFSET($AF394,0,$F$4-AD$7-1,1,-$E$5))+SUM(OFFSET($AF394,0,$F$4-1,1,-AD$7))-SUM(OFFSET($AF394,0,$F$4-$E$5-1,1,-AD$7))))</f>
        <v>#N/A</v>
      </c>
      <c r="AF394" s="97" t="e">
        <f t="shared" ref="AF394:BI394" ca="1" si="444">IF($D$2=FALSE,"-",IF(AF$13="","",AF385+SUMPRODUCT(AF386:AF390,$S386:$S390)))</f>
        <v>#N/A</v>
      </c>
      <c r="AG394" s="98">
        <f t="shared" ca="1" si="444"/>
        <v>16.828422499999999</v>
      </c>
      <c r="AH394" s="98">
        <f t="shared" ca="1" si="444"/>
        <v>7.8308881557492835</v>
      </c>
      <c r="AI394" s="98">
        <f t="shared" ca="1" si="444"/>
        <v>2.0477586446815366</v>
      </c>
      <c r="AJ394" s="98">
        <f t="shared" ca="1" si="444"/>
        <v>1</v>
      </c>
      <c r="AK394" s="98">
        <f t="shared" ca="1" si="444"/>
        <v>1</v>
      </c>
      <c r="AL394" s="98" t="str">
        <f t="shared" ca="1" si="444"/>
        <v/>
      </c>
      <c r="AM394" s="98" t="str">
        <f t="shared" ca="1" si="444"/>
        <v/>
      </c>
      <c r="AN394" s="98" t="str">
        <f t="shared" ca="1" si="444"/>
        <v/>
      </c>
      <c r="AO394" s="98" t="str">
        <f t="shared" ca="1" si="444"/>
        <v/>
      </c>
      <c r="AP394" s="98" t="str">
        <f t="shared" ca="1" si="444"/>
        <v/>
      </c>
      <c r="AQ394" s="98" t="str">
        <f t="shared" ca="1" si="444"/>
        <v/>
      </c>
      <c r="AR394" s="98" t="str">
        <f t="shared" ca="1" si="444"/>
        <v/>
      </c>
      <c r="AS394" s="98" t="str">
        <f t="shared" ca="1" si="444"/>
        <v/>
      </c>
      <c r="AT394" s="98" t="str">
        <f t="shared" ca="1" si="444"/>
        <v/>
      </c>
      <c r="AU394" s="98" t="str">
        <f t="shared" ca="1" si="444"/>
        <v/>
      </c>
      <c r="AV394" s="98" t="str">
        <f t="shared" ca="1" si="444"/>
        <v/>
      </c>
      <c r="AW394" s="98" t="str">
        <f t="shared" ca="1" si="444"/>
        <v/>
      </c>
      <c r="AX394" s="98" t="str">
        <f t="shared" ca="1" si="444"/>
        <v/>
      </c>
      <c r="AY394" s="98" t="str">
        <f t="shared" ca="1" si="444"/>
        <v/>
      </c>
      <c r="AZ394" s="98" t="str">
        <f t="shared" ca="1" si="444"/>
        <v/>
      </c>
      <c r="BA394" s="98" t="str">
        <f t="shared" ca="1" si="444"/>
        <v/>
      </c>
      <c r="BB394" s="98" t="str">
        <f t="shared" ca="1" si="444"/>
        <v/>
      </c>
      <c r="BC394" s="98" t="str">
        <f t="shared" ca="1" si="444"/>
        <v/>
      </c>
      <c r="BD394" s="98" t="str">
        <f t="shared" ca="1" si="444"/>
        <v/>
      </c>
      <c r="BE394" s="98" t="str">
        <f t="shared" ca="1" si="444"/>
        <v/>
      </c>
      <c r="BF394" s="98" t="str">
        <f t="shared" ca="1" si="444"/>
        <v/>
      </c>
      <c r="BG394" s="98" t="str">
        <f t="shared" ca="1" si="444"/>
        <v/>
      </c>
      <c r="BH394" s="98" t="str">
        <f t="shared" ca="1" si="444"/>
        <v/>
      </c>
      <c r="BI394" s="98" t="str">
        <f t="shared" ca="1" si="444"/>
        <v/>
      </c>
      <c r="BK394" s="84"/>
      <c r="BL394" s="84"/>
      <c r="BM394" s="84"/>
      <c r="BN394" s="84"/>
      <c r="BO394" s="84"/>
      <c r="BP394" s="84"/>
    </row>
    <row r="395" spans="16:68" ht="15" customHeight="1" outlineLevel="1">
      <c r="Q395" s="1" t="s">
        <v>200</v>
      </c>
      <c r="W395" s="98" t="e">
        <f t="shared" ca="1" si="442"/>
        <v>#N/A</v>
      </c>
      <c r="X395" s="98">
        <f t="shared" ca="1" si="442"/>
        <v>29.607172499999997</v>
      </c>
      <c r="Y395" s="98">
        <f t="shared" ca="1" si="442"/>
        <v>20.427763155749282</v>
      </c>
      <c r="Z395" s="98">
        <f t="shared" ca="1" si="442"/>
        <v>14.48086505093154</v>
      </c>
      <c r="AA395" s="98">
        <f t="shared" ca="1" si="442"/>
        <v>24.075108546093755</v>
      </c>
      <c r="AB395" s="98">
        <f t="shared" ca="1" si="442"/>
        <v>23.980108546093749</v>
      </c>
      <c r="AC395" s="258" t="s">
        <v>219</v>
      </c>
      <c r="AD395" s="98" t="e">
        <f t="shared" ca="1" si="443"/>
        <v>#N/A</v>
      </c>
      <c r="AF395" s="97" t="e">
        <f t="shared" ref="AF395:BI395" ca="1" si="445">IF($D$2=FALSE,"-",IF(AF$13="","",AF385+SUM(AF386:AF390)-SUMPRODUCT(AF386:AF390,AF403:AF407)-(SUMPRODUCT(AF386:AF390,$T386:$T390)-SUMPRODUCT(AF386:AF390,AF403:AF407,$T386:$T390))))</f>
        <v>#N/A</v>
      </c>
      <c r="AG395" s="98">
        <f t="shared" ca="1" si="445"/>
        <v>29.607172499999997</v>
      </c>
      <c r="AH395" s="98">
        <f t="shared" ca="1" si="445"/>
        <v>20.427763155749282</v>
      </c>
      <c r="AI395" s="98">
        <f t="shared" ca="1" si="445"/>
        <v>14.48086505093154</v>
      </c>
      <c r="AJ395" s="98">
        <f t="shared" ca="1" si="445"/>
        <v>24.075108546093755</v>
      </c>
      <c r="AK395" s="98">
        <f t="shared" ca="1" si="445"/>
        <v>23.980108546093749</v>
      </c>
      <c r="AL395" s="98" t="str">
        <f t="shared" ca="1" si="445"/>
        <v/>
      </c>
      <c r="AM395" s="98" t="str">
        <f t="shared" ca="1" si="445"/>
        <v/>
      </c>
      <c r="AN395" s="98" t="str">
        <f t="shared" ca="1" si="445"/>
        <v/>
      </c>
      <c r="AO395" s="98" t="str">
        <f t="shared" ca="1" si="445"/>
        <v/>
      </c>
      <c r="AP395" s="98" t="str">
        <f t="shared" ca="1" si="445"/>
        <v/>
      </c>
      <c r="AQ395" s="98" t="str">
        <f t="shared" ca="1" si="445"/>
        <v/>
      </c>
      <c r="AR395" s="98" t="str">
        <f t="shared" ca="1" si="445"/>
        <v/>
      </c>
      <c r="AS395" s="98" t="str">
        <f t="shared" ca="1" si="445"/>
        <v/>
      </c>
      <c r="AT395" s="98" t="str">
        <f t="shared" ca="1" si="445"/>
        <v/>
      </c>
      <c r="AU395" s="98" t="str">
        <f t="shared" ca="1" si="445"/>
        <v/>
      </c>
      <c r="AV395" s="98" t="str">
        <f t="shared" ca="1" si="445"/>
        <v/>
      </c>
      <c r="AW395" s="98" t="str">
        <f t="shared" ca="1" si="445"/>
        <v/>
      </c>
      <c r="AX395" s="98" t="str">
        <f t="shared" ca="1" si="445"/>
        <v/>
      </c>
      <c r="AY395" s="98" t="str">
        <f t="shared" ca="1" si="445"/>
        <v/>
      </c>
      <c r="AZ395" s="98" t="str">
        <f t="shared" ca="1" si="445"/>
        <v/>
      </c>
      <c r="BA395" s="98" t="str">
        <f t="shared" ca="1" si="445"/>
        <v/>
      </c>
      <c r="BB395" s="98" t="str">
        <f t="shared" ca="1" si="445"/>
        <v/>
      </c>
      <c r="BC395" s="98" t="str">
        <f t="shared" ca="1" si="445"/>
        <v/>
      </c>
      <c r="BD395" s="98" t="str">
        <f t="shared" ca="1" si="445"/>
        <v/>
      </c>
      <c r="BE395" s="98" t="str">
        <f t="shared" ca="1" si="445"/>
        <v/>
      </c>
      <c r="BF395" s="98" t="str">
        <f t="shared" ca="1" si="445"/>
        <v/>
      </c>
      <c r="BG395" s="98" t="str">
        <f t="shared" ca="1" si="445"/>
        <v/>
      </c>
      <c r="BH395" s="98" t="str">
        <f t="shared" ca="1" si="445"/>
        <v/>
      </c>
      <c r="BI395" s="98" t="str">
        <f t="shared" ca="1" si="445"/>
        <v/>
      </c>
      <c r="BK395" s="84"/>
      <c r="BL395" s="84"/>
      <c r="BM395" s="84"/>
      <c r="BN395" s="84"/>
      <c r="BO395" s="84"/>
      <c r="BP395" s="84"/>
    </row>
    <row r="396" spans="16:68" ht="15" customHeight="1" outlineLevel="1">
      <c r="Q396" s="100" t="s">
        <v>201</v>
      </c>
      <c r="R396" s="100"/>
      <c r="S396" s="100"/>
      <c r="T396" s="100"/>
      <c r="U396" s="100"/>
      <c r="W396" s="103" t="e">
        <f t="shared" ca="1" si="442"/>
        <v>#N/A</v>
      </c>
      <c r="X396" s="103">
        <f t="shared" ca="1" si="442"/>
        <v>38.632172499999996</v>
      </c>
      <c r="Y396" s="103">
        <f t="shared" ca="1" si="442"/>
        <v>29.833950655749284</v>
      </c>
      <c r="Z396" s="103">
        <f t="shared" ca="1" si="442"/>
        <v>24.286346457181537</v>
      </c>
      <c r="AA396" s="103">
        <f t="shared" ca="1" si="442"/>
        <v>24.075108546093755</v>
      </c>
      <c r="AB396" s="103">
        <f t="shared" ca="1" si="442"/>
        <v>23.980108546093749</v>
      </c>
      <c r="AC396" s="258" t="s">
        <v>219</v>
      </c>
      <c r="AD396" s="103" t="e">
        <f t="shared" ca="1" si="443"/>
        <v>#N/A</v>
      </c>
      <c r="AF396" s="102" t="e">
        <f t="shared" ref="AF396:BI396" ca="1" si="446">IF($D$2=FALSE,"-",IF(AF$13="","",SUM(AF385,AF386:AF390)-SUMPRODUCT(AF386:AF390,$T386:$T390)))</f>
        <v>#N/A</v>
      </c>
      <c r="AG396" s="103">
        <f t="shared" ca="1" si="446"/>
        <v>38.632172499999996</v>
      </c>
      <c r="AH396" s="103">
        <f t="shared" ca="1" si="446"/>
        <v>29.833950655749284</v>
      </c>
      <c r="AI396" s="103">
        <f t="shared" ca="1" si="446"/>
        <v>24.286346457181537</v>
      </c>
      <c r="AJ396" s="103">
        <f t="shared" ca="1" si="446"/>
        <v>24.075108546093755</v>
      </c>
      <c r="AK396" s="103">
        <f t="shared" ca="1" si="446"/>
        <v>23.980108546093749</v>
      </c>
      <c r="AL396" s="103" t="str">
        <f t="shared" ca="1" si="446"/>
        <v/>
      </c>
      <c r="AM396" s="103" t="str">
        <f t="shared" ca="1" si="446"/>
        <v/>
      </c>
      <c r="AN396" s="103" t="str">
        <f t="shared" ca="1" si="446"/>
        <v/>
      </c>
      <c r="AO396" s="103" t="str">
        <f t="shared" ca="1" si="446"/>
        <v/>
      </c>
      <c r="AP396" s="103" t="str">
        <f t="shared" ca="1" si="446"/>
        <v/>
      </c>
      <c r="AQ396" s="103" t="str">
        <f t="shared" ca="1" si="446"/>
        <v/>
      </c>
      <c r="AR396" s="103" t="str">
        <f t="shared" ca="1" si="446"/>
        <v/>
      </c>
      <c r="AS396" s="103" t="str">
        <f t="shared" ca="1" si="446"/>
        <v/>
      </c>
      <c r="AT396" s="103" t="str">
        <f t="shared" ca="1" si="446"/>
        <v/>
      </c>
      <c r="AU396" s="103" t="str">
        <f t="shared" ca="1" si="446"/>
        <v/>
      </c>
      <c r="AV396" s="103" t="str">
        <f t="shared" ca="1" si="446"/>
        <v/>
      </c>
      <c r="AW396" s="103" t="str">
        <f t="shared" ca="1" si="446"/>
        <v/>
      </c>
      <c r="AX396" s="103" t="str">
        <f t="shared" ca="1" si="446"/>
        <v/>
      </c>
      <c r="AY396" s="103" t="str">
        <f t="shared" ca="1" si="446"/>
        <v/>
      </c>
      <c r="AZ396" s="103" t="str">
        <f t="shared" ca="1" si="446"/>
        <v/>
      </c>
      <c r="BA396" s="103" t="str">
        <f t="shared" ca="1" si="446"/>
        <v/>
      </c>
      <c r="BB396" s="103" t="str">
        <f t="shared" ca="1" si="446"/>
        <v/>
      </c>
      <c r="BC396" s="103" t="str">
        <f t="shared" ca="1" si="446"/>
        <v/>
      </c>
      <c r="BD396" s="103" t="str">
        <f t="shared" ca="1" si="446"/>
        <v/>
      </c>
      <c r="BE396" s="103" t="str">
        <f t="shared" ca="1" si="446"/>
        <v/>
      </c>
      <c r="BF396" s="103" t="str">
        <f t="shared" ca="1" si="446"/>
        <v/>
      </c>
      <c r="BG396" s="103" t="str">
        <f t="shared" ca="1" si="446"/>
        <v/>
      </c>
      <c r="BH396" s="103" t="str">
        <f t="shared" ca="1" si="446"/>
        <v/>
      </c>
      <c r="BI396" s="103" t="str">
        <f t="shared" ca="1" si="446"/>
        <v/>
      </c>
      <c r="BK396" s="84"/>
      <c r="BL396" s="84"/>
      <c r="BM396" s="84"/>
      <c r="BN396" s="84"/>
      <c r="BO396" s="84"/>
      <c r="BP396" s="84"/>
    </row>
    <row r="397" spans="16:68" ht="15" customHeight="1" outlineLevel="1">
      <c r="Q397" s="1" t="s">
        <v>202</v>
      </c>
      <c r="W397" s="98" t="e">
        <f t="shared" ca="1" si="442"/>
        <v>#N/A</v>
      </c>
      <c r="X397" s="98">
        <f t="shared" ca="1" si="442"/>
        <v>0</v>
      </c>
      <c r="Y397" s="98">
        <f t="shared" ca="1" si="442"/>
        <v>0</v>
      </c>
      <c r="Z397" s="98">
        <f t="shared" ca="1" si="442"/>
        <v>0</v>
      </c>
      <c r="AA397" s="98">
        <f t="shared" ca="1" si="442"/>
        <v>0</v>
      </c>
      <c r="AB397" s="98">
        <f t="shared" ca="1" si="442"/>
        <v>0</v>
      </c>
      <c r="AC397" s="258" t="s">
        <v>219</v>
      </c>
      <c r="AD397" s="98" t="e">
        <f t="shared" ca="1" si="443"/>
        <v>#N/A</v>
      </c>
      <c r="AF397" s="97" t="e">
        <f t="shared" ref="AF397:BI397" ca="1" si="447">IF($D$2=FALSE,"-",IF(AF$13="","",SUMPRODUCT(AF386:AF390,$T386:$T390,$U386:$U390)))</f>
        <v>#N/A</v>
      </c>
      <c r="AG397" s="98">
        <f t="shared" ca="1" si="447"/>
        <v>0</v>
      </c>
      <c r="AH397" s="98">
        <f t="shared" ca="1" si="447"/>
        <v>0</v>
      </c>
      <c r="AI397" s="98">
        <f t="shared" ca="1" si="447"/>
        <v>0</v>
      </c>
      <c r="AJ397" s="98">
        <f t="shared" ca="1" si="447"/>
        <v>0</v>
      </c>
      <c r="AK397" s="98">
        <f t="shared" ca="1" si="447"/>
        <v>0</v>
      </c>
      <c r="AL397" s="98" t="str">
        <f t="shared" ca="1" si="447"/>
        <v/>
      </c>
      <c r="AM397" s="98" t="str">
        <f t="shared" ca="1" si="447"/>
        <v/>
      </c>
      <c r="AN397" s="98" t="str">
        <f t="shared" ca="1" si="447"/>
        <v/>
      </c>
      <c r="AO397" s="98" t="str">
        <f t="shared" ca="1" si="447"/>
        <v/>
      </c>
      <c r="AP397" s="98" t="str">
        <f t="shared" ca="1" si="447"/>
        <v/>
      </c>
      <c r="AQ397" s="98" t="str">
        <f t="shared" ca="1" si="447"/>
        <v/>
      </c>
      <c r="AR397" s="98" t="str">
        <f t="shared" ca="1" si="447"/>
        <v/>
      </c>
      <c r="AS397" s="98" t="str">
        <f t="shared" ca="1" si="447"/>
        <v/>
      </c>
      <c r="AT397" s="98" t="str">
        <f t="shared" ca="1" si="447"/>
        <v/>
      </c>
      <c r="AU397" s="98" t="str">
        <f t="shared" ca="1" si="447"/>
        <v/>
      </c>
      <c r="AV397" s="98" t="str">
        <f t="shared" ca="1" si="447"/>
        <v/>
      </c>
      <c r="AW397" s="98" t="str">
        <f t="shared" ca="1" si="447"/>
        <v/>
      </c>
      <c r="AX397" s="98" t="str">
        <f t="shared" ca="1" si="447"/>
        <v/>
      </c>
      <c r="AY397" s="98" t="str">
        <f t="shared" ca="1" si="447"/>
        <v/>
      </c>
      <c r="AZ397" s="98" t="str">
        <f t="shared" ca="1" si="447"/>
        <v/>
      </c>
      <c r="BA397" s="98" t="str">
        <f t="shared" ca="1" si="447"/>
        <v/>
      </c>
      <c r="BB397" s="98" t="str">
        <f t="shared" ca="1" si="447"/>
        <v/>
      </c>
      <c r="BC397" s="98" t="str">
        <f t="shared" ca="1" si="447"/>
        <v/>
      </c>
      <c r="BD397" s="98" t="str">
        <f t="shared" ca="1" si="447"/>
        <v/>
      </c>
      <c r="BE397" s="98" t="str">
        <f t="shared" ca="1" si="447"/>
        <v/>
      </c>
      <c r="BF397" s="98" t="str">
        <f t="shared" ca="1" si="447"/>
        <v/>
      </c>
      <c r="BG397" s="98" t="str">
        <f t="shared" ca="1" si="447"/>
        <v/>
      </c>
      <c r="BH397" s="98" t="str">
        <f t="shared" ca="1" si="447"/>
        <v/>
      </c>
      <c r="BI397" s="98" t="str">
        <f t="shared" ca="1" si="447"/>
        <v/>
      </c>
      <c r="BK397" s="84"/>
      <c r="BL397" s="84"/>
      <c r="BM397" s="84"/>
      <c r="BN397" s="84"/>
      <c r="BO397" s="84"/>
      <c r="BP397" s="84"/>
    </row>
    <row r="398" spans="16:68" ht="15" customHeight="1" outlineLevel="1">
      <c r="Q398" s="100" t="s">
        <v>203</v>
      </c>
      <c r="R398" s="100"/>
      <c r="S398" s="100"/>
      <c r="T398" s="100"/>
      <c r="U398" s="100"/>
      <c r="W398" s="103" t="e">
        <f t="shared" ca="1" si="442"/>
        <v>#N/A</v>
      </c>
      <c r="X398" s="103">
        <f t="shared" ca="1" si="442"/>
        <v>10.25</v>
      </c>
      <c r="Y398" s="103">
        <f t="shared" ca="1" si="442"/>
        <v>10.147499999999999</v>
      </c>
      <c r="Z398" s="103">
        <f t="shared" ca="1" si="442"/>
        <v>10.045</v>
      </c>
      <c r="AA398" s="103">
        <f t="shared" ca="1" si="442"/>
        <v>9.942499999999999</v>
      </c>
      <c r="AB398" s="103">
        <f t="shared" ca="1" si="442"/>
        <v>9.84</v>
      </c>
      <c r="AC398" s="258" t="s">
        <v>219</v>
      </c>
      <c r="AD398" s="103" t="e">
        <f t="shared" ca="1" si="443"/>
        <v>#N/A</v>
      </c>
      <c r="AF398" s="102" t="e">
        <f t="shared" ref="AF398:BI398" ca="1" si="448">IF($D$2=FALSE,"-",IF(AF$13="","",SUMPRODUCT(AF386:AF390,$T386:$T390)-AF397))</f>
        <v>#N/A</v>
      </c>
      <c r="AG398" s="103">
        <f t="shared" ca="1" si="448"/>
        <v>10.25</v>
      </c>
      <c r="AH398" s="103">
        <f t="shared" ca="1" si="448"/>
        <v>10.147499999999999</v>
      </c>
      <c r="AI398" s="103">
        <f t="shared" ca="1" si="448"/>
        <v>10.045</v>
      </c>
      <c r="AJ398" s="103">
        <f t="shared" ca="1" si="448"/>
        <v>9.942499999999999</v>
      </c>
      <c r="AK398" s="103">
        <f t="shared" ca="1" si="448"/>
        <v>9.84</v>
      </c>
      <c r="AL398" s="103" t="str">
        <f t="shared" ca="1" si="448"/>
        <v/>
      </c>
      <c r="AM398" s="103" t="str">
        <f t="shared" ca="1" si="448"/>
        <v/>
      </c>
      <c r="AN398" s="103" t="str">
        <f t="shared" ca="1" si="448"/>
        <v/>
      </c>
      <c r="AO398" s="103" t="str">
        <f t="shared" ca="1" si="448"/>
        <v/>
      </c>
      <c r="AP398" s="103" t="str">
        <f t="shared" ca="1" si="448"/>
        <v/>
      </c>
      <c r="AQ398" s="103" t="str">
        <f t="shared" ca="1" si="448"/>
        <v/>
      </c>
      <c r="AR398" s="103" t="str">
        <f t="shared" ca="1" si="448"/>
        <v/>
      </c>
      <c r="AS398" s="103" t="str">
        <f t="shared" ca="1" si="448"/>
        <v/>
      </c>
      <c r="AT398" s="103" t="str">
        <f t="shared" ca="1" si="448"/>
        <v/>
      </c>
      <c r="AU398" s="103" t="str">
        <f t="shared" ca="1" si="448"/>
        <v/>
      </c>
      <c r="AV398" s="103" t="str">
        <f t="shared" ca="1" si="448"/>
        <v/>
      </c>
      <c r="AW398" s="103" t="str">
        <f t="shared" ca="1" si="448"/>
        <v/>
      </c>
      <c r="AX398" s="103" t="str">
        <f t="shared" ca="1" si="448"/>
        <v/>
      </c>
      <c r="AY398" s="103" t="str">
        <f t="shared" ca="1" si="448"/>
        <v/>
      </c>
      <c r="AZ398" s="103" t="str">
        <f t="shared" ca="1" si="448"/>
        <v/>
      </c>
      <c r="BA398" s="103" t="str">
        <f t="shared" ca="1" si="448"/>
        <v/>
      </c>
      <c r="BB398" s="103" t="str">
        <f t="shared" ca="1" si="448"/>
        <v/>
      </c>
      <c r="BC398" s="103" t="str">
        <f t="shared" ca="1" si="448"/>
        <v/>
      </c>
      <c r="BD398" s="103" t="str">
        <f t="shared" ca="1" si="448"/>
        <v/>
      </c>
      <c r="BE398" s="103" t="str">
        <f t="shared" ca="1" si="448"/>
        <v/>
      </c>
      <c r="BF398" s="103" t="str">
        <f t="shared" ca="1" si="448"/>
        <v/>
      </c>
      <c r="BG398" s="103" t="str">
        <f t="shared" ca="1" si="448"/>
        <v/>
      </c>
      <c r="BH398" s="103" t="str">
        <f t="shared" ca="1" si="448"/>
        <v/>
      </c>
      <c r="BI398" s="103" t="str">
        <f t="shared" ca="1" si="448"/>
        <v/>
      </c>
      <c r="BK398" s="84"/>
      <c r="BL398" s="84"/>
      <c r="BM398" s="84"/>
      <c r="BN398" s="84"/>
      <c r="BO398" s="84"/>
      <c r="BP398" s="84"/>
    </row>
    <row r="399" spans="16:68" ht="15" customHeight="1" outlineLevel="1">
      <c r="Q399" s="1" t="s">
        <v>204</v>
      </c>
      <c r="W399" s="98">
        <f t="shared" ca="1" si="442"/>
        <v>10.25</v>
      </c>
      <c r="X399" s="98">
        <f t="shared" ca="1" si="442"/>
        <v>10.25</v>
      </c>
      <c r="Y399" s="98">
        <f t="shared" ca="1" si="442"/>
        <v>10.147499999999999</v>
      </c>
      <c r="Z399" s="98">
        <f t="shared" ca="1" si="442"/>
        <v>10.045</v>
      </c>
      <c r="AA399" s="98">
        <f t="shared" ca="1" si="442"/>
        <v>9.942499999999999</v>
      </c>
      <c r="AB399" s="98">
        <f t="shared" ca="1" si="442"/>
        <v>9.84</v>
      </c>
      <c r="AC399" s="258" t="s">
        <v>219</v>
      </c>
      <c r="AD399" s="98" t="e">
        <f t="shared" ca="1" si="443"/>
        <v>#N/A</v>
      </c>
      <c r="AF399" s="281">
        <f ca="1">IF($D$2=FALSE,"-",IF(AF$13="","",IF(AF$4&lt;=0,AF39,AF397+AF398)))</f>
        <v>10.25</v>
      </c>
      <c r="AG399" s="282">
        <f t="shared" ref="AG399:BI399" ca="1" si="449">IF($D$2=FALSE,"-",IF(AG$13="","",IF(AG$4&lt;=0,AG39,AG397+AG398)))</f>
        <v>10.25</v>
      </c>
      <c r="AH399" s="282">
        <f t="shared" ca="1" si="449"/>
        <v>10.147499999999999</v>
      </c>
      <c r="AI399" s="282">
        <f t="shared" ca="1" si="449"/>
        <v>10.045</v>
      </c>
      <c r="AJ399" s="282">
        <f t="shared" ca="1" si="449"/>
        <v>9.942499999999999</v>
      </c>
      <c r="AK399" s="282">
        <f t="shared" ca="1" si="449"/>
        <v>9.84</v>
      </c>
      <c r="AL399" s="282" t="str">
        <f t="shared" ca="1" si="449"/>
        <v/>
      </c>
      <c r="AM399" s="282" t="str">
        <f t="shared" ca="1" si="449"/>
        <v/>
      </c>
      <c r="AN399" s="282" t="str">
        <f t="shared" ca="1" si="449"/>
        <v/>
      </c>
      <c r="AO399" s="282" t="str">
        <f t="shared" ca="1" si="449"/>
        <v/>
      </c>
      <c r="AP399" s="282" t="str">
        <f t="shared" ca="1" si="449"/>
        <v/>
      </c>
      <c r="AQ399" s="282" t="str">
        <f t="shared" ca="1" si="449"/>
        <v/>
      </c>
      <c r="AR399" s="282" t="str">
        <f t="shared" ca="1" si="449"/>
        <v/>
      </c>
      <c r="AS399" s="282" t="str">
        <f t="shared" ca="1" si="449"/>
        <v/>
      </c>
      <c r="AT399" s="282" t="str">
        <f t="shared" ca="1" si="449"/>
        <v/>
      </c>
      <c r="AU399" s="282" t="str">
        <f t="shared" ca="1" si="449"/>
        <v/>
      </c>
      <c r="AV399" s="282" t="str">
        <f t="shared" ca="1" si="449"/>
        <v/>
      </c>
      <c r="AW399" s="282" t="str">
        <f t="shared" ca="1" si="449"/>
        <v/>
      </c>
      <c r="AX399" s="282" t="str">
        <f t="shared" ca="1" si="449"/>
        <v/>
      </c>
      <c r="AY399" s="282" t="str">
        <f t="shared" ca="1" si="449"/>
        <v/>
      </c>
      <c r="AZ399" s="282" t="str">
        <f t="shared" ca="1" si="449"/>
        <v/>
      </c>
      <c r="BA399" s="282" t="str">
        <f t="shared" ca="1" si="449"/>
        <v/>
      </c>
      <c r="BB399" s="282" t="str">
        <f t="shared" ca="1" si="449"/>
        <v/>
      </c>
      <c r="BC399" s="282" t="str">
        <f t="shared" ca="1" si="449"/>
        <v/>
      </c>
      <c r="BD399" s="282" t="str">
        <f t="shared" ca="1" si="449"/>
        <v/>
      </c>
      <c r="BE399" s="282" t="str">
        <f t="shared" ca="1" si="449"/>
        <v/>
      </c>
      <c r="BF399" s="282" t="str">
        <f t="shared" ca="1" si="449"/>
        <v/>
      </c>
      <c r="BG399" s="282" t="str">
        <f t="shared" ca="1" si="449"/>
        <v/>
      </c>
      <c r="BH399" s="282" t="str">
        <f t="shared" ca="1" si="449"/>
        <v/>
      </c>
      <c r="BI399" s="282" t="str">
        <f t="shared" ca="1" si="449"/>
        <v/>
      </c>
      <c r="BK399" s="84"/>
      <c r="BL399" s="84"/>
      <c r="BM399" s="84"/>
      <c r="BN399" s="84"/>
      <c r="BO399" s="84"/>
      <c r="BP399" s="84"/>
    </row>
    <row r="400" spans="16:68" ht="15" customHeight="1" outlineLevel="1">
      <c r="W400" s="98"/>
      <c r="X400" s="98"/>
      <c r="Y400" s="98"/>
      <c r="Z400" s="98"/>
      <c r="AA400" s="98"/>
      <c r="AB400" s="98"/>
      <c r="AC400" s="98"/>
      <c r="AD400" s="98"/>
      <c r="AF400" s="187"/>
      <c r="AG400" s="188"/>
      <c r="AH400" s="188"/>
      <c r="AI400" s="188"/>
      <c r="AJ400" s="188"/>
      <c r="AK400" s="188"/>
      <c r="AL400" s="188"/>
      <c r="AM400" s="188"/>
      <c r="AN400" s="188"/>
      <c r="AO400" s="188"/>
      <c r="AP400" s="188"/>
      <c r="AQ400" s="188"/>
      <c r="AR400" s="188"/>
      <c r="AS400" s="188"/>
      <c r="AT400" s="188"/>
      <c r="AU400" s="188"/>
      <c r="AV400" s="188"/>
      <c r="AW400" s="188"/>
      <c r="AX400" s="188"/>
      <c r="AY400" s="188"/>
      <c r="AZ400" s="188"/>
      <c r="BA400" s="188"/>
      <c r="BB400" s="188"/>
      <c r="BC400" s="188"/>
      <c r="BD400" s="188"/>
      <c r="BE400" s="188"/>
      <c r="BF400" s="188"/>
      <c r="BG400" s="188"/>
      <c r="BH400" s="188"/>
      <c r="BI400" s="188"/>
    </row>
    <row r="401" spans="1:68" ht="15" customHeight="1" outlineLevel="1">
      <c r="Q401" s="25" t="s">
        <v>205</v>
      </c>
      <c r="R401" s="25"/>
      <c r="S401" s="25"/>
      <c r="T401" s="25"/>
      <c r="U401" s="25"/>
      <c r="W401" s="235"/>
      <c r="X401" s="235"/>
      <c r="Y401" s="235"/>
      <c r="Z401" s="235"/>
      <c r="AA401" s="235"/>
      <c r="AB401" s="235"/>
      <c r="AC401" s="98"/>
      <c r="AD401" s="235"/>
      <c r="AF401" s="189"/>
      <c r="AG401" s="190"/>
      <c r="AH401" s="190"/>
      <c r="AI401" s="190"/>
      <c r="AJ401" s="190"/>
      <c r="AK401" s="190"/>
      <c r="AL401" s="190"/>
      <c r="AM401" s="190"/>
      <c r="AN401" s="190"/>
      <c r="AO401" s="190"/>
      <c r="AP401" s="190"/>
      <c r="AQ401" s="190"/>
      <c r="AR401" s="190"/>
      <c r="AS401" s="190"/>
      <c r="AT401" s="190"/>
      <c r="AU401" s="190"/>
      <c r="AV401" s="190"/>
      <c r="AW401" s="190"/>
      <c r="AX401" s="190"/>
      <c r="AY401" s="190"/>
      <c r="AZ401" s="190"/>
      <c r="BA401" s="190"/>
      <c r="BB401" s="190"/>
      <c r="BC401" s="190"/>
      <c r="BD401" s="190"/>
      <c r="BE401" s="190"/>
      <c r="BF401" s="190"/>
      <c r="BG401" s="190"/>
      <c r="BH401" s="190"/>
      <c r="BI401" s="190"/>
    </row>
    <row r="402" spans="1:68" ht="15" customHeight="1" outlineLevel="1">
      <c r="W402" s="98"/>
      <c r="X402" s="98"/>
      <c r="Y402" s="98"/>
      <c r="Z402" s="98"/>
      <c r="AA402" s="98"/>
      <c r="AB402" s="98"/>
      <c r="AC402" s="98"/>
      <c r="AD402" s="98"/>
      <c r="AF402" s="187"/>
      <c r="AG402" s="188"/>
      <c r="AH402" s="188"/>
      <c r="AI402" s="188"/>
      <c r="AJ402" s="188"/>
      <c r="AK402" s="188"/>
      <c r="AL402" s="188"/>
      <c r="AM402" s="188"/>
      <c r="AN402" s="188"/>
      <c r="AO402" s="188"/>
      <c r="AP402" s="188"/>
      <c r="AQ402" s="188"/>
      <c r="AR402" s="188"/>
      <c r="AS402" s="188"/>
      <c r="AT402" s="188"/>
      <c r="AU402" s="188"/>
      <c r="AV402" s="188"/>
      <c r="AW402" s="188"/>
      <c r="AX402" s="188"/>
      <c r="AY402" s="188"/>
      <c r="AZ402" s="188"/>
      <c r="BA402" s="188"/>
      <c r="BB402" s="188"/>
      <c r="BC402" s="188"/>
      <c r="BD402" s="188"/>
      <c r="BE402" s="188"/>
      <c r="BF402" s="188"/>
      <c r="BG402" s="188"/>
      <c r="BH402" s="188"/>
      <c r="BI402" s="188"/>
    </row>
    <row r="403" spans="1:68" ht="15" customHeight="1" outlineLevel="1">
      <c r="A403" s="6"/>
      <c r="B403" s="34">
        <f t="shared" ref="B403:B407" si="450">$B$57</f>
        <v>44926</v>
      </c>
      <c r="C403" s="34">
        <f t="shared" ref="C403:C407" ca="1" si="451">$C$57</f>
        <v>44926</v>
      </c>
      <c r="D403" s="194" t="e">
        <f ca="1">IF($D$2=FALSE,"-",AVERAGE(OFFSET($AF403,0,MATCH(B403,OFFSET($AF$13,0,0,1,$G$4-$E$4+1),0)-1,1,MATCH(C403,OFFSET($AF$13,0,0,1,$G$4-$E$4+1),0)-MATCH(B403,OFFSET($AF$13,0,0,1,$G$4-$E$4+1),0)+1)))</f>
        <v>#N/A</v>
      </c>
      <c r="E403" s="195">
        <f>IF($D$2=FALSE,0,J403)</f>
        <v>0</v>
      </c>
      <c r="F403" s="194">
        <f>IF($D$2=FALSE,"-",IF(E403="",D403,E403))</f>
        <v>0</v>
      </c>
      <c r="G403" s="34">
        <f t="shared" ref="G403:G407" si="452">$G$57</f>
        <v>44926</v>
      </c>
      <c r="H403" s="37">
        <f t="shared" ref="H403:H407" ca="1" si="453">$H$57</f>
        <v>44926</v>
      </c>
      <c r="I403" s="194" t="e">
        <f ca="1">IF($D$2=FALSE,"-",AVERAGE(OFFSET($AF403,0,MATCH(G403,OFFSET($AF$13,0,0,1,$G$4-$E$4+1),0)-1,1,MATCH(H403,OFFSET($AF$13,0,0,1,$G$4-$E$4+1),0)-MATCH(G403,OFFSET($AF$13,0,0,1,$G$4-$E$4+1),0)+1)))</f>
        <v>#N/A</v>
      </c>
      <c r="J403" s="195">
        <v>0</v>
      </c>
      <c r="K403" s="196">
        <f>IF($D$2=FALSE,"-",IF(J403="",I403,J403))</f>
        <v>0</v>
      </c>
      <c r="L403" s="126">
        <v>5</v>
      </c>
      <c r="M403" s="81">
        <v>0.1</v>
      </c>
      <c r="P403" s="6"/>
      <c r="Q403" s="1" t="str">
        <f>IF($D$2=FALSE,"-",Q325)</f>
        <v>Bank revolver</v>
      </c>
      <c r="V403" s="6"/>
      <c r="W403" s="69">
        <f t="shared" ref="W403:AB405" ca="1" si="454">IF($D$2=FALSE,"-",IF(W$13="","",0))</f>
        <v>0</v>
      </c>
      <c r="X403" s="69">
        <f t="shared" ca="1" si="454"/>
        <v>0</v>
      </c>
      <c r="Y403" s="69">
        <f t="shared" ca="1" si="454"/>
        <v>0</v>
      </c>
      <c r="Z403" s="69">
        <f t="shared" ca="1" si="454"/>
        <v>0</v>
      </c>
      <c r="AA403" s="69">
        <f t="shared" ca="1" si="454"/>
        <v>0</v>
      </c>
      <c r="AB403" s="69">
        <f t="shared" ca="1" si="454"/>
        <v>0</v>
      </c>
      <c r="AC403" s="258" t="s">
        <v>219</v>
      </c>
      <c r="AD403" s="69" t="e">
        <f ca="1">IF($D$2=FALSE,"-",IF(AD$13="","",0))</f>
        <v>#N/A</v>
      </c>
      <c r="AE403" s="6"/>
      <c r="AF403" s="253" t="e">
        <f ca="1">IF($D$2=FALSE,"-",IF(AF$13="","",IF(AF$4&lt;=0,#N/A,IF(AF$4&lt;=$L403,IF($M403=0,$F403-((IF($M403=0,($F403-$K403)/$L403,($K403-$F403)/(EXP(-$M403*$L403)-1)))*(AF$4-1)),($F403-(IF($M403=0,($F403-$K403)/$L403,($K403-$F403)/(EXP(-$M403*$L403)-1))))+((IF($M403=0,($F403-$K403)/$L403,($K403-$F403)/(EXP(-$M403*$L403)-1)))*EXP(-$M403*(AF$4-1)))),$K403))))</f>
        <v>#N/A</v>
      </c>
      <c r="AG403" s="255">
        <f t="shared" ref="AG403:BI405" ca="1" si="455">IF($D$2=FALSE,"-",IF(AG$13="","",IF(AG$4&lt;=0,#N/A,IF(AG$4&lt;=$L403,IF($M403=0,$F403-((IF($M403=0,($F403-$K403)/$L403,($K403-$F403)/(EXP(-$M403*$L403)-1)))*(AG$4-1)),($F403-(IF($M403=0,($F403-$K403)/$L403,($K403-$F403)/(EXP(-$M403*$L403)-1))))+((IF($M403=0,($F403-$K403)/$L403,($K403-$F403)/(EXP(-$M403*$L403)-1)))*EXP(-$M403*(AG$4-1)))),$K403))))</f>
        <v>0</v>
      </c>
      <c r="AH403" s="253">
        <f t="shared" ca="1" si="455"/>
        <v>0</v>
      </c>
      <c r="AI403" s="253">
        <f t="shared" ca="1" si="455"/>
        <v>0</v>
      </c>
      <c r="AJ403" s="253">
        <f t="shared" ca="1" si="455"/>
        <v>0</v>
      </c>
      <c r="AK403" s="253">
        <f t="shared" ca="1" si="455"/>
        <v>0</v>
      </c>
      <c r="AL403" s="253" t="str">
        <f t="shared" ca="1" si="455"/>
        <v/>
      </c>
      <c r="AM403" s="253" t="str">
        <f t="shared" ca="1" si="455"/>
        <v/>
      </c>
      <c r="AN403" s="253" t="str">
        <f t="shared" ca="1" si="455"/>
        <v/>
      </c>
      <c r="AO403" s="253" t="str">
        <f t="shared" ca="1" si="455"/>
        <v/>
      </c>
      <c r="AP403" s="253" t="str">
        <f t="shared" ca="1" si="455"/>
        <v/>
      </c>
      <c r="AQ403" s="253" t="str">
        <f t="shared" ca="1" si="455"/>
        <v/>
      </c>
      <c r="AR403" s="253" t="str">
        <f t="shared" ca="1" si="455"/>
        <v/>
      </c>
      <c r="AS403" s="253" t="str">
        <f t="shared" ca="1" si="455"/>
        <v/>
      </c>
      <c r="AT403" s="253" t="str">
        <f t="shared" ca="1" si="455"/>
        <v/>
      </c>
      <c r="AU403" s="253" t="str">
        <f t="shared" ca="1" si="455"/>
        <v/>
      </c>
      <c r="AV403" s="253" t="str">
        <f t="shared" ca="1" si="455"/>
        <v/>
      </c>
      <c r="AW403" s="253" t="str">
        <f t="shared" ca="1" si="455"/>
        <v/>
      </c>
      <c r="AX403" s="253" t="str">
        <f t="shared" ca="1" si="455"/>
        <v/>
      </c>
      <c r="AY403" s="253" t="str">
        <f t="shared" ca="1" si="455"/>
        <v/>
      </c>
      <c r="AZ403" s="253" t="str">
        <f t="shared" ca="1" si="455"/>
        <v/>
      </c>
      <c r="BA403" s="253" t="str">
        <f t="shared" ca="1" si="455"/>
        <v/>
      </c>
      <c r="BB403" s="253" t="str">
        <f t="shared" ca="1" si="455"/>
        <v/>
      </c>
      <c r="BC403" s="253" t="str">
        <f t="shared" ca="1" si="455"/>
        <v/>
      </c>
      <c r="BD403" s="253" t="str">
        <f t="shared" ca="1" si="455"/>
        <v/>
      </c>
      <c r="BE403" s="253" t="str">
        <f t="shared" ca="1" si="455"/>
        <v/>
      </c>
      <c r="BF403" s="253" t="str">
        <f t="shared" ca="1" si="455"/>
        <v/>
      </c>
      <c r="BG403" s="253" t="str">
        <f t="shared" ca="1" si="455"/>
        <v/>
      </c>
      <c r="BH403" s="253" t="str">
        <f t="shared" ca="1" si="455"/>
        <v/>
      </c>
      <c r="BI403" s="253" t="str">
        <f t="shared" ca="1" si="455"/>
        <v/>
      </c>
      <c r="BK403" s="84"/>
      <c r="BL403" s="84"/>
      <c r="BM403" s="84"/>
      <c r="BN403" s="84"/>
      <c r="BO403" s="84"/>
      <c r="BP403" s="84"/>
    </row>
    <row r="404" spans="1:68" ht="15" customHeight="1" outlineLevel="1">
      <c r="A404" s="6"/>
      <c r="B404" s="34">
        <f t="shared" si="450"/>
        <v>44926</v>
      </c>
      <c r="C404" s="34">
        <f t="shared" ca="1" si="451"/>
        <v>44926</v>
      </c>
      <c r="D404" s="194" t="e">
        <f ca="1">IF($D$2=FALSE,"-",AVERAGE(OFFSET($AF404,0,MATCH(B404,OFFSET($AF$13,0,0,1,$G$4-$E$4+1),0)-1,1,MATCH(C404,OFFSET($AF$13,0,0,1,$G$4-$E$4+1),0)-MATCH(B404,OFFSET($AF$13,0,0,1,$G$4-$E$4+1),0)+1)))</f>
        <v>#N/A</v>
      </c>
      <c r="E404" s="195">
        <f>IF($D$2=FALSE,0,J404)</f>
        <v>0</v>
      </c>
      <c r="F404" s="194">
        <f>IF($D$2=FALSE,"-",IF(E404="",D404,E404))</f>
        <v>0</v>
      </c>
      <c r="G404" s="34">
        <f t="shared" si="452"/>
        <v>44926</v>
      </c>
      <c r="H404" s="37">
        <f t="shared" ca="1" si="453"/>
        <v>44926</v>
      </c>
      <c r="I404" s="194" t="e">
        <f ca="1">IF($D$2=FALSE,"-",AVERAGE(OFFSET($AF404,0,MATCH(G404,OFFSET($AF$13,0,0,1,$G$4-$E$4+1),0)-1,1,MATCH(H404,OFFSET($AF$13,0,0,1,$G$4-$E$4+1),0)-MATCH(G404,OFFSET($AF$13,0,0,1,$G$4-$E$4+1),0)+1)))</f>
        <v>#N/A</v>
      </c>
      <c r="J404" s="195">
        <v>0</v>
      </c>
      <c r="K404" s="196">
        <f>IF($D$2=FALSE,"-",IF(J404="",I404,J404))</f>
        <v>0</v>
      </c>
      <c r="L404" s="126">
        <v>5</v>
      </c>
      <c r="M404" s="81">
        <v>0.1</v>
      </c>
      <c r="P404" s="6"/>
      <c r="Q404" s="1" t="str">
        <f>IF($D$2=FALSE,"-",Q335)</f>
        <v>Senior credit facility</v>
      </c>
      <c r="V404" s="6"/>
      <c r="W404" s="69">
        <f t="shared" ca="1" si="454"/>
        <v>0</v>
      </c>
      <c r="X404" s="69">
        <f t="shared" ca="1" si="454"/>
        <v>0</v>
      </c>
      <c r="Y404" s="69">
        <f t="shared" ca="1" si="454"/>
        <v>0</v>
      </c>
      <c r="Z404" s="69">
        <f t="shared" ca="1" si="454"/>
        <v>0</v>
      </c>
      <c r="AA404" s="69">
        <f t="shared" ca="1" si="454"/>
        <v>0</v>
      </c>
      <c r="AB404" s="69">
        <f t="shared" ca="1" si="454"/>
        <v>0</v>
      </c>
      <c r="AC404" s="258" t="s">
        <v>219</v>
      </c>
      <c r="AD404" s="69" t="e">
        <f ca="1">IF($D$2=FALSE,"-",IF(AD$13="","",0))</f>
        <v>#N/A</v>
      </c>
      <c r="AE404" s="6"/>
      <c r="AF404" s="253" t="e">
        <f ca="1">IF($D$2=FALSE,"-",IF(AF$13="","",IF(AF$4&lt;=0,#N/A,IF(AF$4&lt;=$L404,IF($M404=0,$F404-((IF($M404=0,($F404-$K404)/$L404,($K404-$F404)/(EXP(-$M404*$L404)-1)))*(AF$4-1)),($F404-(IF($M404=0,($F404-$K404)/$L404,($K404-$F404)/(EXP(-$M404*$L404)-1))))+((IF($M404=0,($F404-$K404)/$L404,($K404-$F404)/(EXP(-$M404*$L404)-1)))*EXP(-$M404*(AF$4-1)))),$K404))))</f>
        <v>#N/A</v>
      </c>
      <c r="AG404" s="255">
        <f t="shared" ca="1" si="455"/>
        <v>0</v>
      </c>
      <c r="AH404" s="253">
        <f t="shared" ca="1" si="455"/>
        <v>0</v>
      </c>
      <c r="AI404" s="253">
        <f t="shared" ca="1" si="455"/>
        <v>0</v>
      </c>
      <c r="AJ404" s="253">
        <f t="shared" ca="1" si="455"/>
        <v>0</v>
      </c>
      <c r="AK404" s="253">
        <f t="shared" ca="1" si="455"/>
        <v>0</v>
      </c>
      <c r="AL404" s="253" t="str">
        <f t="shared" ca="1" si="455"/>
        <v/>
      </c>
      <c r="AM404" s="253" t="str">
        <f t="shared" ca="1" si="455"/>
        <v/>
      </c>
      <c r="AN404" s="253" t="str">
        <f t="shared" ca="1" si="455"/>
        <v/>
      </c>
      <c r="AO404" s="253" t="str">
        <f t="shared" ca="1" si="455"/>
        <v/>
      </c>
      <c r="AP404" s="253" t="str">
        <f t="shared" ca="1" si="455"/>
        <v/>
      </c>
      <c r="AQ404" s="253" t="str">
        <f t="shared" ca="1" si="455"/>
        <v/>
      </c>
      <c r="AR404" s="253" t="str">
        <f t="shared" ca="1" si="455"/>
        <v/>
      </c>
      <c r="AS404" s="253" t="str">
        <f t="shared" ca="1" si="455"/>
        <v/>
      </c>
      <c r="AT404" s="253" t="str">
        <f t="shared" ca="1" si="455"/>
        <v/>
      </c>
      <c r="AU404" s="253" t="str">
        <f t="shared" ca="1" si="455"/>
        <v/>
      </c>
      <c r="AV404" s="253" t="str">
        <f t="shared" ca="1" si="455"/>
        <v/>
      </c>
      <c r="AW404" s="253" t="str">
        <f t="shared" ca="1" si="455"/>
        <v/>
      </c>
      <c r="AX404" s="253" t="str">
        <f t="shared" ca="1" si="455"/>
        <v/>
      </c>
      <c r="AY404" s="253" t="str">
        <f t="shared" ca="1" si="455"/>
        <v/>
      </c>
      <c r="AZ404" s="253" t="str">
        <f t="shared" ca="1" si="455"/>
        <v/>
      </c>
      <c r="BA404" s="253" t="str">
        <f t="shared" ca="1" si="455"/>
        <v/>
      </c>
      <c r="BB404" s="253" t="str">
        <f t="shared" ca="1" si="455"/>
        <v/>
      </c>
      <c r="BC404" s="253" t="str">
        <f t="shared" ca="1" si="455"/>
        <v/>
      </c>
      <c r="BD404" s="253" t="str">
        <f t="shared" ca="1" si="455"/>
        <v/>
      </c>
      <c r="BE404" s="253" t="str">
        <f t="shared" ca="1" si="455"/>
        <v/>
      </c>
      <c r="BF404" s="253" t="str">
        <f t="shared" ca="1" si="455"/>
        <v/>
      </c>
      <c r="BG404" s="253" t="str">
        <f t="shared" ca="1" si="455"/>
        <v/>
      </c>
      <c r="BH404" s="253" t="str">
        <f t="shared" ca="1" si="455"/>
        <v/>
      </c>
      <c r="BI404" s="253" t="str">
        <f t="shared" ca="1" si="455"/>
        <v/>
      </c>
      <c r="BK404" s="84"/>
      <c r="BL404" s="84"/>
      <c r="BM404" s="84"/>
      <c r="BN404" s="84"/>
      <c r="BO404" s="84"/>
      <c r="BP404" s="84"/>
    </row>
    <row r="405" spans="1:68" ht="15" customHeight="1" outlineLevel="1">
      <c r="A405" s="6"/>
      <c r="B405" s="34">
        <f t="shared" si="450"/>
        <v>44926</v>
      </c>
      <c r="C405" s="34">
        <f t="shared" ca="1" si="451"/>
        <v>44926</v>
      </c>
      <c r="D405" s="194" t="e">
        <f ca="1">IF($D$2=FALSE,"-",AVERAGE(OFFSET($AF405,0,MATCH(B405,OFFSET($AF$13,0,0,1,$G$4-$E$4+1),0)-1,1,MATCH(C405,OFFSET($AF$13,0,0,1,$G$4-$E$4+1),0)-MATCH(B405,OFFSET($AF$13,0,0,1,$G$4-$E$4+1),0)+1)))</f>
        <v>#N/A</v>
      </c>
      <c r="E405" s="195">
        <f>IF($D$2=FALSE,0,J405)</f>
        <v>0</v>
      </c>
      <c r="F405" s="194">
        <f>IF($D$2=FALSE,"-",IF(E405="",D405,E405))</f>
        <v>0</v>
      </c>
      <c r="G405" s="34">
        <f t="shared" si="452"/>
        <v>44926</v>
      </c>
      <c r="H405" s="37">
        <f t="shared" ca="1" si="453"/>
        <v>44926</v>
      </c>
      <c r="I405" s="194" t="e">
        <f ca="1">IF($D$2=FALSE,"-",AVERAGE(OFFSET($AF405,0,MATCH(G405,OFFSET($AF$13,0,0,1,$G$4-$E$4+1),0)-1,1,MATCH(H405,OFFSET($AF$13,0,0,1,$G$4-$E$4+1),0)-MATCH(G405,OFFSET($AF$13,0,0,1,$G$4-$E$4+1),0)+1)))</f>
        <v>#N/A</v>
      </c>
      <c r="J405" s="195">
        <v>0</v>
      </c>
      <c r="K405" s="196">
        <f>IF($D$2=FALSE,"-",IF(J405="",I405,J405))</f>
        <v>0</v>
      </c>
      <c r="L405" s="126">
        <v>5</v>
      </c>
      <c r="M405" s="81">
        <v>0.1</v>
      </c>
      <c r="P405" s="6"/>
      <c r="Q405" s="100" t="str">
        <f>IF($D$2=FALSE,"-",Q342)</f>
        <v>Subordinated note</v>
      </c>
      <c r="R405" s="100"/>
      <c r="S405" s="100"/>
      <c r="T405" s="100"/>
      <c r="U405" s="100"/>
      <c r="V405" s="6"/>
      <c r="W405" s="149">
        <f t="shared" ca="1" si="454"/>
        <v>0</v>
      </c>
      <c r="X405" s="149">
        <f t="shared" ca="1" si="454"/>
        <v>0</v>
      </c>
      <c r="Y405" s="149">
        <f t="shared" ca="1" si="454"/>
        <v>0</v>
      </c>
      <c r="Z405" s="149">
        <f t="shared" ca="1" si="454"/>
        <v>0</v>
      </c>
      <c r="AA405" s="149">
        <f t="shared" ca="1" si="454"/>
        <v>0</v>
      </c>
      <c r="AB405" s="149">
        <f t="shared" ca="1" si="454"/>
        <v>0</v>
      </c>
      <c r="AC405" s="258" t="s">
        <v>219</v>
      </c>
      <c r="AD405" s="149" t="e">
        <f ca="1">IF($D$2=FALSE,"-",IF(AD$13="","",0))</f>
        <v>#N/A</v>
      </c>
      <c r="AE405" s="6"/>
      <c r="AF405" s="254" t="e">
        <f ca="1">IF($D$2=FALSE,"-",IF(AF$13="","",IF(AF$4&lt;=0,#N/A,IF(AF$4&lt;=$L405,IF($M405=0,$F405-((IF($M405=0,($F405-$K405)/$L405,($K405-$F405)/(EXP(-$M405*$L405)-1)))*(AF$4-1)),($F405-(IF($M405=0,($F405-$K405)/$L405,($K405-$F405)/(EXP(-$M405*$L405)-1))))+((IF($M405=0,($F405-$K405)/$L405,($K405-$F405)/(EXP(-$M405*$L405)-1)))*EXP(-$M405*(AF$4-1)))),$K405))))</f>
        <v>#N/A</v>
      </c>
      <c r="AG405" s="256">
        <f t="shared" ca="1" si="455"/>
        <v>0</v>
      </c>
      <c r="AH405" s="254">
        <f t="shared" ca="1" si="455"/>
        <v>0</v>
      </c>
      <c r="AI405" s="254">
        <f t="shared" ca="1" si="455"/>
        <v>0</v>
      </c>
      <c r="AJ405" s="254">
        <f t="shared" ca="1" si="455"/>
        <v>0</v>
      </c>
      <c r="AK405" s="254">
        <f t="shared" ca="1" si="455"/>
        <v>0</v>
      </c>
      <c r="AL405" s="254" t="str">
        <f t="shared" ca="1" si="455"/>
        <v/>
      </c>
      <c r="AM405" s="254" t="str">
        <f t="shared" ca="1" si="455"/>
        <v/>
      </c>
      <c r="AN405" s="254" t="str">
        <f t="shared" ca="1" si="455"/>
        <v/>
      </c>
      <c r="AO405" s="254" t="str">
        <f t="shared" ca="1" si="455"/>
        <v/>
      </c>
      <c r="AP405" s="254" t="str">
        <f t="shared" ca="1" si="455"/>
        <v/>
      </c>
      <c r="AQ405" s="254" t="str">
        <f t="shared" ca="1" si="455"/>
        <v/>
      </c>
      <c r="AR405" s="254" t="str">
        <f t="shared" ca="1" si="455"/>
        <v/>
      </c>
      <c r="AS405" s="254" t="str">
        <f t="shared" ca="1" si="455"/>
        <v/>
      </c>
      <c r="AT405" s="254" t="str">
        <f t="shared" ca="1" si="455"/>
        <v/>
      </c>
      <c r="AU405" s="254" t="str">
        <f t="shared" ca="1" si="455"/>
        <v/>
      </c>
      <c r="AV405" s="254" t="str">
        <f t="shared" ca="1" si="455"/>
        <v/>
      </c>
      <c r="AW405" s="254" t="str">
        <f t="shared" ca="1" si="455"/>
        <v/>
      </c>
      <c r="AX405" s="254" t="str">
        <f t="shared" ca="1" si="455"/>
        <v/>
      </c>
      <c r="AY405" s="254" t="str">
        <f t="shared" ca="1" si="455"/>
        <v/>
      </c>
      <c r="AZ405" s="254" t="str">
        <f t="shared" ca="1" si="455"/>
        <v/>
      </c>
      <c r="BA405" s="254" t="str">
        <f t="shared" ca="1" si="455"/>
        <v/>
      </c>
      <c r="BB405" s="254" t="str">
        <f t="shared" ca="1" si="455"/>
        <v/>
      </c>
      <c r="BC405" s="254" t="str">
        <f t="shared" ca="1" si="455"/>
        <v/>
      </c>
      <c r="BD405" s="254" t="str">
        <f t="shared" ca="1" si="455"/>
        <v/>
      </c>
      <c r="BE405" s="254" t="str">
        <f t="shared" ca="1" si="455"/>
        <v/>
      </c>
      <c r="BF405" s="254" t="str">
        <f t="shared" ca="1" si="455"/>
        <v/>
      </c>
      <c r="BG405" s="254" t="str">
        <f t="shared" ca="1" si="455"/>
        <v/>
      </c>
      <c r="BH405" s="254" t="str">
        <f t="shared" ca="1" si="455"/>
        <v/>
      </c>
      <c r="BI405" s="254" t="str">
        <f t="shared" ca="1" si="455"/>
        <v/>
      </c>
      <c r="BK405" s="84"/>
      <c r="BL405" s="84"/>
      <c r="BM405" s="84"/>
      <c r="BN405" s="84"/>
      <c r="BO405" s="84"/>
      <c r="BP405" s="84"/>
    </row>
    <row r="406" spans="1:68" ht="15" customHeight="1" outlineLevel="1">
      <c r="A406" s="6"/>
      <c r="B406" s="34">
        <f t="shared" si="450"/>
        <v>44926</v>
      </c>
      <c r="C406" s="34">
        <f t="shared" ca="1" si="451"/>
        <v>44926</v>
      </c>
      <c r="D406" s="194" t="e">
        <f ca="1">IF($D$2=FALSE,"-",AVERAGE(OFFSET($AF406,0,MATCH(B406,OFFSET($AF$13,0,0,1,$G$4-$E$4+1),0)-1,1,MATCH(C406,OFFSET($AF$13,0,0,1,$G$4-$E$4+1),0)-MATCH(B406,OFFSET($AF$13,0,0,1,$G$4-$E$4+1),0)+1)))</f>
        <v>#N/A</v>
      </c>
      <c r="E406" s="195">
        <v>0.5</v>
      </c>
      <c r="F406" s="194">
        <f>IF($D$2=FALSE,"-",IF(E406="",D406,E406))</f>
        <v>0.5</v>
      </c>
      <c r="G406" s="34">
        <f t="shared" si="452"/>
        <v>44926</v>
      </c>
      <c r="H406" s="37">
        <f t="shared" ca="1" si="453"/>
        <v>44926</v>
      </c>
      <c r="I406" s="194" t="e">
        <f ca="1">IF($D$2=FALSE,"-",AVERAGE(OFFSET($AF406,0,MATCH(G406,OFFSET($AF$13,0,0,1,$G$4-$E$4+1),0)-1,1,MATCH(H406,OFFSET($AF$13,0,0,1,$G$4-$E$4+1),0)-MATCH(G406,OFFSET($AF$13,0,0,1,$G$4-$E$4+1),0)+1)))</f>
        <v>#N/A</v>
      </c>
      <c r="J406" s="195">
        <v>0</v>
      </c>
      <c r="K406" s="196">
        <f>IF($D$2=FALSE,"-",IF(J406="",I406,J406))</f>
        <v>0</v>
      </c>
      <c r="L406" s="126">
        <v>3</v>
      </c>
      <c r="M406" s="81">
        <v>-100</v>
      </c>
      <c r="P406" s="6"/>
      <c r="Q406" s="1" t="str">
        <f>IF($D$2=FALSE,"-",Q349)</f>
        <v>Convertible bond</v>
      </c>
      <c r="V406" s="6"/>
      <c r="W406" s="69" t="e">
        <f t="shared" ref="W406:AB406" ca="1" si="456">IF($D$2=FALSE,"-",IF(W$13="","",IF(W389=0,0,W351/W389)))</f>
        <v>#N/A</v>
      </c>
      <c r="X406" s="69">
        <f t="shared" ca="1" si="456"/>
        <v>0.5</v>
      </c>
      <c r="Y406" s="69">
        <f t="shared" ca="1" si="456"/>
        <v>0.5</v>
      </c>
      <c r="Z406" s="69">
        <f t="shared" ca="1" si="456"/>
        <v>0.5</v>
      </c>
      <c r="AA406" s="69">
        <f t="shared" ca="1" si="456"/>
        <v>0</v>
      </c>
      <c r="AB406" s="69">
        <f t="shared" ca="1" si="456"/>
        <v>0</v>
      </c>
      <c r="AC406" s="258" t="s">
        <v>219</v>
      </c>
      <c r="AD406" s="69" t="e">
        <f ca="1">IF($D$2=FALSE,"-",IF(AD$13="","",IF(AD389=0,0,AD351/AD389)))</f>
        <v>#N/A</v>
      </c>
      <c r="AE406" s="6"/>
      <c r="AF406" s="69" t="e">
        <f ca="1">IF($D$2=FALSE,"-",IF(AF$13="","",IF(AF$4&lt;=0,IF(AF389=0,0,AF351/AF389),IF(AF$4&lt;=$L406,IF($M406=0,$F406-((IF($M406=0,($F406-$K406)/$L406,($K406-$F406)/(EXP(-$M406*$L406)-1)))*(AF$4-1)),($F406-(IF($M406=0,($F406-$K406)/$L406,($K406-$F406)/(EXP(-$M406*$L406)-1))))+((IF($M406=0,($F406-$K406)/$L406,($K406-$F406)/(EXP(-$M406*$L406)-1)))*EXP(-$M406*(AF$4-1)))),$K406))))</f>
        <v>#N/A</v>
      </c>
      <c r="AG406" s="193">
        <f t="shared" ref="AG406:BI406" ca="1" si="457">IF($D$2=FALSE,"-",IF(AG$13="","",IF(AG$4&lt;=0,IF(AG389=0,0,AG351/AG389),IF(AG$4&lt;=$L406,IF($M406=0,$F406-((IF($M406=0,($F406-$K406)/$L406,($K406-$F406)/(EXP(-$M406*$L406)-1)))*(AG$4-1)),($F406-(IF($M406=0,($F406-$K406)/$L406,($K406-$F406)/(EXP(-$M406*$L406)-1))))+((IF($M406=0,($F406-$K406)/$L406,($K406-$F406)/(EXP(-$M406*$L406)-1)))*EXP(-$M406*(AG$4-1)))),$K406))))</f>
        <v>0.5</v>
      </c>
      <c r="AH406" s="69">
        <f t="shared" ca="1" si="457"/>
        <v>0.5</v>
      </c>
      <c r="AI406" s="69">
        <f t="shared" ca="1" si="457"/>
        <v>0.5</v>
      </c>
      <c r="AJ406" s="69">
        <f t="shared" ca="1" si="457"/>
        <v>0</v>
      </c>
      <c r="AK406" s="69">
        <f t="shared" ca="1" si="457"/>
        <v>0</v>
      </c>
      <c r="AL406" s="69" t="str">
        <f t="shared" ca="1" si="457"/>
        <v/>
      </c>
      <c r="AM406" s="69" t="str">
        <f t="shared" ca="1" si="457"/>
        <v/>
      </c>
      <c r="AN406" s="69" t="str">
        <f t="shared" ca="1" si="457"/>
        <v/>
      </c>
      <c r="AO406" s="69" t="str">
        <f t="shared" ca="1" si="457"/>
        <v/>
      </c>
      <c r="AP406" s="69" t="str">
        <f t="shared" ca="1" si="457"/>
        <v/>
      </c>
      <c r="AQ406" s="69" t="str">
        <f t="shared" ca="1" si="457"/>
        <v/>
      </c>
      <c r="AR406" s="69" t="str">
        <f t="shared" ca="1" si="457"/>
        <v/>
      </c>
      <c r="AS406" s="69" t="str">
        <f t="shared" ca="1" si="457"/>
        <v/>
      </c>
      <c r="AT406" s="69" t="str">
        <f t="shared" ca="1" si="457"/>
        <v/>
      </c>
      <c r="AU406" s="69" t="str">
        <f t="shared" ca="1" si="457"/>
        <v/>
      </c>
      <c r="AV406" s="69" t="str">
        <f t="shared" ca="1" si="457"/>
        <v/>
      </c>
      <c r="AW406" s="69" t="str">
        <f t="shared" ca="1" si="457"/>
        <v/>
      </c>
      <c r="AX406" s="69" t="str">
        <f t="shared" ca="1" si="457"/>
        <v/>
      </c>
      <c r="AY406" s="69" t="str">
        <f t="shared" ca="1" si="457"/>
        <v/>
      </c>
      <c r="AZ406" s="69" t="str">
        <f t="shared" ca="1" si="457"/>
        <v/>
      </c>
      <c r="BA406" s="69" t="str">
        <f t="shared" ca="1" si="457"/>
        <v/>
      </c>
      <c r="BB406" s="69" t="str">
        <f t="shared" ca="1" si="457"/>
        <v/>
      </c>
      <c r="BC406" s="69" t="str">
        <f t="shared" ca="1" si="457"/>
        <v/>
      </c>
      <c r="BD406" s="69" t="str">
        <f t="shared" ca="1" si="457"/>
        <v/>
      </c>
      <c r="BE406" s="69" t="str">
        <f t="shared" ca="1" si="457"/>
        <v/>
      </c>
      <c r="BF406" s="69" t="str">
        <f t="shared" ca="1" si="457"/>
        <v/>
      </c>
      <c r="BG406" s="69" t="str">
        <f t="shared" ca="1" si="457"/>
        <v/>
      </c>
      <c r="BH406" s="69" t="str">
        <f t="shared" ca="1" si="457"/>
        <v/>
      </c>
      <c r="BI406" s="69" t="str">
        <f t="shared" ca="1" si="457"/>
        <v/>
      </c>
      <c r="BK406" s="84"/>
      <c r="BL406" s="84"/>
      <c r="BM406" s="84"/>
      <c r="BN406" s="84"/>
      <c r="BO406" s="84"/>
      <c r="BP406" s="84"/>
    </row>
    <row r="407" spans="1:68" ht="15" customHeight="1" outlineLevel="1">
      <c r="A407" s="6"/>
      <c r="B407" s="34">
        <f t="shared" si="450"/>
        <v>44926</v>
      </c>
      <c r="C407" s="34">
        <f t="shared" ca="1" si="451"/>
        <v>44926</v>
      </c>
      <c r="D407" s="194" t="e">
        <f ca="1">IF($D$2=FALSE,"-",AVERAGE(OFFSET($AF407,0,MATCH(B407,OFFSET($AF$13,0,0,1,$G$4-$E$4+1),0)-1,1,MATCH(C407,OFFSET($AF$13,0,0,1,$G$4-$E$4+1),0)-MATCH(B407,OFFSET($AF$13,0,0,1,$G$4-$E$4+1),0)+1)))</f>
        <v>#N/A</v>
      </c>
      <c r="E407" s="195">
        <f>IF($D$2=FALSE,0,J407)</f>
        <v>0</v>
      </c>
      <c r="F407" s="194">
        <f>IF($D$2=FALSE,"-",IF(E407="",D407,E407))</f>
        <v>0</v>
      </c>
      <c r="G407" s="34">
        <f t="shared" si="452"/>
        <v>44926</v>
      </c>
      <c r="H407" s="37">
        <f t="shared" ca="1" si="453"/>
        <v>44926</v>
      </c>
      <c r="I407" s="194" t="e">
        <f ca="1">IF($D$2=FALSE,"-",AVERAGE(OFFSET($AF407,0,MATCH(G407,OFFSET($AF$13,0,0,1,$G$4-$E$4+1),0)-1,1,MATCH(H407,OFFSET($AF$13,0,0,1,$G$4-$E$4+1),0)-MATCH(G407,OFFSET($AF$13,0,0,1,$G$4-$E$4+1),0)+1)))</f>
        <v>#N/A</v>
      </c>
      <c r="J407" s="195">
        <v>0</v>
      </c>
      <c r="K407" s="196">
        <f>IF($D$2=FALSE,"-",IF(J407="",I407,J407))</f>
        <v>0</v>
      </c>
      <c r="L407" s="126">
        <v>5</v>
      </c>
      <c r="M407" s="81">
        <v>0.1</v>
      </c>
      <c r="P407" s="6"/>
      <c r="Q407" s="1" t="str">
        <f>IF($D$2=FALSE,"-",Q356)</f>
        <v>Preferred stock</v>
      </c>
      <c r="V407" s="6"/>
      <c r="W407" s="69" t="e">
        <f t="shared" ref="W407:AB407" ca="1" si="458">IF($D$2=FALSE,"-",IF(W$13="","",IF(W390=0,0,W358/W390)))</f>
        <v>#N/A</v>
      </c>
      <c r="X407" s="69">
        <f t="shared" ca="1" si="458"/>
        <v>0</v>
      </c>
      <c r="Y407" s="69">
        <f t="shared" ca="1" si="458"/>
        <v>0</v>
      </c>
      <c r="Z407" s="69">
        <f t="shared" ca="1" si="458"/>
        <v>0</v>
      </c>
      <c r="AA407" s="69">
        <f t="shared" ca="1" si="458"/>
        <v>0</v>
      </c>
      <c r="AB407" s="69">
        <f t="shared" ca="1" si="458"/>
        <v>0</v>
      </c>
      <c r="AC407" s="258" t="s">
        <v>219</v>
      </c>
      <c r="AD407" s="69" t="e">
        <f ca="1">IF($D$2=FALSE,"-",IF(AD$13="","",IF(AD390=0,0,AD358/AD390)))</f>
        <v>#N/A</v>
      </c>
      <c r="AE407" s="6"/>
      <c r="AF407" s="69" t="e">
        <f ca="1">IF($D$2=FALSE,"-",IF(AF$13="","",IF(AF$4&lt;=0,IF(AF390=0,0,AF358/AF390),IF(AF$4&lt;=$L407,IF($M407=0,$F407-((IF($M407=0,($F407-$K407)/$L407,($K407-$F407)/(EXP(-$M407*$L407)-1)))*(AF$4-1)),($F407-(IF($M407=0,($F407-$K407)/$L407,($K407-$F407)/(EXP(-$M407*$L407)-1))))+((IF($M407=0,($F407-$K407)/$L407,($K407-$F407)/(EXP(-$M407*$L407)-1)))*EXP(-$M407*(AF$4-1)))),$K407))))</f>
        <v>#N/A</v>
      </c>
      <c r="AG407" s="193">
        <f t="shared" ref="AG407:BI407" ca="1" si="459">IF($D$2=FALSE,"-",IF(AG$13="","",IF(AG$4&lt;=0,IF(AG390=0,0,AG358/AG390),IF(AG$4&lt;=$L407,IF($M407=0,$F407-((IF($M407=0,($F407-$K407)/$L407,($K407-$F407)/(EXP(-$M407*$L407)-1)))*(AG$4-1)),($F407-(IF($M407=0,($F407-$K407)/$L407,($K407-$F407)/(EXP(-$M407*$L407)-1))))+((IF($M407=0,($F407-$K407)/$L407,($K407-$F407)/(EXP(-$M407*$L407)-1)))*EXP(-$M407*(AG$4-1)))),$K407))))</f>
        <v>0</v>
      </c>
      <c r="AH407" s="69">
        <f t="shared" ca="1" si="459"/>
        <v>0</v>
      </c>
      <c r="AI407" s="69">
        <f t="shared" ca="1" si="459"/>
        <v>0</v>
      </c>
      <c r="AJ407" s="69">
        <f t="shared" ca="1" si="459"/>
        <v>0</v>
      </c>
      <c r="AK407" s="69">
        <f t="shared" ca="1" si="459"/>
        <v>0</v>
      </c>
      <c r="AL407" s="69" t="str">
        <f t="shared" ca="1" si="459"/>
        <v/>
      </c>
      <c r="AM407" s="69" t="str">
        <f t="shared" ca="1" si="459"/>
        <v/>
      </c>
      <c r="AN407" s="69" t="str">
        <f t="shared" ca="1" si="459"/>
        <v/>
      </c>
      <c r="AO407" s="69" t="str">
        <f t="shared" ca="1" si="459"/>
        <v/>
      </c>
      <c r="AP407" s="69" t="str">
        <f t="shared" ca="1" si="459"/>
        <v/>
      </c>
      <c r="AQ407" s="69" t="str">
        <f t="shared" ca="1" si="459"/>
        <v/>
      </c>
      <c r="AR407" s="69" t="str">
        <f t="shared" ca="1" si="459"/>
        <v/>
      </c>
      <c r="AS407" s="69" t="str">
        <f t="shared" ca="1" si="459"/>
        <v/>
      </c>
      <c r="AT407" s="69" t="str">
        <f t="shared" ca="1" si="459"/>
        <v/>
      </c>
      <c r="AU407" s="69" t="str">
        <f t="shared" ca="1" si="459"/>
        <v/>
      </c>
      <c r="AV407" s="69" t="str">
        <f t="shared" ca="1" si="459"/>
        <v/>
      </c>
      <c r="AW407" s="69" t="str">
        <f t="shared" ca="1" si="459"/>
        <v/>
      </c>
      <c r="AX407" s="69" t="str">
        <f t="shared" ca="1" si="459"/>
        <v/>
      </c>
      <c r="AY407" s="69" t="str">
        <f t="shared" ca="1" si="459"/>
        <v/>
      </c>
      <c r="AZ407" s="69" t="str">
        <f t="shared" ca="1" si="459"/>
        <v/>
      </c>
      <c r="BA407" s="69" t="str">
        <f t="shared" ca="1" si="459"/>
        <v/>
      </c>
      <c r="BB407" s="69" t="str">
        <f t="shared" ca="1" si="459"/>
        <v/>
      </c>
      <c r="BC407" s="69" t="str">
        <f t="shared" ca="1" si="459"/>
        <v/>
      </c>
      <c r="BD407" s="69" t="str">
        <f t="shared" ca="1" si="459"/>
        <v/>
      </c>
      <c r="BE407" s="69" t="str">
        <f t="shared" ca="1" si="459"/>
        <v/>
      </c>
      <c r="BF407" s="69" t="str">
        <f t="shared" ca="1" si="459"/>
        <v/>
      </c>
      <c r="BG407" s="69" t="str">
        <f t="shared" ca="1" si="459"/>
        <v/>
      </c>
      <c r="BH407" s="69" t="str">
        <f t="shared" ca="1" si="459"/>
        <v/>
      </c>
      <c r="BI407" s="69" t="str">
        <f t="shared" ca="1" si="459"/>
        <v/>
      </c>
      <c r="BK407" s="84"/>
      <c r="BL407" s="84"/>
      <c r="BM407" s="84"/>
      <c r="BN407" s="84"/>
      <c r="BO407" s="84"/>
      <c r="BP407" s="84"/>
    </row>
    <row r="408" spans="1:68" ht="15" customHeight="1" outlineLevel="1"/>
    <row r="409" spans="1:68" ht="15" customHeight="1" outlineLevel="1">
      <c r="Q409" s="25" t="s">
        <v>214</v>
      </c>
      <c r="R409" s="25"/>
      <c r="S409" s="25"/>
      <c r="T409" s="25"/>
      <c r="U409" s="25"/>
      <c r="W409" s="59"/>
      <c r="X409" s="59"/>
      <c r="Y409" s="59"/>
      <c r="Z409" s="59"/>
      <c r="AA409" s="59"/>
      <c r="AB409" s="59"/>
      <c r="AD409" s="59"/>
      <c r="AF409" s="86"/>
      <c r="AG409" s="59"/>
      <c r="AH409" s="59"/>
      <c r="AI409" s="59"/>
      <c r="AJ409" s="59"/>
      <c r="AK409" s="59"/>
      <c r="AL409" s="59"/>
      <c r="AM409" s="59"/>
      <c r="AN409" s="59"/>
      <c r="AO409" s="59"/>
      <c r="AP409" s="59"/>
      <c r="AQ409" s="59"/>
      <c r="AR409" s="59"/>
      <c r="AS409" s="59"/>
      <c r="AT409" s="59"/>
      <c r="AU409" s="59"/>
      <c r="AV409" s="59"/>
      <c r="AW409" s="59"/>
      <c r="AX409" s="59"/>
      <c r="AY409" s="59"/>
      <c r="AZ409" s="59"/>
      <c r="BA409" s="59"/>
      <c r="BB409" s="59"/>
      <c r="BC409" s="59"/>
      <c r="BD409" s="59"/>
      <c r="BE409" s="59"/>
      <c r="BF409" s="59"/>
      <c r="BG409" s="59"/>
      <c r="BH409" s="59"/>
      <c r="BI409" s="59"/>
    </row>
    <row r="410" spans="1:68" ht="15" customHeight="1" outlineLevel="1"/>
    <row r="411" spans="1:68" ht="15" customHeight="1" outlineLevel="1">
      <c r="Q411" s="139" t="s">
        <v>208</v>
      </c>
      <c r="R411" s="139"/>
      <c r="S411" s="139"/>
      <c r="T411" s="139"/>
      <c r="U411" s="139"/>
    </row>
    <row r="412" spans="1:68" ht="15" customHeight="1" outlineLevel="1">
      <c r="Q412" s="1" t="str">
        <f>IF($D$2=FALSE,"-",Q223)</f>
        <v>Convertible bond</v>
      </c>
      <c r="W412" s="171">
        <f t="shared" ref="W412:AB412" ca="1" si="460">IF($D$2=FALSE,"-",IF(W$13="","",W353))</f>
        <v>190</v>
      </c>
      <c r="X412" s="171">
        <f t="shared" ca="1" si="460"/>
        <v>198.02500000000001</v>
      </c>
      <c r="Y412" s="171">
        <f t="shared" ca="1" si="460"/>
        <v>206.43118749999999</v>
      </c>
      <c r="Z412" s="171">
        <f t="shared" ca="1" si="460"/>
        <v>215.23666890625</v>
      </c>
      <c r="AA412" s="171">
        <f t="shared" ca="1" si="460"/>
        <v>214.23666890625</v>
      </c>
      <c r="AB412" s="171">
        <f t="shared" ca="1" si="460"/>
        <v>213.23666890625</v>
      </c>
      <c r="AC412" s="98"/>
      <c r="AD412" s="171" t="e">
        <f ca="1">IF($D$2=FALSE,"-",IF(AD$13="","",AD353))</f>
        <v>#N/A</v>
      </c>
      <c r="AF412" s="170">
        <f t="shared" ref="AF412:BI412" ca="1" si="461">IF($D$2=FALSE,"-",IF(AF$13="","",AF353))</f>
        <v>190</v>
      </c>
      <c r="AG412" s="171">
        <f t="shared" ca="1" si="461"/>
        <v>198.02500000000001</v>
      </c>
      <c r="AH412" s="171">
        <f t="shared" ca="1" si="461"/>
        <v>206.43118749999999</v>
      </c>
      <c r="AI412" s="171">
        <f t="shared" ca="1" si="461"/>
        <v>215.23666890625</v>
      </c>
      <c r="AJ412" s="171">
        <f t="shared" ca="1" si="461"/>
        <v>214.23666890625</v>
      </c>
      <c r="AK412" s="171">
        <f t="shared" ca="1" si="461"/>
        <v>213.23666890625</v>
      </c>
      <c r="AL412" s="125" t="str">
        <f t="shared" ca="1" si="461"/>
        <v/>
      </c>
      <c r="AM412" s="125" t="str">
        <f t="shared" ca="1" si="461"/>
        <v/>
      </c>
      <c r="AN412" s="125" t="str">
        <f t="shared" ca="1" si="461"/>
        <v/>
      </c>
      <c r="AO412" s="125" t="str">
        <f t="shared" ca="1" si="461"/>
        <v/>
      </c>
      <c r="AP412" s="125" t="str">
        <f t="shared" ca="1" si="461"/>
        <v/>
      </c>
      <c r="AQ412" s="125" t="str">
        <f t="shared" ca="1" si="461"/>
        <v/>
      </c>
      <c r="AR412" s="125" t="str">
        <f t="shared" ca="1" si="461"/>
        <v/>
      </c>
      <c r="AS412" s="125" t="str">
        <f t="shared" ca="1" si="461"/>
        <v/>
      </c>
      <c r="AT412" s="125" t="str">
        <f t="shared" ca="1" si="461"/>
        <v/>
      </c>
      <c r="AU412" s="125" t="str">
        <f t="shared" ca="1" si="461"/>
        <v/>
      </c>
      <c r="AV412" s="125" t="str">
        <f t="shared" ca="1" si="461"/>
        <v/>
      </c>
      <c r="AW412" s="125" t="str">
        <f t="shared" ca="1" si="461"/>
        <v/>
      </c>
      <c r="AX412" s="125" t="str">
        <f t="shared" ca="1" si="461"/>
        <v/>
      </c>
      <c r="AY412" s="125" t="str">
        <f t="shared" ca="1" si="461"/>
        <v/>
      </c>
      <c r="AZ412" s="125" t="str">
        <f t="shared" ca="1" si="461"/>
        <v/>
      </c>
      <c r="BA412" s="125" t="str">
        <f t="shared" ca="1" si="461"/>
        <v/>
      </c>
      <c r="BB412" s="125" t="str">
        <f t="shared" ca="1" si="461"/>
        <v/>
      </c>
      <c r="BC412" s="125" t="str">
        <f t="shared" ca="1" si="461"/>
        <v/>
      </c>
      <c r="BD412" s="125" t="str">
        <f t="shared" ca="1" si="461"/>
        <v/>
      </c>
      <c r="BE412" s="125" t="str">
        <f t="shared" ca="1" si="461"/>
        <v/>
      </c>
      <c r="BF412" s="125" t="str">
        <f t="shared" ca="1" si="461"/>
        <v/>
      </c>
      <c r="BG412" s="125" t="str">
        <f t="shared" ca="1" si="461"/>
        <v/>
      </c>
      <c r="BH412" s="125" t="str">
        <f t="shared" ca="1" si="461"/>
        <v/>
      </c>
      <c r="BI412" s="125" t="str">
        <f t="shared" ca="1" si="461"/>
        <v/>
      </c>
      <c r="BK412" s="84"/>
      <c r="BL412" s="84"/>
      <c r="BM412" s="84"/>
      <c r="BN412" s="84"/>
      <c r="BO412" s="84"/>
      <c r="BP412" s="84"/>
    </row>
    <row r="413" spans="1:68" ht="15" customHeight="1" outlineLevel="1">
      <c r="Q413" s="1" t="str">
        <f>IF($D$2=FALSE,"-",Q229)</f>
        <v>Preferred stock</v>
      </c>
      <c r="W413" s="171">
        <f t="shared" ref="W413:AB413" ca="1" si="462">IF($D$2=FALSE,"-",IF(W$13="","",W360))</f>
        <v>100</v>
      </c>
      <c r="X413" s="171">
        <f t="shared" ca="1" si="462"/>
        <v>99</v>
      </c>
      <c r="Y413" s="171">
        <f t="shared" ca="1" si="462"/>
        <v>98</v>
      </c>
      <c r="Z413" s="171">
        <f t="shared" ca="1" si="462"/>
        <v>97</v>
      </c>
      <c r="AA413" s="171">
        <f t="shared" ca="1" si="462"/>
        <v>96</v>
      </c>
      <c r="AB413" s="171">
        <f t="shared" ca="1" si="462"/>
        <v>95</v>
      </c>
      <c r="AC413" s="98"/>
      <c r="AD413" s="171" t="e">
        <f ca="1">IF($D$2=FALSE,"-",IF(AD$13="","",AD360))</f>
        <v>#N/A</v>
      </c>
      <c r="AF413" s="170">
        <f t="shared" ref="AF413:BI413" ca="1" si="463">IF($D$2=FALSE,"-",IF(AF$13="","",AF360))</f>
        <v>100</v>
      </c>
      <c r="AG413" s="171">
        <f t="shared" ca="1" si="463"/>
        <v>99</v>
      </c>
      <c r="AH413" s="171">
        <f t="shared" ca="1" si="463"/>
        <v>98</v>
      </c>
      <c r="AI413" s="171">
        <f t="shared" ca="1" si="463"/>
        <v>97</v>
      </c>
      <c r="AJ413" s="171">
        <f t="shared" ca="1" si="463"/>
        <v>96</v>
      </c>
      <c r="AK413" s="171">
        <f t="shared" ca="1" si="463"/>
        <v>95</v>
      </c>
      <c r="AL413" s="125" t="str">
        <f t="shared" ca="1" si="463"/>
        <v/>
      </c>
      <c r="AM413" s="125" t="str">
        <f t="shared" ca="1" si="463"/>
        <v/>
      </c>
      <c r="AN413" s="125" t="str">
        <f t="shared" ca="1" si="463"/>
        <v/>
      </c>
      <c r="AO413" s="125" t="str">
        <f t="shared" ca="1" si="463"/>
        <v/>
      </c>
      <c r="AP413" s="125" t="str">
        <f t="shared" ca="1" si="463"/>
        <v/>
      </c>
      <c r="AQ413" s="125" t="str">
        <f t="shared" ca="1" si="463"/>
        <v/>
      </c>
      <c r="AR413" s="125" t="str">
        <f t="shared" ca="1" si="463"/>
        <v/>
      </c>
      <c r="AS413" s="125" t="str">
        <f t="shared" ca="1" si="463"/>
        <v/>
      </c>
      <c r="AT413" s="125" t="str">
        <f t="shared" ca="1" si="463"/>
        <v/>
      </c>
      <c r="AU413" s="125" t="str">
        <f t="shared" ca="1" si="463"/>
        <v/>
      </c>
      <c r="AV413" s="125" t="str">
        <f t="shared" ca="1" si="463"/>
        <v/>
      </c>
      <c r="AW413" s="125" t="str">
        <f t="shared" ca="1" si="463"/>
        <v/>
      </c>
      <c r="AX413" s="125" t="str">
        <f t="shared" ca="1" si="463"/>
        <v/>
      </c>
      <c r="AY413" s="125" t="str">
        <f t="shared" ca="1" si="463"/>
        <v/>
      </c>
      <c r="AZ413" s="125" t="str">
        <f t="shared" ca="1" si="463"/>
        <v/>
      </c>
      <c r="BA413" s="125" t="str">
        <f t="shared" ca="1" si="463"/>
        <v/>
      </c>
      <c r="BB413" s="125" t="str">
        <f t="shared" ca="1" si="463"/>
        <v/>
      </c>
      <c r="BC413" s="125" t="str">
        <f t="shared" ca="1" si="463"/>
        <v/>
      </c>
      <c r="BD413" s="125" t="str">
        <f t="shared" ca="1" si="463"/>
        <v/>
      </c>
      <c r="BE413" s="125" t="str">
        <f t="shared" ca="1" si="463"/>
        <v/>
      </c>
      <c r="BF413" s="125" t="str">
        <f t="shared" ca="1" si="463"/>
        <v/>
      </c>
      <c r="BG413" s="125" t="str">
        <f t="shared" ca="1" si="463"/>
        <v/>
      </c>
      <c r="BH413" s="125" t="str">
        <f t="shared" ca="1" si="463"/>
        <v/>
      </c>
      <c r="BI413" s="125" t="str">
        <f t="shared" ca="1" si="463"/>
        <v/>
      </c>
      <c r="BK413" s="84"/>
      <c r="BL413" s="84"/>
      <c r="BM413" s="84"/>
      <c r="BN413" s="84"/>
      <c r="BO413" s="84"/>
      <c r="BP413" s="84"/>
    </row>
    <row r="414" spans="1:68" ht="15" customHeight="1" outlineLevel="1"/>
    <row r="415" spans="1:68" ht="15" customHeight="1" outlineLevel="1">
      <c r="Q415" s="139" t="s">
        <v>209</v>
      </c>
      <c r="R415" s="139"/>
      <c r="S415" s="139"/>
      <c r="T415" s="139"/>
      <c r="U415" s="139"/>
    </row>
    <row r="416" spans="1:68" ht="15" customHeight="1" outlineLevel="1">
      <c r="A416" s="6"/>
      <c r="B416" s="34">
        <f t="shared" ref="B416:B417" si="464">$B$57</f>
        <v>44926</v>
      </c>
      <c r="C416" s="34">
        <f t="shared" ref="C416:C417" ca="1" si="465">$C$57</f>
        <v>44926</v>
      </c>
      <c r="D416" s="107">
        <f ca="1">IF($D$2=FALSE,"-",AVERAGE(OFFSET($AF416,0,MATCH(B416,OFFSET($AF$13,0,0,1,$G$4-$E$4+1),0)-1,1,MATCH(C416,OFFSET($AF$13,0,0,1,$G$4-$E$4+1),0)-MATCH(B416,OFFSET($AF$13,0,0,1,$G$4-$E$4+1),0)+1)))</f>
        <v>26.77</v>
      </c>
      <c r="E416" s="96">
        <f t="shared" ref="E416:E417" ca="1" si="466">IF($D$2=FALSE,0,J416)</f>
        <v>26.77</v>
      </c>
      <c r="F416" s="107">
        <f t="shared" ref="F416:F417" ca="1" si="467">IF($D$2=FALSE,"-",IF(E416="",D416,E416))</f>
        <v>26.77</v>
      </c>
      <c r="G416" s="34">
        <f t="shared" ref="G416:G417" si="468">$G$57</f>
        <v>44926</v>
      </c>
      <c r="H416" s="37">
        <f t="shared" ref="H416:H417" ca="1" si="469">$H$57</f>
        <v>44926</v>
      </c>
      <c r="I416" s="107">
        <f ca="1">IF($D$2=FALSE,"-",AVERAGE(OFFSET($AF416,0,MATCH(G416,OFFSET($AF$13,0,0,1,$G$4-$E$4+1),0)-1,1,MATCH(H416,OFFSET($AF$13,0,0,1,$G$4-$E$4+1),0)-MATCH(G416,OFFSET($AF$13,0,0,1,$G$4-$E$4+1),0)+1)))</f>
        <v>26.77</v>
      </c>
      <c r="J416" s="96">
        <f ca="1">IF($D$2=FALSE,0,OFFSET($AF416,0,$F$4-1))</f>
        <v>26.77</v>
      </c>
      <c r="K416" s="127">
        <f t="shared" ref="K416:K417" ca="1" si="470">IF($D$2=FALSE,"-",IF(J416="",I416,J416))</f>
        <v>26.77</v>
      </c>
      <c r="L416" s="126">
        <v>5</v>
      </c>
      <c r="M416" s="81">
        <v>0.1</v>
      </c>
      <c r="O416" s="96">
        <v>26.77</v>
      </c>
      <c r="P416" s="6"/>
      <c r="Q416" s="6" t="str">
        <f>IF($D$2=FALSE,"-",Q223)</f>
        <v>Convertible bond</v>
      </c>
      <c r="R416" s="6"/>
      <c r="S416" s="6"/>
      <c r="T416" s="6"/>
      <c r="U416" s="6"/>
      <c r="V416" s="6"/>
      <c r="W416" s="98">
        <f t="shared" ref="W416:AB417" ca="1" si="471">IF($D$2=FALSE,"-",IF(W$13="","",OFFSET($AF416,0,W$8)))</f>
        <v>26.77</v>
      </c>
      <c r="X416" s="98">
        <f t="shared" ca="1" si="471"/>
        <v>26.77</v>
      </c>
      <c r="Y416" s="98">
        <f t="shared" ca="1" si="471"/>
        <v>26.77</v>
      </c>
      <c r="Z416" s="98">
        <f t="shared" ca="1" si="471"/>
        <v>26.77</v>
      </c>
      <c r="AA416" s="98">
        <f t="shared" ca="1" si="471"/>
        <v>26.77</v>
      </c>
      <c r="AB416" s="98">
        <f t="shared" ca="1" si="471"/>
        <v>26.77</v>
      </c>
      <c r="AC416" s="98"/>
      <c r="AD416" s="98" t="e">
        <f ca="1">IF($D$2=FALSE,"-",IF(AD$13="","",SUM(OFFSET($AF416,0,$F$4-AD$7-1))+SUM(OFFSET($AF416,0,$F$4-1))-SUM(OFFSET($AF416,0,$F$4-$E$5-1))))</f>
        <v>#N/A</v>
      </c>
      <c r="AE416" s="6"/>
      <c r="AF416" s="250">
        <f ca="1">IF($D$2=FALSE,"-",IF(AF$13="","",IF(AF$4&lt;0,#N/A,IF(AF$4=0,$O416,IF(AF$4&lt;=$L416,IF($M416=0,$F416-((IF($M416=0,($F416-$K416)/$L416,($K416-$F416)/(EXP(-$M416*$L416)-1)))*(AF$4-1)),($F416-(IF($M416=0,($F416-$K416)/$L416,($K416-$F416)/(EXP(-$M416*$L416)-1))))+((IF($M416=0,($F416-$K416)/$L416,($K416-$F416)/(EXP(-$M416*$L416)-1)))*EXP(-$M416*(AF$4-1)))),$K416)))))</f>
        <v>26.77</v>
      </c>
      <c r="AG416" s="315">
        <f t="shared" ref="AG416:BI417" ca="1" si="472">IF($D$2=FALSE,"-",IF(AG$13="","",IF(AG$4&lt;0,#N/A,IF(AG$4=0,$O416,IF(AG$4&lt;=$L416,IF($M416=0,$F416-((IF($M416=0,($F416-$K416)/$L416,($K416-$F416)/(EXP(-$M416*$L416)-1)))*(AG$4-1)),($F416-(IF($M416=0,($F416-$K416)/$L416,($K416-$F416)/(EXP(-$M416*$L416)-1))))+((IF($M416=0,($F416-$K416)/$L416,($K416-$F416)/(EXP(-$M416*$L416)-1)))*EXP(-$M416*(AG$4-1)))),$K416)))))</f>
        <v>26.77</v>
      </c>
      <c r="AH416" s="250">
        <f t="shared" ca="1" si="472"/>
        <v>26.77</v>
      </c>
      <c r="AI416" s="250">
        <f t="shared" ca="1" si="472"/>
        <v>26.77</v>
      </c>
      <c r="AJ416" s="250">
        <f t="shared" ca="1" si="472"/>
        <v>26.77</v>
      </c>
      <c r="AK416" s="250">
        <f t="shared" ca="1" si="472"/>
        <v>26.77</v>
      </c>
      <c r="AL416" s="250" t="str">
        <f t="shared" ca="1" si="472"/>
        <v/>
      </c>
      <c r="AM416" s="250" t="str">
        <f t="shared" ca="1" si="472"/>
        <v/>
      </c>
      <c r="AN416" s="250" t="str">
        <f t="shared" ca="1" si="472"/>
        <v/>
      </c>
      <c r="AO416" s="250" t="str">
        <f t="shared" ca="1" si="472"/>
        <v/>
      </c>
      <c r="AP416" s="250" t="str">
        <f t="shared" ca="1" si="472"/>
        <v/>
      </c>
      <c r="AQ416" s="250" t="str">
        <f t="shared" ca="1" si="472"/>
        <v/>
      </c>
      <c r="AR416" s="250" t="str">
        <f t="shared" ca="1" si="472"/>
        <v/>
      </c>
      <c r="AS416" s="250" t="str">
        <f t="shared" ca="1" si="472"/>
        <v/>
      </c>
      <c r="AT416" s="250" t="str">
        <f t="shared" ca="1" si="472"/>
        <v/>
      </c>
      <c r="AU416" s="250" t="str">
        <f t="shared" ca="1" si="472"/>
        <v/>
      </c>
      <c r="AV416" s="250" t="str">
        <f t="shared" ca="1" si="472"/>
        <v/>
      </c>
      <c r="AW416" s="250" t="str">
        <f t="shared" ca="1" si="472"/>
        <v/>
      </c>
      <c r="AX416" s="250" t="str">
        <f t="shared" ca="1" si="472"/>
        <v/>
      </c>
      <c r="AY416" s="250" t="str">
        <f t="shared" ca="1" si="472"/>
        <v/>
      </c>
      <c r="AZ416" s="250" t="str">
        <f t="shared" ca="1" si="472"/>
        <v/>
      </c>
      <c r="BA416" s="250" t="str">
        <f t="shared" ca="1" si="472"/>
        <v/>
      </c>
      <c r="BB416" s="250" t="str">
        <f t="shared" ca="1" si="472"/>
        <v/>
      </c>
      <c r="BC416" s="250" t="str">
        <f t="shared" ca="1" si="472"/>
        <v/>
      </c>
      <c r="BD416" s="250" t="str">
        <f t="shared" ca="1" si="472"/>
        <v/>
      </c>
      <c r="BE416" s="250" t="str">
        <f t="shared" ca="1" si="472"/>
        <v/>
      </c>
      <c r="BF416" s="250" t="str">
        <f t="shared" ca="1" si="472"/>
        <v/>
      </c>
      <c r="BG416" s="250" t="str">
        <f t="shared" ca="1" si="472"/>
        <v/>
      </c>
      <c r="BH416" s="250" t="str">
        <f t="shared" ca="1" si="472"/>
        <v/>
      </c>
      <c r="BI416" s="250" t="str">
        <f t="shared" ca="1" si="472"/>
        <v/>
      </c>
      <c r="BK416" s="84"/>
      <c r="BL416" s="84"/>
      <c r="BM416" s="84"/>
      <c r="BN416" s="84"/>
      <c r="BO416" s="84"/>
      <c r="BP416" s="84"/>
    </row>
    <row r="417" spans="1:68" ht="15" customHeight="1" outlineLevel="1">
      <c r="A417" s="6"/>
      <c r="B417" s="34">
        <f t="shared" si="464"/>
        <v>44926</v>
      </c>
      <c r="C417" s="34">
        <f t="shared" ca="1" si="465"/>
        <v>44926</v>
      </c>
      <c r="D417" s="107">
        <f ca="1">IF($D$2=FALSE,"-",AVERAGE(OFFSET($AF417,0,MATCH(B417,OFFSET($AF$13,0,0,1,$G$4-$E$4+1),0)-1,1,MATCH(C417,OFFSET($AF$13,0,0,1,$G$4-$E$4+1),0)-MATCH(B417,OFFSET($AF$13,0,0,1,$G$4-$E$4+1),0)+1)))</f>
        <v>4</v>
      </c>
      <c r="E417" s="96">
        <f t="shared" ca="1" si="466"/>
        <v>4</v>
      </c>
      <c r="F417" s="107">
        <f t="shared" ca="1" si="467"/>
        <v>4</v>
      </c>
      <c r="G417" s="34">
        <f t="shared" si="468"/>
        <v>44926</v>
      </c>
      <c r="H417" s="37">
        <f t="shared" ca="1" si="469"/>
        <v>44926</v>
      </c>
      <c r="I417" s="107">
        <f ca="1">IF($D$2=FALSE,"-",AVERAGE(OFFSET($AF417,0,MATCH(G417,OFFSET($AF$13,0,0,1,$G$4-$E$4+1),0)-1,1,MATCH(H417,OFFSET($AF$13,0,0,1,$G$4-$E$4+1),0)-MATCH(G417,OFFSET($AF$13,0,0,1,$G$4-$E$4+1),0)+1)))</f>
        <v>4</v>
      </c>
      <c r="J417" s="96">
        <f ca="1">IF($D$2=FALSE,0,OFFSET($AF417,0,$F$4-1))</f>
        <v>4</v>
      </c>
      <c r="K417" s="127">
        <f t="shared" ca="1" si="470"/>
        <v>4</v>
      </c>
      <c r="L417" s="126">
        <v>5</v>
      </c>
      <c r="M417" s="81">
        <v>0.1</v>
      </c>
      <c r="O417" s="96">
        <v>4</v>
      </c>
      <c r="P417" s="6"/>
      <c r="Q417" s="6" t="str">
        <f>IF($D$2=FALSE,"-",Q229)</f>
        <v>Preferred stock</v>
      </c>
      <c r="R417" s="6"/>
      <c r="S417" s="6"/>
      <c r="T417" s="6"/>
      <c r="U417" s="6"/>
      <c r="V417" s="6"/>
      <c r="W417" s="98">
        <f t="shared" ca="1" si="471"/>
        <v>4</v>
      </c>
      <c r="X417" s="98">
        <f t="shared" ca="1" si="471"/>
        <v>4</v>
      </c>
      <c r="Y417" s="98">
        <f t="shared" ca="1" si="471"/>
        <v>4</v>
      </c>
      <c r="Z417" s="98">
        <f t="shared" ca="1" si="471"/>
        <v>4</v>
      </c>
      <c r="AA417" s="98">
        <f t="shared" ca="1" si="471"/>
        <v>4</v>
      </c>
      <c r="AB417" s="98">
        <f t="shared" ca="1" si="471"/>
        <v>4</v>
      </c>
      <c r="AC417" s="98"/>
      <c r="AD417" s="98" t="e">
        <f ca="1">IF($D$2=FALSE,"-",IF(AD$13="","",SUM(OFFSET($AF417,0,$F$4-AD$7-1))+SUM(OFFSET($AF417,0,$F$4-1))-SUM(OFFSET($AF417,0,$F$4-$E$5-1))))</f>
        <v>#N/A</v>
      </c>
      <c r="AE417" s="6"/>
      <c r="AF417" s="250">
        <f ca="1">IF($D$2=FALSE,"-",IF(AF$13="","",IF(AF$4&lt;0,#N/A,IF(AF$4=0,$O417,IF(AF$4&lt;=$L417,IF($M417=0,$F417-((IF($M417=0,($F417-$K417)/$L417,($K417-$F417)/(EXP(-$M417*$L417)-1)))*(AF$4-1)),($F417-(IF($M417=0,($F417-$K417)/$L417,($K417-$F417)/(EXP(-$M417*$L417)-1))))+((IF($M417=0,($F417-$K417)/$L417,($K417-$F417)/(EXP(-$M417*$L417)-1)))*EXP(-$M417*(AF$4-1)))),$K417)))))</f>
        <v>4</v>
      </c>
      <c r="AG417" s="315">
        <f t="shared" ca="1" si="472"/>
        <v>4</v>
      </c>
      <c r="AH417" s="250">
        <f t="shared" ca="1" si="472"/>
        <v>4</v>
      </c>
      <c r="AI417" s="250">
        <f t="shared" ca="1" si="472"/>
        <v>4</v>
      </c>
      <c r="AJ417" s="250">
        <f t="shared" ca="1" si="472"/>
        <v>4</v>
      </c>
      <c r="AK417" s="250">
        <f t="shared" ca="1" si="472"/>
        <v>4</v>
      </c>
      <c r="AL417" s="250" t="str">
        <f t="shared" ca="1" si="472"/>
        <v/>
      </c>
      <c r="AM417" s="250" t="str">
        <f t="shared" ca="1" si="472"/>
        <v/>
      </c>
      <c r="AN417" s="250" t="str">
        <f t="shared" ca="1" si="472"/>
        <v/>
      </c>
      <c r="AO417" s="250" t="str">
        <f t="shared" ca="1" si="472"/>
        <v/>
      </c>
      <c r="AP417" s="250" t="str">
        <f t="shared" ca="1" si="472"/>
        <v/>
      </c>
      <c r="AQ417" s="250" t="str">
        <f t="shared" ca="1" si="472"/>
        <v/>
      </c>
      <c r="AR417" s="250" t="str">
        <f t="shared" ca="1" si="472"/>
        <v/>
      </c>
      <c r="AS417" s="250" t="str">
        <f t="shared" ca="1" si="472"/>
        <v/>
      </c>
      <c r="AT417" s="250" t="str">
        <f t="shared" ca="1" si="472"/>
        <v/>
      </c>
      <c r="AU417" s="250" t="str">
        <f t="shared" ca="1" si="472"/>
        <v/>
      </c>
      <c r="AV417" s="250" t="str">
        <f t="shared" ca="1" si="472"/>
        <v/>
      </c>
      <c r="AW417" s="250" t="str">
        <f t="shared" ca="1" si="472"/>
        <v/>
      </c>
      <c r="AX417" s="250" t="str">
        <f t="shared" ca="1" si="472"/>
        <v/>
      </c>
      <c r="AY417" s="250" t="str">
        <f t="shared" ca="1" si="472"/>
        <v/>
      </c>
      <c r="AZ417" s="250" t="str">
        <f t="shared" ca="1" si="472"/>
        <v/>
      </c>
      <c r="BA417" s="250" t="str">
        <f t="shared" ca="1" si="472"/>
        <v/>
      </c>
      <c r="BB417" s="250" t="str">
        <f t="shared" ca="1" si="472"/>
        <v/>
      </c>
      <c r="BC417" s="250" t="str">
        <f t="shared" ca="1" si="472"/>
        <v/>
      </c>
      <c r="BD417" s="250" t="str">
        <f t="shared" ca="1" si="472"/>
        <v/>
      </c>
      <c r="BE417" s="250" t="str">
        <f t="shared" ca="1" si="472"/>
        <v/>
      </c>
      <c r="BF417" s="250" t="str">
        <f t="shared" ca="1" si="472"/>
        <v/>
      </c>
      <c r="BG417" s="250" t="str">
        <f t="shared" ca="1" si="472"/>
        <v/>
      </c>
      <c r="BH417" s="250" t="str">
        <f t="shared" ca="1" si="472"/>
        <v/>
      </c>
      <c r="BI417" s="250" t="str">
        <f t="shared" ca="1" si="472"/>
        <v/>
      </c>
      <c r="BK417" s="84"/>
      <c r="BL417" s="84"/>
      <c r="BM417" s="84"/>
      <c r="BN417" s="84"/>
      <c r="BO417" s="84"/>
      <c r="BP417" s="84"/>
    </row>
    <row r="418" spans="1:68" ht="15" customHeight="1" outlineLevel="1"/>
    <row r="419" spans="1:68" ht="15" customHeight="1" outlineLevel="1">
      <c r="Q419" s="139" t="s">
        <v>210</v>
      </c>
      <c r="R419" s="139"/>
      <c r="S419" s="139"/>
      <c r="T419" s="139"/>
      <c r="U419" s="139"/>
    </row>
    <row r="420" spans="1:68" ht="15" customHeight="1" outlineLevel="1">
      <c r="J420" s="337">
        <v>9.16</v>
      </c>
      <c r="K420" s="338">
        <v>7</v>
      </c>
      <c r="Q420" s="1" t="str">
        <f>IF($D$2=FALSE,"-",Q223)</f>
        <v>Convertible bond</v>
      </c>
      <c r="W420" s="163">
        <f t="shared" ref="W420:AB421" ca="1" si="473">IF($D$2=FALSE,"-",IF(W$13="","",IF(W416=0,0,W412/W416)))</f>
        <v>7.0974971983563693</v>
      </c>
      <c r="X420" s="163">
        <f t="shared" ca="1" si="473"/>
        <v>7.3972730668658953</v>
      </c>
      <c r="Y420" s="163">
        <f t="shared" ca="1" si="473"/>
        <v>7.7112882891296222</v>
      </c>
      <c r="Z420" s="163">
        <f t="shared" ca="1" si="473"/>
        <v>8.0402192344508787</v>
      </c>
      <c r="AA420" s="163">
        <f t="shared" ca="1" si="473"/>
        <v>8.0028639860384754</v>
      </c>
      <c r="AB420" s="163">
        <f t="shared" ca="1" si="473"/>
        <v>7.9655087376260738</v>
      </c>
      <c r="AD420" s="163" t="e">
        <f ca="1">IF($D$2=FALSE,"-",IF(AD$13="","",IF(AD416=0,0,AD412/AD416)))</f>
        <v>#N/A</v>
      </c>
      <c r="AF420" s="163">
        <f t="shared" ref="AF420:BI420" ca="1" si="474">IF($D$2=FALSE,"-",IF(AF$13="","",IF(AF416=0,#N/A,AF412/AF416)))</f>
        <v>7.0974971983563693</v>
      </c>
      <c r="AG420" s="164">
        <f t="shared" ca="1" si="474"/>
        <v>7.3972730668658953</v>
      </c>
      <c r="AH420" s="163">
        <f t="shared" ca="1" si="474"/>
        <v>7.7112882891296222</v>
      </c>
      <c r="AI420" s="163">
        <f t="shared" ca="1" si="474"/>
        <v>8.0402192344508787</v>
      </c>
      <c r="AJ420" s="163">
        <f t="shared" ca="1" si="474"/>
        <v>8.0028639860384754</v>
      </c>
      <c r="AK420" s="163">
        <f t="shared" ca="1" si="474"/>
        <v>7.9655087376260738</v>
      </c>
      <c r="AL420" s="125" t="str">
        <f t="shared" ca="1" si="474"/>
        <v/>
      </c>
      <c r="AM420" s="125" t="str">
        <f t="shared" ca="1" si="474"/>
        <v/>
      </c>
      <c r="AN420" s="125" t="str">
        <f t="shared" ca="1" si="474"/>
        <v/>
      </c>
      <c r="AO420" s="125" t="str">
        <f t="shared" ca="1" si="474"/>
        <v/>
      </c>
      <c r="AP420" s="125" t="str">
        <f t="shared" ca="1" si="474"/>
        <v/>
      </c>
      <c r="AQ420" s="125" t="str">
        <f t="shared" ca="1" si="474"/>
        <v/>
      </c>
      <c r="AR420" s="125" t="str">
        <f t="shared" ca="1" si="474"/>
        <v/>
      </c>
      <c r="AS420" s="125" t="str">
        <f t="shared" ca="1" si="474"/>
        <v/>
      </c>
      <c r="AT420" s="125" t="str">
        <f t="shared" ca="1" si="474"/>
        <v/>
      </c>
      <c r="AU420" s="125" t="str">
        <f t="shared" ca="1" si="474"/>
        <v/>
      </c>
      <c r="AV420" s="125" t="str">
        <f t="shared" ca="1" si="474"/>
        <v/>
      </c>
      <c r="AW420" s="125" t="str">
        <f t="shared" ca="1" si="474"/>
        <v/>
      </c>
      <c r="AX420" s="125" t="str">
        <f t="shared" ca="1" si="474"/>
        <v/>
      </c>
      <c r="AY420" s="125" t="str">
        <f t="shared" ca="1" si="474"/>
        <v/>
      </c>
      <c r="AZ420" s="125" t="str">
        <f t="shared" ca="1" si="474"/>
        <v/>
      </c>
      <c r="BA420" s="125" t="str">
        <f t="shared" ca="1" si="474"/>
        <v/>
      </c>
      <c r="BB420" s="125" t="str">
        <f t="shared" ca="1" si="474"/>
        <v/>
      </c>
      <c r="BC420" s="125" t="str">
        <f t="shared" ca="1" si="474"/>
        <v/>
      </c>
      <c r="BD420" s="125" t="str">
        <f t="shared" ca="1" si="474"/>
        <v/>
      </c>
      <c r="BE420" s="125" t="str">
        <f t="shared" ca="1" si="474"/>
        <v/>
      </c>
      <c r="BF420" s="125" t="str">
        <f t="shared" ca="1" si="474"/>
        <v/>
      </c>
      <c r="BG420" s="125" t="str">
        <f t="shared" ca="1" si="474"/>
        <v/>
      </c>
      <c r="BH420" s="125" t="str">
        <f t="shared" ca="1" si="474"/>
        <v/>
      </c>
      <c r="BI420" s="125" t="str">
        <f t="shared" ca="1" si="474"/>
        <v/>
      </c>
      <c r="BK420" s="84"/>
      <c r="BL420" s="84"/>
      <c r="BM420" s="84"/>
      <c r="BN420" s="84"/>
      <c r="BO420" s="84"/>
      <c r="BP420" s="84"/>
    </row>
    <row r="421" spans="1:68" ht="15" customHeight="1" outlineLevel="1">
      <c r="I421" s="1" t="s">
        <v>1</v>
      </c>
      <c r="J421" s="336" t="s">
        <v>256</v>
      </c>
      <c r="K421" s="336" t="s">
        <v>257</v>
      </c>
      <c r="L421" s="1" t="s">
        <v>1</v>
      </c>
      <c r="Q421" s="1" t="str">
        <f>IF($D$2=FALSE,"-",Q229)</f>
        <v>Preferred stock</v>
      </c>
      <c r="W421" s="163">
        <f t="shared" ca="1" si="473"/>
        <v>25</v>
      </c>
      <c r="X421" s="163">
        <f t="shared" ca="1" si="473"/>
        <v>24.75</v>
      </c>
      <c r="Y421" s="163">
        <f t="shared" ca="1" si="473"/>
        <v>24.5</v>
      </c>
      <c r="Z421" s="163">
        <f t="shared" ca="1" si="473"/>
        <v>24.25</v>
      </c>
      <c r="AA421" s="163">
        <f t="shared" ca="1" si="473"/>
        <v>24</v>
      </c>
      <c r="AB421" s="163">
        <f t="shared" ca="1" si="473"/>
        <v>23.75</v>
      </c>
      <c r="AD421" s="163" t="e">
        <f ca="1">IF($D$2=FALSE,"-",IF(AD$13="","",IF(AD417=0,0,AD413/AD417)))</f>
        <v>#N/A</v>
      </c>
      <c r="AF421" s="163">
        <f t="shared" ref="AF421:BI421" ca="1" si="475">IF($D$2=FALSE,"-",IF(AF$13="","",IF(AF417=0,#N/A,AF413/AF417)))</f>
        <v>25</v>
      </c>
      <c r="AG421" s="164">
        <f t="shared" ca="1" si="475"/>
        <v>24.75</v>
      </c>
      <c r="AH421" s="163">
        <f t="shared" ca="1" si="475"/>
        <v>24.5</v>
      </c>
      <c r="AI421" s="163">
        <f t="shared" ca="1" si="475"/>
        <v>24.25</v>
      </c>
      <c r="AJ421" s="163">
        <f t="shared" ca="1" si="475"/>
        <v>24</v>
      </c>
      <c r="AK421" s="163">
        <f t="shared" ca="1" si="475"/>
        <v>23.75</v>
      </c>
      <c r="AL421" s="125" t="str">
        <f t="shared" ca="1" si="475"/>
        <v/>
      </c>
      <c r="AM421" s="125" t="str">
        <f t="shared" ca="1" si="475"/>
        <v/>
      </c>
      <c r="AN421" s="125" t="str">
        <f t="shared" ca="1" si="475"/>
        <v/>
      </c>
      <c r="AO421" s="125" t="str">
        <f t="shared" ca="1" si="475"/>
        <v/>
      </c>
      <c r="AP421" s="125" t="str">
        <f t="shared" ca="1" si="475"/>
        <v/>
      </c>
      <c r="AQ421" s="125" t="str">
        <f t="shared" ca="1" si="475"/>
        <v/>
      </c>
      <c r="AR421" s="125" t="str">
        <f t="shared" ca="1" si="475"/>
        <v/>
      </c>
      <c r="AS421" s="125" t="str">
        <f t="shared" ca="1" si="475"/>
        <v/>
      </c>
      <c r="AT421" s="125" t="str">
        <f t="shared" ca="1" si="475"/>
        <v/>
      </c>
      <c r="AU421" s="125" t="str">
        <f t="shared" ca="1" si="475"/>
        <v/>
      </c>
      <c r="AV421" s="125" t="str">
        <f t="shared" ca="1" si="475"/>
        <v/>
      </c>
      <c r="AW421" s="125" t="str">
        <f t="shared" ca="1" si="475"/>
        <v/>
      </c>
      <c r="AX421" s="125" t="str">
        <f t="shared" ca="1" si="475"/>
        <v/>
      </c>
      <c r="AY421" s="125" t="str">
        <f t="shared" ca="1" si="475"/>
        <v/>
      </c>
      <c r="AZ421" s="125" t="str">
        <f t="shared" ca="1" si="475"/>
        <v/>
      </c>
      <c r="BA421" s="125" t="str">
        <f t="shared" ca="1" si="475"/>
        <v/>
      </c>
      <c r="BB421" s="125" t="str">
        <f t="shared" ca="1" si="475"/>
        <v/>
      </c>
      <c r="BC421" s="125" t="str">
        <f t="shared" ca="1" si="475"/>
        <v/>
      </c>
      <c r="BD421" s="125" t="str">
        <f t="shared" ca="1" si="475"/>
        <v/>
      </c>
      <c r="BE421" s="125" t="str">
        <f t="shared" ca="1" si="475"/>
        <v/>
      </c>
      <c r="BF421" s="125" t="str">
        <f t="shared" ca="1" si="475"/>
        <v/>
      </c>
      <c r="BG421" s="125" t="str">
        <f t="shared" ca="1" si="475"/>
        <v/>
      </c>
      <c r="BH421" s="125" t="str">
        <f t="shared" ca="1" si="475"/>
        <v/>
      </c>
      <c r="BI421" s="125" t="str">
        <f t="shared" ca="1" si="475"/>
        <v/>
      </c>
      <c r="BK421" s="84"/>
      <c r="BL421" s="84"/>
      <c r="BM421" s="84"/>
      <c r="BN421" s="84"/>
      <c r="BO421" s="84"/>
      <c r="BP421" s="84"/>
    </row>
    <row r="422" spans="1:68" ht="15" customHeight="1" outlineLevel="1">
      <c r="J422" s="334">
        <v>0.20899999999999999</v>
      </c>
      <c r="K422" s="335">
        <v>9.0399999999999991</v>
      </c>
    </row>
    <row r="423" spans="1:68" ht="15" customHeight="1" outlineLevel="1">
      <c r="J423" s="334">
        <v>5.8999999999999997E-2</v>
      </c>
      <c r="K423" s="335">
        <v>10.029999999999999</v>
      </c>
      <c r="Q423" s="139" t="s">
        <v>211</v>
      </c>
      <c r="R423" s="139"/>
      <c r="S423" s="139"/>
      <c r="T423" s="139"/>
      <c r="U423" s="139"/>
    </row>
    <row r="424" spans="1:68" ht="15" customHeight="1" outlineLevel="1">
      <c r="J424" s="334">
        <v>0.221</v>
      </c>
      <c r="K424" s="335">
        <v>11.53</v>
      </c>
      <c r="Q424" s="1" t="str">
        <f>IF($D$2=FALSE,"-",Q223)</f>
        <v>Convertible bond</v>
      </c>
      <c r="W424" s="98" t="e">
        <f t="shared" ref="W424:AB424" ca="1" si="476">IF($D$2=FALSE,"-",IF(W$13="","",IF(W433+W420=0,0,(W40+W389*(1-W79*(1-$T389)))/(W433+W420))))</f>
        <v>#N/A</v>
      </c>
      <c r="X424" s="98">
        <f t="shared" ca="1" si="476"/>
        <v>0.83430323514938209</v>
      </c>
      <c r="Y424" s="98">
        <f t="shared" ca="1" si="476"/>
        <v>1.0364711473988992</v>
      </c>
      <c r="Z424" s="98">
        <f t="shared" ca="1" si="476"/>
        <v>1.1965178252794861</v>
      </c>
      <c r="AA424" s="98">
        <f t="shared" ca="1" si="476"/>
        <v>1.4223280257640742</v>
      </c>
      <c r="AB424" s="98">
        <f t="shared" ca="1" si="476"/>
        <v>1.5522157287639524</v>
      </c>
      <c r="AC424" s="98"/>
      <c r="AD424" s="98" t="e">
        <f ca="1">IF($D$2=FALSE,"-",IF(AD$13="","",IF(AD433+AD420=0,0,(AD40+AD389*(1-AD79*(1-$T389)))/(AD433+AD420))))</f>
        <v>#N/A</v>
      </c>
      <c r="AF424" s="282" t="e">
        <f t="shared" ref="AF424:BI424" ca="1" si="477">IF($D$2=FALSE,"-",IF(AF$13="","",IF(AF433+AF420=0,#N/A,(AF40+AF389*(1-AF79*(1-$T389)))/(AF433+AF420))))</f>
        <v>#N/A</v>
      </c>
      <c r="AG424" s="316">
        <f t="shared" ca="1" si="477"/>
        <v>0.83430323514938209</v>
      </c>
      <c r="AH424" s="282">
        <f t="shared" ca="1" si="477"/>
        <v>1.0364711473988992</v>
      </c>
      <c r="AI424" s="282">
        <f t="shared" ca="1" si="477"/>
        <v>1.1965178252794861</v>
      </c>
      <c r="AJ424" s="282">
        <f t="shared" ca="1" si="477"/>
        <v>1.4223280257640742</v>
      </c>
      <c r="AK424" s="282">
        <f t="shared" ca="1" si="477"/>
        <v>1.5522157287639524</v>
      </c>
      <c r="AL424" s="317" t="str">
        <f t="shared" ca="1" si="477"/>
        <v/>
      </c>
      <c r="AM424" s="317" t="str">
        <f t="shared" ca="1" si="477"/>
        <v/>
      </c>
      <c r="AN424" s="317" t="str">
        <f t="shared" ca="1" si="477"/>
        <v/>
      </c>
      <c r="AO424" s="317" t="str">
        <f t="shared" ca="1" si="477"/>
        <v/>
      </c>
      <c r="AP424" s="317" t="str">
        <f t="shared" ca="1" si="477"/>
        <v/>
      </c>
      <c r="AQ424" s="317" t="str">
        <f t="shared" ca="1" si="477"/>
        <v/>
      </c>
      <c r="AR424" s="317" t="str">
        <f t="shared" ca="1" si="477"/>
        <v/>
      </c>
      <c r="AS424" s="317" t="str">
        <f t="shared" ca="1" si="477"/>
        <v/>
      </c>
      <c r="AT424" s="317" t="str">
        <f t="shared" ca="1" si="477"/>
        <v/>
      </c>
      <c r="AU424" s="317" t="str">
        <f t="shared" ca="1" si="477"/>
        <v/>
      </c>
      <c r="AV424" s="317" t="str">
        <f t="shared" ca="1" si="477"/>
        <v/>
      </c>
      <c r="AW424" s="317" t="str">
        <f t="shared" ca="1" si="477"/>
        <v/>
      </c>
      <c r="AX424" s="317" t="str">
        <f t="shared" ca="1" si="477"/>
        <v/>
      </c>
      <c r="AY424" s="317" t="str">
        <f t="shared" ca="1" si="477"/>
        <v/>
      </c>
      <c r="AZ424" s="317" t="str">
        <f t="shared" ca="1" si="477"/>
        <v/>
      </c>
      <c r="BA424" s="317" t="str">
        <f t="shared" ca="1" si="477"/>
        <v/>
      </c>
      <c r="BB424" s="317" t="str">
        <f t="shared" ca="1" si="477"/>
        <v/>
      </c>
      <c r="BC424" s="317" t="str">
        <f t="shared" ca="1" si="477"/>
        <v/>
      </c>
      <c r="BD424" s="317" t="str">
        <f t="shared" ca="1" si="477"/>
        <v/>
      </c>
      <c r="BE424" s="317" t="str">
        <f t="shared" ca="1" si="477"/>
        <v/>
      </c>
      <c r="BF424" s="317" t="str">
        <f t="shared" ca="1" si="477"/>
        <v/>
      </c>
      <c r="BG424" s="317" t="str">
        <f t="shared" ca="1" si="477"/>
        <v/>
      </c>
      <c r="BH424" s="317" t="str">
        <f t="shared" ca="1" si="477"/>
        <v/>
      </c>
      <c r="BI424" s="317" t="str">
        <f t="shared" ca="1" si="477"/>
        <v/>
      </c>
      <c r="BK424" s="84"/>
      <c r="BL424" s="105"/>
      <c r="BM424" s="84"/>
      <c r="BN424" s="84"/>
      <c r="BO424" s="84"/>
      <c r="BP424" s="84"/>
    </row>
    <row r="425" spans="1:68" ht="15" customHeight="1" outlineLevel="1">
      <c r="J425" s="334">
        <v>0.3</v>
      </c>
      <c r="K425" s="335">
        <v>12.69</v>
      </c>
      <c r="Q425" s="1" t="str">
        <f>IF($D$2=FALSE,"-",Q229)</f>
        <v>Preferred stock</v>
      </c>
      <c r="W425" s="98" t="e">
        <f t="shared" ref="W425:AB425" ca="1" si="478">IF($D$2=FALSE,"-",IF(W$13="","",IF(W433+W421=0,0,(W40+W390*(1-W79*(1-$T390)))/(W433+W421))))</f>
        <v>#N/A</v>
      </c>
      <c r="X425" s="98">
        <f t="shared" ca="1" si="478"/>
        <v>0.5837237894183519</v>
      </c>
      <c r="Y425" s="98">
        <f t="shared" ca="1" si="478"/>
        <v>0.72663127423917906</v>
      </c>
      <c r="Z425" s="98">
        <f t="shared" ca="1" si="478"/>
        <v>0.84215061859893936</v>
      </c>
      <c r="AA425" s="98">
        <f t="shared" ca="1" si="478"/>
        <v>0.99969519624552916</v>
      </c>
      <c r="AB425" s="98">
        <f t="shared" ca="1" si="478"/>
        <v>1.0974468432586693</v>
      </c>
      <c r="AC425" s="98"/>
      <c r="AD425" s="98" t="e">
        <f ca="1">IF($D$2=FALSE,"-",IF(AD$13="","",IF(AD433+AD421=0,0,(AD40+AD390*(1-AD79*(1-$T390)))/(AD433+AD421))))</f>
        <v>#N/A</v>
      </c>
      <c r="AF425" s="282" t="e">
        <f t="shared" ref="AF425:BI425" ca="1" si="479">IF($D$2=FALSE,"-",IF(AF$13="","",IF(AF433+AF421=0,#N/A,(AF40+AF390*(1-AF79*(1-$T390)))/(AF433+AF421))))</f>
        <v>#N/A</v>
      </c>
      <c r="AG425" s="316">
        <f t="shared" ca="1" si="479"/>
        <v>0.5837237894183519</v>
      </c>
      <c r="AH425" s="282">
        <f t="shared" ca="1" si="479"/>
        <v>0.72663127423917906</v>
      </c>
      <c r="AI425" s="282">
        <f t="shared" ca="1" si="479"/>
        <v>0.84215061859893936</v>
      </c>
      <c r="AJ425" s="282">
        <f t="shared" ca="1" si="479"/>
        <v>0.99969519624552916</v>
      </c>
      <c r="AK425" s="282">
        <f t="shared" ca="1" si="479"/>
        <v>1.0974468432586693</v>
      </c>
      <c r="AL425" s="317" t="str">
        <f t="shared" ca="1" si="479"/>
        <v/>
      </c>
      <c r="AM425" s="317" t="str">
        <f t="shared" ca="1" si="479"/>
        <v/>
      </c>
      <c r="AN425" s="317" t="str">
        <f t="shared" ca="1" si="479"/>
        <v/>
      </c>
      <c r="AO425" s="317" t="str">
        <f t="shared" ca="1" si="479"/>
        <v/>
      </c>
      <c r="AP425" s="317" t="str">
        <f t="shared" ca="1" si="479"/>
        <v/>
      </c>
      <c r="AQ425" s="317" t="str">
        <f t="shared" ca="1" si="479"/>
        <v/>
      </c>
      <c r="AR425" s="317" t="str">
        <f t="shared" ca="1" si="479"/>
        <v/>
      </c>
      <c r="AS425" s="317" t="str">
        <f t="shared" ca="1" si="479"/>
        <v/>
      </c>
      <c r="AT425" s="317" t="str">
        <f t="shared" ca="1" si="479"/>
        <v/>
      </c>
      <c r="AU425" s="317" t="str">
        <f t="shared" ca="1" si="479"/>
        <v/>
      </c>
      <c r="AV425" s="317" t="str">
        <f t="shared" ca="1" si="479"/>
        <v/>
      </c>
      <c r="AW425" s="317" t="str">
        <f t="shared" ca="1" si="479"/>
        <v/>
      </c>
      <c r="AX425" s="317" t="str">
        <f t="shared" ca="1" si="479"/>
        <v/>
      </c>
      <c r="AY425" s="317" t="str">
        <f t="shared" ca="1" si="479"/>
        <v/>
      </c>
      <c r="AZ425" s="317" t="str">
        <f t="shared" ca="1" si="479"/>
        <v/>
      </c>
      <c r="BA425" s="317" t="str">
        <f t="shared" ca="1" si="479"/>
        <v/>
      </c>
      <c r="BB425" s="317" t="str">
        <f t="shared" ca="1" si="479"/>
        <v/>
      </c>
      <c r="BC425" s="317" t="str">
        <f t="shared" ca="1" si="479"/>
        <v/>
      </c>
      <c r="BD425" s="317" t="str">
        <f t="shared" ca="1" si="479"/>
        <v/>
      </c>
      <c r="BE425" s="317" t="str">
        <f t="shared" ca="1" si="479"/>
        <v/>
      </c>
      <c r="BF425" s="317" t="str">
        <f t="shared" ca="1" si="479"/>
        <v/>
      </c>
      <c r="BG425" s="317" t="str">
        <f t="shared" ca="1" si="479"/>
        <v/>
      </c>
      <c r="BH425" s="317" t="str">
        <f t="shared" ca="1" si="479"/>
        <v/>
      </c>
      <c r="BI425" s="317" t="str">
        <f t="shared" ca="1" si="479"/>
        <v/>
      </c>
      <c r="BK425" s="84"/>
      <c r="BL425" s="84"/>
      <c r="BM425" s="84"/>
      <c r="BN425" s="84"/>
      <c r="BO425" s="84"/>
      <c r="BP425" s="84"/>
    </row>
    <row r="426" spans="1:68" ht="15" customHeight="1" outlineLevel="1">
      <c r="J426" s="334">
        <v>0.26900000000000002</v>
      </c>
      <c r="K426" s="335">
        <v>19.54</v>
      </c>
      <c r="W426" s="104"/>
      <c r="X426" s="104"/>
      <c r="Y426" s="104"/>
      <c r="Z426" s="104"/>
      <c r="AA426" s="104"/>
      <c r="AB426" s="104"/>
      <c r="AC426" s="104"/>
      <c r="AD426" s="104"/>
      <c r="AF426" s="169"/>
      <c r="AG426" s="104"/>
      <c r="AH426" s="104"/>
      <c r="AI426" s="104"/>
      <c r="AJ426" s="104"/>
      <c r="AK426" s="104"/>
    </row>
    <row r="427" spans="1:68" ht="15" customHeight="1" outlineLevel="1">
      <c r="J427" s="334">
        <v>0.21099999999999999</v>
      </c>
      <c r="K427" s="335">
        <v>27.06</v>
      </c>
      <c r="Q427" s="1" t="s">
        <v>212</v>
      </c>
      <c r="W427" s="98">
        <f t="shared" ref="W427:AB427" ca="1" si="480">IF($D$2=FALSE,"-",IF(W$13="","",IF(W433=0,0,W40/W433)))</f>
        <v>0.7201471420486707</v>
      </c>
      <c r="X427" s="98">
        <f t="shared" ca="1" si="480"/>
        <v>0.70248903526170814</v>
      </c>
      <c r="Y427" s="98">
        <f t="shared" ca="1" si="480"/>
        <v>0.94324039192055664</v>
      </c>
      <c r="Z427" s="98">
        <f t="shared" ca="1" si="480"/>
        <v>1.1357882105917032</v>
      </c>
      <c r="AA427" s="98">
        <f t="shared" ca="1" si="480"/>
        <v>1.3972669197852208</v>
      </c>
      <c r="AB427" s="98">
        <f t="shared" ca="1" si="480"/>
        <v>1.5565402933829871</v>
      </c>
      <c r="AC427" s="98"/>
      <c r="AD427" s="98" t="e">
        <f ca="1">IF($D$2=FALSE,"-",IF(AD$13="","",IF(AD433=0,0,AD40/AD433)))</f>
        <v>#N/A</v>
      </c>
      <c r="AF427" s="282">
        <f t="shared" ref="AF427:BI427" ca="1" si="481">IF($D$2=FALSE,"-",IF(AF$13="","",IF(AF433=0,#N/A,AF40/AF433)))</f>
        <v>0.7201471420486707</v>
      </c>
      <c r="AG427" s="316">
        <f t="shared" ca="1" si="481"/>
        <v>0.70248903526170814</v>
      </c>
      <c r="AH427" s="282">
        <f t="shared" ca="1" si="481"/>
        <v>0.94324039192055664</v>
      </c>
      <c r="AI427" s="282">
        <f t="shared" ca="1" si="481"/>
        <v>1.1357882105917032</v>
      </c>
      <c r="AJ427" s="282">
        <f t="shared" ca="1" si="481"/>
        <v>1.3972669197852208</v>
      </c>
      <c r="AK427" s="282">
        <f t="shared" ca="1" si="481"/>
        <v>1.5565402933829871</v>
      </c>
      <c r="AL427" s="317" t="str">
        <f t="shared" ca="1" si="481"/>
        <v/>
      </c>
      <c r="AM427" s="317" t="str">
        <f t="shared" ca="1" si="481"/>
        <v/>
      </c>
      <c r="AN427" s="317" t="str">
        <f t="shared" ca="1" si="481"/>
        <v/>
      </c>
      <c r="AO427" s="317" t="str">
        <f t="shared" ca="1" si="481"/>
        <v/>
      </c>
      <c r="AP427" s="317" t="str">
        <f t="shared" ca="1" si="481"/>
        <v/>
      </c>
      <c r="AQ427" s="317" t="str">
        <f t="shared" ca="1" si="481"/>
        <v/>
      </c>
      <c r="AR427" s="317" t="str">
        <f t="shared" ca="1" si="481"/>
        <v/>
      </c>
      <c r="AS427" s="317" t="str">
        <f t="shared" ca="1" si="481"/>
        <v/>
      </c>
      <c r="AT427" s="317" t="str">
        <f t="shared" ca="1" si="481"/>
        <v/>
      </c>
      <c r="AU427" s="317" t="str">
        <f t="shared" ca="1" si="481"/>
        <v/>
      </c>
      <c r="AV427" s="317" t="str">
        <f t="shared" ca="1" si="481"/>
        <v/>
      </c>
      <c r="AW427" s="317" t="str">
        <f t="shared" ca="1" si="481"/>
        <v/>
      </c>
      <c r="AX427" s="317" t="str">
        <f t="shared" ca="1" si="481"/>
        <v/>
      </c>
      <c r="AY427" s="317" t="str">
        <f t="shared" ca="1" si="481"/>
        <v/>
      </c>
      <c r="AZ427" s="317" t="str">
        <f t="shared" ca="1" si="481"/>
        <v/>
      </c>
      <c r="BA427" s="317" t="str">
        <f t="shared" ca="1" si="481"/>
        <v/>
      </c>
      <c r="BB427" s="317" t="str">
        <f t="shared" ca="1" si="481"/>
        <v/>
      </c>
      <c r="BC427" s="317" t="str">
        <f t="shared" ca="1" si="481"/>
        <v/>
      </c>
      <c r="BD427" s="317" t="str">
        <f t="shared" ca="1" si="481"/>
        <v/>
      </c>
      <c r="BE427" s="317" t="str">
        <f t="shared" ca="1" si="481"/>
        <v/>
      </c>
      <c r="BF427" s="317" t="str">
        <f t="shared" ca="1" si="481"/>
        <v/>
      </c>
      <c r="BG427" s="317" t="str">
        <f t="shared" ca="1" si="481"/>
        <v/>
      </c>
      <c r="BH427" s="317" t="str">
        <f t="shared" ca="1" si="481"/>
        <v/>
      </c>
      <c r="BI427" s="317" t="str">
        <f t="shared" ca="1" si="481"/>
        <v/>
      </c>
      <c r="BK427" s="84"/>
      <c r="BL427" s="84"/>
      <c r="BM427" s="84"/>
      <c r="BN427" s="84"/>
      <c r="BO427" s="84"/>
      <c r="BP427" s="84"/>
    </row>
    <row r="428" spans="1:68" ht="15" customHeight="1" outlineLevel="1">
      <c r="J428" s="334">
        <v>0.187</v>
      </c>
      <c r="K428" s="335">
        <v>45.75</v>
      </c>
    </row>
    <row r="429" spans="1:68" ht="15" customHeight="1" outlineLevel="1">
      <c r="J429" s="334">
        <v>0</v>
      </c>
      <c r="K429" s="335">
        <v>0</v>
      </c>
      <c r="Q429" s="139" t="s">
        <v>213</v>
      </c>
      <c r="R429" s="139"/>
      <c r="S429" s="139"/>
      <c r="T429" s="139"/>
      <c r="U429" s="139"/>
    </row>
    <row r="430" spans="1:68" ht="15" customHeight="1" outlineLevel="1">
      <c r="J430" s="334">
        <v>0</v>
      </c>
      <c r="K430" s="335">
        <v>0</v>
      </c>
      <c r="Q430" s="1" t="str">
        <f>IF($D$2=FALSE,"-",Q223)</f>
        <v>Convertible bond</v>
      </c>
      <c r="W430" s="166" t="e">
        <f t="shared" ref="W430:AB430" ca="1" si="482">IF($D$2=FALSE,"-",IF(W$13="","",(W424&lt;W427)*1))</f>
        <v>#N/A</v>
      </c>
      <c r="X430" s="166">
        <f t="shared" ca="1" si="482"/>
        <v>0</v>
      </c>
      <c r="Y430" s="166">
        <f t="shared" ca="1" si="482"/>
        <v>0</v>
      </c>
      <c r="Z430" s="166">
        <f t="shared" ca="1" si="482"/>
        <v>0</v>
      </c>
      <c r="AA430" s="166">
        <f t="shared" ca="1" si="482"/>
        <v>0</v>
      </c>
      <c r="AB430" s="166">
        <f t="shared" ca="1" si="482"/>
        <v>1</v>
      </c>
      <c r="AC430" s="166"/>
      <c r="AD430" s="166" t="e">
        <f ca="1">IF($D$2=FALSE,"-",IF(AD$13="","",(AD424&lt;AD427)*1))</f>
        <v>#N/A</v>
      </c>
      <c r="AF430" s="166" t="e">
        <f t="shared" ref="AF430:BI430" ca="1" si="483">IF($D$2=FALSE,"-",IF(AF$13="","",(AF424&lt;AF427)*1))</f>
        <v>#N/A</v>
      </c>
      <c r="AG430" s="167">
        <f t="shared" ca="1" si="483"/>
        <v>0</v>
      </c>
      <c r="AH430" s="166">
        <f t="shared" ca="1" si="483"/>
        <v>0</v>
      </c>
      <c r="AI430" s="166">
        <f t="shared" ca="1" si="483"/>
        <v>0</v>
      </c>
      <c r="AJ430" s="166">
        <f t="shared" ca="1" si="483"/>
        <v>0</v>
      </c>
      <c r="AK430" s="166">
        <f t="shared" ca="1" si="483"/>
        <v>1</v>
      </c>
      <c r="AL430" s="166" t="str">
        <f t="shared" ca="1" si="483"/>
        <v/>
      </c>
      <c r="AM430" s="166" t="str">
        <f t="shared" ca="1" si="483"/>
        <v/>
      </c>
      <c r="AN430" s="166" t="str">
        <f t="shared" ca="1" si="483"/>
        <v/>
      </c>
      <c r="AO430" s="166" t="str">
        <f t="shared" ca="1" si="483"/>
        <v/>
      </c>
      <c r="AP430" s="166" t="str">
        <f t="shared" ca="1" si="483"/>
        <v/>
      </c>
      <c r="AQ430" s="166" t="str">
        <f t="shared" ca="1" si="483"/>
        <v/>
      </c>
      <c r="AR430" s="166" t="str">
        <f t="shared" ca="1" si="483"/>
        <v/>
      </c>
      <c r="AS430" s="166" t="str">
        <f t="shared" ca="1" si="483"/>
        <v/>
      </c>
      <c r="AT430" s="166" t="str">
        <f t="shared" ca="1" si="483"/>
        <v/>
      </c>
      <c r="AU430" s="166" t="str">
        <f t="shared" ca="1" si="483"/>
        <v/>
      </c>
      <c r="AV430" s="166" t="str">
        <f t="shared" ca="1" si="483"/>
        <v/>
      </c>
      <c r="AW430" s="166" t="str">
        <f t="shared" ca="1" si="483"/>
        <v/>
      </c>
      <c r="AX430" s="166" t="str">
        <f t="shared" ca="1" si="483"/>
        <v/>
      </c>
      <c r="AY430" s="166" t="str">
        <f t="shared" ca="1" si="483"/>
        <v/>
      </c>
      <c r="AZ430" s="166" t="str">
        <f t="shared" ca="1" si="483"/>
        <v/>
      </c>
      <c r="BA430" s="166" t="str">
        <f t="shared" ca="1" si="483"/>
        <v/>
      </c>
      <c r="BB430" s="166" t="str">
        <f t="shared" ca="1" si="483"/>
        <v/>
      </c>
      <c r="BC430" s="166" t="str">
        <f t="shared" ca="1" si="483"/>
        <v/>
      </c>
      <c r="BD430" s="166" t="str">
        <f t="shared" ca="1" si="483"/>
        <v/>
      </c>
      <c r="BE430" s="166" t="str">
        <f t="shared" ca="1" si="483"/>
        <v/>
      </c>
      <c r="BF430" s="166" t="str">
        <f t="shared" ca="1" si="483"/>
        <v/>
      </c>
      <c r="BG430" s="166" t="str">
        <f t="shared" ca="1" si="483"/>
        <v/>
      </c>
      <c r="BH430" s="166" t="str">
        <f t="shared" ca="1" si="483"/>
        <v/>
      </c>
      <c r="BI430" s="166" t="str">
        <f t="shared" ca="1" si="483"/>
        <v/>
      </c>
      <c r="BK430" s="84"/>
      <c r="BL430" s="84"/>
      <c r="BM430" s="84"/>
      <c r="BN430" s="84"/>
      <c r="BO430" s="84"/>
      <c r="BP430" s="84"/>
    </row>
    <row r="431" spans="1:68" ht="15" customHeight="1" outlineLevel="1">
      <c r="J431" s="334">
        <v>0</v>
      </c>
      <c r="K431" s="335">
        <v>0</v>
      </c>
      <c r="Q431" s="1" t="str">
        <f>IF($D$2=FALSE,"-",Q229)</f>
        <v>Preferred stock</v>
      </c>
      <c r="W431" s="166" t="e">
        <f t="shared" ref="W431:AB431" ca="1" si="484">IF($D$2=FALSE,"-",IF(W$13="","",(W425&lt;W427)*1))</f>
        <v>#N/A</v>
      </c>
      <c r="X431" s="166">
        <f t="shared" ca="1" si="484"/>
        <v>1</v>
      </c>
      <c r="Y431" s="166">
        <f t="shared" ca="1" si="484"/>
        <v>1</v>
      </c>
      <c r="Z431" s="166">
        <f t="shared" ca="1" si="484"/>
        <v>1</v>
      </c>
      <c r="AA431" s="166">
        <f t="shared" ca="1" si="484"/>
        <v>1</v>
      </c>
      <c r="AB431" s="166">
        <f t="shared" ca="1" si="484"/>
        <v>1</v>
      </c>
      <c r="AC431" s="166"/>
      <c r="AD431" s="166" t="e">
        <f ca="1">IF($D$2=FALSE,"-",IF(AD$13="","",(AD425&lt;AD427)*1))</f>
        <v>#N/A</v>
      </c>
      <c r="AF431" s="166" t="e">
        <f t="shared" ref="AF431:BI431" ca="1" si="485">IF($D$2=FALSE,"-",IF(AF$13="","",(AF425&lt;AF427)*1))</f>
        <v>#N/A</v>
      </c>
      <c r="AG431" s="167">
        <f t="shared" ca="1" si="485"/>
        <v>1</v>
      </c>
      <c r="AH431" s="166">
        <f t="shared" ca="1" si="485"/>
        <v>1</v>
      </c>
      <c r="AI431" s="166">
        <f t="shared" ca="1" si="485"/>
        <v>1</v>
      </c>
      <c r="AJ431" s="166">
        <f t="shared" ca="1" si="485"/>
        <v>1</v>
      </c>
      <c r="AK431" s="166">
        <f t="shared" ca="1" si="485"/>
        <v>1</v>
      </c>
      <c r="AL431" s="166" t="str">
        <f t="shared" ca="1" si="485"/>
        <v/>
      </c>
      <c r="AM431" s="166" t="str">
        <f t="shared" ca="1" si="485"/>
        <v/>
      </c>
      <c r="AN431" s="166" t="str">
        <f t="shared" ca="1" si="485"/>
        <v/>
      </c>
      <c r="AO431" s="166" t="str">
        <f t="shared" ca="1" si="485"/>
        <v/>
      </c>
      <c r="AP431" s="166" t="str">
        <f t="shared" ca="1" si="485"/>
        <v/>
      </c>
      <c r="AQ431" s="166" t="str">
        <f t="shared" ca="1" si="485"/>
        <v/>
      </c>
      <c r="AR431" s="166" t="str">
        <f t="shared" ca="1" si="485"/>
        <v/>
      </c>
      <c r="AS431" s="166" t="str">
        <f t="shared" ca="1" si="485"/>
        <v/>
      </c>
      <c r="AT431" s="166" t="str">
        <f t="shared" ca="1" si="485"/>
        <v/>
      </c>
      <c r="AU431" s="166" t="str">
        <f t="shared" ca="1" si="485"/>
        <v/>
      </c>
      <c r="AV431" s="166" t="str">
        <f t="shared" ca="1" si="485"/>
        <v/>
      </c>
      <c r="AW431" s="166" t="str">
        <f t="shared" ca="1" si="485"/>
        <v/>
      </c>
      <c r="AX431" s="166" t="str">
        <f t="shared" ca="1" si="485"/>
        <v/>
      </c>
      <c r="AY431" s="166" t="str">
        <f t="shared" ca="1" si="485"/>
        <v/>
      </c>
      <c r="AZ431" s="166" t="str">
        <f t="shared" ca="1" si="485"/>
        <v/>
      </c>
      <c r="BA431" s="166" t="str">
        <f t="shared" ca="1" si="485"/>
        <v/>
      </c>
      <c r="BB431" s="166" t="str">
        <f t="shared" ca="1" si="485"/>
        <v/>
      </c>
      <c r="BC431" s="166" t="str">
        <f t="shared" ca="1" si="485"/>
        <v/>
      </c>
      <c r="BD431" s="166" t="str">
        <f t="shared" ca="1" si="485"/>
        <v/>
      </c>
      <c r="BE431" s="166" t="str">
        <f t="shared" ca="1" si="485"/>
        <v/>
      </c>
      <c r="BF431" s="166" t="str">
        <f t="shared" ca="1" si="485"/>
        <v/>
      </c>
      <c r="BG431" s="166" t="str">
        <f t="shared" ca="1" si="485"/>
        <v/>
      </c>
      <c r="BH431" s="166" t="str">
        <f t="shared" ca="1" si="485"/>
        <v/>
      </c>
      <c r="BI431" s="166" t="str">
        <f t="shared" ca="1" si="485"/>
        <v/>
      </c>
      <c r="BK431" s="84"/>
      <c r="BL431" s="84"/>
      <c r="BM431" s="84"/>
      <c r="BN431" s="84"/>
      <c r="BO431" s="84"/>
      <c r="BP431" s="84"/>
    </row>
    <row r="432" spans="1:68" ht="15" customHeight="1" outlineLevel="1"/>
    <row r="433" spans="1:69" ht="15" customHeight="1" outlineLevel="1">
      <c r="A433" s="6"/>
      <c r="B433" s="34">
        <f>$B$57</f>
        <v>44926</v>
      </c>
      <c r="C433" s="34">
        <f ca="1">$C$57</f>
        <v>44926</v>
      </c>
      <c r="D433" s="206">
        <f ca="1">IF($D$2=FALSE,"-",AVERAGE(OFFSET($AF433,0,MATCH(B433,OFFSET($AF$13,0,0,1,$G$4-$E$4+1),0)-1,1,MATCH(C433,OFFSET($AF$13,0,0,1,$G$4-$E$4+1),0)-MATCH(B433,OFFSET($AF$13,0,0,1,$G$4-$E$4+1),0)+1)))</f>
        <v>35.340000000000003</v>
      </c>
      <c r="E433" s="207">
        <f ca="1">IF($D$2=FALSE,0,J433)</f>
        <v>35.340000000000003</v>
      </c>
      <c r="F433" s="206">
        <f t="shared" ref="F433" ca="1" si="486">IF($D$2=FALSE,"-",IF(E433="",D433,E433))</f>
        <v>35.340000000000003</v>
      </c>
      <c r="G433" s="34">
        <f>$G$57</f>
        <v>44926</v>
      </c>
      <c r="H433" s="37">
        <f ca="1">$H$57</f>
        <v>44926</v>
      </c>
      <c r="I433" s="206">
        <f ca="1">IF($D$2=FALSE,"-",AVERAGE(OFFSET($AF433,0,MATCH(G433,OFFSET($AF$13,0,0,1,$G$4-$E$4+1),0)-1,1,MATCH(H433,OFFSET($AF$13,0,0,1,$G$4-$E$4+1),0)-MATCH(G433,OFFSET($AF$13,0,0,1,$G$4-$E$4+1),0)+1)))</f>
        <v>35.340000000000003</v>
      </c>
      <c r="J433" s="207">
        <f ca="1">IF($D$2=FALSE,0,OFFSET($AF433,0,$F$4-1))</f>
        <v>35.340000000000003</v>
      </c>
      <c r="K433" s="208">
        <f ca="1">IF($D$2=FALSE,"-",IF(J433="",I433,J433))</f>
        <v>35.340000000000003</v>
      </c>
      <c r="L433" s="126">
        <v>5</v>
      </c>
      <c r="M433" s="81">
        <v>0.1</v>
      </c>
      <c r="O433" s="207">
        <v>35.340000000000003</v>
      </c>
      <c r="P433" s="6"/>
      <c r="Q433" s="6" t="s">
        <v>215</v>
      </c>
      <c r="R433" s="6"/>
      <c r="S433" s="6"/>
      <c r="T433" s="6"/>
      <c r="U433" s="6"/>
      <c r="V433" s="6"/>
      <c r="W433" s="163">
        <f t="shared" ref="W433:AB433" ca="1" si="487">IF($D$2=FALSE,"-",IF(W$13="","",IF(W52=0,0,-W53/W52)))</f>
        <v>35.340000000000003</v>
      </c>
      <c r="X433" s="163">
        <f t="shared" ca="1" si="487"/>
        <v>35.340000000000003</v>
      </c>
      <c r="Y433" s="163">
        <f t="shared" ca="1" si="487"/>
        <v>35.340000000000003</v>
      </c>
      <c r="Z433" s="163">
        <f t="shared" ca="1" si="487"/>
        <v>35.340000000000003</v>
      </c>
      <c r="AA433" s="163">
        <f t="shared" ca="1" si="487"/>
        <v>35.340000000000003</v>
      </c>
      <c r="AB433" s="163">
        <f t="shared" ca="1" si="487"/>
        <v>35.340000000000003</v>
      </c>
      <c r="AC433" s="258" t="s">
        <v>219</v>
      </c>
      <c r="AD433" s="163" t="e">
        <f ca="1">IF($D$2=FALSE,"-",IF(AD$13="","",IF(AD52=0,0,-AD53/AD52)))</f>
        <v>#N/A</v>
      </c>
      <c r="AE433" s="6"/>
      <c r="AF433" s="318">
        <f ca="1">IF($D$2=FALSE,"-",IF(AF$13="","",IF(AF$4&lt;0,#N/A,IF(AF$4=0,$O433,IF(AF$4&lt;=$L433,IF($M433=0,$F433-((IF($M433=0,($F433-$K433)/$L433,($K433-$F433)/(EXP(-$M433*$L433)-1)))*(AF$4-1)),($F433-(IF($M433=0,($F433-$K433)/$L433,($K433-$F433)/(EXP(-$M433*$L433)-1))))+((IF($M433=0,($F433-$K433)/$L433,($K433-$F433)/(EXP(-$M433*$L433)-1)))*EXP(-$M433*(AF$4-1)))),$K433)))))</f>
        <v>35.340000000000003</v>
      </c>
      <c r="AG433" s="319">
        <f t="shared" ref="AG433:BI434" ca="1" si="488">IF($D$2=FALSE,"-",IF(AG$13="","",IF(AG$4&lt;0,#N/A,IF(AG$4=0,$O433,IF(AG$4&lt;=$L433,IF($M433=0,$F433-((IF($M433=0,($F433-$K433)/$L433,($K433-$F433)/(EXP(-$M433*$L433)-1)))*(AG$4-1)),($F433-(IF($M433=0,($F433-$K433)/$L433,($K433-$F433)/(EXP(-$M433*$L433)-1))))+((IF($M433=0,($F433-$K433)/$L433,($K433-$F433)/(EXP(-$M433*$L433)-1)))*EXP(-$M433*(AG$4-1)))),$K433)))))</f>
        <v>35.340000000000003</v>
      </c>
      <c r="AH433" s="318">
        <f t="shared" ca="1" si="488"/>
        <v>35.340000000000003</v>
      </c>
      <c r="AI433" s="318">
        <f t="shared" ca="1" si="488"/>
        <v>35.340000000000003</v>
      </c>
      <c r="AJ433" s="318">
        <f t="shared" ca="1" si="488"/>
        <v>35.340000000000003</v>
      </c>
      <c r="AK433" s="318">
        <f t="shared" ca="1" si="488"/>
        <v>35.340000000000003</v>
      </c>
      <c r="AL433" s="318" t="str">
        <f t="shared" ca="1" si="488"/>
        <v/>
      </c>
      <c r="AM433" s="318" t="str">
        <f t="shared" ca="1" si="488"/>
        <v/>
      </c>
      <c r="AN433" s="318" t="str">
        <f t="shared" ca="1" si="488"/>
        <v/>
      </c>
      <c r="AO433" s="318" t="str">
        <f t="shared" ca="1" si="488"/>
        <v/>
      </c>
      <c r="AP433" s="318" t="str">
        <f t="shared" ca="1" si="488"/>
        <v/>
      </c>
      <c r="AQ433" s="318" t="str">
        <f t="shared" ca="1" si="488"/>
        <v/>
      </c>
      <c r="AR433" s="318" t="str">
        <f t="shared" ca="1" si="488"/>
        <v/>
      </c>
      <c r="AS433" s="318" t="str">
        <f t="shared" ca="1" si="488"/>
        <v/>
      </c>
      <c r="AT433" s="318" t="str">
        <f t="shared" ca="1" si="488"/>
        <v/>
      </c>
      <c r="AU433" s="318" t="str">
        <f t="shared" ca="1" si="488"/>
        <v/>
      </c>
      <c r="AV433" s="318" t="str">
        <f t="shared" ca="1" si="488"/>
        <v/>
      </c>
      <c r="AW433" s="318" t="str">
        <f t="shared" ca="1" si="488"/>
        <v/>
      </c>
      <c r="AX433" s="318" t="str">
        <f t="shared" ca="1" si="488"/>
        <v/>
      </c>
      <c r="AY433" s="318" t="str">
        <f t="shared" ca="1" si="488"/>
        <v/>
      </c>
      <c r="AZ433" s="318" t="str">
        <f t="shared" ca="1" si="488"/>
        <v/>
      </c>
      <c r="BA433" s="318" t="str">
        <f t="shared" ca="1" si="488"/>
        <v/>
      </c>
      <c r="BB433" s="318" t="str">
        <f t="shared" ca="1" si="488"/>
        <v/>
      </c>
      <c r="BC433" s="318" t="str">
        <f t="shared" ca="1" si="488"/>
        <v/>
      </c>
      <c r="BD433" s="318" t="str">
        <f t="shared" ca="1" si="488"/>
        <v/>
      </c>
      <c r="BE433" s="318" t="str">
        <f t="shared" ca="1" si="488"/>
        <v/>
      </c>
      <c r="BF433" s="318" t="str">
        <f t="shared" ca="1" si="488"/>
        <v/>
      </c>
      <c r="BG433" s="318" t="str">
        <f t="shared" ca="1" si="488"/>
        <v/>
      </c>
      <c r="BH433" s="318" t="str">
        <f t="shared" ca="1" si="488"/>
        <v/>
      </c>
      <c r="BI433" s="318" t="str">
        <f t="shared" ca="1" si="488"/>
        <v/>
      </c>
      <c r="BK433" s="85"/>
      <c r="BL433" s="85"/>
      <c r="BM433" s="85"/>
      <c r="BN433" s="85"/>
      <c r="BO433" s="85"/>
      <c r="BP433" s="85"/>
    </row>
    <row r="434" spans="1:69" ht="15" customHeight="1" outlineLevel="1">
      <c r="B434" s="34">
        <f>$B$57</f>
        <v>44926</v>
      </c>
      <c r="C434" s="34">
        <f ca="1">$C$57</f>
        <v>44926</v>
      </c>
      <c r="D434" s="206">
        <f ca="1">IF($D$2=FALSE,"-",AVERAGE(OFFSET($AF434,0,MATCH(B434,OFFSET($AF$13,0,0,1,$G$4-$E$4+1),0)-1,1,MATCH(C434,OFFSET($AF$13,0,0,1,$G$4-$E$4+1),0)-MATCH(B434,OFFSET($AF$13,0,0,1,$G$4-$E$4+1),0)+1)))</f>
        <v>2.7379912663755834E-3</v>
      </c>
      <c r="E434" s="207">
        <f ca="1">IF($D$2=FALSE,0,J434)</f>
        <v>2.7379912663755834E-3</v>
      </c>
      <c r="F434" s="206">
        <f t="shared" ref="F434" ca="1" si="489">IF($D$2=FALSE,"-",IF(E434="",D434,E434))</f>
        <v>2.7379912663755834E-3</v>
      </c>
      <c r="G434" s="34">
        <f>$G$57</f>
        <v>44926</v>
      </c>
      <c r="H434" s="37">
        <f ca="1">$H$57</f>
        <v>44926</v>
      </c>
      <c r="I434" s="206">
        <f ca="1">IF($D$2=FALSE,"-",AVERAGE(OFFSET($AF434,0,MATCH(G434,OFFSET($AF$13,0,0,1,$G$4-$E$4+1),0)-1,1,MATCH(H434,OFFSET($AF$13,0,0,1,$G$4-$E$4+1),0)-MATCH(G434,OFFSET($AF$13,0,0,1,$G$4-$E$4+1),0)+1)))</f>
        <v>2.7379912663755834E-3</v>
      </c>
      <c r="J434" s="207">
        <f ca="1">IF($D$2=FALSE,0,OFFSET($AF434,0,$F$4-1))</f>
        <v>2.7379912663755834E-3</v>
      </c>
      <c r="K434" s="208">
        <f ca="1">IF($D$2=FALSE,"-",IF(J434="",I434,J434))</f>
        <v>2.7379912663755834E-3</v>
      </c>
      <c r="L434" s="126">
        <v>5</v>
      </c>
      <c r="M434" s="81">
        <v>0.1</v>
      </c>
      <c r="O434" s="333">
        <f ca="1">IF($D$2=FALSE,"-",IN_THE_MONEY_OPTION_SHARES_FUNC(OFFSET($J$422,0,0,$K$420,1),OFFSET($K$422,0,0,$K$420,1),J420))</f>
        <v>2.7379912663755834E-3</v>
      </c>
      <c r="Q434" s="1" t="s">
        <v>221</v>
      </c>
      <c r="W434" s="238">
        <f t="shared" ref="W434:AB434" ca="1" si="490">IF($D$2=FALSE,"-",IF(W$13="","",OFFSET($AF434,0,W$8)))</f>
        <v>2.7379912663755834E-3</v>
      </c>
      <c r="X434" s="238">
        <f t="shared" ca="1" si="490"/>
        <v>2.7379912663755834E-3</v>
      </c>
      <c r="Y434" s="238">
        <f t="shared" ca="1" si="490"/>
        <v>2.7379912663755834E-3</v>
      </c>
      <c r="Z434" s="238">
        <f t="shared" ca="1" si="490"/>
        <v>2.7379912663755834E-3</v>
      </c>
      <c r="AA434" s="238">
        <f t="shared" ca="1" si="490"/>
        <v>2.7379912663755834E-3</v>
      </c>
      <c r="AB434" s="238">
        <f t="shared" ca="1" si="490"/>
        <v>2.7379912663755834E-3</v>
      </c>
      <c r="AC434" s="258" t="s">
        <v>219</v>
      </c>
      <c r="AD434" s="238" t="e">
        <f ca="1">IF($D$2=FALSE,"-",IF(AD$13="","",SUM(OFFSET($AF434,0,$F$4-AD$7-1))+SUM(OFFSET($AF434,0,$F$4-1))-SUM(OFFSET($AF434,0,$F$4-$E$5-1))))</f>
        <v>#N/A</v>
      </c>
      <c r="AE434" s="6"/>
      <c r="AF434" s="318">
        <f ca="1">IF($D$2=FALSE,"-",IF(AF$13="","",IF(AF$4&lt;0,#N/A,IF(AF$4=0,$O434,IF(AF$4&lt;=$L434,IF($M434=0,$F434-((IF($M434=0,($F434-$K434)/$L434,($K434-$F434)/(EXP(-$M434*$L434)-1)))*(AF$4-1)),($F434-(IF($M434=0,($F434-$K434)/$L434,($K434-$F434)/(EXP(-$M434*$L434)-1))))+((IF($M434=0,($F434-$K434)/$L434,($K434-$F434)/(EXP(-$M434*$L434)-1)))*EXP(-$M434*(AF$4-1)))),$K434)))))</f>
        <v>2.7379912663755834E-3</v>
      </c>
      <c r="AG434" s="319">
        <f t="shared" ca="1" si="488"/>
        <v>2.7379912663755834E-3</v>
      </c>
      <c r="AH434" s="318">
        <f t="shared" ca="1" si="488"/>
        <v>2.7379912663755834E-3</v>
      </c>
      <c r="AI434" s="318">
        <f t="shared" ca="1" si="488"/>
        <v>2.7379912663755834E-3</v>
      </c>
      <c r="AJ434" s="318">
        <f t="shared" ca="1" si="488"/>
        <v>2.7379912663755834E-3</v>
      </c>
      <c r="AK434" s="318">
        <f t="shared" ca="1" si="488"/>
        <v>2.7379912663755834E-3</v>
      </c>
      <c r="AL434" s="318" t="str">
        <f t="shared" ca="1" si="488"/>
        <v/>
      </c>
      <c r="AM434" s="318" t="str">
        <f t="shared" ca="1" si="488"/>
        <v/>
      </c>
      <c r="AN434" s="318" t="str">
        <f t="shared" ca="1" si="488"/>
        <v/>
      </c>
      <c r="AO434" s="318" t="str">
        <f t="shared" ca="1" si="488"/>
        <v/>
      </c>
      <c r="AP434" s="318" t="str">
        <f t="shared" ca="1" si="488"/>
        <v/>
      </c>
      <c r="AQ434" s="318" t="str">
        <f t="shared" ca="1" si="488"/>
        <v/>
      </c>
      <c r="AR434" s="318" t="str">
        <f t="shared" ca="1" si="488"/>
        <v/>
      </c>
      <c r="AS434" s="318" t="str">
        <f t="shared" ca="1" si="488"/>
        <v/>
      </c>
      <c r="AT434" s="318" t="str">
        <f t="shared" ca="1" si="488"/>
        <v/>
      </c>
      <c r="AU434" s="318" t="str">
        <f t="shared" ca="1" si="488"/>
        <v/>
      </c>
      <c r="AV434" s="318" t="str">
        <f t="shared" ca="1" si="488"/>
        <v/>
      </c>
      <c r="AW434" s="318" t="str">
        <f t="shared" ca="1" si="488"/>
        <v/>
      </c>
      <c r="AX434" s="318" t="str">
        <f t="shared" ca="1" si="488"/>
        <v/>
      </c>
      <c r="AY434" s="318" t="str">
        <f t="shared" ca="1" si="488"/>
        <v/>
      </c>
      <c r="AZ434" s="318" t="str">
        <f t="shared" ca="1" si="488"/>
        <v/>
      </c>
      <c r="BA434" s="318" t="str">
        <f t="shared" ca="1" si="488"/>
        <v/>
      </c>
      <c r="BB434" s="318" t="str">
        <f t="shared" ca="1" si="488"/>
        <v/>
      </c>
      <c r="BC434" s="318" t="str">
        <f t="shared" ca="1" si="488"/>
        <v/>
      </c>
      <c r="BD434" s="318" t="str">
        <f t="shared" ca="1" si="488"/>
        <v/>
      </c>
      <c r="BE434" s="318" t="str">
        <f t="shared" ca="1" si="488"/>
        <v/>
      </c>
      <c r="BF434" s="318" t="str">
        <f t="shared" ca="1" si="488"/>
        <v/>
      </c>
      <c r="BG434" s="318" t="str">
        <f t="shared" ca="1" si="488"/>
        <v/>
      </c>
      <c r="BH434" s="318" t="str">
        <f t="shared" ca="1" si="488"/>
        <v/>
      </c>
      <c r="BI434" s="318" t="str">
        <f t="shared" ca="1" si="488"/>
        <v/>
      </c>
      <c r="BK434" s="85"/>
      <c r="BL434" s="85"/>
      <c r="BM434" s="85"/>
      <c r="BN434" s="85"/>
      <c r="BO434" s="85"/>
      <c r="BP434" s="85"/>
    </row>
    <row r="435" spans="1:69" ht="15" customHeight="1" outlineLevel="1">
      <c r="O435" s="339">
        <f t="array" aca="1" ref="O435" ca="1">IF($D$2=FALSE,"-",O434-SUM(IF(OFFSET($K$422,0,0,$K$420,1)&gt;$J$420,0,OFFSET($J$422,0,0,$K$420,1)-OFFSET($J$422,0,0,$K$420,1)*OFFSET($K$422,0,0,$K$420,1)/$J$420)))</f>
        <v>0</v>
      </c>
      <c r="Q435" s="1" t="str">
        <f>IF($D$2=FALSE,"-","( + ) Shares from "&amp;Q223)</f>
        <v>( + ) Shares from Convertible bond</v>
      </c>
      <c r="W435" s="163" t="e">
        <f t="shared" ref="W435:AB436" ca="1" si="491">IF($D$2=FALSE,"-",IF(W$13="","",W420*W430))</f>
        <v>#N/A</v>
      </c>
      <c r="X435" s="163">
        <f t="shared" ca="1" si="491"/>
        <v>0</v>
      </c>
      <c r="Y435" s="163">
        <f t="shared" ca="1" si="491"/>
        <v>0</v>
      </c>
      <c r="Z435" s="163">
        <f t="shared" ca="1" si="491"/>
        <v>0</v>
      </c>
      <c r="AA435" s="163">
        <f t="shared" ca="1" si="491"/>
        <v>0</v>
      </c>
      <c r="AB435" s="163">
        <f t="shared" ca="1" si="491"/>
        <v>7.9655087376260738</v>
      </c>
      <c r="AC435" s="258" t="s">
        <v>219</v>
      </c>
      <c r="AD435" s="163" t="e">
        <f ca="1">IF($D$2=FALSE,"-",IF(AD$13="","",AD420*AD430))</f>
        <v>#N/A</v>
      </c>
      <c r="AF435" s="165" t="e">
        <f t="shared" ref="AF435" ca="1" si="492">IF($D$2=FALSE,"-",IF(AF$13="","",AF420*AF430))</f>
        <v>#N/A</v>
      </c>
      <c r="AG435" s="164">
        <f t="shared" ref="AG435:BI435" ca="1" si="493">IF($D$2=FALSE,"-",IF(AG$13="","",AG420*AG430))</f>
        <v>0</v>
      </c>
      <c r="AH435" s="163">
        <f t="shared" ca="1" si="493"/>
        <v>0</v>
      </c>
      <c r="AI435" s="163">
        <f t="shared" ca="1" si="493"/>
        <v>0</v>
      </c>
      <c r="AJ435" s="163">
        <f t="shared" ca="1" si="493"/>
        <v>0</v>
      </c>
      <c r="AK435" s="163">
        <f t="shared" ca="1" si="493"/>
        <v>7.9655087376260738</v>
      </c>
      <c r="AL435" s="163" t="str">
        <f t="shared" ca="1" si="493"/>
        <v/>
      </c>
      <c r="AM435" s="163" t="str">
        <f t="shared" ca="1" si="493"/>
        <v/>
      </c>
      <c r="AN435" s="163" t="str">
        <f t="shared" ca="1" si="493"/>
        <v/>
      </c>
      <c r="AO435" s="163" t="str">
        <f t="shared" ca="1" si="493"/>
        <v/>
      </c>
      <c r="AP435" s="163" t="str">
        <f t="shared" ca="1" si="493"/>
        <v/>
      </c>
      <c r="AQ435" s="163" t="str">
        <f t="shared" ca="1" si="493"/>
        <v/>
      </c>
      <c r="AR435" s="163" t="str">
        <f t="shared" ca="1" si="493"/>
        <v/>
      </c>
      <c r="AS435" s="163" t="str">
        <f t="shared" ca="1" si="493"/>
        <v/>
      </c>
      <c r="AT435" s="163" t="str">
        <f t="shared" ca="1" si="493"/>
        <v/>
      </c>
      <c r="AU435" s="163" t="str">
        <f t="shared" ca="1" si="493"/>
        <v/>
      </c>
      <c r="AV435" s="163" t="str">
        <f t="shared" ca="1" si="493"/>
        <v/>
      </c>
      <c r="AW435" s="163" t="str">
        <f t="shared" ca="1" si="493"/>
        <v/>
      </c>
      <c r="AX435" s="163" t="str">
        <f t="shared" ca="1" si="493"/>
        <v/>
      </c>
      <c r="AY435" s="163" t="str">
        <f t="shared" ca="1" si="493"/>
        <v/>
      </c>
      <c r="AZ435" s="163" t="str">
        <f t="shared" ca="1" si="493"/>
        <v/>
      </c>
      <c r="BA435" s="163" t="str">
        <f t="shared" ca="1" si="493"/>
        <v/>
      </c>
      <c r="BB435" s="163" t="str">
        <f t="shared" ca="1" si="493"/>
        <v/>
      </c>
      <c r="BC435" s="163" t="str">
        <f t="shared" ca="1" si="493"/>
        <v/>
      </c>
      <c r="BD435" s="163" t="str">
        <f t="shared" ca="1" si="493"/>
        <v/>
      </c>
      <c r="BE435" s="163" t="str">
        <f t="shared" ca="1" si="493"/>
        <v/>
      </c>
      <c r="BF435" s="163" t="str">
        <f t="shared" ca="1" si="493"/>
        <v/>
      </c>
      <c r="BG435" s="163" t="str">
        <f t="shared" ca="1" si="493"/>
        <v/>
      </c>
      <c r="BH435" s="163" t="str">
        <f t="shared" ca="1" si="493"/>
        <v/>
      </c>
      <c r="BI435" s="163" t="str">
        <f t="shared" ca="1" si="493"/>
        <v/>
      </c>
      <c r="BK435" s="85"/>
      <c r="BL435" s="85"/>
      <c r="BM435" s="85"/>
      <c r="BN435" s="85"/>
      <c r="BO435" s="85"/>
      <c r="BP435" s="85"/>
    </row>
    <row r="436" spans="1:69" ht="15" customHeight="1" outlineLevel="1">
      <c r="Q436" s="100" t="str">
        <f>IF($D$2=FALSE,"-","( + ) Shares from "&amp;Q229)</f>
        <v>( + ) Shares from Preferred stock</v>
      </c>
      <c r="R436" s="100"/>
      <c r="S436" s="100"/>
      <c r="T436" s="100"/>
      <c r="U436" s="100"/>
      <c r="W436" s="175" t="e">
        <f t="shared" ca="1" si="491"/>
        <v>#N/A</v>
      </c>
      <c r="X436" s="175">
        <f t="shared" ca="1" si="491"/>
        <v>24.75</v>
      </c>
      <c r="Y436" s="175">
        <f t="shared" ca="1" si="491"/>
        <v>24.5</v>
      </c>
      <c r="Z436" s="175">
        <f t="shared" ca="1" si="491"/>
        <v>24.25</v>
      </c>
      <c r="AA436" s="175">
        <f t="shared" ca="1" si="491"/>
        <v>24</v>
      </c>
      <c r="AB436" s="175">
        <f t="shared" ca="1" si="491"/>
        <v>23.75</v>
      </c>
      <c r="AC436" s="258" t="s">
        <v>219</v>
      </c>
      <c r="AD436" s="175" t="e">
        <f ca="1">IF($D$2=FALSE,"-",IF(AD$13="","",AD421*AD431))</f>
        <v>#N/A</v>
      </c>
      <c r="AF436" s="173" t="e">
        <f t="shared" ref="AF436" ca="1" si="494">IF($D$2=FALSE,"-",IF(AF$13="","",AF421*AF431))</f>
        <v>#N/A</v>
      </c>
      <c r="AG436" s="174">
        <f t="shared" ref="AG436:BI436" ca="1" si="495">IF($D$2=FALSE,"-",IF(AG$13="","",AG421*AG431))</f>
        <v>24.75</v>
      </c>
      <c r="AH436" s="175">
        <f t="shared" ca="1" si="495"/>
        <v>24.5</v>
      </c>
      <c r="AI436" s="175">
        <f t="shared" ca="1" si="495"/>
        <v>24.25</v>
      </c>
      <c r="AJ436" s="175">
        <f t="shared" ca="1" si="495"/>
        <v>24</v>
      </c>
      <c r="AK436" s="175">
        <f t="shared" ca="1" si="495"/>
        <v>23.75</v>
      </c>
      <c r="AL436" s="175" t="str">
        <f t="shared" ca="1" si="495"/>
        <v/>
      </c>
      <c r="AM436" s="175" t="str">
        <f t="shared" ca="1" si="495"/>
        <v/>
      </c>
      <c r="AN436" s="175" t="str">
        <f t="shared" ca="1" si="495"/>
        <v/>
      </c>
      <c r="AO436" s="175" t="str">
        <f t="shared" ca="1" si="495"/>
        <v/>
      </c>
      <c r="AP436" s="175" t="str">
        <f t="shared" ca="1" si="495"/>
        <v/>
      </c>
      <c r="AQ436" s="175" t="str">
        <f t="shared" ca="1" si="495"/>
        <v/>
      </c>
      <c r="AR436" s="175" t="str">
        <f t="shared" ca="1" si="495"/>
        <v/>
      </c>
      <c r="AS436" s="175" t="str">
        <f t="shared" ca="1" si="495"/>
        <v/>
      </c>
      <c r="AT436" s="175" t="str">
        <f t="shared" ca="1" si="495"/>
        <v/>
      </c>
      <c r="AU436" s="175" t="str">
        <f t="shared" ca="1" si="495"/>
        <v/>
      </c>
      <c r="AV436" s="175" t="str">
        <f t="shared" ca="1" si="495"/>
        <v/>
      </c>
      <c r="AW436" s="175" t="str">
        <f t="shared" ca="1" si="495"/>
        <v/>
      </c>
      <c r="AX436" s="175" t="str">
        <f t="shared" ca="1" si="495"/>
        <v/>
      </c>
      <c r="AY436" s="175" t="str">
        <f t="shared" ca="1" si="495"/>
        <v/>
      </c>
      <c r="AZ436" s="175" t="str">
        <f t="shared" ca="1" si="495"/>
        <v/>
      </c>
      <c r="BA436" s="175" t="str">
        <f t="shared" ca="1" si="495"/>
        <v/>
      </c>
      <c r="BB436" s="175" t="str">
        <f t="shared" ca="1" si="495"/>
        <v/>
      </c>
      <c r="BC436" s="175" t="str">
        <f t="shared" ca="1" si="495"/>
        <v/>
      </c>
      <c r="BD436" s="175" t="str">
        <f t="shared" ca="1" si="495"/>
        <v/>
      </c>
      <c r="BE436" s="175" t="str">
        <f t="shared" ca="1" si="495"/>
        <v/>
      </c>
      <c r="BF436" s="175" t="str">
        <f t="shared" ca="1" si="495"/>
        <v/>
      </c>
      <c r="BG436" s="175" t="str">
        <f t="shared" ca="1" si="495"/>
        <v/>
      </c>
      <c r="BH436" s="175" t="str">
        <f t="shared" ca="1" si="495"/>
        <v/>
      </c>
      <c r="BI436" s="175" t="str">
        <f t="shared" ca="1" si="495"/>
        <v/>
      </c>
      <c r="BK436" s="85"/>
      <c r="BL436" s="85"/>
      <c r="BM436" s="85"/>
      <c r="BN436" s="85"/>
      <c r="BO436" s="85"/>
      <c r="BP436" s="85"/>
    </row>
    <row r="437" spans="1:69" ht="15" customHeight="1" outlineLevel="1">
      <c r="Q437" s="142" t="s">
        <v>216</v>
      </c>
      <c r="R437" s="142"/>
      <c r="S437" s="142"/>
      <c r="T437" s="142"/>
      <c r="U437" s="142"/>
      <c r="W437" s="163" t="e">
        <f t="shared" ref="W437:AB437" ca="1" si="496">IF($D$2=FALSE,"-",IF(W$13="","",+SUM(W433:W436)))</f>
        <v>#N/A</v>
      </c>
      <c r="X437" s="163">
        <f t="shared" ca="1" si="496"/>
        <v>60.092737991266382</v>
      </c>
      <c r="Y437" s="163">
        <f t="shared" ca="1" si="496"/>
        <v>59.842737991266382</v>
      </c>
      <c r="Z437" s="163">
        <f t="shared" ca="1" si="496"/>
        <v>59.592737991266382</v>
      </c>
      <c r="AA437" s="163">
        <f t="shared" ca="1" si="496"/>
        <v>59.342737991266382</v>
      </c>
      <c r="AB437" s="163">
        <f t="shared" ca="1" si="496"/>
        <v>67.058246728892456</v>
      </c>
      <c r="AC437" s="258" t="s">
        <v>219</v>
      </c>
      <c r="AD437" s="163" t="e">
        <f ca="1">IF($D$2=FALSE,"-",IF(AD$13="","",+SUM(AD433:AD436)))</f>
        <v>#N/A</v>
      </c>
      <c r="AF437" s="165" t="e">
        <f t="shared" ref="AF437" ca="1" si="497">IF($D$2=FALSE,"-",IF(AF$13="","",+SUM(AF433:AF436)))</f>
        <v>#N/A</v>
      </c>
      <c r="AG437" s="164">
        <f t="shared" ref="AG437:BI437" ca="1" si="498">IF($D$2=FALSE,"-",IF(AG$13="","",+SUM(AG433:AG436)))</f>
        <v>60.092737991266382</v>
      </c>
      <c r="AH437" s="163">
        <f t="shared" ca="1" si="498"/>
        <v>59.842737991266382</v>
      </c>
      <c r="AI437" s="163">
        <f t="shared" ca="1" si="498"/>
        <v>59.592737991266382</v>
      </c>
      <c r="AJ437" s="163">
        <f t="shared" ca="1" si="498"/>
        <v>59.342737991266382</v>
      </c>
      <c r="AK437" s="163">
        <f t="shared" ca="1" si="498"/>
        <v>67.058246728892456</v>
      </c>
      <c r="AL437" s="163" t="str">
        <f t="shared" ca="1" si="498"/>
        <v/>
      </c>
      <c r="AM437" s="163" t="str">
        <f t="shared" ca="1" si="498"/>
        <v/>
      </c>
      <c r="AN437" s="163" t="str">
        <f t="shared" ca="1" si="498"/>
        <v/>
      </c>
      <c r="AO437" s="163" t="str">
        <f t="shared" ca="1" si="498"/>
        <v/>
      </c>
      <c r="AP437" s="163" t="str">
        <f t="shared" ca="1" si="498"/>
        <v/>
      </c>
      <c r="AQ437" s="163" t="str">
        <f t="shared" ca="1" si="498"/>
        <v/>
      </c>
      <c r="AR437" s="163" t="str">
        <f t="shared" ca="1" si="498"/>
        <v/>
      </c>
      <c r="AS437" s="163" t="str">
        <f t="shared" ca="1" si="498"/>
        <v/>
      </c>
      <c r="AT437" s="163" t="str">
        <f t="shared" ca="1" si="498"/>
        <v/>
      </c>
      <c r="AU437" s="163" t="str">
        <f t="shared" ca="1" si="498"/>
        <v/>
      </c>
      <c r="AV437" s="163" t="str">
        <f t="shared" ca="1" si="498"/>
        <v/>
      </c>
      <c r="AW437" s="163" t="str">
        <f t="shared" ca="1" si="498"/>
        <v/>
      </c>
      <c r="AX437" s="163" t="str">
        <f t="shared" ca="1" si="498"/>
        <v/>
      </c>
      <c r="AY437" s="163" t="str">
        <f t="shared" ca="1" si="498"/>
        <v/>
      </c>
      <c r="AZ437" s="163" t="str">
        <f t="shared" ca="1" si="498"/>
        <v/>
      </c>
      <c r="BA437" s="163" t="str">
        <f t="shared" ca="1" si="498"/>
        <v/>
      </c>
      <c r="BB437" s="163" t="str">
        <f t="shared" ca="1" si="498"/>
        <v/>
      </c>
      <c r="BC437" s="163" t="str">
        <f t="shared" ca="1" si="498"/>
        <v/>
      </c>
      <c r="BD437" s="163" t="str">
        <f t="shared" ca="1" si="498"/>
        <v/>
      </c>
      <c r="BE437" s="163" t="str">
        <f t="shared" ca="1" si="498"/>
        <v/>
      </c>
      <c r="BF437" s="163" t="str">
        <f t="shared" ca="1" si="498"/>
        <v/>
      </c>
      <c r="BG437" s="163" t="str">
        <f t="shared" ca="1" si="498"/>
        <v/>
      </c>
      <c r="BH437" s="163" t="str">
        <f t="shared" ca="1" si="498"/>
        <v/>
      </c>
      <c r="BI437" s="163" t="str">
        <f t="shared" ca="1" si="498"/>
        <v/>
      </c>
      <c r="BK437" s="85"/>
      <c r="BL437" s="85"/>
      <c r="BM437" s="85"/>
      <c r="BN437" s="85"/>
      <c r="BO437" s="85"/>
      <c r="BP437" s="85"/>
    </row>
    <row r="438" spans="1:69" ht="15" customHeight="1" outlineLevel="1"/>
    <row r="441" spans="1:69" ht="15" customHeight="1">
      <c r="I441" s="3"/>
      <c r="J441" s="3"/>
      <c r="K441" s="3"/>
      <c r="W441" s="7" t="str">
        <f t="shared" ref="W441:AB441" ca="1" si="499">IF($D$2=FALSE,"-",IF(W$11="","",W$11))</f>
        <v>ACT.</v>
      </c>
      <c r="X441" s="7" t="str">
        <f t="shared" ca="1" si="499"/>
        <v>EST.</v>
      </c>
      <c r="Y441" s="7" t="str">
        <f t="shared" ca="1" si="499"/>
        <v>EST.</v>
      </c>
      <c r="Z441" s="7" t="str">
        <f t="shared" ca="1" si="499"/>
        <v>EST.</v>
      </c>
      <c r="AA441" s="7" t="str">
        <f t="shared" ca="1" si="499"/>
        <v>EST.</v>
      </c>
      <c r="AB441" s="7" t="str">
        <f t="shared" ca="1" si="499"/>
        <v>EST.</v>
      </c>
      <c r="AD441" s="7" t="e">
        <f ca="1">IF($D$2=FALSE,"-",IF(AD$11="","",AD$11))</f>
        <v>#N/A</v>
      </c>
      <c r="AF441" s="8" t="str">
        <f t="shared" ref="AF441:BI441" ca="1" si="500">IF($D$2=FALSE,"-",IF(AF$11="","",AF$11))</f>
        <v>ACT.</v>
      </c>
      <c r="AG441" s="7" t="str">
        <f t="shared" ca="1" si="500"/>
        <v>EST.</v>
      </c>
      <c r="AH441" s="7" t="str">
        <f t="shared" ca="1" si="500"/>
        <v>EST.</v>
      </c>
      <c r="AI441" s="7" t="str">
        <f t="shared" ca="1" si="500"/>
        <v>EST.</v>
      </c>
      <c r="AJ441" s="7" t="str">
        <f t="shared" ca="1" si="500"/>
        <v>EST.</v>
      </c>
      <c r="AK441" s="7" t="str">
        <f t="shared" ca="1" si="500"/>
        <v>EST.</v>
      </c>
      <c r="AL441" s="7" t="str">
        <f t="shared" ca="1" si="500"/>
        <v/>
      </c>
      <c r="AM441" s="7" t="str">
        <f t="shared" ca="1" si="500"/>
        <v/>
      </c>
      <c r="AN441" s="7" t="str">
        <f t="shared" ca="1" si="500"/>
        <v/>
      </c>
      <c r="AO441" s="7" t="str">
        <f t="shared" ca="1" si="500"/>
        <v/>
      </c>
      <c r="AP441" s="7" t="str">
        <f t="shared" ca="1" si="500"/>
        <v/>
      </c>
      <c r="AQ441" s="7" t="str">
        <f t="shared" ca="1" si="500"/>
        <v/>
      </c>
      <c r="AR441" s="7" t="str">
        <f t="shared" ca="1" si="500"/>
        <v/>
      </c>
      <c r="AS441" s="7" t="str">
        <f t="shared" ca="1" si="500"/>
        <v/>
      </c>
      <c r="AT441" s="7" t="str">
        <f t="shared" ca="1" si="500"/>
        <v/>
      </c>
      <c r="AU441" s="7" t="str">
        <f t="shared" ca="1" si="500"/>
        <v/>
      </c>
      <c r="AV441" s="7" t="str">
        <f t="shared" ca="1" si="500"/>
        <v/>
      </c>
      <c r="AW441" s="7" t="str">
        <f t="shared" ca="1" si="500"/>
        <v/>
      </c>
      <c r="AX441" s="7" t="str">
        <f t="shared" ca="1" si="500"/>
        <v/>
      </c>
      <c r="AY441" s="7" t="str">
        <f t="shared" ca="1" si="500"/>
        <v/>
      </c>
      <c r="AZ441" s="7" t="str">
        <f t="shared" ca="1" si="500"/>
        <v/>
      </c>
      <c r="BA441" s="7" t="str">
        <f t="shared" ca="1" si="500"/>
        <v/>
      </c>
      <c r="BB441" s="7" t="str">
        <f t="shared" ca="1" si="500"/>
        <v/>
      </c>
      <c r="BC441" s="7" t="str">
        <f t="shared" ca="1" si="500"/>
        <v/>
      </c>
      <c r="BD441" s="7" t="str">
        <f t="shared" ca="1" si="500"/>
        <v/>
      </c>
      <c r="BE441" s="7" t="str">
        <f t="shared" ca="1" si="500"/>
        <v/>
      </c>
      <c r="BF441" s="7" t="str">
        <f t="shared" ca="1" si="500"/>
        <v/>
      </c>
      <c r="BG441" s="7" t="str">
        <f t="shared" ca="1" si="500"/>
        <v/>
      </c>
      <c r="BH441" s="7" t="str">
        <f t="shared" ca="1" si="500"/>
        <v/>
      </c>
      <c r="BI441" s="7" t="str">
        <f t="shared" ca="1" si="500"/>
        <v/>
      </c>
    </row>
    <row r="442" spans="1:69" ht="5" customHeight="1">
      <c r="I442" s="3"/>
      <c r="J442" s="3"/>
      <c r="K442" s="3"/>
      <c r="AD442" s="62"/>
      <c r="AG442" s="3"/>
      <c r="AH442" s="3"/>
      <c r="AI442" s="3"/>
      <c r="AJ442" s="3"/>
      <c r="AK442" s="3"/>
      <c r="AL442" s="3"/>
      <c r="AM442" s="3"/>
      <c r="AN442" s="3"/>
      <c r="AO442" s="3"/>
      <c r="AP442" s="3"/>
      <c r="AQ442" s="3"/>
      <c r="AR442" s="3"/>
      <c r="AS442" s="3"/>
      <c r="AT442" s="3"/>
      <c r="AU442" s="3"/>
      <c r="AV442" s="3"/>
      <c r="AW442" s="3"/>
      <c r="AX442" s="3"/>
      <c r="AY442" s="3"/>
      <c r="AZ442" s="3"/>
      <c r="BA442" s="3"/>
      <c r="BB442" s="3"/>
      <c r="BC442" s="3"/>
      <c r="BD442" s="3"/>
      <c r="BE442" s="3"/>
      <c r="BF442" s="3"/>
      <c r="BG442" s="3"/>
      <c r="BH442" s="3"/>
      <c r="BI442" s="3"/>
    </row>
    <row r="443" spans="1:69" ht="15" customHeight="1">
      <c r="A443" s="13"/>
      <c r="I443" s="3"/>
      <c r="J443" s="3"/>
      <c r="K443" s="3"/>
      <c r="N443" s="13"/>
      <c r="P443" s="295" t="s">
        <v>219</v>
      </c>
      <c r="Q443" s="340" t="s">
        <v>222</v>
      </c>
      <c r="R443" s="43"/>
      <c r="S443" s="43"/>
      <c r="T443" s="43"/>
      <c r="U443" s="43"/>
      <c r="V443" s="13"/>
      <c r="W443" s="7">
        <f t="shared" ref="W443:AB443" ca="1" si="501">IF($D$2=FALSE,"-",IF(W$13="","",W$13))</f>
        <v>44926</v>
      </c>
      <c r="X443" s="7">
        <f t="shared" ca="1" si="501"/>
        <v>45291</v>
      </c>
      <c r="Y443" s="7">
        <f t="shared" ca="1" si="501"/>
        <v>45657</v>
      </c>
      <c r="Z443" s="7">
        <f t="shared" ca="1" si="501"/>
        <v>46022</v>
      </c>
      <c r="AA443" s="7">
        <f t="shared" ca="1" si="501"/>
        <v>46387</v>
      </c>
      <c r="AB443" s="7">
        <f t="shared" ca="1" si="501"/>
        <v>46752</v>
      </c>
      <c r="AC443" s="13"/>
      <c r="AD443" s="7" t="e">
        <f ca="1">IF($D$2=FALSE,"-",IF(AD$13="","",AD$13))</f>
        <v>#N/A</v>
      </c>
      <c r="AE443" s="13"/>
      <c r="AF443" s="8">
        <f t="shared" ref="AF443:BI443" ca="1" si="502">IF($D$2=FALSE,"-",IF(AF$13="","",AF$13))</f>
        <v>44926</v>
      </c>
      <c r="AG443" s="7">
        <f t="shared" ca="1" si="502"/>
        <v>45291</v>
      </c>
      <c r="AH443" s="7">
        <f t="shared" ca="1" si="502"/>
        <v>45657</v>
      </c>
      <c r="AI443" s="7">
        <f t="shared" ca="1" si="502"/>
        <v>46022</v>
      </c>
      <c r="AJ443" s="7">
        <f t="shared" ca="1" si="502"/>
        <v>46387</v>
      </c>
      <c r="AK443" s="7">
        <f t="shared" ca="1" si="502"/>
        <v>46752</v>
      </c>
      <c r="AL443" s="7" t="str">
        <f t="shared" ca="1" si="502"/>
        <v/>
      </c>
      <c r="AM443" s="7" t="str">
        <f t="shared" ca="1" si="502"/>
        <v/>
      </c>
      <c r="AN443" s="7" t="str">
        <f t="shared" ca="1" si="502"/>
        <v/>
      </c>
      <c r="AO443" s="7" t="str">
        <f t="shared" ca="1" si="502"/>
        <v/>
      </c>
      <c r="AP443" s="7" t="str">
        <f t="shared" ca="1" si="502"/>
        <v/>
      </c>
      <c r="AQ443" s="7" t="str">
        <f t="shared" ca="1" si="502"/>
        <v/>
      </c>
      <c r="AR443" s="7" t="str">
        <f t="shared" ca="1" si="502"/>
        <v/>
      </c>
      <c r="AS443" s="7" t="str">
        <f t="shared" ca="1" si="502"/>
        <v/>
      </c>
      <c r="AT443" s="7" t="str">
        <f t="shared" ca="1" si="502"/>
        <v/>
      </c>
      <c r="AU443" s="7" t="str">
        <f t="shared" ca="1" si="502"/>
        <v/>
      </c>
      <c r="AV443" s="7" t="str">
        <f t="shared" ca="1" si="502"/>
        <v/>
      </c>
      <c r="AW443" s="7" t="str">
        <f t="shared" ca="1" si="502"/>
        <v/>
      </c>
      <c r="AX443" s="7" t="str">
        <f t="shared" ca="1" si="502"/>
        <v/>
      </c>
      <c r="AY443" s="7" t="str">
        <f t="shared" ca="1" si="502"/>
        <v/>
      </c>
      <c r="AZ443" s="7" t="str">
        <f t="shared" ca="1" si="502"/>
        <v/>
      </c>
      <c r="BA443" s="7" t="str">
        <f t="shared" ca="1" si="502"/>
        <v/>
      </c>
      <c r="BB443" s="7" t="str">
        <f t="shared" ca="1" si="502"/>
        <v/>
      </c>
      <c r="BC443" s="7" t="str">
        <f t="shared" ca="1" si="502"/>
        <v/>
      </c>
      <c r="BD443" s="7" t="str">
        <f t="shared" ca="1" si="502"/>
        <v/>
      </c>
      <c r="BE443" s="7" t="str">
        <f t="shared" ca="1" si="502"/>
        <v/>
      </c>
      <c r="BF443" s="7" t="str">
        <f t="shared" ca="1" si="502"/>
        <v/>
      </c>
      <c r="BG443" s="7" t="str">
        <f t="shared" ca="1" si="502"/>
        <v/>
      </c>
      <c r="BH443" s="7" t="str">
        <f t="shared" ca="1" si="502"/>
        <v/>
      </c>
      <c r="BI443" s="7" t="str">
        <f t="shared" ca="1" si="502"/>
        <v/>
      </c>
    </row>
    <row r="444" spans="1:69" ht="15" customHeight="1" outlineLevel="1"/>
    <row r="445" spans="1:69" ht="15" customHeight="1" outlineLevel="1">
      <c r="Q445" s="25" t="s">
        <v>223</v>
      </c>
      <c r="R445" s="25"/>
      <c r="S445" s="25"/>
      <c r="T445" s="25"/>
      <c r="U445" s="25"/>
      <c r="W445" s="59"/>
      <c r="X445" s="59"/>
      <c r="Y445" s="59"/>
      <c r="Z445" s="59"/>
      <c r="AA445" s="59"/>
      <c r="AB445" s="59"/>
      <c r="AD445" s="59"/>
      <c r="AF445" s="86"/>
      <c r="AG445" s="59"/>
      <c r="AH445" s="59"/>
      <c r="AI445" s="59"/>
      <c r="AJ445" s="59"/>
      <c r="AK445" s="59"/>
      <c r="AL445" s="59"/>
      <c r="AM445" s="59"/>
      <c r="AN445" s="59"/>
      <c r="AO445" s="59"/>
      <c r="AP445" s="59"/>
      <c r="AQ445" s="59"/>
      <c r="AR445" s="59"/>
      <c r="AS445" s="59"/>
      <c r="AT445" s="59"/>
      <c r="AU445" s="59"/>
      <c r="AV445" s="59"/>
      <c r="AW445" s="59"/>
      <c r="AX445" s="59"/>
      <c r="AY445" s="59"/>
      <c r="AZ445" s="59"/>
      <c r="BA445" s="59"/>
      <c r="BB445" s="59"/>
      <c r="BC445" s="59"/>
      <c r="BD445" s="59"/>
      <c r="BE445" s="59"/>
      <c r="BF445" s="59"/>
      <c r="BG445" s="59"/>
      <c r="BH445" s="59"/>
      <c r="BI445" s="59"/>
    </row>
    <row r="446" spans="1:69" ht="15" customHeight="1" outlineLevel="1"/>
    <row r="447" spans="1:69" ht="15" customHeight="1" outlineLevel="1">
      <c r="Q447" s="1" t="s">
        <v>156</v>
      </c>
      <c r="W447" s="135">
        <f t="shared" ref="W447:AB451" ca="1" si="503">IF($D$2=FALSE,"-",IF(W$13="","",OFFSET($AF447,0,W$8)))</f>
        <v>445.5</v>
      </c>
      <c r="X447" s="135">
        <f t="shared" ca="1" si="503"/>
        <v>326.76856934999995</v>
      </c>
      <c r="Y447" s="135">
        <f t="shared" ca="1" si="503"/>
        <v>251.33585432263413</v>
      </c>
      <c r="Z447" s="135">
        <f t="shared" ca="1" si="503"/>
        <v>247.08666890625</v>
      </c>
      <c r="AA447" s="135">
        <f t="shared" ca="1" si="503"/>
        <v>246.08666890625</v>
      </c>
      <c r="AB447" s="135">
        <f t="shared" ca="1" si="503"/>
        <v>245.08666890625</v>
      </c>
      <c r="AC447" s="231"/>
      <c r="AD447" s="135" t="e">
        <f ca="1">IF($D$2=FALSE,"-",IF(AD$13="","",OFFSET($AF447,0,$F$4-AD$7-1)+OFFSET($AF447,0,$F$4-1)-OFFSET($AF447,0,$F$4-$E$5-1)))</f>
        <v>#N/A</v>
      </c>
      <c r="AE447" s="31"/>
      <c r="AF447" s="179">
        <f t="shared" ref="AF447:BI447" ca="1" si="504">IF($D$2=FALSE,"-",IF(AF$13="","",AF224))</f>
        <v>445.5</v>
      </c>
      <c r="AG447" s="180">
        <f t="shared" ca="1" si="504"/>
        <v>326.76856934999995</v>
      </c>
      <c r="AH447" s="180">
        <f t="shared" ca="1" si="504"/>
        <v>251.33585432263413</v>
      </c>
      <c r="AI447" s="180">
        <f t="shared" ca="1" si="504"/>
        <v>247.08666890625</v>
      </c>
      <c r="AJ447" s="180">
        <f t="shared" ca="1" si="504"/>
        <v>246.08666890625</v>
      </c>
      <c r="AK447" s="180">
        <f t="shared" ca="1" si="504"/>
        <v>245.08666890625</v>
      </c>
      <c r="AL447" s="180" t="str">
        <f t="shared" ca="1" si="504"/>
        <v/>
      </c>
      <c r="AM447" s="180" t="str">
        <f t="shared" ca="1" si="504"/>
        <v/>
      </c>
      <c r="AN447" s="180" t="str">
        <f t="shared" ca="1" si="504"/>
        <v/>
      </c>
      <c r="AO447" s="180" t="str">
        <f t="shared" ca="1" si="504"/>
        <v/>
      </c>
      <c r="AP447" s="180" t="str">
        <f t="shared" ca="1" si="504"/>
        <v/>
      </c>
      <c r="AQ447" s="180" t="str">
        <f t="shared" ca="1" si="504"/>
        <v/>
      </c>
      <c r="AR447" s="180" t="str">
        <f t="shared" ca="1" si="504"/>
        <v/>
      </c>
      <c r="AS447" s="180" t="str">
        <f t="shared" ca="1" si="504"/>
        <v/>
      </c>
      <c r="AT447" s="180" t="str">
        <f t="shared" ca="1" si="504"/>
        <v/>
      </c>
      <c r="AU447" s="180" t="str">
        <f t="shared" ca="1" si="504"/>
        <v/>
      </c>
      <c r="AV447" s="180" t="str">
        <f t="shared" ca="1" si="504"/>
        <v/>
      </c>
      <c r="AW447" s="180" t="str">
        <f t="shared" ca="1" si="504"/>
        <v/>
      </c>
      <c r="AX447" s="180" t="str">
        <f t="shared" ca="1" si="504"/>
        <v/>
      </c>
      <c r="AY447" s="180" t="str">
        <f t="shared" ca="1" si="504"/>
        <v/>
      </c>
      <c r="AZ447" s="180" t="str">
        <f t="shared" ca="1" si="504"/>
        <v/>
      </c>
      <c r="BA447" s="180" t="str">
        <f t="shared" ca="1" si="504"/>
        <v/>
      </c>
      <c r="BB447" s="180" t="str">
        <f t="shared" ca="1" si="504"/>
        <v/>
      </c>
      <c r="BC447" s="180" t="str">
        <f t="shared" ca="1" si="504"/>
        <v/>
      </c>
      <c r="BD447" s="180" t="str">
        <f t="shared" ca="1" si="504"/>
        <v/>
      </c>
      <c r="BE447" s="180" t="str">
        <f t="shared" ca="1" si="504"/>
        <v/>
      </c>
      <c r="BF447" s="180" t="str">
        <f t="shared" ca="1" si="504"/>
        <v/>
      </c>
      <c r="BG447" s="180" t="str">
        <f t="shared" ca="1" si="504"/>
        <v/>
      </c>
      <c r="BH447" s="180" t="str">
        <f t="shared" ca="1" si="504"/>
        <v/>
      </c>
      <c r="BI447" s="180" t="str">
        <f t="shared" ca="1" si="504"/>
        <v/>
      </c>
      <c r="BK447" s="84"/>
      <c r="BL447" s="84"/>
      <c r="BM447" s="84"/>
      <c r="BN447" s="84"/>
      <c r="BO447" s="84"/>
      <c r="BP447" s="84"/>
      <c r="BQ447" s="84"/>
    </row>
    <row r="448" spans="1:69" ht="15" customHeight="1" outlineLevel="1">
      <c r="Q448" s="1" t="s">
        <v>224</v>
      </c>
      <c r="W448" s="135">
        <f t="shared" ca="1" si="503"/>
        <v>288.39400000000001</v>
      </c>
      <c r="X448" s="135">
        <f t="shared" ca="1" si="503"/>
        <v>227.12196934999994</v>
      </c>
      <c r="Y448" s="135">
        <f t="shared" ca="1" si="503"/>
        <v>151.68925432263413</v>
      </c>
      <c r="Z448" s="135">
        <f t="shared" ca="1" si="503"/>
        <v>64.919179555672116</v>
      </c>
      <c r="AA448" s="135">
        <f t="shared" ca="1" si="503"/>
        <v>-26.235331103023043</v>
      </c>
      <c r="AB448" s="135">
        <f t="shared" ca="1" si="503"/>
        <v>-94.053864788859073</v>
      </c>
      <c r="AC448" s="231"/>
      <c r="AD448" s="135" t="e">
        <f ca="1">IF($D$2=FALSE,"-",IF(AD$13="","",OFFSET($AF448,0,$F$4-AD$7-1)+OFFSET($AF448,0,$F$4-1)-OFFSET($AF448,0,$F$4-$E$5-1)))</f>
        <v>#N/A</v>
      </c>
      <c r="AE448" s="31"/>
      <c r="AF448" s="179">
        <f t="shared" ref="AF448:BI448" ca="1" si="505">IF($D$2=FALSE,"-",IF(AF$13="","",AF447-AF196))</f>
        <v>288.39400000000001</v>
      </c>
      <c r="AG448" s="180">
        <f t="shared" ca="1" si="505"/>
        <v>227.12196934999994</v>
      </c>
      <c r="AH448" s="180">
        <f t="shared" ca="1" si="505"/>
        <v>151.68925432263413</v>
      </c>
      <c r="AI448" s="180">
        <f t="shared" ca="1" si="505"/>
        <v>64.919179555672116</v>
      </c>
      <c r="AJ448" s="180">
        <f t="shared" ca="1" si="505"/>
        <v>-26.235331103023043</v>
      </c>
      <c r="AK448" s="180">
        <f t="shared" ca="1" si="505"/>
        <v>-94.053864788859073</v>
      </c>
      <c r="AL448" s="180" t="str">
        <f t="shared" ca="1" si="505"/>
        <v/>
      </c>
      <c r="AM448" s="180" t="str">
        <f t="shared" ca="1" si="505"/>
        <v/>
      </c>
      <c r="AN448" s="180" t="str">
        <f t="shared" ca="1" si="505"/>
        <v/>
      </c>
      <c r="AO448" s="180" t="str">
        <f t="shared" ca="1" si="505"/>
        <v/>
      </c>
      <c r="AP448" s="180" t="str">
        <f t="shared" ca="1" si="505"/>
        <v/>
      </c>
      <c r="AQ448" s="180" t="str">
        <f t="shared" ca="1" si="505"/>
        <v/>
      </c>
      <c r="AR448" s="180" t="str">
        <f t="shared" ca="1" si="505"/>
        <v/>
      </c>
      <c r="AS448" s="180" t="str">
        <f t="shared" ca="1" si="505"/>
        <v/>
      </c>
      <c r="AT448" s="180" t="str">
        <f t="shared" ca="1" si="505"/>
        <v/>
      </c>
      <c r="AU448" s="180" t="str">
        <f t="shared" ca="1" si="505"/>
        <v/>
      </c>
      <c r="AV448" s="180" t="str">
        <f t="shared" ca="1" si="505"/>
        <v/>
      </c>
      <c r="AW448" s="180" t="str">
        <f t="shared" ca="1" si="505"/>
        <v/>
      </c>
      <c r="AX448" s="180" t="str">
        <f t="shared" ca="1" si="505"/>
        <v/>
      </c>
      <c r="AY448" s="180" t="str">
        <f t="shared" ca="1" si="505"/>
        <v/>
      </c>
      <c r="AZ448" s="180" t="str">
        <f t="shared" ca="1" si="505"/>
        <v/>
      </c>
      <c r="BA448" s="180" t="str">
        <f t="shared" ca="1" si="505"/>
        <v/>
      </c>
      <c r="BB448" s="180" t="str">
        <f t="shared" ca="1" si="505"/>
        <v/>
      </c>
      <c r="BC448" s="180" t="str">
        <f t="shared" ca="1" si="505"/>
        <v/>
      </c>
      <c r="BD448" s="180" t="str">
        <f t="shared" ca="1" si="505"/>
        <v/>
      </c>
      <c r="BE448" s="180" t="str">
        <f t="shared" ca="1" si="505"/>
        <v/>
      </c>
      <c r="BF448" s="180" t="str">
        <f t="shared" ca="1" si="505"/>
        <v/>
      </c>
      <c r="BG448" s="180" t="str">
        <f t="shared" ca="1" si="505"/>
        <v/>
      </c>
      <c r="BH448" s="180" t="str">
        <f t="shared" ca="1" si="505"/>
        <v/>
      </c>
      <c r="BI448" s="180" t="str">
        <f t="shared" ca="1" si="505"/>
        <v/>
      </c>
      <c r="BK448" s="84"/>
      <c r="BL448" s="84"/>
      <c r="BM448" s="84"/>
      <c r="BN448" s="84"/>
      <c r="BO448" s="84"/>
      <c r="BP448" s="84"/>
      <c r="BQ448" s="84"/>
    </row>
    <row r="449" spans="17:69" ht="15" customHeight="1" outlineLevel="1">
      <c r="Q449" s="1" t="s">
        <v>225</v>
      </c>
      <c r="W449" s="135">
        <f t="shared" ca="1" si="503"/>
        <v>210</v>
      </c>
      <c r="X449" s="135">
        <f t="shared" ca="1" si="503"/>
        <v>90.068569349999947</v>
      </c>
      <c r="Y449" s="135">
        <f t="shared" ca="1" si="503"/>
        <v>13.054666822634161</v>
      </c>
      <c r="Z449" s="135">
        <f t="shared" ca="1" si="503"/>
        <v>0</v>
      </c>
      <c r="AA449" s="135">
        <f t="shared" ca="1" si="503"/>
        <v>0</v>
      </c>
      <c r="AB449" s="135">
        <f t="shared" ca="1" si="503"/>
        <v>0</v>
      </c>
      <c r="AC449" s="231"/>
      <c r="AD449" s="135" t="e">
        <f ca="1">IF($D$2=FALSE,"-",IF(AD$13="","",OFFSET($AF449,0,$F$4-AD$7-1)+OFFSET($AF449,0,$F$4-1)-OFFSET($AF449,0,$F$4-$E$5-1)))</f>
        <v>#N/A</v>
      </c>
      <c r="AE449" s="31"/>
      <c r="AF449" s="179">
        <f t="shared" ref="AF449:BI449" ca="1" si="506">IF($D$2=FALSE,"-",IF(AF$13="","",+AF220+AF221))</f>
        <v>210</v>
      </c>
      <c r="AG449" s="180">
        <f t="shared" ca="1" si="506"/>
        <v>90.068569349999947</v>
      </c>
      <c r="AH449" s="180">
        <f t="shared" ca="1" si="506"/>
        <v>13.054666822634161</v>
      </c>
      <c r="AI449" s="180">
        <f t="shared" ca="1" si="506"/>
        <v>0</v>
      </c>
      <c r="AJ449" s="180">
        <f t="shared" ca="1" si="506"/>
        <v>0</v>
      </c>
      <c r="AK449" s="180">
        <f t="shared" ca="1" si="506"/>
        <v>0</v>
      </c>
      <c r="AL449" s="180" t="str">
        <f t="shared" ca="1" si="506"/>
        <v/>
      </c>
      <c r="AM449" s="180" t="str">
        <f t="shared" ca="1" si="506"/>
        <v/>
      </c>
      <c r="AN449" s="180" t="str">
        <f t="shared" ca="1" si="506"/>
        <v/>
      </c>
      <c r="AO449" s="180" t="str">
        <f t="shared" ca="1" si="506"/>
        <v/>
      </c>
      <c r="AP449" s="180" t="str">
        <f t="shared" ca="1" si="506"/>
        <v/>
      </c>
      <c r="AQ449" s="180" t="str">
        <f t="shared" ca="1" si="506"/>
        <v/>
      </c>
      <c r="AR449" s="180" t="str">
        <f t="shared" ca="1" si="506"/>
        <v/>
      </c>
      <c r="AS449" s="180" t="str">
        <f t="shared" ca="1" si="506"/>
        <v/>
      </c>
      <c r="AT449" s="180" t="str">
        <f t="shared" ca="1" si="506"/>
        <v/>
      </c>
      <c r="AU449" s="180" t="str">
        <f t="shared" ca="1" si="506"/>
        <v/>
      </c>
      <c r="AV449" s="180" t="str">
        <f t="shared" ca="1" si="506"/>
        <v/>
      </c>
      <c r="AW449" s="180" t="str">
        <f t="shared" ca="1" si="506"/>
        <v/>
      </c>
      <c r="AX449" s="180" t="str">
        <f t="shared" ca="1" si="506"/>
        <v/>
      </c>
      <c r="AY449" s="180" t="str">
        <f t="shared" ca="1" si="506"/>
        <v/>
      </c>
      <c r="AZ449" s="180" t="str">
        <f t="shared" ca="1" si="506"/>
        <v/>
      </c>
      <c r="BA449" s="180" t="str">
        <f t="shared" ca="1" si="506"/>
        <v/>
      </c>
      <c r="BB449" s="180" t="str">
        <f t="shared" ca="1" si="506"/>
        <v/>
      </c>
      <c r="BC449" s="180" t="str">
        <f t="shared" ca="1" si="506"/>
        <v/>
      </c>
      <c r="BD449" s="180" t="str">
        <f t="shared" ca="1" si="506"/>
        <v/>
      </c>
      <c r="BE449" s="180" t="str">
        <f t="shared" ca="1" si="506"/>
        <v/>
      </c>
      <c r="BF449" s="180" t="str">
        <f t="shared" ca="1" si="506"/>
        <v/>
      </c>
      <c r="BG449" s="180" t="str">
        <f t="shared" ca="1" si="506"/>
        <v/>
      </c>
      <c r="BH449" s="180" t="str">
        <f t="shared" ca="1" si="506"/>
        <v/>
      </c>
      <c r="BI449" s="180" t="str">
        <f t="shared" ca="1" si="506"/>
        <v/>
      </c>
      <c r="BK449" s="84"/>
      <c r="BL449" s="84"/>
      <c r="BM449" s="84"/>
      <c r="BN449" s="84"/>
      <c r="BO449" s="84"/>
      <c r="BP449" s="84"/>
      <c r="BQ449" s="84"/>
    </row>
    <row r="450" spans="17:69" ht="15" customHeight="1" outlineLevel="1">
      <c r="Q450" s="1" t="s">
        <v>22</v>
      </c>
      <c r="W450" s="135">
        <f t="shared" ca="1" si="503"/>
        <v>100</v>
      </c>
      <c r="X450" s="135">
        <f t="shared" ca="1" si="503"/>
        <v>99</v>
      </c>
      <c r="Y450" s="135">
        <f t="shared" ca="1" si="503"/>
        <v>98</v>
      </c>
      <c r="Z450" s="135">
        <f t="shared" ca="1" si="503"/>
        <v>97</v>
      </c>
      <c r="AA450" s="135">
        <f t="shared" ca="1" si="503"/>
        <v>96</v>
      </c>
      <c r="AB450" s="135">
        <f t="shared" ca="1" si="503"/>
        <v>95</v>
      </c>
      <c r="AC450" s="231"/>
      <c r="AD450" s="135" t="e">
        <f ca="1">IF($D$2=FALSE,"-",IF(AD$13="","",OFFSET($AF450,0,$F$4-AD$7-1)+OFFSET($AF450,0,$F$4-1)-OFFSET($AF450,0,$F$4-$E$5-1)))</f>
        <v>#N/A</v>
      </c>
      <c r="AE450" s="31"/>
      <c r="AF450" s="179">
        <f t="shared" ref="AF450:BI450" ca="1" si="507">IF($D$2=FALSE,"-",IF(AF$13="","",AF229))</f>
        <v>100</v>
      </c>
      <c r="AG450" s="180">
        <f t="shared" ca="1" si="507"/>
        <v>99</v>
      </c>
      <c r="AH450" s="180">
        <f t="shared" ca="1" si="507"/>
        <v>98</v>
      </c>
      <c r="AI450" s="180">
        <f t="shared" ca="1" si="507"/>
        <v>97</v>
      </c>
      <c r="AJ450" s="180">
        <f t="shared" ca="1" si="507"/>
        <v>96</v>
      </c>
      <c r="AK450" s="180">
        <f t="shared" ca="1" si="507"/>
        <v>95</v>
      </c>
      <c r="AL450" s="180" t="str">
        <f t="shared" ca="1" si="507"/>
        <v/>
      </c>
      <c r="AM450" s="180" t="str">
        <f t="shared" ca="1" si="507"/>
        <v/>
      </c>
      <c r="AN450" s="180" t="str">
        <f t="shared" ca="1" si="507"/>
        <v/>
      </c>
      <c r="AO450" s="180" t="str">
        <f t="shared" ca="1" si="507"/>
        <v/>
      </c>
      <c r="AP450" s="180" t="str">
        <f t="shared" ca="1" si="507"/>
        <v/>
      </c>
      <c r="AQ450" s="180" t="str">
        <f t="shared" ca="1" si="507"/>
        <v/>
      </c>
      <c r="AR450" s="180" t="str">
        <f t="shared" ca="1" si="507"/>
        <v/>
      </c>
      <c r="AS450" s="180" t="str">
        <f t="shared" ca="1" si="507"/>
        <v/>
      </c>
      <c r="AT450" s="180" t="str">
        <f t="shared" ca="1" si="507"/>
        <v/>
      </c>
      <c r="AU450" s="180" t="str">
        <f t="shared" ca="1" si="507"/>
        <v/>
      </c>
      <c r="AV450" s="180" t="str">
        <f t="shared" ca="1" si="507"/>
        <v/>
      </c>
      <c r="AW450" s="180" t="str">
        <f t="shared" ca="1" si="507"/>
        <v/>
      </c>
      <c r="AX450" s="180" t="str">
        <f t="shared" ca="1" si="507"/>
        <v/>
      </c>
      <c r="AY450" s="180" t="str">
        <f t="shared" ca="1" si="507"/>
        <v/>
      </c>
      <c r="AZ450" s="180" t="str">
        <f t="shared" ca="1" si="507"/>
        <v/>
      </c>
      <c r="BA450" s="180" t="str">
        <f t="shared" ca="1" si="507"/>
        <v/>
      </c>
      <c r="BB450" s="180" t="str">
        <f t="shared" ca="1" si="507"/>
        <v/>
      </c>
      <c r="BC450" s="180" t="str">
        <f t="shared" ca="1" si="507"/>
        <v/>
      </c>
      <c r="BD450" s="180" t="str">
        <f t="shared" ca="1" si="507"/>
        <v/>
      </c>
      <c r="BE450" s="180" t="str">
        <f t="shared" ca="1" si="507"/>
        <v/>
      </c>
      <c r="BF450" s="180" t="str">
        <f t="shared" ca="1" si="507"/>
        <v/>
      </c>
      <c r="BG450" s="180" t="str">
        <f t="shared" ca="1" si="507"/>
        <v/>
      </c>
      <c r="BH450" s="180" t="str">
        <f t="shared" ca="1" si="507"/>
        <v/>
      </c>
      <c r="BI450" s="180" t="str">
        <f t="shared" ca="1" si="507"/>
        <v/>
      </c>
      <c r="BK450" s="84"/>
      <c r="BL450" s="84"/>
      <c r="BM450" s="84"/>
      <c r="BN450" s="84"/>
      <c r="BO450" s="84"/>
      <c r="BP450" s="84"/>
      <c r="BQ450" s="84"/>
    </row>
    <row r="451" spans="17:69" ht="15" customHeight="1" outlineLevel="1">
      <c r="Q451" s="1" t="s">
        <v>226</v>
      </c>
      <c r="W451" s="135">
        <f t="shared" ca="1" si="503"/>
        <v>658.75299999999993</v>
      </c>
      <c r="X451" s="135">
        <f t="shared" ca="1" si="503"/>
        <v>574.83413185614859</v>
      </c>
      <c r="Y451" s="135">
        <f t="shared" ca="1" si="503"/>
        <v>543.28913227925523</v>
      </c>
      <c r="Z451" s="135">
        <f t="shared" ca="1" si="503"/>
        <v>590.32765222518196</v>
      </c>
      <c r="AA451" s="135">
        <f t="shared" ca="1" si="503"/>
        <v>650.48113267039162</v>
      </c>
      <c r="AB451" s="135">
        <f t="shared" ca="1" si="503"/>
        <v>716.91970751354643</v>
      </c>
      <c r="AC451" s="231"/>
      <c r="AD451" s="135" t="e">
        <f ca="1">IF($D$2=FALSE,"-",IF(AD$13="","",OFFSET($AF451,0,$F$4-AD$7-1)+OFFSET($AF451,0,$F$4-1)-OFFSET($AF451,0,$F$4-$E$5-1)))</f>
        <v>#N/A</v>
      </c>
      <c r="AE451" s="31"/>
      <c r="AF451" s="179">
        <f t="shared" ref="AF451:BI451" ca="1" si="508">IF($D$2=FALSE,"-",IF(AF$13="","",+AF224+SUM(AF229:AF230)))</f>
        <v>658.75299999999993</v>
      </c>
      <c r="AG451" s="180">
        <f t="shared" ca="1" si="508"/>
        <v>574.83413185614859</v>
      </c>
      <c r="AH451" s="180">
        <f t="shared" ca="1" si="508"/>
        <v>543.28913227925523</v>
      </c>
      <c r="AI451" s="180">
        <f t="shared" ca="1" si="508"/>
        <v>590.32765222518196</v>
      </c>
      <c r="AJ451" s="180">
        <f t="shared" ca="1" si="508"/>
        <v>650.48113267039162</v>
      </c>
      <c r="AK451" s="180">
        <f t="shared" ca="1" si="508"/>
        <v>716.91970751354643</v>
      </c>
      <c r="AL451" s="180" t="str">
        <f t="shared" ca="1" si="508"/>
        <v/>
      </c>
      <c r="AM451" s="180" t="str">
        <f t="shared" ca="1" si="508"/>
        <v/>
      </c>
      <c r="AN451" s="180" t="str">
        <f t="shared" ca="1" si="508"/>
        <v/>
      </c>
      <c r="AO451" s="180" t="str">
        <f t="shared" ca="1" si="508"/>
        <v/>
      </c>
      <c r="AP451" s="180" t="str">
        <f t="shared" ca="1" si="508"/>
        <v/>
      </c>
      <c r="AQ451" s="180" t="str">
        <f t="shared" ca="1" si="508"/>
        <v/>
      </c>
      <c r="AR451" s="180" t="str">
        <f t="shared" ca="1" si="508"/>
        <v/>
      </c>
      <c r="AS451" s="180" t="str">
        <f t="shared" ca="1" si="508"/>
        <v/>
      </c>
      <c r="AT451" s="180" t="str">
        <f t="shared" ca="1" si="508"/>
        <v/>
      </c>
      <c r="AU451" s="180" t="str">
        <f t="shared" ca="1" si="508"/>
        <v/>
      </c>
      <c r="AV451" s="180" t="str">
        <f t="shared" ca="1" si="508"/>
        <v/>
      </c>
      <c r="AW451" s="180" t="str">
        <f t="shared" ca="1" si="508"/>
        <v/>
      </c>
      <c r="AX451" s="180" t="str">
        <f t="shared" ca="1" si="508"/>
        <v/>
      </c>
      <c r="AY451" s="180" t="str">
        <f t="shared" ca="1" si="508"/>
        <v/>
      </c>
      <c r="AZ451" s="180" t="str">
        <f t="shared" ca="1" si="508"/>
        <v/>
      </c>
      <c r="BA451" s="180" t="str">
        <f t="shared" ca="1" si="508"/>
        <v/>
      </c>
      <c r="BB451" s="180" t="str">
        <f t="shared" ca="1" si="508"/>
        <v/>
      </c>
      <c r="BC451" s="180" t="str">
        <f t="shared" ca="1" si="508"/>
        <v/>
      </c>
      <c r="BD451" s="180" t="str">
        <f t="shared" ca="1" si="508"/>
        <v/>
      </c>
      <c r="BE451" s="180" t="str">
        <f t="shared" ca="1" si="508"/>
        <v/>
      </c>
      <c r="BF451" s="180" t="str">
        <f t="shared" ca="1" si="508"/>
        <v/>
      </c>
      <c r="BG451" s="180" t="str">
        <f t="shared" ca="1" si="508"/>
        <v/>
      </c>
      <c r="BH451" s="180" t="str">
        <f t="shared" ca="1" si="508"/>
        <v/>
      </c>
      <c r="BI451" s="180" t="str">
        <f t="shared" ca="1" si="508"/>
        <v/>
      </c>
      <c r="BK451" s="84"/>
      <c r="BL451" s="84"/>
      <c r="BM451" s="84"/>
      <c r="BN451" s="84"/>
      <c r="BO451" s="84"/>
      <c r="BP451" s="84"/>
      <c r="BQ451" s="84"/>
    </row>
    <row r="452" spans="17:69" ht="15" customHeight="1" outlineLevel="1"/>
    <row r="453" spans="17:69" ht="15" customHeight="1" outlineLevel="1">
      <c r="Q453" s="25" t="s">
        <v>227</v>
      </c>
      <c r="R453" s="25"/>
      <c r="S453" s="25"/>
      <c r="T453" s="25"/>
      <c r="U453" s="25"/>
      <c r="W453" s="59"/>
      <c r="X453" s="59"/>
      <c r="Y453" s="59"/>
      <c r="Z453" s="59"/>
      <c r="AA453" s="59"/>
      <c r="AB453" s="59"/>
      <c r="AD453" s="59"/>
      <c r="AF453" s="86"/>
      <c r="AG453" s="59"/>
      <c r="AH453" s="59"/>
      <c r="AI453" s="59"/>
      <c r="AJ453" s="59"/>
      <c r="AK453" s="59"/>
      <c r="AL453" s="59"/>
      <c r="AM453" s="59"/>
      <c r="AN453" s="59"/>
      <c r="AO453" s="59"/>
      <c r="AP453" s="59"/>
      <c r="AQ453" s="59"/>
      <c r="AR453" s="59"/>
      <c r="AS453" s="59"/>
      <c r="AT453" s="59"/>
      <c r="AU453" s="59"/>
      <c r="AV453" s="59"/>
      <c r="AW453" s="59"/>
      <c r="AX453" s="59"/>
      <c r="AY453" s="59"/>
      <c r="AZ453" s="59"/>
      <c r="BA453" s="59"/>
      <c r="BB453" s="59"/>
      <c r="BC453" s="59"/>
      <c r="BD453" s="59"/>
      <c r="BE453" s="59"/>
      <c r="BF453" s="59"/>
      <c r="BG453" s="59"/>
      <c r="BH453" s="59"/>
      <c r="BI453" s="59"/>
    </row>
    <row r="454" spans="17:69" ht="15" customHeight="1" outlineLevel="1"/>
    <row r="455" spans="17:69" ht="15" customHeight="1" outlineLevel="1">
      <c r="Q455" s="1" t="s">
        <v>199</v>
      </c>
      <c r="W455" s="116" t="e">
        <f t="shared" ref="W455:AB458" ca="1" si="509">IF($D$2=FALSE,"-",IF(W$13="","",SUM(OFFSET($AF455,0,W$8,1,-$E$5))))</f>
        <v>#N/A</v>
      </c>
      <c r="X455" s="116">
        <f t="shared" ca="1" si="509"/>
        <v>16.828422499999999</v>
      </c>
      <c r="Y455" s="116">
        <f t="shared" ca="1" si="509"/>
        <v>7.8308881557492835</v>
      </c>
      <c r="Z455" s="116">
        <f t="shared" ca="1" si="509"/>
        <v>2.0477586446815366</v>
      </c>
      <c r="AA455" s="116">
        <f t="shared" ca="1" si="509"/>
        <v>1</v>
      </c>
      <c r="AB455" s="116">
        <f t="shared" ca="1" si="509"/>
        <v>1</v>
      </c>
      <c r="AC455" s="257"/>
      <c r="AD455" s="116" t="e">
        <f ca="1">IF($D$2=FALSE,"-",IF(AD$13="","",SUM(OFFSET($AF455,0,$F$4-AD$7-1,1,-$E$5))+SUM(OFFSET($AF455,0,$F$4-1,1,-AD$7))-SUM(OFFSET($AF455,0,$F$4-$E$5-1,1,-AD$7))))</f>
        <v>#N/A</v>
      </c>
      <c r="AE455" s="31"/>
      <c r="AF455" s="179" t="e">
        <f t="shared" ref="AF455:BI455" ca="1" si="510">IF($D$2=FALSE,"-",IF(AF$13="","",AF394))</f>
        <v>#N/A</v>
      </c>
      <c r="AG455" s="180">
        <f t="shared" ca="1" si="510"/>
        <v>16.828422499999999</v>
      </c>
      <c r="AH455" s="180">
        <f t="shared" ca="1" si="510"/>
        <v>7.8308881557492835</v>
      </c>
      <c r="AI455" s="180">
        <f t="shared" ca="1" si="510"/>
        <v>2.0477586446815366</v>
      </c>
      <c r="AJ455" s="180">
        <f t="shared" ca="1" si="510"/>
        <v>1</v>
      </c>
      <c r="AK455" s="180">
        <f t="shared" ca="1" si="510"/>
        <v>1</v>
      </c>
      <c r="AL455" s="180" t="str">
        <f t="shared" ca="1" si="510"/>
        <v/>
      </c>
      <c r="AM455" s="180" t="str">
        <f t="shared" ca="1" si="510"/>
        <v/>
      </c>
      <c r="AN455" s="180" t="str">
        <f t="shared" ca="1" si="510"/>
        <v/>
      </c>
      <c r="AO455" s="180" t="str">
        <f t="shared" ca="1" si="510"/>
        <v/>
      </c>
      <c r="AP455" s="180" t="str">
        <f t="shared" ca="1" si="510"/>
        <v/>
      </c>
      <c r="AQ455" s="180" t="str">
        <f t="shared" ca="1" si="510"/>
        <v/>
      </c>
      <c r="AR455" s="180" t="str">
        <f t="shared" ca="1" si="510"/>
        <v/>
      </c>
      <c r="AS455" s="180" t="str">
        <f t="shared" ca="1" si="510"/>
        <v/>
      </c>
      <c r="AT455" s="180" t="str">
        <f t="shared" ca="1" si="510"/>
        <v/>
      </c>
      <c r="AU455" s="180" t="str">
        <f t="shared" ca="1" si="510"/>
        <v/>
      </c>
      <c r="AV455" s="180" t="str">
        <f t="shared" ca="1" si="510"/>
        <v/>
      </c>
      <c r="AW455" s="180" t="str">
        <f t="shared" ca="1" si="510"/>
        <v/>
      </c>
      <c r="AX455" s="180" t="str">
        <f t="shared" ca="1" si="510"/>
        <v/>
      </c>
      <c r="AY455" s="180" t="str">
        <f t="shared" ca="1" si="510"/>
        <v/>
      </c>
      <c r="AZ455" s="180" t="str">
        <f t="shared" ca="1" si="510"/>
        <v/>
      </c>
      <c r="BA455" s="180" t="str">
        <f t="shared" ca="1" si="510"/>
        <v/>
      </c>
      <c r="BB455" s="180" t="str">
        <f t="shared" ca="1" si="510"/>
        <v/>
      </c>
      <c r="BC455" s="180" t="str">
        <f t="shared" ca="1" si="510"/>
        <v/>
      </c>
      <c r="BD455" s="180" t="str">
        <f t="shared" ca="1" si="510"/>
        <v/>
      </c>
      <c r="BE455" s="180" t="str">
        <f t="shared" ca="1" si="510"/>
        <v/>
      </c>
      <c r="BF455" s="180" t="str">
        <f t="shared" ca="1" si="510"/>
        <v/>
      </c>
      <c r="BG455" s="180" t="str">
        <f t="shared" ca="1" si="510"/>
        <v/>
      </c>
      <c r="BH455" s="180" t="str">
        <f t="shared" ca="1" si="510"/>
        <v/>
      </c>
      <c r="BI455" s="180" t="str">
        <f t="shared" ca="1" si="510"/>
        <v/>
      </c>
      <c r="BK455" s="84"/>
      <c r="BL455" s="84"/>
      <c r="BM455" s="84"/>
      <c r="BN455" s="84"/>
      <c r="BO455" s="84"/>
      <c r="BP455" s="84"/>
    </row>
    <row r="456" spans="17:69" ht="15" customHeight="1" outlineLevel="1">
      <c r="Q456" s="1" t="s">
        <v>200</v>
      </c>
      <c r="W456" s="116" t="e">
        <f t="shared" ca="1" si="509"/>
        <v>#N/A</v>
      </c>
      <c r="X456" s="116">
        <f t="shared" ca="1" si="509"/>
        <v>29.607172499999997</v>
      </c>
      <c r="Y456" s="116">
        <f t="shared" ca="1" si="509"/>
        <v>20.427763155749282</v>
      </c>
      <c r="Z456" s="116">
        <f t="shared" ca="1" si="509"/>
        <v>14.48086505093154</v>
      </c>
      <c r="AA456" s="116">
        <f t="shared" ca="1" si="509"/>
        <v>24.075108546093755</v>
      </c>
      <c r="AB456" s="116">
        <f t="shared" ca="1" si="509"/>
        <v>23.980108546093749</v>
      </c>
      <c r="AC456" s="257"/>
      <c r="AD456" s="116" t="e">
        <f ca="1">IF($D$2=FALSE,"-",IF(AD$13="","",SUM(OFFSET($AF456,0,$F$4-AD$7-1,1,-$E$5))+SUM(OFFSET($AF456,0,$F$4-1,1,-AD$7))-SUM(OFFSET($AF456,0,$F$4-$E$5-1,1,-AD$7))))</f>
        <v>#N/A</v>
      </c>
      <c r="AE456" s="31"/>
      <c r="AF456" s="179" t="e">
        <f t="shared" ref="AF456:BI456" ca="1" si="511">IF($D$2=FALSE,"-",IF(AF$13="","",AF395))</f>
        <v>#N/A</v>
      </c>
      <c r="AG456" s="180">
        <f t="shared" ca="1" si="511"/>
        <v>29.607172499999997</v>
      </c>
      <c r="AH456" s="180">
        <f t="shared" ca="1" si="511"/>
        <v>20.427763155749282</v>
      </c>
      <c r="AI456" s="180">
        <f t="shared" ca="1" si="511"/>
        <v>14.48086505093154</v>
      </c>
      <c r="AJ456" s="180">
        <f t="shared" ca="1" si="511"/>
        <v>24.075108546093755</v>
      </c>
      <c r="AK456" s="180">
        <f t="shared" ca="1" si="511"/>
        <v>23.980108546093749</v>
      </c>
      <c r="AL456" s="180" t="str">
        <f t="shared" ca="1" si="511"/>
        <v/>
      </c>
      <c r="AM456" s="180" t="str">
        <f t="shared" ca="1" si="511"/>
        <v/>
      </c>
      <c r="AN456" s="180" t="str">
        <f t="shared" ca="1" si="511"/>
        <v/>
      </c>
      <c r="AO456" s="180" t="str">
        <f t="shared" ca="1" si="511"/>
        <v/>
      </c>
      <c r="AP456" s="180" t="str">
        <f t="shared" ca="1" si="511"/>
        <v/>
      </c>
      <c r="AQ456" s="180" t="str">
        <f t="shared" ca="1" si="511"/>
        <v/>
      </c>
      <c r="AR456" s="180" t="str">
        <f t="shared" ca="1" si="511"/>
        <v/>
      </c>
      <c r="AS456" s="180" t="str">
        <f t="shared" ca="1" si="511"/>
        <v/>
      </c>
      <c r="AT456" s="180" t="str">
        <f t="shared" ca="1" si="511"/>
        <v/>
      </c>
      <c r="AU456" s="180" t="str">
        <f t="shared" ca="1" si="511"/>
        <v/>
      </c>
      <c r="AV456" s="180" t="str">
        <f t="shared" ca="1" si="511"/>
        <v/>
      </c>
      <c r="AW456" s="180" t="str">
        <f t="shared" ca="1" si="511"/>
        <v/>
      </c>
      <c r="AX456" s="180" t="str">
        <f t="shared" ca="1" si="511"/>
        <v/>
      </c>
      <c r="AY456" s="180" t="str">
        <f t="shared" ca="1" si="511"/>
        <v/>
      </c>
      <c r="AZ456" s="180" t="str">
        <f t="shared" ca="1" si="511"/>
        <v/>
      </c>
      <c r="BA456" s="180" t="str">
        <f t="shared" ca="1" si="511"/>
        <v/>
      </c>
      <c r="BB456" s="180" t="str">
        <f t="shared" ca="1" si="511"/>
        <v/>
      </c>
      <c r="BC456" s="180" t="str">
        <f t="shared" ca="1" si="511"/>
        <v/>
      </c>
      <c r="BD456" s="180" t="str">
        <f t="shared" ca="1" si="511"/>
        <v/>
      </c>
      <c r="BE456" s="180" t="str">
        <f t="shared" ca="1" si="511"/>
        <v/>
      </c>
      <c r="BF456" s="180" t="str">
        <f t="shared" ca="1" si="511"/>
        <v/>
      </c>
      <c r="BG456" s="180" t="str">
        <f t="shared" ca="1" si="511"/>
        <v/>
      </c>
      <c r="BH456" s="180" t="str">
        <f t="shared" ca="1" si="511"/>
        <v/>
      </c>
      <c r="BI456" s="180" t="str">
        <f t="shared" ca="1" si="511"/>
        <v/>
      </c>
      <c r="BK456" s="84"/>
      <c r="BL456" s="84"/>
      <c r="BM456" s="84"/>
      <c r="BN456" s="84"/>
      <c r="BO456" s="84"/>
      <c r="BP456" s="84"/>
    </row>
    <row r="457" spans="17:69" ht="15" customHeight="1" outlineLevel="1">
      <c r="Q457" s="1" t="s">
        <v>201</v>
      </c>
      <c r="W457" s="116" t="e">
        <f t="shared" ca="1" si="509"/>
        <v>#N/A</v>
      </c>
      <c r="X457" s="116">
        <f t="shared" ca="1" si="509"/>
        <v>38.632172499999996</v>
      </c>
      <c r="Y457" s="116">
        <f t="shared" ca="1" si="509"/>
        <v>29.833950655749284</v>
      </c>
      <c r="Z457" s="116">
        <f t="shared" ca="1" si="509"/>
        <v>24.286346457181537</v>
      </c>
      <c r="AA457" s="116">
        <f t="shared" ca="1" si="509"/>
        <v>24.075108546093755</v>
      </c>
      <c r="AB457" s="116">
        <f t="shared" ca="1" si="509"/>
        <v>23.980108546093749</v>
      </c>
      <c r="AC457" s="257"/>
      <c r="AD457" s="116" t="e">
        <f ca="1">IF($D$2=FALSE,"-",IF(AD$13="","",SUM(OFFSET($AF457,0,$F$4-AD$7-1,1,-$E$5))+SUM(OFFSET($AF457,0,$F$4-1,1,-AD$7))-SUM(OFFSET($AF457,0,$F$4-$E$5-1,1,-AD$7))))</f>
        <v>#N/A</v>
      </c>
      <c r="AE457" s="31"/>
      <c r="AF457" s="179" t="e">
        <f t="shared" ref="AF457:BI457" ca="1" si="512">IF($D$2=FALSE,"-",IF(AF$13="","",AF396))</f>
        <v>#N/A</v>
      </c>
      <c r="AG457" s="180">
        <f t="shared" ca="1" si="512"/>
        <v>38.632172499999996</v>
      </c>
      <c r="AH457" s="180">
        <f t="shared" ca="1" si="512"/>
        <v>29.833950655749284</v>
      </c>
      <c r="AI457" s="180">
        <f t="shared" ca="1" si="512"/>
        <v>24.286346457181537</v>
      </c>
      <c r="AJ457" s="180">
        <f t="shared" ca="1" si="512"/>
        <v>24.075108546093755</v>
      </c>
      <c r="AK457" s="180">
        <f t="shared" ca="1" si="512"/>
        <v>23.980108546093749</v>
      </c>
      <c r="AL457" s="180" t="str">
        <f t="shared" ca="1" si="512"/>
        <v/>
      </c>
      <c r="AM457" s="180" t="str">
        <f t="shared" ca="1" si="512"/>
        <v/>
      </c>
      <c r="AN457" s="180" t="str">
        <f t="shared" ca="1" si="512"/>
        <v/>
      </c>
      <c r="AO457" s="180" t="str">
        <f t="shared" ca="1" si="512"/>
        <v/>
      </c>
      <c r="AP457" s="180" t="str">
        <f t="shared" ca="1" si="512"/>
        <v/>
      </c>
      <c r="AQ457" s="180" t="str">
        <f t="shared" ca="1" si="512"/>
        <v/>
      </c>
      <c r="AR457" s="180" t="str">
        <f t="shared" ca="1" si="512"/>
        <v/>
      </c>
      <c r="AS457" s="180" t="str">
        <f t="shared" ca="1" si="512"/>
        <v/>
      </c>
      <c r="AT457" s="180" t="str">
        <f t="shared" ca="1" si="512"/>
        <v/>
      </c>
      <c r="AU457" s="180" t="str">
        <f t="shared" ca="1" si="512"/>
        <v/>
      </c>
      <c r="AV457" s="180" t="str">
        <f t="shared" ca="1" si="512"/>
        <v/>
      </c>
      <c r="AW457" s="180" t="str">
        <f t="shared" ca="1" si="512"/>
        <v/>
      </c>
      <c r="AX457" s="180" t="str">
        <f t="shared" ca="1" si="512"/>
        <v/>
      </c>
      <c r="AY457" s="180" t="str">
        <f t="shared" ca="1" si="512"/>
        <v/>
      </c>
      <c r="AZ457" s="180" t="str">
        <f t="shared" ca="1" si="512"/>
        <v/>
      </c>
      <c r="BA457" s="180" t="str">
        <f t="shared" ca="1" si="512"/>
        <v/>
      </c>
      <c r="BB457" s="180" t="str">
        <f t="shared" ca="1" si="512"/>
        <v/>
      </c>
      <c r="BC457" s="180" t="str">
        <f t="shared" ca="1" si="512"/>
        <v/>
      </c>
      <c r="BD457" s="180" t="str">
        <f t="shared" ca="1" si="512"/>
        <v/>
      </c>
      <c r="BE457" s="180" t="str">
        <f t="shared" ca="1" si="512"/>
        <v/>
      </c>
      <c r="BF457" s="180" t="str">
        <f t="shared" ca="1" si="512"/>
        <v/>
      </c>
      <c r="BG457" s="180" t="str">
        <f t="shared" ca="1" si="512"/>
        <v/>
      </c>
      <c r="BH457" s="180" t="str">
        <f t="shared" ca="1" si="512"/>
        <v/>
      </c>
      <c r="BI457" s="180" t="str">
        <f t="shared" ca="1" si="512"/>
        <v/>
      </c>
      <c r="BK457" s="84"/>
      <c r="BL457" s="84"/>
      <c r="BM457" s="84"/>
      <c r="BN457" s="84"/>
      <c r="BO457" s="84"/>
      <c r="BP457" s="84"/>
    </row>
    <row r="458" spans="17:69" ht="15" customHeight="1" outlineLevel="1">
      <c r="Q458" s="1" t="s">
        <v>250</v>
      </c>
      <c r="W458" s="116" t="e">
        <f t="shared" ca="1" si="509"/>
        <v>#N/A</v>
      </c>
      <c r="X458" s="116">
        <f t="shared" ca="1" si="509"/>
        <v>48.882172499999996</v>
      </c>
      <c r="Y458" s="116">
        <f t="shared" ca="1" si="509"/>
        <v>39.981450655749285</v>
      </c>
      <c r="Z458" s="116">
        <f t="shared" ca="1" si="509"/>
        <v>34.331346457181539</v>
      </c>
      <c r="AA458" s="116">
        <f t="shared" ca="1" si="509"/>
        <v>34.017608546093754</v>
      </c>
      <c r="AB458" s="116">
        <f t="shared" ca="1" si="509"/>
        <v>33.820108546093749</v>
      </c>
      <c r="AC458" s="257"/>
      <c r="AD458" s="116" t="e">
        <f ca="1">IF($D$2=FALSE,"-",IF(AD$13="","",SUM(OFFSET($AF458,0,$F$4-AD$7-1,1,-$E$5))+SUM(OFFSET($AF458,0,$F$4-1,1,-AD$7))-SUM(OFFSET($AF458,0,$F$4-$E$5-1,1,-AD$7))))</f>
        <v>#N/A</v>
      </c>
      <c r="AE458" s="31"/>
      <c r="AF458" s="179" t="e">
        <f t="shared" ref="AF458:BI458" ca="1" si="513">IF($D$2=FALSE,"-",IF(AF$13="","",+AF457+AF399))</f>
        <v>#N/A</v>
      </c>
      <c r="AG458" s="180">
        <f t="shared" ca="1" si="513"/>
        <v>48.882172499999996</v>
      </c>
      <c r="AH458" s="180">
        <f t="shared" ca="1" si="513"/>
        <v>39.981450655749285</v>
      </c>
      <c r="AI458" s="180">
        <f t="shared" ca="1" si="513"/>
        <v>34.331346457181539</v>
      </c>
      <c r="AJ458" s="180">
        <f t="shared" ca="1" si="513"/>
        <v>34.017608546093754</v>
      </c>
      <c r="AK458" s="180">
        <f t="shared" ca="1" si="513"/>
        <v>33.820108546093749</v>
      </c>
      <c r="AL458" s="180" t="str">
        <f t="shared" ca="1" si="513"/>
        <v/>
      </c>
      <c r="AM458" s="180" t="str">
        <f t="shared" ca="1" si="513"/>
        <v/>
      </c>
      <c r="AN458" s="180" t="str">
        <f t="shared" ca="1" si="513"/>
        <v/>
      </c>
      <c r="AO458" s="180" t="str">
        <f t="shared" ca="1" si="513"/>
        <v/>
      </c>
      <c r="AP458" s="180" t="str">
        <f t="shared" ca="1" si="513"/>
        <v/>
      </c>
      <c r="AQ458" s="180" t="str">
        <f t="shared" ca="1" si="513"/>
        <v/>
      </c>
      <c r="AR458" s="180" t="str">
        <f t="shared" ca="1" si="513"/>
        <v/>
      </c>
      <c r="AS458" s="180" t="str">
        <f t="shared" ca="1" si="513"/>
        <v/>
      </c>
      <c r="AT458" s="180" t="str">
        <f t="shared" ca="1" si="513"/>
        <v/>
      </c>
      <c r="AU458" s="180" t="str">
        <f t="shared" ca="1" si="513"/>
        <v/>
      </c>
      <c r="AV458" s="180" t="str">
        <f t="shared" ca="1" si="513"/>
        <v/>
      </c>
      <c r="AW458" s="180" t="str">
        <f t="shared" ca="1" si="513"/>
        <v/>
      </c>
      <c r="AX458" s="180" t="str">
        <f t="shared" ca="1" si="513"/>
        <v/>
      </c>
      <c r="AY458" s="180" t="str">
        <f t="shared" ca="1" si="513"/>
        <v/>
      </c>
      <c r="AZ458" s="180" t="str">
        <f t="shared" ca="1" si="513"/>
        <v/>
      </c>
      <c r="BA458" s="180" t="str">
        <f t="shared" ca="1" si="513"/>
        <v/>
      </c>
      <c r="BB458" s="180" t="str">
        <f t="shared" ca="1" si="513"/>
        <v/>
      </c>
      <c r="BC458" s="180" t="str">
        <f t="shared" ca="1" si="513"/>
        <v/>
      </c>
      <c r="BD458" s="180" t="str">
        <f t="shared" ca="1" si="513"/>
        <v/>
      </c>
      <c r="BE458" s="180" t="str">
        <f t="shared" ca="1" si="513"/>
        <v/>
      </c>
      <c r="BF458" s="180" t="str">
        <f t="shared" ca="1" si="513"/>
        <v/>
      </c>
      <c r="BG458" s="180" t="str">
        <f t="shared" ca="1" si="513"/>
        <v/>
      </c>
      <c r="BH458" s="180" t="str">
        <f t="shared" ca="1" si="513"/>
        <v/>
      </c>
      <c r="BI458" s="180" t="str">
        <f t="shared" ca="1" si="513"/>
        <v/>
      </c>
      <c r="BK458" s="84"/>
      <c r="BL458" s="84"/>
      <c r="BM458" s="84"/>
      <c r="BN458" s="84"/>
      <c r="BO458" s="84"/>
      <c r="BP458" s="84"/>
    </row>
    <row r="459" spans="17:69" ht="15" customHeight="1" outlineLevel="1"/>
    <row r="460" spans="17:69" ht="15" customHeight="1" outlineLevel="1">
      <c r="Q460" s="25" t="s">
        <v>228</v>
      </c>
      <c r="R460" s="25"/>
      <c r="S460" s="25"/>
      <c r="T460" s="25"/>
      <c r="U460" s="25"/>
      <c r="W460" s="59"/>
      <c r="X460" s="59"/>
      <c r="Y460" s="59"/>
      <c r="Z460" s="59"/>
      <c r="AA460" s="59"/>
      <c r="AB460" s="59"/>
      <c r="AD460" s="59"/>
      <c r="AF460" s="86"/>
      <c r="AG460" s="59"/>
      <c r="AH460" s="59"/>
      <c r="AI460" s="59"/>
      <c r="AJ460" s="59"/>
      <c r="AK460" s="59"/>
      <c r="AL460" s="59"/>
      <c r="AM460" s="59"/>
      <c r="AN460" s="59"/>
      <c r="AO460" s="59"/>
      <c r="AP460" s="59"/>
      <c r="AQ460" s="59"/>
      <c r="AR460" s="59"/>
      <c r="AS460" s="59"/>
      <c r="AT460" s="59"/>
      <c r="AU460" s="59"/>
      <c r="AV460" s="59"/>
      <c r="AW460" s="59"/>
      <c r="AX460" s="59"/>
      <c r="AY460" s="59"/>
      <c r="AZ460" s="59"/>
      <c r="BA460" s="59"/>
      <c r="BB460" s="59"/>
      <c r="BC460" s="59"/>
      <c r="BD460" s="59"/>
      <c r="BE460" s="59"/>
      <c r="BF460" s="59"/>
      <c r="BG460" s="59"/>
      <c r="BH460" s="59"/>
      <c r="BI460" s="59"/>
    </row>
    <row r="461" spans="17:69" ht="15" customHeight="1" outlineLevel="1"/>
    <row r="462" spans="17:69" ht="15" customHeight="1" outlineLevel="1">
      <c r="Q462" s="139" t="s">
        <v>80</v>
      </c>
      <c r="R462" s="139"/>
      <c r="S462" s="139"/>
      <c r="T462" s="139"/>
      <c r="U462" s="139"/>
      <c r="W462" s="180">
        <f t="shared" ref="W462:AB462" ca="1" si="514">IF($D$2=FALSE,"-",IF(W$13="","",W19))</f>
        <v>126.80000000000001</v>
      </c>
      <c r="X462" s="180">
        <f t="shared" ca="1" si="514"/>
        <v>133.14000000000004</v>
      </c>
      <c r="Y462" s="180">
        <f t="shared" ca="1" si="514"/>
        <v>139.79700000000005</v>
      </c>
      <c r="Z462" s="180">
        <f t="shared" ca="1" si="514"/>
        <v>146.78685000000002</v>
      </c>
      <c r="AA462" s="180">
        <f t="shared" ca="1" si="514"/>
        <v>154.1261925</v>
      </c>
      <c r="AB462" s="180">
        <f t="shared" ca="1" si="514"/>
        <v>161.83250212500005</v>
      </c>
      <c r="AC462" s="257"/>
      <c r="AD462" s="180" t="e">
        <f ca="1">IF($D$2=FALSE,"-",IF(AD$13="","",AD19))</f>
        <v>#N/A</v>
      </c>
      <c r="AE462" s="31"/>
      <c r="AF462" s="324">
        <f t="shared" ref="AF462:BI462" ca="1" si="515">IF($D$2=FALSE,"-",IF(AF$13="","",AF19))</f>
        <v>126.80000000000001</v>
      </c>
      <c r="AG462" s="180">
        <f t="shared" ca="1" si="515"/>
        <v>133.14000000000004</v>
      </c>
      <c r="AH462" s="180">
        <f t="shared" ca="1" si="515"/>
        <v>139.79700000000005</v>
      </c>
      <c r="AI462" s="180">
        <f t="shared" ca="1" si="515"/>
        <v>146.78685000000002</v>
      </c>
      <c r="AJ462" s="180">
        <f t="shared" ca="1" si="515"/>
        <v>154.1261925</v>
      </c>
      <c r="AK462" s="180">
        <f t="shared" ca="1" si="515"/>
        <v>161.83250212500005</v>
      </c>
      <c r="AL462" s="180" t="str">
        <f t="shared" ca="1" si="515"/>
        <v/>
      </c>
      <c r="AM462" s="180" t="str">
        <f t="shared" ca="1" si="515"/>
        <v/>
      </c>
      <c r="AN462" s="180" t="str">
        <f t="shared" ca="1" si="515"/>
        <v/>
      </c>
      <c r="AO462" s="180" t="str">
        <f t="shared" ca="1" si="515"/>
        <v/>
      </c>
      <c r="AP462" s="180" t="str">
        <f t="shared" ca="1" si="515"/>
        <v/>
      </c>
      <c r="AQ462" s="180" t="str">
        <f t="shared" ca="1" si="515"/>
        <v/>
      </c>
      <c r="AR462" s="180" t="str">
        <f t="shared" ca="1" si="515"/>
        <v/>
      </c>
      <c r="AS462" s="180" t="str">
        <f t="shared" ca="1" si="515"/>
        <v/>
      </c>
      <c r="AT462" s="180" t="str">
        <f t="shared" ca="1" si="515"/>
        <v/>
      </c>
      <c r="AU462" s="180" t="str">
        <f t="shared" ca="1" si="515"/>
        <v/>
      </c>
      <c r="AV462" s="180" t="str">
        <f t="shared" ca="1" si="515"/>
        <v/>
      </c>
      <c r="AW462" s="180" t="str">
        <f t="shared" ca="1" si="515"/>
        <v/>
      </c>
      <c r="AX462" s="180" t="str">
        <f t="shared" ca="1" si="515"/>
        <v/>
      </c>
      <c r="AY462" s="180" t="str">
        <f t="shared" ca="1" si="515"/>
        <v/>
      </c>
      <c r="AZ462" s="180" t="str">
        <f t="shared" ca="1" si="515"/>
        <v/>
      </c>
      <c r="BA462" s="180" t="str">
        <f t="shared" ca="1" si="515"/>
        <v/>
      </c>
      <c r="BB462" s="180" t="str">
        <f t="shared" ca="1" si="515"/>
        <v/>
      </c>
      <c r="BC462" s="180" t="str">
        <f t="shared" ca="1" si="515"/>
        <v/>
      </c>
      <c r="BD462" s="180" t="str">
        <f t="shared" ca="1" si="515"/>
        <v/>
      </c>
      <c r="BE462" s="180" t="str">
        <f t="shared" ca="1" si="515"/>
        <v/>
      </c>
      <c r="BF462" s="180" t="str">
        <f t="shared" ca="1" si="515"/>
        <v/>
      </c>
      <c r="BG462" s="180" t="str">
        <f t="shared" ca="1" si="515"/>
        <v/>
      </c>
      <c r="BH462" s="180" t="str">
        <f t="shared" ca="1" si="515"/>
        <v/>
      </c>
      <c r="BI462" s="180" t="str">
        <f t="shared" ca="1" si="515"/>
        <v/>
      </c>
      <c r="BK462" s="84"/>
      <c r="BL462" s="84"/>
      <c r="BM462" s="84"/>
      <c r="BN462" s="84"/>
      <c r="BO462" s="84"/>
      <c r="BP462" s="84"/>
    </row>
    <row r="463" spans="17:69" ht="15" customHeight="1" outlineLevel="1">
      <c r="Q463" s="87" t="s">
        <v>229</v>
      </c>
      <c r="R463" s="87"/>
      <c r="S463" s="87"/>
      <c r="T463" s="87"/>
      <c r="U463" s="87"/>
      <c r="W463" s="320" t="e">
        <f t="shared" ref="W463:AB463" ca="1" si="516">IF($D$2=FALSE,"-",IF(W$13="","",IF(W$455=0,#N/A,W462/W$455)))</f>
        <v>#N/A</v>
      </c>
      <c r="X463" s="320">
        <f t="shared" ca="1" si="516"/>
        <v>7.9116150072890106</v>
      </c>
      <c r="Y463" s="320">
        <f t="shared" ca="1" si="516"/>
        <v>17.851998038991766</v>
      </c>
      <c r="Z463" s="320">
        <f t="shared" ca="1" si="516"/>
        <v>71.681714239730638</v>
      </c>
      <c r="AA463" s="320">
        <f t="shared" ca="1" si="516"/>
        <v>154.1261925</v>
      </c>
      <c r="AB463" s="320">
        <f t="shared" ca="1" si="516"/>
        <v>161.83250212500005</v>
      </c>
      <c r="AC463" s="321"/>
      <c r="AD463" s="320" t="e">
        <f ca="1">IF($D$2=FALSE,"-",IF(AD$13="","",IF(AD$455=0,#N/A,AD462/AD$455)))</f>
        <v>#N/A</v>
      </c>
      <c r="AE463" s="322"/>
      <c r="AF463" s="323" t="e">
        <f t="shared" ref="AF463:BI463" ca="1" si="517">IF($D$2=FALSE,"-",IF(AF$13="","",IF(AF$455=0,#N/A,AF462/AF$455)))</f>
        <v>#N/A</v>
      </c>
      <c r="AG463" s="320">
        <f t="shared" ca="1" si="517"/>
        <v>7.9116150072890106</v>
      </c>
      <c r="AH463" s="320">
        <f t="shared" ca="1" si="517"/>
        <v>17.851998038991766</v>
      </c>
      <c r="AI463" s="320">
        <f t="shared" ca="1" si="517"/>
        <v>71.681714239730638</v>
      </c>
      <c r="AJ463" s="320">
        <f t="shared" ca="1" si="517"/>
        <v>154.1261925</v>
      </c>
      <c r="AK463" s="320">
        <f t="shared" ca="1" si="517"/>
        <v>161.83250212500005</v>
      </c>
      <c r="AL463" s="320" t="str">
        <f t="shared" ca="1" si="517"/>
        <v/>
      </c>
      <c r="AM463" s="320" t="str">
        <f t="shared" ca="1" si="517"/>
        <v/>
      </c>
      <c r="AN463" s="320" t="str">
        <f t="shared" ca="1" si="517"/>
        <v/>
      </c>
      <c r="AO463" s="320" t="str">
        <f t="shared" ca="1" si="517"/>
        <v/>
      </c>
      <c r="AP463" s="320" t="str">
        <f t="shared" ca="1" si="517"/>
        <v/>
      </c>
      <c r="AQ463" s="320" t="str">
        <f t="shared" ca="1" si="517"/>
        <v/>
      </c>
      <c r="AR463" s="320" t="str">
        <f t="shared" ca="1" si="517"/>
        <v/>
      </c>
      <c r="AS463" s="320" t="str">
        <f t="shared" ca="1" si="517"/>
        <v/>
      </c>
      <c r="AT463" s="320" t="str">
        <f t="shared" ca="1" si="517"/>
        <v/>
      </c>
      <c r="AU463" s="320" t="str">
        <f t="shared" ca="1" si="517"/>
        <v/>
      </c>
      <c r="AV463" s="320" t="str">
        <f t="shared" ca="1" si="517"/>
        <v/>
      </c>
      <c r="AW463" s="320" t="str">
        <f t="shared" ca="1" si="517"/>
        <v/>
      </c>
      <c r="AX463" s="320" t="str">
        <f t="shared" ca="1" si="517"/>
        <v/>
      </c>
      <c r="AY463" s="320" t="str">
        <f t="shared" ca="1" si="517"/>
        <v/>
      </c>
      <c r="AZ463" s="320" t="str">
        <f t="shared" ca="1" si="517"/>
        <v/>
      </c>
      <c r="BA463" s="320" t="str">
        <f t="shared" ca="1" si="517"/>
        <v/>
      </c>
      <c r="BB463" s="320" t="str">
        <f t="shared" ca="1" si="517"/>
        <v/>
      </c>
      <c r="BC463" s="320" t="str">
        <f t="shared" ca="1" si="517"/>
        <v/>
      </c>
      <c r="BD463" s="320" t="str">
        <f t="shared" ca="1" si="517"/>
        <v/>
      </c>
      <c r="BE463" s="320" t="str">
        <f t="shared" ca="1" si="517"/>
        <v/>
      </c>
      <c r="BF463" s="320" t="str">
        <f t="shared" ca="1" si="517"/>
        <v/>
      </c>
      <c r="BG463" s="320" t="str">
        <f t="shared" ca="1" si="517"/>
        <v/>
      </c>
      <c r="BH463" s="320" t="str">
        <f t="shared" ca="1" si="517"/>
        <v/>
      </c>
      <c r="BI463" s="320" t="str">
        <f t="shared" ca="1" si="517"/>
        <v/>
      </c>
      <c r="BK463" s="84"/>
      <c r="BL463" s="84"/>
      <c r="BM463" s="84"/>
      <c r="BN463" s="84"/>
      <c r="BO463" s="84"/>
      <c r="BP463" s="84"/>
    </row>
    <row r="464" spans="17:69" ht="15" customHeight="1" outlineLevel="1">
      <c r="Q464" s="87" t="s">
        <v>230</v>
      </c>
      <c r="R464" s="87"/>
      <c r="S464" s="87"/>
      <c r="T464" s="87"/>
      <c r="U464" s="87"/>
      <c r="W464" s="320" t="e">
        <f t="shared" ref="W464:AB464" ca="1" si="518">IF($D$2=FALSE,"-",IF(W$13="","",IF(W$456=0,#N/A,W462/W$456)))</f>
        <v>#N/A</v>
      </c>
      <c r="X464" s="320">
        <f t="shared" ca="1" si="518"/>
        <v>4.4968833143387821</v>
      </c>
      <c r="Y464" s="320">
        <f t="shared" ca="1" si="518"/>
        <v>6.843480558009845</v>
      </c>
      <c r="Z464" s="320">
        <f t="shared" ca="1" si="518"/>
        <v>10.136607825825804</v>
      </c>
      <c r="AA464" s="320">
        <f t="shared" ca="1" si="518"/>
        <v>6.401889827616472</v>
      </c>
      <c r="AB464" s="320">
        <f t="shared" ca="1" si="518"/>
        <v>6.7486142447575297</v>
      </c>
      <c r="AC464" s="321"/>
      <c r="AD464" s="320" t="e">
        <f ca="1">IF($D$2=FALSE,"-",IF(AD$13="","",IF(AD$456=0,#N/A,AD462/AD$456)))</f>
        <v>#N/A</v>
      </c>
      <c r="AE464" s="322"/>
      <c r="AF464" s="323" t="e">
        <f t="shared" ref="AF464:BI464" ca="1" si="519">IF($D$2=FALSE,"-",IF(AF$13="","",IF(AF$456=0,#N/A,AF462/AF$456)))</f>
        <v>#N/A</v>
      </c>
      <c r="AG464" s="320">
        <f t="shared" ca="1" si="519"/>
        <v>4.4968833143387821</v>
      </c>
      <c r="AH464" s="320">
        <f t="shared" ca="1" si="519"/>
        <v>6.843480558009845</v>
      </c>
      <c r="AI464" s="320">
        <f t="shared" ca="1" si="519"/>
        <v>10.136607825825804</v>
      </c>
      <c r="AJ464" s="320">
        <f t="shared" ca="1" si="519"/>
        <v>6.401889827616472</v>
      </c>
      <c r="AK464" s="320">
        <f t="shared" ca="1" si="519"/>
        <v>6.7486142447575297</v>
      </c>
      <c r="AL464" s="320" t="str">
        <f t="shared" ca="1" si="519"/>
        <v/>
      </c>
      <c r="AM464" s="320" t="str">
        <f t="shared" ca="1" si="519"/>
        <v/>
      </c>
      <c r="AN464" s="320" t="str">
        <f t="shared" ca="1" si="519"/>
        <v/>
      </c>
      <c r="AO464" s="320" t="str">
        <f t="shared" ca="1" si="519"/>
        <v/>
      </c>
      <c r="AP464" s="320" t="str">
        <f t="shared" ca="1" si="519"/>
        <v/>
      </c>
      <c r="AQ464" s="320" t="str">
        <f t="shared" ca="1" si="519"/>
        <v/>
      </c>
      <c r="AR464" s="320" t="str">
        <f t="shared" ca="1" si="519"/>
        <v/>
      </c>
      <c r="AS464" s="320" t="str">
        <f t="shared" ca="1" si="519"/>
        <v/>
      </c>
      <c r="AT464" s="320" t="str">
        <f t="shared" ca="1" si="519"/>
        <v/>
      </c>
      <c r="AU464" s="320" t="str">
        <f t="shared" ca="1" si="519"/>
        <v/>
      </c>
      <c r="AV464" s="320" t="str">
        <f t="shared" ca="1" si="519"/>
        <v/>
      </c>
      <c r="AW464" s="320" t="str">
        <f t="shared" ca="1" si="519"/>
        <v/>
      </c>
      <c r="AX464" s="320" t="str">
        <f t="shared" ca="1" si="519"/>
        <v/>
      </c>
      <c r="AY464" s="320" t="str">
        <f t="shared" ca="1" si="519"/>
        <v/>
      </c>
      <c r="AZ464" s="320" t="str">
        <f t="shared" ca="1" si="519"/>
        <v/>
      </c>
      <c r="BA464" s="320" t="str">
        <f t="shared" ca="1" si="519"/>
        <v/>
      </c>
      <c r="BB464" s="320" t="str">
        <f t="shared" ca="1" si="519"/>
        <v/>
      </c>
      <c r="BC464" s="320" t="str">
        <f t="shared" ca="1" si="519"/>
        <v/>
      </c>
      <c r="BD464" s="320" t="str">
        <f t="shared" ca="1" si="519"/>
        <v/>
      </c>
      <c r="BE464" s="320" t="str">
        <f t="shared" ca="1" si="519"/>
        <v/>
      </c>
      <c r="BF464" s="320" t="str">
        <f t="shared" ca="1" si="519"/>
        <v/>
      </c>
      <c r="BG464" s="320" t="str">
        <f t="shared" ca="1" si="519"/>
        <v/>
      </c>
      <c r="BH464" s="320" t="str">
        <f t="shared" ca="1" si="519"/>
        <v/>
      </c>
      <c r="BI464" s="320" t="str">
        <f t="shared" ca="1" si="519"/>
        <v/>
      </c>
      <c r="BK464" s="84"/>
      <c r="BL464" s="84"/>
      <c r="BM464" s="84"/>
      <c r="BN464" s="84"/>
      <c r="BO464" s="84"/>
      <c r="BP464" s="84"/>
    </row>
    <row r="465" spans="17:68" ht="15" customHeight="1" outlineLevel="1">
      <c r="Q465" s="87" t="s">
        <v>231</v>
      </c>
      <c r="R465" s="87"/>
      <c r="S465" s="87"/>
      <c r="T465" s="87"/>
      <c r="U465" s="87"/>
      <c r="W465" s="320" t="e">
        <f t="shared" ref="W465:AB465" ca="1" si="520">IF($D$2=FALSE,"-",IF(W$13="","",IF(W$457=0,#N/A,W462/W$457)))</f>
        <v>#N/A</v>
      </c>
      <c r="X465" s="320">
        <f t="shared" ca="1" si="520"/>
        <v>3.4463503185071991</v>
      </c>
      <c r="Y465" s="320">
        <f t="shared" ca="1" si="520"/>
        <v>4.6858359998346328</v>
      </c>
      <c r="Z465" s="320">
        <f t="shared" ca="1" si="520"/>
        <v>6.0440070826954191</v>
      </c>
      <c r="AA465" s="320">
        <f t="shared" ca="1" si="520"/>
        <v>6.401889827616472</v>
      </c>
      <c r="AB465" s="320">
        <f t="shared" ca="1" si="520"/>
        <v>6.7486142447575297</v>
      </c>
      <c r="AC465" s="321"/>
      <c r="AD465" s="320" t="e">
        <f ca="1">IF($D$2=FALSE,"-",IF(AD$13="","",IF(AD$457=0,#N/A,AD462/AD$457)))</f>
        <v>#N/A</v>
      </c>
      <c r="AE465" s="322"/>
      <c r="AF465" s="323" t="e">
        <f t="shared" ref="AF465:BI465" ca="1" si="521">IF($D$2=FALSE,"-",IF(AF$13="","",IF(AF$457=0,#N/A,AF462/AF$457)))</f>
        <v>#N/A</v>
      </c>
      <c r="AG465" s="320">
        <f t="shared" ca="1" si="521"/>
        <v>3.4463503185071991</v>
      </c>
      <c r="AH465" s="320">
        <f t="shared" ca="1" si="521"/>
        <v>4.6858359998346328</v>
      </c>
      <c r="AI465" s="320">
        <f t="shared" ca="1" si="521"/>
        <v>6.0440070826954191</v>
      </c>
      <c r="AJ465" s="320">
        <f t="shared" ca="1" si="521"/>
        <v>6.401889827616472</v>
      </c>
      <c r="AK465" s="320">
        <f t="shared" ca="1" si="521"/>
        <v>6.7486142447575297</v>
      </c>
      <c r="AL465" s="320" t="str">
        <f t="shared" ca="1" si="521"/>
        <v/>
      </c>
      <c r="AM465" s="320" t="str">
        <f t="shared" ca="1" si="521"/>
        <v/>
      </c>
      <c r="AN465" s="320" t="str">
        <f t="shared" ca="1" si="521"/>
        <v/>
      </c>
      <c r="AO465" s="320" t="str">
        <f t="shared" ca="1" si="521"/>
        <v/>
      </c>
      <c r="AP465" s="320" t="str">
        <f t="shared" ca="1" si="521"/>
        <v/>
      </c>
      <c r="AQ465" s="320" t="str">
        <f t="shared" ca="1" si="521"/>
        <v/>
      </c>
      <c r="AR465" s="320" t="str">
        <f t="shared" ca="1" si="521"/>
        <v/>
      </c>
      <c r="AS465" s="320" t="str">
        <f t="shared" ca="1" si="521"/>
        <v/>
      </c>
      <c r="AT465" s="320" t="str">
        <f t="shared" ca="1" si="521"/>
        <v/>
      </c>
      <c r="AU465" s="320" t="str">
        <f t="shared" ca="1" si="521"/>
        <v/>
      </c>
      <c r="AV465" s="320" t="str">
        <f t="shared" ca="1" si="521"/>
        <v/>
      </c>
      <c r="AW465" s="320" t="str">
        <f t="shared" ca="1" si="521"/>
        <v/>
      </c>
      <c r="AX465" s="320" t="str">
        <f t="shared" ca="1" si="521"/>
        <v/>
      </c>
      <c r="AY465" s="320" t="str">
        <f t="shared" ca="1" si="521"/>
        <v/>
      </c>
      <c r="AZ465" s="320" t="str">
        <f t="shared" ca="1" si="521"/>
        <v/>
      </c>
      <c r="BA465" s="320" t="str">
        <f t="shared" ca="1" si="521"/>
        <v/>
      </c>
      <c r="BB465" s="320" t="str">
        <f t="shared" ca="1" si="521"/>
        <v/>
      </c>
      <c r="BC465" s="320" t="str">
        <f t="shared" ca="1" si="521"/>
        <v/>
      </c>
      <c r="BD465" s="320" t="str">
        <f t="shared" ca="1" si="521"/>
        <v/>
      </c>
      <c r="BE465" s="320" t="str">
        <f t="shared" ca="1" si="521"/>
        <v/>
      </c>
      <c r="BF465" s="320" t="str">
        <f t="shared" ca="1" si="521"/>
        <v/>
      </c>
      <c r="BG465" s="320" t="str">
        <f t="shared" ca="1" si="521"/>
        <v/>
      </c>
      <c r="BH465" s="320" t="str">
        <f t="shared" ca="1" si="521"/>
        <v/>
      </c>
      <c r="BI465" s="320" t="str">
        <f t="shared" ca="1" si="521"/>
        <v/>
      </c>
      <c r="BK465" s="84"/>
      <c r="BL465" s="84"/>
      <c r="BM465" s="84"/>
      <c r="BN465" s="84"/>
      <c r="BO465" s="84"/>
      <c r="BP465" s="84"/>
    </row>
    <row r="466" spans="17:68" ht="15" customHeight="1" outlineLevel="1">
      <c r="Q466" s="87" t="s">
        <v>232</v>
      </c>
      <c r="R466" s="87"/>
      <c r="S466" s="87"/>
      <c r="T466" s="87"/>
      <c r="U466" s="87"/>
      <c r="W466" s="320" t="e">
        <f t="shared" ref="W466:AB466" ca="1" si="522">IF($D$2=FALSE,"-",IF(W$13="","",IF(W$458=0,#N/A,W462/W$458)))</f>
        <v>#N/A</v>
      </c>
      <c r="X466" s="320">
        <f t="shared" ca="1" si="522"/>
        <v>2.7236923645322855</v>
      </c>
      <c r="Y466" s="320">
        <f t="shared" ca="1" si="522"/>
        <v>3.4965464661022101</v>
      </c>
      <c r="Z466" s="320">
        <f t="shared" ca="1" si="522"/>
        <v>4.2755925749394743</v>
      </c>
      <c r="AA466" s="320">
        <f t="shared" ca="1" si="522"/>
        <v>4.5307768266884336</v>
      </c>
      <c r="AB466" s="320">
        <f t="shared" ca="1" si="522"/>
        <v>4.7850970645004578</v>
      </c>
      <c r="AC466" s="321"/>
      <c r="AD466" s="320" t="e">
        <f ca="1">IF($D$2=FALSE,"-",IF(AD$13="","",IF(AD$458=0,#N/A,AD462/AD$458)))</f>
        <v>#N/A</v>
      </c>
      <c r="AE466" s="322"/>
      <c r="AF466" s="323" t="e">
        <f t="shared" ref="AF466:BI466" ca="1" si="523">IF($D$2=FALSE,"-",IF(AF$13="","",IF(AF$458=0,#N/A,AF462/AF$458)))</f>
        <v>#N/A</v>
      </c>
      <c r="AG466" s="320">
        <f t="shared" ca="1" si="523"/>
        <v>2.7236923645322855</v>
      </c>
      <c r="AH466" s="320">
        <f t="shared" ca="1" si="523"/>
        <v>3.4965464661022101</v>
      </c>
      <c r="AI466" s="320">
        <f t="shared" ca="1" si="523"/>
        <v>4.2755925749394743</v>
      </c>
      <c r="AJ466" s="320">
        <f t="shared" ca="1" si="523"/>
        <v>4.5307768266884336</v>
      </c>
      <c r="AK466" s="320">
        <f t="shared" ca="1" si="523"/>
        <v>4.7850970645004578</v>
      </c>
      <c r="AL466" s="320" t="str">
        <f t="shared" ca="1" si="523"/>
        <v/>
      </c>
      <c r="AM466" s="320" t="str">
        <f t="shared" ca="1" si="523"/>
        <v/>
      </c>
      <c r="AN466" s="320" t="str">
        <f t="shared" ca="1" si="523"/>
        <v/>
      </c>
      <c r="AO466" s="320" t="str">
        <f t="shared" ca="1" si="523"/>
        <v/>
      </c>
      <c r="AP466" s="320" t="str">
        <f t="shared" ca="1" si="523"/>
        <v/>
      </c>
      <c r="AQ466" s="320" t="str">
        <f t="shared" ca="1" si="523"/>
        <v/>
      </c>
      <c r="AR466" s="320" t="str">
        <f t="shared" ca="1" si="523"/>
        <v/>
      </c>
      <c r="AS466" s="320" t="str">
        <f t="shared" ca="1" si="523"/>
        <v/>
      </c>
      <c r="AT466" s="320" t="str">
        <f t="shared" ca="1" si="523"/>
        <v/>
      </c>
      <c r="AU466" s="320" t="str">
        <f t="shared" ca="1" si="523"/>
        <v/>
      </c>
      <c r="AV466" s="320" t="str">
        <f t="shared" ca="1" si="523"/>
        <v/>
      </c>
      <c r="AW466" s="320" t="str">
        <f t="shared" ca="1" si="523"/>
        <v/>
      </c>
      <c r="AX466" s="320" t="str">
        <f t="shared" ca="1" si="523"/>
        <v/>
      </c>
      <c r="AY466" s="320" t="str">
        <f t="shared" ca="1" si="523"/>
        <v/>
      </c>
      <c r="AZ466" s="320" t="str">
        <f t="shared" ca="1" si="523"/>
        <v/>
      </c>
      <c r="BA466" s="320" t="str">
        <f t="shared" ca="1" si="523"/>
        <v/>
      </c>
      <c r="BB466" s="320" t="str">
        <f t="shared" ca="1" si="523"/>
        <v/>
      </c>
      <c r="BC466" s="320" t="str">
        <f t="shared" ca="1" si="523"/>
        <v/>
      </c>
      <c r="BD466" s="320" t="str">
        <f t="shared" ca="1" si="523"/>
        <v/>
      </c>
      <c r="BE466" s="320" t="str">
        <f t="shared" ca="1" si="523"/>
        <v/>
      </c>
      <c r="BF466" s="320" t="str">
        <f t="shared" ca="1" si="523"/>
        <v/>
      </c>
      <c r="BG466" s="320" t="str">
        <f t="shared" ca="1" si="523"/>
        <v/>
      </c>
      <c r="BH466" s="320" t="str">
        <f t="shared" ca="1" si="523"/>
        <v/>
      </c>
      <c r="BI466" s="320" t="str">
        <f t="shared" ca="1" si="523"/>
        <v/>
      </c>
      <c r="BK466" s="84"/>
      <c r="BL466" s="84"/>
      <c r="BM466" s="84"/>
      <c r="BN466" s="84"/>
      <c r="BO466" s="84"/>
      <c r="BP466" s="84"/>
    </row>
    <row r="467" spans="17:68" ht="15" customHeight="1" outlineLevel="1"/>
    <row r="468" spans="17:68" ht="15" customHeight="1" outlineLevel="1">
      <c r="Q468" s="139" t="s">
        <v>233</v>
      </c>
      <c r="R468" s="139"/>
      <c r="S468" s="139"/>
      <c r="T468" s="139"/>
      <c r="U468" s="139"/>
      <c r="W468" s="180">
        <f t="shared" ref="W468:AB468" ca="1" si="524">IF($D$2=FALSE,"-",IF(W$13="","",+W462-W51))</f>
        <v>111.60000000000001</v>
      </c>
      <c r="X468" s="180">
        <f t="shared" ca="1" si="524"/>
        <v>117.18000000000004</v>
      </c>
      <c r="Y468" s="180">
        <f t="shared" ca="1" si="524"/>
        <v>123.03900000000006</v>
      </c>
      <c r="Z468" s="180">
        <f t="shared" ca="1" si="524"/>
        <v>129.19095000000002</v>
      </c>
      <c r="AA468" s="180">
        <f t="shared" ca="1" si="524"/>
        <v>135.6504975</v>
      </c>
      <c r="AB468" s="180">
        <f t="shared" ca="1" si="524"/>
        <v>142.43302237500004</v>
      </c>
      <c r="AC468" s="257"/>
      <c r="AD468" s="180" t="e">
        <f ca="1">IF($D$2=FALSE,"-",IF(AD$13="","",+AD462-AD51))</f>
        <v>#N/A</v>
      </c>
      <c r="AE468" s="31"/>
      <c r="AF468" s="324">
        <f t="shared" ref="AF468:BI468" ca="1" si="525">IF($D$2=FALSE,"-",IF(AF$13="","",+AF462-AF51))</f>
        <v>111.60000000000001</v>
      </c>
      <c r="AG468" s="180">
        <f t="shared" ca="1" si="525"/>
        <v>117.18000000000004</v>
      </c>
      <c r="AH468" s="180">
        <f t="shared" ca="1" si="525"/>
        <v>123.03900000000006</v>
      </c>
      <c r="AI468" s="180">
        <f t="shared" ca="1" si="525"/>
        <v>129.19095000000002</v>
      </c>
      <c r="AJ468" s="180">
        <f t="shared" ca="1" si="525"/>
        <v>135.6504975</v>
      </c>
      <c r="AK468" s="180">
        <f t="shared" ca="1" si="525"/>
        <v>142.43302237500004</v>
      </c>
      <c r="AL468" s="180" t="str">
        <f t="shared" ca="1" si="525"/>
        <v/>
      </c>
      <c r="AM468" s="180" t="str">
        <f t="shared" ca="1" si="525"/>
        <v/>
      </c>
      <c r="AN468" s="180" t="str">
        <f t="shared" ca="1" si="525"/>
        <v/>
      </c>
      <c r="AO468" s="180" t="str">
        <f t="shared" ca="1" si="525"/>
        <v/>
      </c>
      <c r="AP468" s="180" t="str">
        <f t="shared" ca="1" si="525"/>
        <v/>
      </c>
      <c r="AQ468" s="180" t="str">
        <f t="shared" ca="1" si="525"/>
        <v/>
      </c>
      <c r="AR468" s="180" t="str">
        <f t="shared" ca="1" si="525"/>
        <v/>
      </c>
      <c r="AS468" s="180" t="str">
        <f t="shared" ca="1" si="525"/>
        <v/>
      </c>
      <c r="AT468" s="180" t="str">
        <f t="shared" ca="1" si="525"/>
        <v/>
      </c>
      <c r="AU468" s="180" t="str">
        <f t="shared" ca="1" si="525"/>
        <v/>
      </c>
      <c r="AV468" s="180" t="str">
        <f t="shared" ca="1" si="525"/>
        <v/>
      </c>
      <c r="AW468" s="180" t="str">
        <f t="shared" ca="1" si="525"/>
        <v/>
      </c>
      <c r="AX468" s="180" t="str">
        <f t="shared" ca="1" si="525"/>
        <v/>
      </c>
      <c r="AY468" s="180" t="str">
        <f t="shared" ca="1" si="525"/>
        <v/>
      </c>
      <c r="AZ468" s="180" t="str">
        <f t="shared" ca="1" si="525"/>
        <v/>
      </c>
      <c r="BA468" s="180" t="str">
        <f t="shared" ca="1" si="525"/>
        <v/>
      </c>
      <c r="BB468" s="180" t="str">
        <f t="shared" ca="1" si="525"/>
        <v/>
      </c>
      <c r="BC468" s="180" t="str">
        <f t="shared" ca="1" si="525"/>
        <v/>
      </c>
      <c r="BD468" s="180" t="str">
        <f t="shared" ca="1" si="525"/>
        <v/>
      </c>
      <c r="BE468" s="180" t="str">
        <f t="shared" ca="1" si="525"/>
        <v/>
      </c>
      <c r="BF468" s="180" t="str">
        <f t="shared" ca="1" si="525"/>
        <v/>
      </c>
      <c r="BG468" s="180" t="str">
        <f t="shared" ca="1" si="525"/>
        <v/>
      </c>
      <c r="BH468" s="180" t="str">
        <f t="shared" ca="1" si="525"/>
        <v/>
      </c>
      <c r="BI468" s="180" t="str">
        <f t="shared" ca="1" si="525"/>
        <v/>
      </c>
      <c r="BK468" s="84"/>
      <c r="BL468" s="84"/>
      <c r="BM468" s="84"/>
      <c r="BN468" s="84"/>
      <c r="BO468" s="84"/>
      <c r="BP468" s="84"/>
    </row>
    <row r="469" spans="17:68" ht="15" customHeight="1" outlineLevel="1">
      <c r="Q469" s="87" t="s">
        <v>234</v>
      </c>
      <c r="R469" s="87"/>
      <c r="S469" s="87"/>
      <c r="T469" s="87"/>
      <c r="U469" s="87"/>
      <c r="W469" s="320" t="e">
        <f t="shared" ref="W469:AB469" ca="1" si="526">IF($D$2=FALSE,"-",IF(W$13="","",IF(W$455=0,#N/A,W468/W$455)))</f>
        <v>#N/A</v>
      </c>
      <c r="X469" s="320">
        <f t="shared" ca="1" si="526"/>
        <v>6.9632195174562588</v>
      </c>
      <c r="Y469" s="320">
        <f t="shared" ca="1" si="526"/>
        <v>15.712010892361839</v>
      </c>
      <c r="Z469" s="320">
        <f t="shared" ca="1" si="526"/>
        <v>63.0889535422235</v>
      </c>
      <c r="AA469" s="320">
        <f t="shared" ca="1" si="526"/>
        <v>135.6504975</v>
      </c>
      <c r="AB469" s="320">
        <f t="shared" ca="1" si="526"/>
        <v>142.43302237500004</v>
      </c>
      <c r="AC469" s="321"/>
      <c r="AD469" s="320" t="e">
        <f ca="1">IF($D$2=FALSE,"-",IF(AD$13="","",IF(AD$455=0,#N/A,AD468/AD$455)))</f>
        <v>#N/A</v>
      </c>
      <c r="AE469" s="322"/>
      <c r="AF469" s="323" t="e">
        <f t="shared" ref="AF469:BI469" ca="1" si="527">IF($D$2=FALSE,"-",IF(AF$13="","",IF(AF$455=0,#N/A,AF468/AF$455)))</f>
        <v>#N/A</v>
      </c>
      <c r="AG469" s="320">
        <f t="shared" ca="1" si="527"/>
        <v>6.9632195174562588</v>
      </c>
      <c r="AH469" s="320">
        <f t="shared" ca="1" si="527"/>
        <v>15.712010892361839</v>
      </c>
      <c r="AI469" s="320">
        <f t="shared" ca="1" si="527"/>
        <v>63.0889535422235</v>
      </c>
      <c r="AJ469" s="320">
        <f t="shared" ca="1" si="527"/>
        <v>135.6504975</v>
      </c>
      <c r="AK469" s="320">
        <f t="shared" ca="1" si="527"/>
        <v>142.43302237500004</v>
      </c>
      <c r="AL469" s="320" t="str">
        <f t="shared" ca="1" si="527"/>
        <v/>
      </c>
      <c r="AM469" s="320" t="str">
        <f t="shared" ca="1" si="527"/>
        <v/>
      </c>
      <c r="AN469" s="320" t="str">
        <f t="shared" ca="1" si="527"/>
        <v/>
      </c>
      <c r="AO469" s="320" t="str">
        <f t="shared" ca="1" si="527"/>
        <v/>
      </c>
      <c r="AP469" s="320" t="str">
        <f t="shared" ca="1" si="527"/>
        <v/>
      </c>
      <c r="AQ469" s="320" t="str">
        <f t="shared" ca="1" si="527"/>
        <v/>
      </c>
      <c r="AR469" s="320" t="str">
        <f t="shared" ca="1" si="527"/>
        <v/>
      </c>
      <c r="AS469" s="320" t="str">
        <f t="shared" ca="1" si="527"/>
        <v/>
      </c>
      <c r="AT469" s="320" t="str">
        <f t="shared" ca="1" si="527"/>
        <v/>
      </c>
      <c r="AU469" s="320" t="str">
        <f t="shared" ca="1" si="527"/>
        <v/>
      </c>
      <c r="AV469" s="320" t="str">
        <f t="shared" ca="1" si="527"/>
        <v/>
      </c>
      <c r="AW469" s="320" t="str">
        <f t="shared" ca="1" si="527"/>
        <v/>
      </c>
      <c r="AX469" s="320" t="str">
        <f t="shared" ca="1" si="527"/>
        <v/>
      </c>
      <c r="AY469" s="320" t="str">
        <f t="shared" ca="1" si="527"/>
        <v/>
      </c>
      <c r="AZ469" s="320" t="str">
        <f t="shared" ca="1" si="527"/>
        <v/>
      </c>
      <c r="BA469" s="320" t="str">
        <f t="shared" ca="1" si="527"/>
        <v/>
      </c>
      <c r="BB469" s="320" t="str">
        <f t="shared" ca="1" si="527"/>
        <v/>
      </c>
      <c r="BC469" s="320" t="str">
        <f t="shared" ca="1" si="527"/>
        <v/>
      </c>
      <c r="BD469" s="320" t="str">
        <f t="shared" ca="1" si="527"/>
        <v/>
      </c>
      <c r="BE469" s="320" t="str">
        <f t="shared" ca="1" si="527"/>
        <v/>
      </c>
      <c r="BF469" s="320" t="str">
        <f t="shared" ca="1" si="527"/>
        <v/>
      </c>
      <c r="BG469" s="320" t="str">
        <f t="shared" ca="1" si="527"/>
        <v/>
      </c>
      <c r="BH469" s="320" t="str">
        <f t="shared" ca="1" si="527"/>
        <v/>
      </c>
      <c r="BI469" s="320" t="str">
        <f t="shared" ca="1" si="527"/>
        <v/>
      </c>
      <c r="BK469" s="84"/>
      <c r="BL469" s="84"/>
      <c r="BM469" s="84"/>
      <c r="BN469" s="105"/>
      <c r="BO469" s="84"/>
      <c r="BP469" s="84"/>
    </row>
    <row r="470" spans="17:68" ht="15" customHeight="1" outlineLevel="1">
      <c r="Q470" s="87" t="s">
        <v>235</v>
      </c>
      <c r="R470" s="87"/>
      <c r="S470" s="87"/>
      <c r="T470" s="87"/>
      <c r="U470" s="87"/>
      <c r="W470" s="320" t="e">
        <f t="shared" ref="W470:AB470" ca="1" si="528">IF($D$2=FALSE,"-",IF(W$13="","",IF(W$456=0,#N/A,W468/W$456)))</f>
        <v>#N/A</v>
      </c>
      <c r="X470" s="320">
        <f t="shared" ca="1" si="528"/>
        <v>3.9578247466893384</v>
      </c>
      <c r="Y470" s="320">
        <f t="shared" ca="1" si="528"/>
        <v>6.0231264217184446</v>
      </c>
      <c r="Z470" s="320">
        <f t="shared" ca="1" si="528"/>
        <v>8.9214939539602494</v>
      </c>
      <c r="AA470" s="320">
        <f t="shared" ca="1" si="528"/>
        <v>5.634470857744466</v>
      </c>
      <c r="AB470" s="320">
        <f t="shared" ca="1" si="528"/>
        <v>5.9396320955436925</v>
      </c>
      <c r="AC470" s="321"/>
      <c r="AD470" s="320" t="e">
        <f ca="1">IF($D$2=FALSE,"-",IF(AD$13="","",IF(AD$456=0,#N/A,AD468/AD$456)))</f>
        <v>#N/A</v>
      </c>
      <c r="AE470" s="322"/>
      <c r="AF470" s="323" t="e">
        <f t="shared" ref="AF470:BI470" ca="1" si="529">IF($D$2=FALSE,"-",IF(AF$13="","",IF(AF$456=0,#N/A,AF468/AF$456)))</f>
        <v>#N/A</v>
      </c>
      <c r="AG470" s="320">
        <f t="shared" ca="1" si="529"/>
        <v>3.9578247466893384</v>
      </c>
      <c r="AH470" s="320">
        <f t="shared" ca="1" si="529"/>
        <v>6.0231264217184446</v>
      </c>
      <c r="AI470" s="320">
        <f t="shared" ca="1" si="529"/>
        <v>8.9214939539602494</v>
      </c>
      <c r="AJ470" s="320">
        <f t="shared" ca="1" si="529"/>
        <v>5.634470857744466</v>
      </c>
      <c r="AK470" s="320">
        <f t="shared" ca="1" si="529"/>
        <v>5.9396320955436925</v>
      </c>
      <c r="AL470" s="320" t="str">
        <f t="shared" ca="1" si="529"/>
        <v/>
      </c>
      <c r="AM470" s="320" t="str">
        <f t="shared" ca="1" si="529"/>
        <v/>
      </c>
      <c r="AN470" s="320" t="str">
        <f t="shared" ca="1" si="529"/>
        <v/>
      </c>
      <c r="AO470" s="320" t="str">
        <f t="shared" ca="1" si="529"/>
        <v/>
      </c>
      <c r="AP470" s="320" t="str">
        <f t="shared" ca="1" si="529"/>
        <v/>
      </c>
      <c r="AQ470" s="320" t="str">
        <f t="shared" ca="1" si="529"/>
        <v/>
      </c>
      <c r="AR470" s="320" t="str">
        <f t="shared" ca="1" si="529"/>
        <v/>
      </c>
      <c r="AS470" s="320" t="str">
        <f t="shared" ca="1" si="529"/>
        <v/>
      </c>
      <c r="AT470" s="320" t="str">
        <f t="shared" ca="1" si="529"/>
        <v/>
      </c>
      <c r="AU470" s="320" t="str">
        <f t="shared" ca="1" si="529"/>
        <v/>
      </c>
      <c r="AV470" s="320" t="str">
        <f t="shared" ca="1" si="529"/>
        <v/>
      </c>
      <c r="AW470" s="320" t="str">
        <f t="shared" ca="1" si="529"/>
        <v/>
      </c>
      <c r="AX470" s="320" t="str">
        <f t="shared" ca="1" si="529"/>
        <v/>
      </c>
      <c r="AY470" s="320" t="str">
        <f t="shared" ca="1" si="529"/>
        <v/>
      </c>
      <c r="AZ470" s="320" t="str">
        <f t="shared" ca="1" si="529"/>
        <v/>
      </c>
      <c r="BA470" s="320" t="str">
        <f t="shared" ca="1" si="529"/>
        <v/>
      </c>
      <c r="BB470" s="320" t="str">
        <f t="shared" ca="1" si="529"/>
        <v/>
      </c>
      <c r="BC470" s="320" t="str">
        <f t="shared" ca="1" si="529"/>
        <v/>
      </c>
      <c r="BD470" s="320" t="str">
        <f t="shared" ca="1" si="529"/>
        <v/>
      </c>
      <c r="BE470" s="320" t="str">
        <f t="shared" ca="1" si="529"/>
        <v/>
      </c>
      <c r="BF470" s="320" t="str">
        <f t="shared" ca="1" si="529"/>
        <v/>
      </c>
      <c r="BG470" s="320" t="str">
        <f t="shared" ca="1" si="529"/>
        <v/>
      </c>
      <c r="BH470" s="320" t="str">
        <f t="shared" ca="1" si="529"/>
        <v/>
      </c>
      <c r="BI470" s="320" t="str">
        <f t="shared" ca="1" si="529"/>
        <v/>
      </c>
      <c r="BK470" s="84"/>
      <c r="BL470" s="84"/>
      <c r="BM470" s="84"/>
      <c r="BN470" s="84"/>
      <c r="BO470" s="84"/>
      <c r="BP470" s="84"/>
    </row>
    <row r="471" spans="17:68" ht="15" customHeight="1" outlineLevel="1">
      <c r="Q471" s="87" t="s">
        <v>236</v>
      </c>
      <c r="R471" s="87"/>
      <c r="S471" s="87"/>
      <c r="T471" s="87"/>
      <c r="U471" s="87"/>
      <c r="W471" s="320" t="e">
        <f t="shared" ref="W471:AB471" ca="1" si="530">IF($D$2=FALSE,"-",IF(W$13="","",IF(W$457=0,#N/A,W468/W$457)))</f>
        <v>#N/A</v>
      </c>
      <c r="X471" s="320">
        <f t="shared" ca="1" si="530"/>
        <v>3.0332231509889858</v>
      </c>
      <c r="Y471" s="320">
        <f t="shared" ca="1" si="530"/>
        <v>4.1241269525358444</v>
      </c>
      <c r="Z471" s="320">
        <f t="shared" ca="1" si="530"/>
        <v>5.3194888835079563</v>
      </c>
      <c r="AA471" s="320">
        <f t="shared" ca="1" si="530"/>
        <v>5.634470857744466</v>
      </c>
      <c r="AB471" s="320">
        <f t="shared" ca="1" si="530"/>
        <v>5.9396320955436925</v>
      </c>
      <c r="AC471" s="321"/>
      <c r="AD471" s="320" t="e">
        <f ca="1">IF($D$2=FALSE,"-",IF(AD$13="","",IF(AD$457=0,#N/A,AD468/AD$457)))</f>
        <v>#N/A</v>
      </c>
      <c r="AE471" s="322"/>
      <c r="AF471" s="323" t="e">
        <f t="shared" ref="AF471:BI471" ca="1" si="531">IF($D$2=FALSE,"-",IF(AF$13="","",IF(AF$457=0,#N/A,AF468/AF$457)))</f>
        <v>#N/A</v>
      </c>
      <c r="AG471" s="320">
        <f t="shared" ca="1" si="531"/>
        <v>3.0332231509889858</v>
      </c>
      <c r="AH471" s="320">
        <f t="shared" ca="1" si="531"/>
        <v>4.1241269525358444</v>
      </c>
      <c r="AI471" s="320">
        <f t="shared" ca="1" si="531"/>
        <v>5.3194888835079563</v>
      </c>
      <c r="AJ471" s="320">
        <f t="shared" ca="1" si="531"/>
        <v>5.634470857744466</v>
      </c>
      <c r="AK471" s="320">
        <f t="shared" ca="1" si="531"/>
        <v>5.9396320955436925</v>
      </c>
      <c r="AL471" s="320" t="str">
        <f t="shared" ca="1" si="531"/>
        <v/>
      </c>
      <c r="AM471" s="320" t="str">
        <f t="shared" ca="1" si="531"/>
        <v/>
      </c>
      <c r="AN471" s="320" t="str">
        <f t="shared" ca="1" si="531"/>
        <v/>
      </c>
      <c r="AO471" s="320" t="str">
        <f t="shared" ca="1" si="531"/>
        <v/>
      </c>
      <c r="AP471" s="320" t="str">
        <f t="shared" ca="1" si="531"/>
        <v/>
      </c>
      <c r="AQ471" s="320" t="str">
        <f t="shared" ca="1" si="531"/>
        <v/>
      </c>
      <c r="AR471" s="320" t="str">
        <f t="shared" ca="1" si="531"/>
        <v/>
      </c>
      <c r="AS471" s="320" t="str">
        <f t="shared" ca="1" si="531"/>
        <v/>
      </c>
      <c r="AT471" s="320" t="str">
        <f t="shared" ca="1" si="531"/>
        <v/>
      </c>
      <c r="AU471" s="320" t="str">
        <f t="shared" ca="1" si="531"/>
        <v/>
      </c>
      <c r="AV471" s="320" t="str">
        <f t="shared" ca="1" si="531"/>
        <v/>
      </c>
      <c r="AW471" s="320" t="str">
        <f t="shared" ca="1" si="531"/>
        <v/>
      </c>
      <c r="AX471" s="320" t="str">
        <f t="shared" ca="1" si="531"/>
        <v/>
      </c>
      <c r="AY471" s="320" t="str">
        <f t="shared" ca="1" si="531"/>
        <v/>
      </c>
      <c r="AZ471" s="320" t="str">
        <f t="shared" ca="1" si="531"/>
        <v/>
      </c>
      <c r="BA471" s="320" t="str">
        <f t="shared" ca="1" si="531"/>
        <v/>
      </c>
      <c r="BB471" s="320" t="str">
        <f t="shared" ca="1" si="531"/>
        <v/>
      </c>
      <c r="BC471" s="320" t="str">
        <f t="shared" ca="1" si="531"/>
        <v/>
      </c>
      <c r="BD471" s="320" t="str">
        <f t="shared" ca="1" si="531"/>
        <v/>
      </c>
      <c r="BE471" s="320" t="str">
        <f t="shared" ca="1" si="531"/>
        <v/>
      </c>
      <c r="BF471" s="320" t="str">
        <f t="shared" ca="1" si="531"/>
        <v/>
      </c>
      <c r="BG471" s="320" t="str">
        <f t="shared" ca="1" si="531"/>
        <v/>
      </c>
      <c r="BH471" s="320" t="str">
        <f t="shared" ca="1" si="531"/>
        <v/>
      </c>
      <c r="BI471" s="320" t="str">
        <f t="shared" ca="1" si="531"/>
        <v/>
      </c>
      <c r="BK471" s="84"/>
      <c r="BL471" s="84"/>
      <c r="BM471" s="84"/>
      <c r="BN471" s="84"/>
      <c r="BO471" s="84"/>
      <c r="BP471" s="84"/>
    </row>
    <row r="472" spans="17:68" ht="15" customHeight="1" outlineLevel="1">
      <c r="Q472" s="87" t="s">
        <v>237</v>
      </c>
      <c r="R472" s="87"/>
      <c r="S472" s="87"/>
      <c r="T472" s="87"/>
      <c r="U472" s="87"/>
      <c r="W472" s="320" t="e">
        <f t="shared" ref="W472:AB472" ca="1" si="532">IF($D$2=FALSE,"-",IF(W$13="","",IF(W$458=0,#N/A,W468/W$458)))</f>
        <v>#N/A</v>
      </c>
      <c r="X472" s="320">
        <f t="shared" ca="1" si="532"/>
        <v>2.397192964367532</v>
      </c>
      <c r="Y472" s="320">
        <f t="shared" ca="1" si="532"/>
        <v>3.0774020947713461</v>
      </c>
      <c r="Z472" s="320">
        <f t="shared" ca="1" si="532"/>
        <v>3.7630609728962567</v>
      </c>
      <c r="AA472" s="320">
        <f t="shared" ca="1" si="532"/>
        <v>3.9876553143409241</v>
      </c>
      <c r="AB472" s="320">
        <f t="shared" ca="1" si="532"/>
        <v>4.2114892144972487</v>
      </c>
      <c r="AC472" s="321"/>
      <c r="AD472" s="320" t="e">
        <f ca="1">IF($D$2=FALSE,"-",IF(AD$13="","",IF(AD$458=0,#N/A,AD468/AD$458)))</f>
        <v>#N/A</v>
      </c>
      <c r="AE472" s="322"/>
      <c r="AF472" s="323" t="e">
        <f t="shared" ref="AF472:BI472" ca="1" si="533">IF($D$2=FALSE,"-",IF(AF$13="","",IF(AF$458=0,#N/A,AF468/AF$458)))</f>
        <v>#N/A</v>
      </c>
      <c r="AG472" s="320">
        <f t="shared" ca="1" si="533"/>
        <v>2.397192964367532</v>
      </c>
      <c r="AH472" s="320">
        <f t="shared" ca="1" si="533"/>
        <v>3.0774020947713461</v>
      </c>
      <c r="AI472" s="320">
        <f t="shared" ca="1" si="533"/>
        <v>3.7630609728962567</v>
      </c>
      <c r="AJ472" s="320">
        <f t="shared" ca="1" si="533"/>
        <v>3.9876553143409241</v>
      </c>
      <c r="AK472" s="320">
        <f t="shared" ca="1" si="533"/>
        <v>4.2114892144972487</v>
      </c>
      <c r="AL472" s="320" t="str">
        <f t="shared" ca="1" si="533"/>
        <v/>
      </c>
      <c r="AM472" s="320" t="str">
        <f t="shared" ca="1" si="533"/>
        <v/>
      </c>
      <c r="AN472" s="320" t="str">
        <f t="shared" ca="1" si="533"/>
        <v/>
      </c>
      <c r="AO472" s="320" t="str">
        <f t="shared" ca="1" si="533"/>
        <v/>
      </c>
      <c r="AP472" s="320" t="str">
        <f t="shared" ca="1" si="533"/>
        <v/>
      </c>
      <c r="AQ472" s="320" t="str">
        <f t="shared" ca="1" si="533"/>
        <v/>
      </c>
      <c r="AR472" s="320" t="str">
        <f t="shared" ca="1" si="533"/>
        <v/>
      </c>
      <c r="AS472" s="320" t="str">
        <f t="shared" ca="1" si="533"/>
        <v/>
      </c>
      <c r="AT472" s="320" t="str">
        <f t="shared" ca="1" si="533"/>
        <v/>
      </c>
      <c r="AU472" s="320" t="str">
        <f t="shared" ca="1" si="533"/>
        <v/>
      </c>
      <c r="AV472" s="320" t="str">
        <f t="shared" ca="1" si="533"/>
        <v/>
      </c>
      <c r="AW472" s="320" t="str">
        <f t="shared" ca="1" si="533"/>
        <v/>
      </c>
      <c r="AX472" s="320" t="str">
        <f t="shared" ca="1" si="533"/>
        <v/>
      </c>
      <c r="AY472" s="320" t="str">
        <f t="shared" ca="1" si="533"/>
        <v/>
      </c>
      <c r="AZ472" s="320" t="str">
        <f t="shared" ca="1" si="533"/>
        <v/>
      </c>
      <c r="BA472" s="320" t="str">
        <f t="shared" ca="1" si="533"/>
        <v/>
      </c>
      <c r="BB472" s="320" t="str">
        <f t="shared" ca="1" si="533"/>
        <v/>
      </c>
      <c r="BC472" s="320" t="str">
        <f t="shared" ca="1" si="533"/>
        <v/>
      </c>
      <c r="BD472" s="320" t="str">
        <f t="shared" ca="1" si="533"/>
        <v/>
      </c>
      <c r="BE472" s="320" t="str">
        <f t="shared" ca="1" si="533"/>
        <v/>
      </c>
      <c r="BF472" s="320" t="str">
        <f t="shared" ca="1" si="533"/>
        <v/>
      </c>
      <c r="BG472" s="320" t="str">
        <f t="shared" ca="1" si="533"/>
        <v/>
      </c>
      <c r="BH472" s="320" t="str">
        <f t="shared" ca="1" si="533"/>
        <v/>
      </c>
      <c r="BI472" s="320" t="str">
        <f t="shared" ca="1" si="533"/>
        <v/>
      </c>
      <c r="BK472" s="84"/>
      <c r="BL472" s="84"/>
      <c r="BM472" s="84"/>
      <c r="BN472" s="84"/>
      <c r="BO472" s="84"/>
      <c r="BP472" s="84"/>
    </row>
    <row r="473" spans="17:68" ht="15" customHeight="1" outlineLevel="1"/>
    <row r="474" spans="17:68" ht="15" customHeight="1" outlineLevel="1">
      <c r="Q474" s="139" t="s">
        <v>238</v>
      </c>
      <c r="R474" s="139"/>
      <c r="S474" s="139"/>
      <c r="T474" s="139"/>
      <c r="U474" s="139"/>
      <c r="W474" s="180" t="e">
        <f t="shared" ref="W474:AB474" ca="1" si="534">IF($D$2=FALSE,"-",IF(W$13="","",+W468-W249))</f>
        <v>#N/A</v>
      </c>
      <c r="X474" s="180">
        <f t="shared" ca="1" si="534"/>
        <v>114.26405000000004</v>
      </c>
      <c r="Y474" s="180">
        <f t="shared" ca="1" si="534"/>
        <v>119.97725250000006</v>
      </c>
      <c r="Z474" s="180">
        <f t="shared" ca="1" si="534"/>
        <v>125.97611512499996</v>
      </c>
      <c r="AA474" s="180">
        <f t="shared" ca="1" si="534"/>
        <v>132.27492088125007</v>
      </c>
      <c r="AB474" s="180">
        <f t="shared" ca="1" si="534"/>
        <v>138.88866692531252</v>
      </c>
      <c r="AC474" s="257"/>
      <c r="AD474" s="180" t="e">
        <f ca="1">IF($D$2=FALSE,"-",IF(AD$13="","",+AD468-AD249))</f>
        <v>#N/A</v>
      </c>
      <c r="AE474" s="31"/>
      <c r="AF474" s="324" t="e">
        <f t="shared" ref="AF474:BI474" ca="1" si="535">IF($D$2=FALSE,"-",IF(AF$13="","",+AF468-AF249))</f>
        <v>#N/A</v>
      </c>
      <c r="AG474" s="180">
        <f t="shared" ca="1" si="535"/>
        <v>114.26405000000004</v>
      </c>
      <c r="AH474" s="180">
        <f t="shared" ca="1" si="535"/>
        <v>119.97725250000006</v>
      </c>
      <c r="AI474" s="180">
        <f t="shared" ca="1" si="535"/>
        <v>125.97611512499996</v>
      </c>
      <c r="AJ474" s="180">
        <f t="shared" ca="1" si="535"/>
        <v>132.27492088125007</v>
      </c>
      <c r="AK474" s="180">
        <f t="shared" ca="1" si="535"/>
        <v>138.88866692531252</v>
      </c>
      <c r="AL474" s="180" t="str">
        <f t="shared" ca="1" si="535"/>
        <v/>
      </c>
      <c r="AM474" s="180" t="str">
        <f t="shared" ca="1" si="535"/>
        <v/>
      </c>
      <c r="AN474" s="180" t="str">
        <f t="shared" ca="1" si="535"/>
        <v/>
      </c>
      <c r="AO474" s="180" t="str">
        <f t="shared" ca="1" si="535"/>
        <v/>
      </c>
      <c r="AP474" s="180" t="str">
        <f t="shared" ca="1" si="535"/>
        <v/>
      </c>
      <c r="AQ474" s="180" t="str">
        <f t="shared" ca="1" si="535"/>
        <v/>
      </c>
      <c r="AR474" s="180" t="str">
        <f t="shared" ca="1" si="535"/>
        <v/>
      </c>
      <c r="AS474" s="180" t="str">
        <f t="shared" ca="1" si="535"/>
        <v/>
      </c>
      <c r="AT474" s="180" t="str">
        <f t="shared" ca="1" si="535"/>
        <v/>
      </c>
      <c r="AU474" s="180" t="str">
        <f t="shared" ca="1" si="535"/>
        <v/>
      </c>
      <c r="AV474" s="180" t="str">
        <f t="shared" ca="1" si="535"/>
        <v/>
      </c>
      <c r="AW474" s="180" t="str">
        <f t="shared" ca="1" si="535"/>
        <v/>
      </c>
      <c r="AX474" s="180" t="str">
        <f t="shared" ca="1" si="535"/>
        <v/>
      </c>
      <c r="AY474" s="180" t="str">
        <f t="shared" ca="1" si="535"/>
        <v/>
      </c>
      <c r="AZ474" s="180" t="str">
        <f t="shared" ca="1" si="535"/>
        <v/>
      </c>
      <c r="BA474" s="180" t="str">
        <f t="shared" ca="1" si="535"/>
        <v/>
      </c>
      <c r="BB474" s="180" t="str">
        <f t="shared" ca="1" si="535"/>
        <v/>
      </c>
      <c r="BC474" s="180" t="str">
        <f t="shared" ca="1" si="535"/>
        <v/>
      </c>
      <c r="BD474" s="180" t="str">
        <f t="shared" ca="1" si="535"/>
        <v/>
      </c>
      <c r="BE474" s="180" t="str">
        <f t="shared" ca="1" si="535"/>
        <v/>
      </c>
      <c r="BF474" s="180" t="str">
        <f t="shared" ca="1" si="535"/>
        <v/>
      </c>
      <c r="BG474" s="180" t="str">
        <f t="shared" ca="1" si="535"/>
        <v/>
      </c>
      <c r="BH474" s="180" t="str">
        <f t="shared" ca="1" si="535"/>
        <v/>
      </c>
      <c r="BI474" s="180" t="str">
        <f t="shared" ca="1" si="535"/>
        <v/>
      </c>
      <c r="BK474" s="84"/>
      <c r="BL474" s="84"/>
      <c r="BM474" s="84"/>
      <c r="BN474" s="84"/>
      <c r="BO474" s="84"/>
      <c r="BP474" s="84"/>
    </row>
    <row r="475" spans="17:68" ht="15" customHeight="1" outlineLevel="1">
      <c r="Q475" s="87" t="s">
        <v>239</v>
      </c>
      <c r="R475" s="87"/>
      <c r="S475" s="87"/>
      <c r="T475" s="87"/>
      <c r="U475" s="87"/>
      <c r="W475" s="320" t="e">
        <f t="shared" ref="W475:AB475" ca="1" si="536">IF($D$2=FALSE,"-",IF(W$13="","",IF(W$455=0,#N/A,W474/W$455)))</f>
        <v>#N/A</v>
      </c>
      <c r="X475" s="320">
        <f t="shared" ca="1" si="536"/>
        <v>6.7899442149137892</v>
      </c>
      <c r="Y475" s="320">
        <f t="shared" ca="1" si="536"/>
        <v>15.321027463776906</v>
      </c>
      <c r="Z475" s="320">
        <f t="shared" ca="1" si="536"/>
        <v>61.519024935964325</v>
      </c>
      <c r="AA475" s="320">
        <f t="shared" ca="1" si="536"/>
        <v>132.27492088125007</v>
      </c>
      <c r="AB475" s="320">
        <f t="shared" ca="1" si="536"/>
        <v>138.88866692531252</v>
      </c>
      <c r="AC475" s="321"/>
      <c r="AD475" s="320" t="e">
        <f ca="1">IF($D$2=FALSE,"-",IF(AD$13="","",IF(AD$455=0,#N/A,AD474/AD$455)))</f>
        <v>#N/A</v>
      </c>
      <c r="AE475" s="322"/>
      <c r="AF475" s="323" t="e">
        <f t="shared" ref="AF475:BI475" ca="1" si="537">IF($D$2=FALSE,"-",IF(AF$13="","",IF(AF$455=0,#N/A,AF474/AF$455)))</f>
        <v>#N/A</v>
      </c>
      <c r="AG475" s="320">
        <f t="shared" ca="1" si="537"/>
        <v>6.7899442149137892</v>
      </c>
      <c r="AH475" s="320">
        <f t="shared" ca="1" si="537"/>
        <v>15.321027463776906</v>
      </c>
      <c r="AI475" s="320">
        <f t="shared" ca="1" si="537"/>
        <v>61.519024935964325</v>
      </c>
      <c r="AJ475" s="320">
        <f t="shared" ca="1" si="537"/>
        <v>132.27492088125007</v>
      </c>
      <c r="AK475" s="320">
        <f t="shared" ca="1" si="537"/>
        <v>138.88866692531252</v>
      </c>
      <c r="AL475" s="320" t="str">
        <f t="shared" ca="1" si="537"/>
        <v/>
      </c>
      <c r="AM475" s="320" t="str">
        <f t="shared" ca="1" si="537"/>
        <v/>
      </c>
      <c r="AN475" s="320" t="str">
        <f t="shared" ca="1" si="537"/>
        <v/>
      </c>
      <c r="AO475" s="320" t="str">
        <f t="shared" ca="1" si="537"/>
        <v/>
      </c>
      <c r="AP475" s="320" t="str">
        <f t="shared" ca="1" si="537"/>
        <v/>
      </c>
      <c r="AQ475" s="320" t="str">
        <f t="shared" ca="1" si="537"/>
        <v/>
      </c>
      <c r="AR475" s="320" t="str">
        <f t="shared" ca="1" si="537"/>
        <v/>
      </c>
      <c r="AS475" s="320" t="str">
        <f t="shared" ca="1" si="537"/>
        <v/>
      </c>
      <c r="AT475" s="320" t="str">
        <f t="shared" ca="1" si="537"/>
        <v/>
      </c>
      <c r="AU475" s="320" t="str">
        <f t="shared" ca="1" si="537"/>
        <v/>
      </c>
      <c r="AV475" s="320" t="str">
        <f t="shared" ca="1" si="537"/>
        <v/>
      </c>
      <c r="AW475" s="320" t="str">
        <f t="shared" ca="1" si="537"/>
        <v/>
      </c>
      <c r="AX475" s="320" t="str">
        <f t="shared" ca="1" si="537"/>
        <v/>
      </c>
      <c r="AY475" s="320" t="str">
        <f t="shared" ca="1" si="537"/>
        <v/>
      </c>
      <c r="AZ475" s="320" t="str">
        <f t="shared" ca="1" si="537"/>
        <v/>
      </c>
      <c r="BA475" s="320" t="str">
        <f t="shared" ca="1" si="537"/>
        <v/>
      </c>
      <c r="BB475" s="320" t="str">
        <f t="shared" ca="1" si="537"/>
        <v/>
      </c>
      <c r="BC475" s="320" t="str">
        <f t="shared" ca="1" si="537"/>
        <v/>
      </c>
      <c r="BD475" s="320" t="str">
        <f t="shared" ca="1" si="537"/>
        <v/>
      </c>
      <c r="BE475" s="320" t="str">
        <f t="shared" ca="1" si="537"/>
        <v/>
      </c>
      <c r="BF475" s="320" t="str">
        <f t="shared" ca="1" si="537"/>
        <v/>
      </c>
      <c r="BG475" s="320" t="str">
        <f t="shared" ca="1" si="537"/>
        <v/>
      </c>
      <c r="BH475" s="320" t="str">
        <f t="shared" ca="1" si="537"/>
        <v/>
      </c>
      <c r="BI475" s="320" t="str">
        <f t="shared" ca="1" si="537"/>
        <v/>
      </c>
      <c r="BK475" s="84"/>
      <c r="BL475" s="84"/>
      <c r="BM475" s="84"/>
      <c r="BN475" s="84"/>
      <c r="BO475" s="84"/>
      <c r="BP475" s="84"/>
    </row>
    <row r="476" spans="17:68" ht="15" customHeight="1" outlineLevel="1">
      <c r="Q476" s="87" t="s">
        <v>240</v>
      </c>
      <c r="R476" s="87"/>
      <c r="S476" s="87"/>
      <c r="T476" s="87"/>
      <c r="U476" s="87"/>
      <c r="W476" s="320" t="e">
        <f t="shared" ref="W476:AB476" ca="1" si="538">IF($D$2=FALSE,"-",IF(W$13="","",IF(W$456=0,#N/A,W474/W$456)))</f>
        <v>#N/A</v>
      </c>
      <c r="X476" s="320">
        <f t="shared" ca="1" si="538"/>
        <v>3.8593367873950157</v>
      </c>
      <c r="Y476" s="320">
        <f t="shared" ca="1" si="538"/>
        <v>5.8732447397811702</v>
      </c>
      <c r="Z476" s="320">
        <f t="shared" ca="1" si="538"/>
        <v>8.6994882337430557</v>
      </c>
      <c r="AA476" s="320">
        <f t="shared" ca="1" si="538"/>
        <v>5.4942606230829227</v>
      </c>
      <c r="AB476" s="320">
        <f t="shared" ca="1" si="538"/>
        <v>5.7918281169722583</v>
      </c>
      <c r="AC476" s="321"/>
      <c r="AD476" s="320" t="e">
        <f ca="1">IF($D$2=FALSE,"-",IF(AD$13="","",IF(AD$456=0,#N/A,AD474/AD$456)))</f>
        <v>#N/A</v>
      </c>
      <c r="AE476" s="322"/>
      <c r="AF476" s="323" t="e">
        <f t="shared" ref="AF476:BI476" ca="1" si="539">IF($D$2=FALSE,"-",IF(AF$13="","",IF(AF$456=0,#N/A,AF474/AF$456)))</f>
        <v>#N/A</v>
      </c>
      <c r="AG476" s="320">
        <f t="shared" ca="1" si="539"/>
        <v>3.8593367873950157</v>
      </c>
      <c r="AH476" s="320">
        <f t="shared" ca="1" si="539"/>
        <v>5.8732447397811702</v>
      </c>
      <c r="AI476" s="320">
        <f t="shared" ca="1" si="539"/>
        <v>8.6994882337430557</v>
      </c>
      <c r="AJ476" s="320">
        <f t="shared" ca="1" si="539"/>
        <v>5.4942606230829227</v>
      </c>
      <c r="AK476" s="320">
        <f t="shared" ca="1" si="539"/>
        <v>5.7918281169722583</v>
      </c>
      <c r="AL476" s="320" t="str">
        <f t="shared" ca="1" si="539"/>
        <v/>
      </c>
      <c r="AM476" s="320" t="str">
        <f t="shared" ca="1" si="539"/>
        <v/>
      </c>
      <c r="AN476" s="320" t="str">
        <f t="shared" ca="1" si="539"/>
        <v/>
      </c>
      <c r="AO476" s="320" t="str">
        <f t="shared" ca="1" si="539"/>
        <v/>
      </c>
      <c r="AP476" s="320" t="str">
        <f t="shared" ca="1" si="539"/>
        <v/>
      </c>
      <c r="AQ476" s="320" t="str">
        <f t="shared" ca="1" si="539"/>
        <v/>
      </c>
      <c r="AR476" s="320" t="str">
        <f t="shared" ca="1" si="539"/>
        <v/>
      </c>
      <c r="AS476" s="320" t="str">
        <f t="shared" ca="1" si="539"/>
        <v/>
      </c>
      <c r="AT476" s="320" t="str">
        <f t="shared" ca="1" si="539"/>
        <v/>
      </c>
      <c r="AU476" s="320" t="str">
        <f t="shared" ca="1" si="539"/>
        <v/>
      </c>
      <c r="AV476" s="320" t="str">
        <f t="shared" ca="1" si="539"/>
        <v/>
      </c>
      <c r="AW476" s="320" t="str">
        <f t="shared" ca="1" si="539"/>
        <v/>
      </c>
      <c r="AX476" s="320" t="str">
        <f t="shared" ca="1" si="539"/>
        <v/>
      </c>
      <c r="AY476" s="320" t="str">
        <f t="shared" ca="1" si="539"/>
        <v/>
      </c>
      <c r="AZ476" s="320" t="str">
        <f t="shared" ca="1" si="539"/>
        <v/>
      </c>
      <c r="BA476" s="320" t="str">
        <f t="shared" ca="1" si="539"/>
        <v/>
      </c>
      <c r="BB476" s="320" t="str">
        <f t="shared" ca="1" si="539"/>
        <v/>
      </c>
      <c r="BC476" s="320" t="str">
        <f t="shared" ca="1" si="539"/>
        <v/>
      </c>
      <c r="BD476" s="320" t="str">
        <f t="shared" ca="1" si="539"/>
        <v/>
      </c>
      <c r="BE476" s="320" t="str">
        <f t="shared" ca="1" si="539"/>
        <v/>
      </c>
      <c r="BF476" s="320" t="str">
        <f t="shared" ca="1" si="539"/>
        <v/>
      </c>
      <c r="BG476" s="320" t="str">
        <f t="shared" ca="1" si="539"/>
        <v/>
      </c>
      <c r="BH476" s="320" t="str">
        <f t="shared" ca="1" si="539"/>
        <v/>
      </c>
      <c r="BI476" s="320" t="str">
        <f t="shared" ca="1" si="539"/>
        <v/>
      </c>
      <c r="BK476" s="84"/>
      <c r="BL476" s="84"/>
      <c r="BM476" s="84"/>
      <c r="BN476" s="84"/>
      <c r="BO476" s="84"/>
      <c r="BP476" s="84"/>
    </row>
    <row r="477" spans="17:68" ht="15" customHeight="1" outlineLevel="1">
      <c r="Q477" s="87" t="s">
        <v>241</v>
      </c>
      <c r="R477" s="87"/>
      <c r="S477" s="87"/>
      <c r="T477" s="87"/>
      <c r="U477" s="87"/>
      <c r="W477" s="320" t="e">
        <f t="shared" ref="W477:AB477" ca="1" si="540">IF($D$2=FALSE,"-",IF(W$13="","",IF(W$457=0,#N/A,W474/W$457)))</f>
        <v>#N/A</v>
      </c>
      <c r="X477" s="320">
        <f t="shared" ca="1" si="540"/>
        <v>2.9577433161440778</v>
      </c>
      <c r="Y477" s="320">
        <f t="shared" ca="1" si="540"/>
        <v>4.021500668295813</v>
      </c>
      <c r="Z477" s="320">
        <f t="shared" ca="1" si="540"/>
        <v>5.1871167755555296</v>
      </c>
      <c r="AA477" s="320">
        <f t="shared" ca="1" si="540"/>
        <v>5.4942606230829227</v>
      </c>
      <c r="AB477" s="320">
        <f t="shared" ca="1" si="540"/>
        <v>5.7918281169722583</v>
      </c>
      <c r="AC477" s="321"/>
      <c r="AD477" s="320" t="e">
        <f ca="1">IF($D$2=FALSE,"-",IF(AD$13="","",IF(AD$457=0,#N/A,AD474/AD$457)))</f>
        <v>#N/A</v>
      </c>
      <c r="AE477" s="322"/>
      <c r="AF477" s="323" t="e">
        <f t="shared" ref="AF477:BI477" ca="1" si="541">IF($D$2=FALSE,"-",IF(AF$13="","",IF(AF$457=0,#N/A,AF474/AF$457)))</f>
        <v>#N/A</v>
      </c>
      <c r="AG477" s="320">
        <f t="shared" ca="1" si="541"/>
        <v>2.9577433161440778</v>
      </c>
      <c r="AH477" s="320">
        <f t="shared" ca="1" si="541"/>
        <v>4.021500668295813</v>
      </c>
      <c r="AI477" s="320">
        <f t="shared" ca="1" si="541"/>
        <v>5.1871167755555296</v>
      </c>
      <c r="AJ477" s="320">
        <f t="shared" ca="1" si="541"/>
        <v>5.4942606230829227</v>
      </c>
      <c r="AK477" s="320">
        <f t="shared" ca="1" si="541"/>
        <v>5.7918281169722583</v>
      </c>
      <c r="AL477" s="320" t="str">
        <f t="shared" ca="1" si="541"/>
        <v/>
      </c>
      <c r="AM477" s="320" t="str">
        <f t="shared" ca="1" si="541"/>
        <v/>
      </c>
      <c r="AN477" s="320" t="str">
        <f t="shared" ca="1" si="541"/>
        <v/>
      </c>
      <c r="AO477" s="320" t="str">
        <f t="shared" ca="1" si="541"/>
        <v/>
      </c>
      <c r="AP477" s="320" t="str">
        <f t="shared" ca="1" si="541"/>
        <v/>
      </c>
      <c r="AQ477" s="320" t="str">
        <f t="shared" ca="1" si="541"/>
        <v/>
      </c>
      <c r="AR477" s="320" t="str">
        <f t="shared" ca="1" si="541"/>
        <v/>
      </c>
      <c r="AS477" s="320" t="str">
        <f t="shared" ca="1" si="541"/>
        <v/>
      </c>
      <c r="AT477" s="320" t="str">
        <f t="shared" ca="1" si="541"/>
        <v/>
      </c>
      <c r="AU477" s="320" t="str">
        <f t="shared" ca="1" si="541"/>
        <v/>
      </c>
      <c r="AV477" s="320" t="str">
        <f t="shared" ca="1" si="541"/>
        <v/>
      </c>
      <c r="AW477" s="320" t="str">
        <f t="shared" ca="1" si="541"/>
        <v/>
      </c>
      <c r="AX477" s="320" t="str">
        <f t="shared" ca="1" si="541"/>
        <v/>
      </c>
      <c r="AY477" s="320" t="str">
        <f t="shared" ca="1" si="541"/>
        <v/>
      </c>
      <c r="AZ477" s="320" t="str">
        <f t="shared" ca="1" si="541"/>
        <v/>
      </c>
      <c r="BA477" s="320" t="str">
        <f t="shared" ca="1" si="541"/>
        <v/>
      </c>
      <c r="BB477" s="320" t="str">
        <f t="shared" ca="1" si="541"/>
        <v/>
      </c>
      <c r="BC477" s="320" t="str">
        <f t="shared" ca="1" si="541"/>
        <v/>
      </c>
      <c r="BD477" s="320" t="str">
        <f t="shared" ca="1" si="541"/>
        <v/>
      </c>
      <c r="BE477" s="320" t="str">
        <f t="shared" ca="1" si="541"/>
        <v/>
      </c>
      <c r="BF477" s="320" t="str">
        <f t="shared" ca="1" si="541"/>
        <v/>
      </c>
      <c r="BG477" s="320" t="str">
        <f t="shared" ca="1" si="541"/>
        <v/>
      </c>
      <c r="BH477" s="320" t="str">
        <f t="shared" ca="1" si="541"/>
        <v/>
      </c>
      <c r="BI477" s="320" t="str">
        <f t="shared" ca="1" si="541"/>
        <v/>
      </c>
      <c r="BK477" s="84"/>
      <c r="BL477" s="84"/>
      <c r="BM477" s="84"/>
      <c r="BN477" s="84"/>
      <c r="BO477" s="84"/>
      <c r="BP477" s="84"/>
    </row>
    <row r="478" spans="17:68" ht="15" customHeight="1" outlineLevel="1">
      <c r="Q478" s="87" t="s">
        <v>242</v>
      </c>
      <c r="R478" s="87"/>
      <c r="S478" s="87"/>
      <c r="T478" s="87"/>
      <c r="U478" s="87"/>
      <c r="W478" s="320" t="e">
        <f t="shared" ref="W478:AB478" ca="1" si="542">IF($D$2=FALSE,"-",IF(W$13="","",IF(W$458=0,#N/A,W474/W$458)))</f>
        <v>#N/A</v>
      </c>
      <c r="X478" s="320">
        <f t="shared" ca="1" si="542"/>
        <v>2.3375403374307893</v>
      </c>
      <c r="Y478" s="320">
        <f t="shared" ca="1" si="542"/>
        <v>3.0008228949228353</v>
      </c>
      <c r="Z478" s="320">
        <f t="shared" ca="1" si="542"/>
        <v>3.6694195866194432</v>
      </c>
      <c r="AA478" s="320">
        <f t="shared" ca="1" si="542"/>
        <v>3.8884250402851794</v>
      </c>
      <c r="AB478" s="320">
        <f t="shared" ca="1" si="542"/>
        <v>4.1066889757618554</v>
      </c>
      <c r="AC478" s="321"/>
      <c r="AD478" s="320" t="e">
        <f ca="1">IF($D$2=FALSE,"-",IF(AD$13="","",IF(AD$458=0,#N/A,AD474/AD$458)))</f>
        <v>#N/A</v>
      </c>
      <c r="AE478" s="322"/>
      <c r="AF478" s="323" t="e">
        <f t="shared" ref="AF478:BI478" ca="1" si="543">IF($D$2=FALSE,"-",IF(AF$13="","",IF(AF$458=0,#N/A,AF474/AF$458)))</f>
        <v>#N/A</v>
      </c>
      <c r="AG478" s="320">
        <f t="shared" ca="1" si="543"/>
        <v>2.3375403374307893</v>
      </c>
      <c r="AH478" s="320">
        <f t="shared" ca="1" si="543"/>
        <v>3.0008228949228353</v>
      </c>
      <c r="AI478" s="320">
        <f t="shared" ca="1" si="543"/>
        <v>3.6694195866194432</v>
      </c>
      <c r="AJ478" s="320">
        <f t="shared" ca="1" si="543"/>
        <v>3.8884250402851794</v>
      </c>
      <c r="AK478" s="320">
        <f t="shared" ca="1" si="543"/>
        <v>4.1066889757618554</v>
      </c>
      <c r="AL478" s="320" t="str">
        <f t="shared" ca="1" si="543"/>
        <v/>
      </c>
      <c r="AM478" s="320" t="str">
        <f t="shared" ca="1" si="543"/>
        <v/>
      </c>
      <c r="AN478" s="320" t="str">
        <f t="shared" ca="1" si="543"/>
        <v/>
      </c>
      <c r="AO478" s="320" t="str">
        <f t="shared" ca="1" si="543"/>
        <v/>
      </c>
      <c r="AP478" s="320" t="str">
        <f t="shared" ca="1" si="543"/>
        <v/>
      </c>
      <c r="AQ478" s="320" t="str">
        <f t="shared" ca="1" si="543"/>
        <v/>
      </c>
      <c r="AR478" s="320" t="str">
        <f t="shared" ca="1" si="543"/>
        <v/>
      </c>
      <c r="AS478" s="320" t="str">
        <f t="shared" ca="1" si="543"/>
        <v/>
      </c>
      <c r="AT478" s="320" t="str">
        <f t="shared" ca="1" si="543"/>
        <v/>
      </c>
      <c r="AU478" s="320" t="str">
        <f t="shared" ca="1" si="543"/>
        <v/>
      </c>
      <c r="AV478" s="320" t="str">
        <f t="shared" ca="1" si="543"/>
        <v/>
      </c>
      <c r="AW478" s="320" t="str">
        <f t="shared" ca="1" si="543"/>
        <v/>
      </c>
      <c r="AX478" s="320" t="str">
        <f t="shared" ca="1" si="543"/>
        <v/>
      </c>
      <c r="AY478" s="320" t="str">
        <f t="shared" ca="1" si="543"/>
        <v/>
      </c>
      <c r="AZ478" s="320" t="str">
        <f t="shared" ca="1" si="543"/>
        <v/>
      </c>
      <c r="BA478" s="320" t="str">
        <f t="shared" ca="1" si="543"/>
        <v/>
      </c>
      <c r="BB478" s="320" t="str">
        <f t="shared" ca="1" si="543"/>
        <v/>
      </c>
      <c r="BC478" s="320" t="str">
        <f t="shared" ca="1" si="543"/>
        <v/>
      </c>
      <c r="BD478" s="320" t="str">
        <f t="shared" ca="1" si="543"/>
        <v/>
      </c>
      <c r="BE478" s="320" t="str">
        <f t="shared" ca="1" si="543"/>
        <v/>
      </c>
      <c r="BF478" s="320" t="str">
        <f t="shared" ca="1" si="543"/>
        <v/>
      </c>
      <c r="BG478" s="320" t="str">
        <f t="shared" ca="1" si="543"/>
        <v/>
      </c>
      <c r="BH478" s="320" t="str">
        <f t="shared" ca="1" si="543"/>
        <v/>
      </c>
      <c r="BI478" s="320" t="str">
        <f t="shared" ca="1" si="543"/>
        <v/>
      </c>
      <c r="BK478" s="84"/>
      <c r="BL478" s="84"/>
      <c r="BM478" s="84"/>
      <c r="BN478" s="84"/>
      <c r="BO478" s="84"/>
      <c r="BP478" s="84"/>
    </row>
    <row r="479" spans="17:68" ht="15" customHeight="1" outlineLevel="1"/>
    <row r="480" spans="17:68" ht="15" customHeight="1" outlineLevel="1">
      <c r="Q480" s="25" t="s">
        <v>243</v>
      </c>
      <c r="R480" s="25"/>
      <c r="S480" s="25"/>
      <c r="T480" s="25"/>
      <c r="U480" s="25"/>
      <c r="W480" s="59"/>
      <c r="X480" s="59"/>
      <c r="Y480" s="59"/>
      <c r="Z480" s="59"/>
      <c r="AA480" s="59"/>
      <c r="AB480" s="59"/>
      <c r="AD480" s="59"/>
      <c r="AF480" s="86"/>
      <c r="AG480" s="59"/>
      <c r="AH480" s="59"/>
      <c r="AI480" s="59"/>
      <c r="AJ480" s="59"/>
      <c r="AK480" s="59"/>
      <c r="AL480" s="59"/>
      <c r="AM480" s="59"/>
      <c r="AN480" s="59"/>
      <c r="AO480" s="59"/>
      <c r="AP480" s="59"/>
      <c r="AQ480" s="59"/>
      <c r="AR480" s="59"/>
      <c r="AS480" s="59"/>
      <c r="AT480" s="59"/>
      <c r="AU480" s="59"/>
      <c r="AV480" s="59"/>
      <c r="AW480" s="59"/>
      <c r="AX480" s="59"/>
      <c r="AY480" s="59"/>
      <c r="AZ480" s="59"/>
      <c r="BA480" s="59"/>
      <c r="BB480" s="59"/>
      <c r="BC480" s="59"/>
      <c r="BD480" s="59"/>
      <c r="BE480" s="59"/>
      <c r="BF480" s="59"/>
      <c r="BG480" s="59"/>
      <c r="BH480" s="59"/>
      <c r="BI480" s="59"/>
    </row>
    <row r="481" spans="17:68" ht="15" customHeight="1" outlineLevel="1"/>
    <row r="482" spans="17:68" ht="15" customHeight="1" outlineLevel="1">
      <c r="Q482" s="1" t="s">
        <v>244</v>
      </c>
      <c r="W482" s="20">
        <f t="shared" ref="W482:AB482" ca="1" si="544">IF($D$2=FALSE,"-",IF(W$13="","",IF(W451=0,#N/A,W449/W451)))</f>
        <v>0.31878412697930791</v>
      </c>
      <c r="X482" s="20">
        <f t="shared" ca="1" si="544"/>
        <v>0.15668618886489413</v>
      </c>
      <c r="Y482" s="20">
        <f t="shared" ca="1" si="544"/>
        <v>2.4028948946330019E-2</v>
      </c>
      <c r="Z482" s="20">
        <f t="shared" ca="1" si="544"/>
        <v>0</v>
      </c>
      <c r="AA482" s="20">
        <f t="shared" ca="1" si="544"/>
        <v>0</v>
      </c>
      <c r="AB482" s="20">
        <f t="shared" ca="1" si="544"/>
        <v>0</v>
      </c>
      <c r="AC482" s="257"/>
      <c r="AD482" s="20" t="e">
        <f ca="1">IF($D$2=FALSE,"-",IF(AD$13="","",IF(AD451=0,#N/A,AD449/AD451)))</f>
        <v>#N/A</v>
      </c>
      <c r="AE482" s="17"/>
      <c r="AF482" s="21">
        <f t="shared" ref="AF482:BI482" ca="1" si="545">IF($D$2=FALSE,"-",IF(AF$13="","",IF(AF451=0,#N/A,AF449/AF451)))</f>
        <v>0.31878412697930791</v>
      </c>
      <c r="AG482" s="20">
        <f t="shared" ca="1" si="545"/>
        <v>0.15668618886489413</v>
      </c>
      <c r="AH482" s="20">
        <f t="shared" ca="1" si="545"/>
        <v>2.4028948946330019E-2</v>
      </c>
      <c r="AI482" s="20">
        <f t="shared" ca="1" si="545"/>
        <v>0</v>
      </c>
      <c r="AJ482" s="20">
        <f t="shared" ca="1" si="545"/>
        <v>0</v>
      </c>
      <c r="AK482" s="20">
        <f t="shared" ca="1" si="545"/>
        <v>0</v>
      </c>
      <c r="AL482" s="20" t="str">
        <f t="shared" ca="1" si="545"/>
        <v/>
      </c>
      <c r="AM482" s="20" t="str">
        <f t="shared" ca="1" si="545"/>
        <v/>
      </c>
      <c r="AN482" s="20" t="str">
        <f t="shared" ca="1" si="545"/>
        <v/>
      </c>
      <c r="AO482" s="20" t="str">
        <f t="shared" ca="1" si="545"/>
        <v/>
      </c>
      <c r="AP482" s="20" t="str">
        <f t="shared" ca="1" si="545"/>
        <v/>
      </c>
      <c r="AQ482" s="20" t="str">
        <f t="shared" ca="1" si="545"/>
        <v/>
      </c>
      <c r="AR482" s="20" t="str">
        <f t="shared" ca="1" si="545"/>
        <v/>
      </c>
      <c r="AS482" s="20" t="str">
        <f t="shared" ca="1" si="545"/>
        <v/>
      </c>
      <c r="AT482" s="20" t="str">
        <f t="shared" ca="1" si="545"/>
        <v/>
      </c>
      <c r="AU482" s="20" t="str">
        <f t="shared" ca="1" si="545"/>
        <v/>
      </c>
      <c r="AV482" s="20" t="str">
        <f t="shared" ca="1" si="545"/>
        <v/>
      </c>
      <c r="AW482" s="20" t="str">
        <f t="shared" ca="1" si="545"/>
        <v/>
      </c>
      <c r="AX482" s="20" t="str">
        <f t="shared" ca="1" si="545"/>
        <v/>
      </c>
      <c r="AY482" s="20" t="str">
        <f t="shared" ca="1" si="545"/>
        <v/>
      </c>
      <c r="AZ482" s="20" t="str">
        <f t="shared" ca="1" si="545"/>
        <v/>
      </c>
      <c r="BA482" s="20" t="str">
        <f t="shared" ca="1" si="545"/>
        <v/>
      </c>
      <c r="BB482" s="20" t="str">
        <f t="shared" ca="1" si="545"/>
        <v/>
      </c>
      <c r="BC482" s="20" t="str">
        <f t="shared" ca="1" si="545"/>
        <v/>
      </c>
      <c r="BD482" s="20" t="str">
        <f t="shared" ca="1" si="545"/>
        <v/>
      </c>
      <c r="BE482" s="20" t="str">
        <f t="shared" ca="1" si="545"/>
        <v/>
      </c>
      <c r="BF482" s="20" t="str">
        <f t="shared" ca="1" si="545"/>
        <v/>
      </c>
      <c r="BG482" s="20" t="str">
        <f t="shared" ca="1" si="545"/>
        <v/>
      </c>
      <c r="BH482" s="20" t="str">
        <f t="shared" ca="1" si="545"/>
        <v/>
      </c>
      <c r="BI482" s="20" t="str">
        <f t="shared" ca="1" si="545"/>
        <v/>
      </c>
      <c r="BK482" s="325"/>
      <c r="BL482" s="325"/>
      <c r="BM482" s="325"/>
      <c r="BN482" s="325"/>
      <c r="BO482" s="325"/>
      <c r="BP482" s="325"/>
    </row>
    <row r="483" spans="17:68" ht="15" customHeight="1" outlineLevel="1">
      <c r="Q483" s="1" t="s">
        <v>245</v>
      </c>
      <c r="W483" s="20">
        <f t="shared" ref="W483:AB483" ca="1" si="546">IF($D$2=FALSE,"-",IF(W$13="","",IF(W451=0,#N/A,IF(W448/W451&lt;0,"NM",W448/W451))))</f>
        <v>0.43778775960033584</v>
      </c>
      <c r="X483" s="20">
        <f t="shared" ca="1" si="546"/>
        <v>0.39510870486520949</v>
      </c>
      <c r="Y483" s="20">
        <f t="shared" ca="1" si="546"/>
        <v>0.27920539048195897</v>
      </c>
      <c r="Z483" s="20">
        <f t="shared" ca="1" si="546"/>
        <v>0.10997143588135447</v>
      </c>
      <c r="AA483" s="20" t="str">
        <f t="shared" ca="1" si="546"/>
        <v>NM</v>
      </c>
      <c r="AB483" s="20" t="str">
        <f t="shared" ca="1" si="546"/>
        <v>NM</v>
      </c>
      <c r="AC483" s="257"/>
      <c r="AD483" s="20" t="e">
        <f ca="1">IF($D$2=FALSE,"-",IF(AD$13="","",IF(AD451=0,#N/A,IF(AD448/AD451&lt;0,"NM",AD448/AD451))))</f>
        <v>#N/A</v>
      </c>
      <c r="AE483" s="17"/>
      <c r="AF483" s="21">
        <f t="shared" ref="AF483:BI483" ca="1" si="547">IF($D$2=FALSE,"-",IF(AF$13="","",IF(AF451=0,#N/A,IF(AF448/AF451&lt;0,"NM",AF448/AF451))))</f>
        <v>0.43778775960033584</v>
      </c>
      <c r="AG483" s="20">
        <f t="shared" ca="1" si="547"/>
        <v>0.39510870486520949</v>
      </c>
      <c r="AH483" s="20">
        <f t="shared" ca="1" si="547"/>
        <v>0.27920539048195897</v>
      </c>
      <c r="AI483" s="20">
        <f t="shared" ca="1" si="547"/>
        <v>0.10997143588135447</v>
      </c>
      <c r="AJ483" s="20" t="str">
        <f t="shared" ca="1" si="547"/>
        <v>NM</v>
      </c>
      <c r="AK483" s="20" t="str">
        <f t="shared" ca="1" si="547"/>
        <v>NM</v>
      </c>
      <c r="AL483" s="20" t="str">
        <f t="shared" ca="1" si="547"/>
        <v/>
      </c>
      <c r="AM483" s="20" t="str">
        <f t="shared" ca="1" si="547"/>
        <v/>
      </c>
      <c r="AN483" s="20" t="str">
        <f t="shared" ca="1" si="547"/>
        <v/>
      </c>
      <c r="AO483" s="20" t="str">
        <f t="shared" ca="1" si="547"/>
        <v/>
      </c>
      <c r="AP483" s="20" t="str">
        <f t="shared" ca="1" si="547"/>
        <v/>
      </c>
      <c r="AQ483" s="20" t="str">
        <f t="shared" ca="1" si="547"/>
        <v/>
      </c>
      <c r="AR483" s="20" t="str">
        <f t="shared" ca="1" si="547"/>
        <v/>
      </c>
      <c r="AS483" s="20" t="str">
        <f t="shared" ca="1" si="547"/>
        <v/>
      </c>
      <c r="AT483" s="20" t="str">
        <f t="shared" ca="1" si="547"/>
        <v/>
      </c>
      <c r="AU483" s="20" t="str">
        <f t="shared" ca="1" si="547"/>
        <v/>
      </c>
      <c r="AV483" s="20" t="str">
        <f t="shared" ca="1" si="547"/>
        <v/>
      </c>
      <c r="AW483" s="20" t="str">
        <f t="shared" ca="1" si="547"/>
        <v/>
      </c>
      <c r="AX483" s="20" t="str">
        <f t="shared" ca="1" si="547"/>
        <v/>
      </c>
      <c r="AY483" s="20" t="str">
        <f t="shared" ca="1" si="547"/>
        <v/>
      </c>
      <c r="AZ483" s="20" t="str">
        <f t="shared" ca="1" si="547"/>
        <v/>
      </c>
      <c r="BA483" s="20" t="str">
        <f t="shared" ca="1" si="547"/>
        <v/>
      </c>
      <c r="BB483" s="20" t="str">
        <f t="shared" ca="1" si="547"/>
        <v/>
      </c>
      <c r="BC483" s="20" t="str">
        <f t="shared" ca="1" si="547"/>
        <v/>
      </c>
      <c r="BD483" s="20" t="str">
        <f t="shared" ca="1" si="547"/>
        <v/>
      </c>
      <c r="BE483" s="20" t="str">
        <f t="shared" ca="1" si="547"/>
        <v/>
      </c>
      <c r="BF483" s="20" t="str">
        <f t="shared" ca="1" si="547"/>
        <v/>
      </c>
      <c r="BG483" s="20" t="str">
        <f t="shared" ca="1" si="547"/>
        <v/>
      </c>
      <c r="BH483" s="20" t="str">
        <f t="shared" ca="1" si="547"/>
        <v/>
      </c>
      <c r="BI483" s="20" t="str">
        <f t="shared" ca="1" si="547"/>
        <v/>
      </c>
      <c r="BK483" s="325"/>
      <c r="BL483" s="325"/>
      <c r="BM483" s="325"/>
      <c r="BN483" s="325"/>
      <c r="BO483" s="325"/>
      <c r="BP483" s="325"/>
    </row>
    <row r="484" spans="17:68" ht="15" customHeight="1" outlineLevel="1"/>
    <row r="485" spans="17:68" ht="15" customHeight="1" outlineLevel="1">
      <c r="Q485" s="1" t="s">
        <v>246</v>
      </c>
      <c r="W485" s="320">
        <f t="shared" ref="W485:AB485" ca="1" si="548">IF($D$2=FALSE,"-",IF(W$13="","",IF(W462=0,#N/A,IF(W449/W462&lt;0,"NM",W449/W462))))</f>
        <v>1.6561514195583595</v>
      </c>
      <c r="X485" s="320">
        <f t="shared" ca="1" si="548"/>
        <v>0.67649518814781373</v>
      </c>
      <c r="Y485" s="320">
        <f t="shared" ca="1" si="548"/>
        <v>9.3383025548718177E-2</v>
      </c>
      <c r="Z485" s="320">
        <f t="shared" ca="1" si="548"/>
        <v>0</v>
      </c>
      <c r="AA485" s="320">
        <f t="shared" ca="1" si="548"/>
        <v>0</v>
      </c>
      <c r="AB485" s="320">
        <f t="shared" ca="1" si="548"/>
        <v>0</v>
      </c>
      <c r="AC485" s="321"/>
      <c r="AD485" s="320" t="e">
        <f ca="1">IF($D$2=FALSE,"-",IF(AD$13="","",IF(AD462=0,#N/A,IF(AD449/AD462&lt;0,"NM",AD449/AD462))))</f>
        <v>#N/A</v>
      </c>
      <c r="AE485" s="322"/>
      <c r="AF485" s="323">
        <f t="shared" ref="AF485:BI485" ca="1" si="549">IF($D$2=FALSE,"-",IF(AF$13="","",IF(AF462=0,#N/A,IF(AF449/AF462&lt;0,"NM",AF449/AF462))))</f>
        <v>1.6561514195583595</v>
      </c>
      <c r="AG485" s="320">
        <f t="shared" ca="1" si="549"/>
        <v>0.67649518814781373</v>
      </c>
      <c r="AH485" s="320">
        <f t="shared" ca="1" si="549"/>
        <v>9.3383025548718177E-2</v>
      </c>
      <c r="AI485" s="320">
        <f t="shared" ca="1" si="549"/>
        <v>0</v>
      </c>
      <c r="AJ485" s="320">
        <f t="shared" ca="1" si="549"/>
        <v>0</v>
      </c>
      <c r="AK485" s="320">
        <f t="shared" ca="1" si="549"/>
        <v>0</v>
      </c>
      <c r="AL485" s="320" t="str">
        <f t="shared" ca="1" si="549"/>
        <v/>
      </c>
      <c r="AM485" s="320" t="str">
        <f t="shared" ca="1" si="549"/>
        <v/>
      </c>
      <c r="AN485" s="320" t="str">
        <f t="shared" ca="1" si="549"/>
        <v/>
      </c>
      <c r="AO485" s="320" t="str">
        <f t="shared" ca="1" si="549"/>
        <v/>
      </c>
      <c r="AP485" s="320" t="str">
        <f t="shared" ca="1" si="549"/>
        <v/>
      </c>
      <c r="AQ485" s="320" t="str">
        <f t="shared" ca="1" si="549"/>
        <v/>
      </c>
      <c r="AR485" s="320" t="str">
        <f t="shared" ca="1" si="549"/>
        <v/>
      </c>
      <c r="AS485" s="320" t="str">
        <f t="shared" ca="1" si="549"/>
        <v/>
      </c>
      <c r="AT485" s="320" t="str">
        <f t="shared" ca="1" si="549"/>
        <v/>
      </c>
      <c r="AU485" s="320" t="str">
        <f t="shared" ca="1" si="549"/>
        <v/>
      </c>
      <c r="AV485" s="320" t="str">
        <f t="shared" ca="1" si="549"/>
        <v/>
      </c>
      <c r="AW485" s="320" t="str">
        <f t="shared" ca="1" si="549"/>
        <v/>
      </c>
      <c r="AX485" s="320" t="str">
        <f t="shared" ca="1" si="549"/>
        <v/>
      </c>
      <c r="AY485" s="320" t="str">
        <f t="shared" ca="1" si="549"/>
        <v/>
      </c>
      <c r="AZ485" s="320" t="str">
        <f t="shared" ca="1" si="549"/>
        <v/>
      </c>
      <c r="BA485" s="320" t="str">
        <f t="shared" ca="1" si="549"/>
        <v/>
      </c>
      <c r="BB485" s="320" t="str">
        <f t="shared" ca="1" si="549"/>
        <v/>
      </c>
      <c r="BC485" s="320" t="str">
        <f t="shared" ca="1" si="549"/>
        <v/>
      </c>
      <c r="BD485" s="320" t="str">
        <f t="shared" ca="1" si="549"/>
        <v/>
      </c>
      <c r="BE485" s="320" t="str">
        <f t="shared" ca="1" si="549"/>
        <v/>
      </c>
      <c r="BF485" s="320" t="str">
        <f t="shared" ca="1" si="549"/>
        <v/>
      </c>
      <c r="BG485" s="320" t="str">
        <f t="shared" ca="1" si="549"/>
        <v/>
      </c>
      <c r="BH485" s="320" t="str">
        <f t="shared" ca="1" si="549"/>
        <v/>
      </c>
      <c r="BI485" s="320" t="str">
        <f t="shared" ca="1" si="549"/>
        <v/>
      </c>
      <c r="BK485" s="85"/>
      <c r="BL485" s="85"/>
      <c r="BM485" s="85"/>
      <c r="BN485" s="85"/>
      <c r="BO485" s="85"/>
      <c r="BP485" s="85"/>
    </row>
    <row r="486" spans="17:68" ht="15" customHeight="1" outlineLevel="1">
      <c r="Q486" s="1" t="s">
        <v>247</v>
      </c>
      <c r="W486" s="320">
        <f t="shared" ref="W486:AB486" ca="1" si="550">IF($D$2=FALSE,"-",IF(W$13="","",IF(W462=0,#N/A,IF(W447/W462&lt;0,"NM",W447/W462))))</f>
        <v>3.5134069400630912</v>
      </c>
      <c r="X486" s="320">
        <f t="shared" ca="1" si="550"/>
        <v>2.4543230385308688</v>
      </c>
      <c r="Y486" s="320">
        <f t="shared" ca="1" si="550"/>
        <v>1.7978630036598355</v>
      </c>
      <c r="Z486" s="320">
        <f t="shared" ca="1" si="550"/>
        <v>1.6833024818384614</v>
      </c>
      <c r="AA486" s="320">
        <f t="shared" ca="1" si="550"/>
        <v>1.5966570309342456</v>
      </c>
      <c r="AB486" s="320">
        <f t="shared" ca="1" si="550"/>
        <v>1.51444651530472</v>
      </c>
      <c r="AC486" s="321"/>
      <c r="AD486" s="320" t="e">
        <f ca="1">IF($D$2=FALSE,"-",IF(AD$13="","",IF(AD462=0,#N/A,IF(AD447/AD462&lt;0,"NM",AD447/AD462))))</f>
        <v>#N/A</v>
      </c>
      <c r="AE486" s="322"/>
      <c r="AF486" s="323">
        <f t="shared" ref="AF486:BI486" ca="1" si="551">IF($D$2=FALSE,"-",IF(AF$13="","",IF(AF462=0,#N/A,IF(AF447/AF462&lt;0,"NM",AF447/AF462))))</f>
        <v>3.5134069400630912</v>
      </c>
      <c r="AG486" s="320">
        <f t="shared" ca="1" si="551"/>
        <v>2.4543230385308688</v>
      </c>
      <c r="AH486" s="320">
        <f t="shared" ca="1" si="551"/>
        <v>1.7978630036598355</v>
      </c>
      <c r="AI486" s="320">
        <f t="shared" ca="1" si="551"/>
        <v>1.6833024818384614</v>
      </c>
      <c r="AJ486" s="320">
        <f t="shared" ca="1" si="551"/>
        <v>1.5966570309342456</v>
      </c>
      <c r="AK486" s="320">
        <f t="shared" ca="1" si="551"/>
        <v>1.51444651530472</v>
      </c>
      <c r="AL486" s="320" t="str">
        <f t="shared" ca="1" si="551"/>
        <v/>
      </c>
      <c r="AM486" s="320" t="str">
        <f t="shared" ca="1" si="551"/>
        <v/>
      </c>
      <c r="AN486" s="320" t="str">
        <f t="shared" ca="1" si="551"/>
        <v/>
      </c>
      <c r="AO486" s="320" t="str">
        <f t="shared" ca="1" si="551"/>
        <v/>
      </c>
      <c r="AP486" s="320" t="str">
        <f t="shared" ca="1" si="551"/>
        <v/>
      </c>
      <c r="AQ486" s="320" t="str">
        <f t="shared" ca="1" si="551"/>
        <v/>
      </c>
      <c r="AR486" s="320" t="str">
        <f t="shared" ca="1" si="551"/>
        <v/>
      </c>
      <c r="AS486" s="320" t="str">
        <f t="shared" ca="1" si="551"/>
        <v/>
      </c>
      <c r="AT486" s="320" t="str">
        <f t="shared" ca="1" si="551"/>
        <v/>
      </c>
      <c r="AU486" s="320" t="str">
        <f t="shared" ca="1" si="551"/>
        <v/>
      </c>
      <c r="AV486" s="320" t="str">
        <f t="shared" ca="1" si="551"/>
        <v/>
      </c>
      <c r="AW486" s="320" t="str">
        <f t="shared" ca="1" si="551"/>
        <v/>
      </c>
      <c r="AX486" s="320" t="str">
        <f t="shared" ca="1" si="551"/>
        <v/>
      </c>
      <c r="AY486" s="320" t="str">
        <f t="shared" ca="1" si="551"/>
        <v/>
      </c>
      <c r="AZ486" s="320" t="str">
        <f t="shared" ca="1" si="551"/>
        <v/>
      </c>
      <c r="BA486" s="320" t="str">
        <f t="shared" ca="1" si="551"/>
        <v/>
      </c>
      <c r="BB486" s="320" t="str">
        <f t="shared" ca="1" si="551"/>
        <v/>
      </c>
      <c r="BC486" s="320" t="str">
        <f t="shared" ca="1" si="551"/>
        <v/>
      </c>
      <c r="BD486" s="320" t="str">
        <f t="shared" ca="1" si="551"/>
        <v/>
      </c>
      <c r="BE486" s="320" t="str">
        <f t="shared" ca="1" si="551"/>
        <v/>
      </c>
      <c r="BF486" s="320" t="str">
        <f t="shared" ca="1" si="551"/>
        <v/>
      </c>
      <c r="BG486" s="320" t="str">
        <f t="shared" ca="1" si="551"/>
        <v/>
      </c>
      <c r="BH486" s="320" t="str">
        <f t="shared" ca="1" si="551"/>
        <v/>
      </c>
      <c r="BI486" s="320" t="str">
        <f t="shared" ca="1" si="551"/>
        <v/>
      </c>
      <c r="BK486" s="85"/>
      <c r="BL486" s="85"/>
      <c r="BM486" s="85"/>
      <c r="BN486" s="85"/>
      <c r="BO486" s="85"/>
      <c r="BP486" s="85"/>
    </row>
    <row r="487" spans="17:68" ht="15" customHeight="1" outlineLevel="1">
      <c r="Q487" s="1" t="s">
        <v>248</v>
      </c>
      <c r="W487" s="320">
        <f t="shared" ref="W487:AB487" ca="1" si="552">IF($D$2=FALSE,"-",IF(W$13="","",IF(W462=0,#N/A,IF(W448/W462&lt;0,"NM",W448/W462))))</f>
        <v>2.2744006309148261</v>
      </c>
      <c r="X487" s="320">
        <f t="shared" ca="1" si="552"/>
        <v>1.7058883081718481</v>
      </c>
      <c r="Y487" s="320">
        <f t="shared" ca="1" si="552"/>
        <v>1.0850680223655305</v>
      </c>
      <c r="Z487" s="320">
        <f t="shared" ca="1" si="552"/>
        <v>0.4422683609306427</v>
      </c>
      <c r="AA487" s="320" t="str">
        <f t="shared" ca="1" si="552"/>
        <v>NM</v>
      </c>
      <c r="AB487" s="320" t="str">
        <f t="shared" ca="1" si="552"/>
        <v>NM</v>
      </c>
      <c r="AC487" s="321"/>
      <c r="AD487" s="320" t="e">
        <f ca="1">IF($D$2=FALSE,"-",IF(AD$13="","",IF(AD462=0,#N/A,IF(AD448/AD462&lt;0,"NM",AD448/AD462))))</f>
        <v>#N/A</v>
      </c>
      <c r="AE487" s="322"/>
      <c r="AF487" s="323">
        <f t="shared" ref="AF487:BI487" ca="1" si="553">IF($D$2=FALSE,"-",IF(AF$13="","",IF(AF462=0,#N/A,IF(AF448/AF462&lt;0,"NM",AF448/AF462))))</f>
        <v>2.2744006309148261</v>
      </c>
      <c r="AG487" s="320">
        <f t="shared" ca="1" si="553"/>
        <v>1.7058883081718481</v>
      </c>
      <c r="AH487" s="320">
        <f t="shared" ca="1" si="553"/>
        <v>1.0850680223655305</v>
      </c>
      <c r="AI487" s="320">
        <f t="shared" ca="1" si="553"/>
        <v>0.4422683609306427</v>
      </c>
      <c r="AJ487" s="320" t="str">
        <f t="shared" ca="1" si="553"/>
        <v>NM</v>
      </c>
      <c r="AK487" s="320" t="str">
        <f t="shared" ca="1" si="553"/>
        <v>NM</v>
      </c>
      <c r="AL487" s="320" t="str">
        <f t="shared" ca="1" si="553"/>
        <v/>
      </c>
      <c r="AM487" s="320" t="str">
        <f t="shared" ca="1" si="553"/>
        <v/>
      </c>
      <c r="AN487" s="320" t="str">
        <f t="shared" ca="1" si="553"/>
        <v/>
      </c>
      <c r="AO487" s="320" t="str">
        <f t="shared" ca="1" si="553"/>
        <v/>
      </c>
      <c r="AP487" s="320" t="str">
        <f t="shared" ca="1" si="553"/>
        <v/>
      </c>
      <c r="AQ487" s="320" t="str">
        <f t="shared" ca="1" si="553"/>
        <v/>
      </c>
      <c r="AR487" s="320" t="str">
        <f t="shared" ca="1" si="553"/>
        <v/>
      </c>
      <c r="AS487" s="320" t="str">
        <f t="shared" ca="1" si="553"/>
        <v/>
      </c>
      <c r="AT487" s="320" t="str">
        <f t="shared" ca="1" si="553"/>
        <v/>
      </c>
      <c r="AU487" s="320" t="str">
        <f t="shared" ca="1" si="553"/>
        <v/>
      </c>
      <c r="AV487" s="320" t="str">
        <f t="shared" ca="1" si="553"/>
        <v/>
      </c>
      <c r="AW487" s="320" t="str">
        <f t="shared" ca="1" si="553"/>
        <v/>
      </c>
      <c r="AX487" s="320" t="str">
        <f t="shared" ca="1" si="553"/>
        <v/>
      </c>
      <c r="AY487" s="320" t="str">
        <f t="shared" ca="1" si="553"/>
        <v/>
      </c>
      <c r="AZ487" s="320" t="str">
        <f t="shared" ca="1" si="553"/>
        <v/>
      </c>
      <c r="BA487" s="320" t="str">
        <f t="shared" ca="1" si="553"/>
        <v/>
      </c>
      <c r="BB487" s="320" t="str">
        <f t="shared" ca="1" si="553"/>
        <v/>
      </c>
      <c r="BC487" s="320" t="str">
        <f t="shared" ca="1" si="553"/>
        <v/>
      </c>
      <c r="BD487" s="320" t="str">
        <f t="shared" ca="1" si="553"/>
        <v/>
      </c>
      <c r="BE487" s="320" t="str">
        <f t="shared" ca="1" si="553"/>
        <v/>
      </c>
      <c r="BF487" s="320" t="str">
        <f t="shared" ca="1" si="553"/>
        <v/>
      </c>
      <c r="BG487" s="320" t="str">
        <f t="shared" ca="1" si="553"/>
        <v/>
      </c>
      <c r="BH487" s="320" t="str">
        <f t="shared" ca="1" si="553"/>
        <v/>
      </c>
      <c r="BI487" s="320" t="str">
        <f t="shared" ca="1" si="553"/>
        <v/>
      </c>
      <c r="BK487" s="85"/>
      <c r="BL487" s="85"/>
      <c r="BM487" s="85"/>
      <c r="BN487" s="85"/>
      <c r="BO487" s="85"/>
      <c r="BP487" s="85"/>
    </row>
    <row r="488" spans="17:68" ht="15" customHeight="1" outlineLevel="1">
      <c r="Q488" s="1" t="s">
        <v>249</v>
      </c>
      <c r="W488" s="320">
        <f t="shared" ref="W488:AB488" ca="1" si="554">IF($D$2=FALSE,"-",IF(W$13="","",IF(W462=0,#N/A,IF((W448+W450)/W462&lt;0,"NM",(W448+W450)/W462))))</f>
        <v>3.0630441640378545</v>
      </c>
      <c r="X488" s="320">
        <f t="shared" ca="1" si="554"/>
        <v>2.4494664965449893</v>
      </c>
      <c r="Y488" s="320">
        <f t="shared" ca="1" si="554"/>
        <v>1.7860844962526665</v>
      </c>
      <c r="Z488" s="320">
        <f t="shared" ca="1" si="554"/>
        <v>1.1030904986085068</v>
      </c>
      <c r="AA488" s="320">
        <f t="shared" ca="1" si="554"/>
        <v>0.45264641762286417</v>
      </c>
      <c r="AB488" s="320">
        <f t="shared" ca="1" si="554"/>
        <v>5.8463856068302553E-3</v>
      </c>
      <c r="AC488" s="321"/>
      <c r="AD488" s="320" t="e">
        <f ca="1">IF($D$2=FALSE,"-",IF(AD$13="","",IF(AD462=0,#N/A,IF((AD448+AD450)/AD462&lt;0,"NM",(AD448+AD450)/AD462))))</f>
        <v>#N/A</v>
      </c>
      <c r="AE488" s="322"/>
      <c r="AF488" s="323">
        <f t="shared" ref="AF488:BI488" ca="1" si="555">IF($D$2=FALSE,"-",IF(AF$13="","",IF(AF462=0,#N/A,IF((AF448+AF450)/AF462&lt;0,"NM",(AF448+AF450)/AF462))))</f>
        <v>3.0630441640378545</v>
      </c>
      <c r="AG488" s="320">
        <f t="shared" ca="1" si="555"/>
        <v>2.4494664965449893</v>
      </c>
      <c r="AH488" s="320">
        <f t="shared" ca="1" si="555"/>
        <v>1.7860844962526665</v>
      </c>
      <c r="AI488" s="320">
        <f t="shared" ca="1" si="555"/>
        <v>1.1030904986085068</v>
      </c>
      <c r="AJ488" s="320">
        <f t="shared" ca="1" si="555"/>
        <v>0.45264641762286417</v>
      </c>
      <c r="AK488" s="320">
        <f t="shared" ca="1" si="555"/>
        <v>5.8463856068302553E-3</v>
      </c>
      <c r="AL488" s="320" t="str">
        <f t="shared" ca="1" si="555"/>
        <v/>
      </c>
      <c r="AM488" s="320" t="str">
        <f t="shared" ca="1" si="555"/>
        <v/>
      </c>
      <c r="AN488" s="320" t="str">
        <f t="shared" ca="1" si="555"/>
        <v/>
      </c>
      <c r="AO488" s="320" t="str">
        <f t="shared" ca="1" si="555"/>
        <v/>
      </c>
      <c r="AP488" s="320" t="str">
        <f t="shared" ca="1" si="555"/>
        <v/>
      </c>
      <c r="AQ488" s="320" t="str">
        <f t="shared" ca="1" si="555"/>
        <v/>
      </c>
      <c r="AR488" s="320" t="str">
        <f t="shared" ca="1" si="555"/>
        <v/>
      </c>
      <c r="AS488" s="320" t="str">
        <f t="shared" ca="1" si="555"/>
        <v/>
      </c>
      <c r="AT488" s="320" t="str">
        <f t="shared" ca="1" si="555"/>
        <v/>
      </c>
      <c r="AU488" s="320" t="str">
        <f t="shared" ca="1" si="555"/>
        <v/>
      </c>
      <c r="AV488" s="320" t="str">
        <f t="shared" ca="1" si="555"/>
        <v/>
      </c>
      <c r="AW488" s="320" t="str">
        <f t="shared" ca="1" si="555"/>
        <v/>
      </c>
      <c r="AX488" s="320" t="str">
        <f t="shared" ca="1" si="555"/>
        <v/>
      </c>
      <c r="AY488" s="320" t="str">
        <f t="shared" ca="1" si="555"/>
        <v/>
      </c>
      <c r="AZ488" s="320" t="str">
        <f t="shared" ca="1" si="555"/>
        <v/>
      </c>
      <c r="BA488" s="320" t="str">
        <f t="shared" ca="1" si="555"/>
        <v/>
      </c>
      <c r="BB488" s="320" t="str">
        <f t="shared" ca="1" si="555"/>
        <v/>
      </c>
      <c r="BC488" s="320" t="str">
        <f t="shared" ca="1" si="555"/>
        <v/>
      </c>
      <c r="BD488" s="320" t="str">
        <f t="shared" ca="1" si="555"/>
        <v/>
      </c>
      <c r="BE488" s="320" t="str">
        <f t="shared" ca="1" si="555"/>
        <v/>
      </c>
      <c r="BF488" s="320" t="str">
        <f t="shared" ca="1" si="555"/>
        <v/>
      </c>
      <c r="BG488" s="320" t="str">
        <f t="shared" ca="1" si="555"/>
        <v/>
      </c>
      <c r="BH488" s="320" t="str">
        <f t="shared" ca="1" si="555"/>
        <v/>
      </c>
      <c r="BI488" s="320" t="str">
        <f t="shared" ca="1" si="555"/>
        <v/>
      </c>
      <c r="BK488" s="85"/>
      <c r="BL488" s="85"/>
      <c r="BM488" s="85"/>
      <c r="BN488" s="85"/>
      <c r="BO488" s="85"/>
      <c r="BP488" s="85"/>
    </row>
    <row r="489" spans="17:68" ht="15" customHeight="1" outlineLevel="1"/>
  </sheetData>
  <dataValidations count="10">
    <dataValidation type="list" allowBlank="1" showInputMessage="1" showErrorMessage="1" sqref="D5" xr:uid="{00000000-0002-0000-0100-000000000000}">
      <formula1>"1,3,6,12"</formula1>
    </dataValidation>
    <dataValidation type="whole" allowBlank="1" showInputMessage="1" showErrorMessage="1" sqref="D6" xr:uid="{00000000-0002-0000-0100-000001000000}">
      <formula1>1</formula1>
      <formula2>$F$6</formula2>
    </dataValidation>
    <dataValidation type="list" allowBlank="1" showInputMessage="1" showErrorMessage="1" sqref="D2" xr:uid="{00000000-0002-0000-0100-000002000000}">
      <formula1>"TRUE, FALSE"</formula1>
    </dataValidation>
    <dataValidation type="whole" allowBlank="1" showInputMessage="1" showErrorMessage="1" sqref="G6" xr:uid="{00000000-0002-0000-0100-000003000000}">
      <formula1>1</formula1>
      <formula2>100</formula2>
    </dataValidation>
    <dataValidation type="list" allowBlank="1" showInputMessage="1" showErrorMessage="1" sqref="S386:U390 M103 M90 D7" xr:uid="{00000000-0002-0000-0100-000004000000}">
      <formula1>"0,1"</formula1>
    </dataValidation>
    <dataValidation type="list" allowBlank="1" showInputMessage="1" showErrorMessage="1" sqref="O256:O259 O261:O266" xr:uid="{00000000-0002-0000-0100-000005000000}">
      <formula1>"1,2"</formula1>
    </dataValidation>
    <dataValidation type="list" allowBlank="1" showInputMessage="1" showErrorMessage="1" sqref="D4" xr:uid="{00000000-0002-0000-0100-000006000000}">
      <formula1>OFFSET(INDIRECT($D$3),$D$9-1,$D$10-1,1,$G$4)</formula1>
    </dataValidation>
    <dataValidation type="list" allowBlank="1" showInputMessage="1" showErrorMessage="1" sqref="B61:C63 B373:C374 B371:C371 B33:C34 B52:C52 B433:C434 B403:C407 B366:C367 B331:C331 B315:C315 B256:C259 B261:C266 B416:C417 B352:C352 B228:C228 B226:C226 B218:C218 B208:C208 B205:C205 B116:C116 B108:C109 B359:C359 B45:C45 B38:C38 B163:C164 B87:C87 B65:C66 B84:C84" xr:uid="{00000000-0002-0000-0100-000007000000}">
      <formula1>OFFSET($AF$13,0,0,1,$F$4)</formula1>
    </dataValidation>
    <dataValidation type="list" allowBlank="1" showInputMessage="1" sqref="B57:C57 G57:H57" xr:uid="{00000000-0002-0000-0100-000008000000}">
      <formula1>OFFSET($AF$13,0,0,1,$F$4)</formula1>
    </dataValidation>
    <dataValidation type="list" allowBlank="1" showInputMessage="1" showErrorMessage="1" sqref="G61:H63 G373:H374 G371:H371 G87:H87 G163:H164 G38:H38 G45:H45 G359:H359 G108:H109 G116:H116 G205:H205 G208:H208 G218:H218 G226:H226 G228:H228 G352:H352 G416:H417 G261:H266 G256:H259 G315:H315 G331:H331 G366:H367 G403:H407 G433:H434 G52:H52 G33:H34 G84:H84 G65:H66" xr:uid="{00000000-0002-0000-0100-000009000000}">
      <formula1>OFFSET($AF$13,0,0,1,$G$4-$E$4+1)</formula1>
    </dataValidation>
  </dataValidations>
  <pageMargins left="0.7" right="0.7" top="0.75" bottom="0.75" header="0.3" footer="0.3"/>
  <pageSetup paperSize="132" orientation="portrait" horizontalDpi="300" verticalDpi="300"/>
  <legacyDrawing r:id="rId1"/>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1EB2C1-779D-D545-BD3B-6CB275D56ADF}">
  <sheetPr codeName="Sheet3">
    <tabColor rgb="FF00B0F0"/>
  </sheetPr>
  <dimension ref="A2:B4"/>
  <sheetViews>
    <sheetView workbookViewId="0">
      <selection activeCell="B5" sqref="B5"/>
    </sheetView>
  </sheetViews>
  <sheetFormatPr baseColWidth="10" defaultRowHeight="15"/>
  <cols>
    <col min="1" max="1" width="31.5" bestFit="1" customWidth="1"/>
  </cols>
  <sheetData>
    <row r="2" spans="1:2">
      <c r="A2" s="342" t="s">
        <v>263</v>
      </c>
      <c r="B2" s="343" t="s">
        <v>266</v>
      </c>
    </row>
    <row r="3" spans="1:2">
      <c r="A3" s="342" t="s">
        <v>265</v>
      </c>
      <c r="B3" s="341" t="s">
        <v>267</v>
      </c>
    </row>
    <row r="4" spans="1:2">
      <c r="A4" s="342" t="s">
        <v>264</v>
      </c>
      <c r="B4" s="341" t="s">
        <v>268</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3</vt:i4>
      </vt:variant>
    </vt:vector>
  </HeadingPairs>
  <TitlesOfParts>
    <vt:vector size="3" baseType="lpstr">
      <vt:lpstr>DATA_INPUTS</vt:lpstr>
      <vt:lpstr>CREDIT_MODEL</vt:lpstr>
      <vt:lpstr>ALGORITHMS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User</dc:creator>
  <cp:lastModifiedBy>Rafael Nicolas Fermin Cota</cp:lastModifiedBy>
  <dcterms:created xsi:type="dcterms:W3CDTF">2013-11-12T05:39:20Z</dcterms:created>
  <dcterms:modified xsi:type="dcterms:W3CDTF">2023-10-16T18:19:37Z</dcterms:modified>
</cp:coreProperties>
</file>