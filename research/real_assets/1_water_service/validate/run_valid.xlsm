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215" codeName="{296A6A55-71EF-3FAC-97E6-161027D96622}"/>
  <workbookPr showInkAnnotation="0" codeName="ThisWorkbook" autoCompressPictures="0"/>
  <mc:AlternateContent xmlns:mc="http://schemas.openxmlformats.org/markup-compatibility/2006">
    <mc:Choice Requires="x15">
      <x15ac:absPath xmlns:x15ac="http://schemas.microsoft.com/office/spreadsheetml/2010/11/ac" url="/Users/nico/Dropbox/PROJECTS/Carlos/2-Projects/Infrastructure/"/>
    </mc:Choice>
  </mc:AlternateContent>
  <xr:revisionPtr revIDLastSave="0" documentId="13_ncr:1_{9D66CA8B-E090-7742-AFEE-FE015D74A936}" xr6:coauthVersionLast="47" xr6:coauthVersionMax="47" xr10:uidLastSave="{00000000-0000-0000-0000-000000000000}"/>
  <bookViews>
    <workbookView xWindow="0" yWindow="500" windowWidth="27960" windowHeight="17500" tabRatio="743" activeTab="1" xr2:uid="{00000000-000D-0000-FFFF-FFFF00000000}"/>
  </bookViews>
  <sheets>
    <sheet name="TODO" sheetId="25" r:id="rId1"/>
    <sheet name="INPUTS" sheetId="17" r:id="rId2"/>
    <sheet name="Analysis - No risk" sheetId="23" r:id="rId3"/>
    <sheet name="CODING_NO_RISK" sheetId="14" r:id="rId4"/>
    <sheet name="Analysis - with risk" sheetId="24" r:id="rId5"/>
    <sheet name="CODING_WITH_RISK" sheetId="20" r:id="rId6"/>
  </sheets>
  <functionGroups builtInGroupCount="19"/>
  <externalReferences>
    <externalReference r:id="rId7"/>
    <externalReference r:id="rId8"/>
  </externalReferences>
  <definedNames>
    <definedName name="BilledDemand_Det">'[1]Analysis - No risk'!$A$21:$IV$21</definedName>
    <definedName name="BilledDemand_Risk">'Analysis - with risk'!$A$15:$IV$15</definedName>
    <definedName name="Ch_EcOption">'[1]Other assumptions'!$J$4</definedName>
    <definedName name="Collection">'[1]Other assumptions'!$D$66</definedName>
    <definedName name="Collection_FC">'[1]Analysis - No risk'!$A$24:$IV$24</definedName>
    <definedName name="Collection_Target">'[1]Other assumptions'!$D$67</definedName>
    <definedName name="Collection_TargetYr">'[1]Other assumptions'!$D$68</definedName>
    <definedName name="Connections">'[1]Analysis - No risk'!$A$17:$IV$17</definedName>
    <definedName name="Connections_New">'[1]Analysis - No risk'!$A$18:$IV$18</definedName>
    <definedName name="Contract_Length">'[1]Policy choices'!$D$4</definedName>
    <definedName name="CopingCost">'[1]Other assumptions'!$E$41</definedName>
    <definedName name="Customers_Growth">'[1]Other assumptions'!$E$14</definedName>
    <definedName name="Customers_Init">'[1]Other assumptions'!$D$14</definedName>
    <definedName name="d">[2]Setup!$D$15</definedName>
    <definedName name="DeflateFactor_Det">'Analysis - No risk'!$A$6:$IV$6</definedName>
    <definedName name="DeflateFactor_Risk">'Analysis - with risk'!$A$6:$IV$6</definedName>
    <definedName name="DeflateFactor_TariffSetting">'Analysis - with risk'!$A$93:$IV$93</definedName>
    <definedName name="Demand">'[1]Other assumptions'!$D$21</definedName>
    <definedName name="Demand_Growth">'[1]Other assumptions'!$D$22</definedName>
    <definedName name="Demand_Vol">'[1]Other assumptions'!$D$23</definedName>
    <definedName name="DepRate">'[1]Other assumptions'!$E$60</definedName>
    <definedName name="DiscountFactor">'[1]Analysis - No risk'!$A$11:$IV$11</definedName>
    <definedName name="DisRate_Cur">'[1]Other assumptions'!$D$11</definedName>
    <definedName name="ExistTariff_Connected">'[1]Other assumptions'!$D$40</definedName>
    <definedName name="ExistTariff_Other">'[1]Other assumptions'!$E$40</definedName>
    <definedName name="ExRate_Cur">'[1]Other assumptions'!$D$6</definedName>
    <definedName name="ExRate_Growth">'[1]Other assumptions'!$D$7</definedName>
    <definedName name="ExRate_Vol">'[1]Other assumptions'!$D$8</definedName>
    <definedName name="Grace_Period">'[1]Policy choices'!$D$22</definedName>
    <definedName name="Inflation_Cur">'[1]Other assumptions'!$F$6</definedName>
    <definedName name="Inflation_Det">'[1]Analysis - No risk'!$A$4:$IV$4</definedName>
    <definedName name="Inflation_LT">'[1]Other assumptions'!$F$7</definedName>
    <definedName name="Inflation_Risk">'Analysis - with risk'!$A$4:$IV$4</definedName>
    <definedName name="Inflation_Speed">'[1]Other assumptions'!$F$9</definedName>
    <definedName name="Inflation_TariffSetting">'Analysis - with risk'!$A$92:$IV$92</definedName>
    <definedName name="Inflation_Vol">'[1]Other assumptions'!$F$8</definedName>
    <definedName name="InitAssetBase">'[1]Other assumptions'!$E$59</definedName>
    <definedName name="IntRate_Cur">'[1]Other assumptions'!$D$10</definedName>
    <definedName name="Invest_Period">'[1]Policy choices'!$D$21</definedName>
    <definedName name="InvestPerConnection">'[1]Other assumptions'!$E$46</definedName>
    <definedName name="lbl_Dom">[1]Setup!$D$10</definedName>
    <definedName name="lbl_ForCurrency">[1]Setup!$D$16</definedName>
    <definedName name="lbl_LocalCurrency">[1]Setup!$D$15</definedName>
    <definedName name="lbl_ResetTypes">[1]Setup!$F$7:$F$10</definedName>
    <definedName name="Man_Fee">'[1]Policy choices'!$D$12</definedName>
    <definedName name="MonDenomination">[1]Setup!$C$7</definedName>
    <definedName name="MonDenValue">[1]Setup!$D$7</definedName>
    <definedName name="Opex_Fixed">'[1]Other assumptions'!$E$50</definedName>
    <definedName name="Opex_FixedForeign">'[1]Other assumptions'!$E$52</definedName>
    <definedName name="Opex_FixedGrowth">'[1]Other assumptions'!$E$51</definedName>
    <definedName name="Opex_Var">'[1]Other assumptions'!$E$54</definedName>
    <definedName name="Opex_VarForeign">'[1]Other assumptions'!$E$56</definedName>
    <definedName name="Opex_VarGrowth">'[1]Other assumptions'!$E$55</definedName>
    <definedName name="PotentialConnections">'Analysis - No risk'!$A$15:$IV$15</definedName>
    <definedName name="RAND_RNG1">'Analysis - with risk'!$D$3:$X$3</definedName>
    <definedName name="RAND_RNG2">'Analysis - with risk'!$D$7:$X$7</definedName>
    <definedName name="RAND_RNG3">'Analysis - with risk'!$D$13:$X$13</definedName>
    <definedName name="RealExRate_Det">'[1]Analysis - No risk'!$A$8:$IV$8</definedName>
    <definedName name="RealExRate_Risk">'Analysis - with risk'!$A$8:$IV$8</definedName>
    <definedName name="ServExt_CAPct">'[1]Policy choices'!$D$17</definedName>
    <definedName name="ServExt_Debt">'[1]Policy choices'!$D$19</definedName>
    <definedName name="ServExt_LoanIntDen">'[1]Policy choices'!$D$20</definedName>
    <definedName name="ServExt_LoanPct">'[1]Policy choices'!$D$16</definedName>
    <definedName name="ServTarget">'[1]Policy choices'!$D$7</definedName>
    <definedName name="ServTarget_Exist">'[1]Other assumptions'!$D$15</definedName>
    <definedName name="ServTarget_FC">'[1]Analysis - No risk'!$A$16:$IV$16</definedName>
    <definedName name="ServTarget_Year">'[1]Policy choices'!$D$9</definedName>
    <definedName name="SimResults">[1]SWPNZPSYWSLKSESPZO!$E$4:$F$65536</definedName>
    <definedName name="Tariff_Period">'[1]Policy choices'!$D$26</definedName>
    <definedName name="TariffIndex_Det">'Analysis - No risk'!$A$148:$IV$148</definedName>
    <definedName name="TariffIndex_Risk">'Analysis - with risk'!$A$149:$IV$149</definedName>
    <definedName name="UFW_CurVal">'[1]Other assumptions'!$D$26</definedName>
    <definedName name="UFW_FC">'[1]Analysis - No risk'!$A$23:$IV$23</definedName>
    <definedName name="UFW_Target">'[1]Other assumptions'!$E$26</definedName>
    <definedName name="UFW_TargetYr">'[1]Other assumptions'!$F$26</definedName>
    <definedName name="WaterDenomination">[1]Setup!$C$5</definedName>
    <definedName name="WaterDenValue">[1]Setup!$D$5</definedName>
    <definedName name="WTP_Connection">'[1]Other assumptions'!$D$33</definedName>
    <definedName name="WTP_Cope">'[1]Other assumptions'!$E$34</definedName>
    <definedName name="WTP_Other">'[1]Other assumptions'!$D$34</definedName>
    <definedName name="Year">'[1]Analysis - No risk'!$A$2:$IV$2</definedName>
  </definedNames>
  <calcPr calcId="191029" concurrentCalc="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 xmlns:mx="http://schemas.microsoft.com/office/mac/excel/2008/main" uri="{7523E5D3-25F3-A5E0-1632-64F254C22452}">
      <mx:ArchID Flags="2"/>
    </ext>
  </extLst>
</workbook>
</file>

<file path=xl/calcChain.xml><?xml version="1.0" encoding="utf-8"?>
<calcChain xmlns="http://schemas.openxmlformats.org/spreadsheetml/2006/main">
  <c r="D54" i="17" l="1"/>
  <c r="D53" i="17"/>
  <c r="D52" i="17"/>
  <c r="D51" i="17"/>
  <c r="D50" i="17"/>
  <c r="D49" i="17"/>
  <c r="D48" i="17"/>
  <c r="D47" i="17"/>
  <c r="D46" i="17"/>
  <c r="D45" i="17"/>
  <c r="D44" i="17"/>
  <c r="D43" i="17"/>
  <c r="D42" i="17"/>
  <c r="D41" i="17"/>
  <c r="D40" i="17"/>
  <c r="D39" i="17"/>
  <c r="D38" i="17"/>
  <c r="D37" i="17"/>
  <c r="D36" i="17"/>
  <c r="D35" i="17"/>
  <c r="D34" i="17"/>
  <c r="D33" i="17"/>
  <c r="D32" i="17"/>
  <c r="D31" i="17"/>
  <c r="D30" i="17"/>
  <c r="D29" i="17"/>
  <c r="D28" i="17"/>
  <c r="D27" i="17"/>
  <c r="D26" i="17"/>
  <c r="D25" i="17"/>
  <c r="D24" i="17"/>
  <c r="D23" i="17"/>
  <c r="D22" i="17"/>
  <c r="D21" i="17"/>
  <c r="D20" i="17"/>
  <c r="D19" i="17"/>
  <c r="D18" i="17"/>
  <c r="D17" i="17"/>
  <c r="D16" i="17"/>
  <c r="D15" i="17"/>
  <c r="D14" i="17"/>
  <c r="D13" i="17"/>
  <c r="D12" i="17"/>
  <c r="D11" i="17"/>
  <c r="D10" i="17"/>
  <c r="D9" i="17"/>
  <c r="D8" i="17"/>
  <c r="D7" i="17"/>
  <c r="D6" i="17"/>
  <c r="D5" i="17"/>
  <c r="D4" i="17"/>
  <c r="D3" i="17"/>
  <c r="D2" i="17"/>
  <c r="D1" i="17"/>
  <c r="B2" i="20" a="1"/>
  <c r="CY25" i="20"/>
  <c r="CX25" i="20"/>
  <c r="CW25" i="20"/>
  <c r="CV25" i="20"/>
  <c r="CU25" i="20"/>
  <c r="CT25" i="20"/>
  <c r="CS25" i="20"/>
  <c r="CR25" i="20"/>
  <c r="CQ25" i="20"/>
  <c r="CP25" i="20"/>
  <c r="CO25" i="20"/>
  <c r="CN25" i="20"/>
  <c r="CM25" i="20"/>
  <c r="CL25" i="20"/>
  <c r="CK25" i="20"/>
  <c r="CJ25" i="20"/>
  <c r="CI25" i="20"/>
  <c r="CH25" i="20"/>
  <c r="CG25" i="20"/>
  <c r="CF25" i="20"/>
  <c r="CE25" i="20"/>
  <c r="CD25" i="20"/>
  <c r="CC25" i="20"/>
  <c r="CB25" i="20"/>
  <c r="CA25" i="20"/>
  <c r="BZ25" i="20"/>
  <c r="BY25" i="20"/>
  <c r="BX25" i="20"/>
  <c r="BW25" i="20"/>
  <c r="BV25" i="20"/>
  <c r="BU25" i="20"/>
  <c r="BT25" i="20"/>
  <c r="BS25" i="20"/>
  <c r="BR25" i="20"/>
  <c r="BQ25" i="20"/>
  <c r="BP25" i="20"/>
  <c r="BO25" i="20"/>
  <c r="BN25" i="20"/>
  <c r="BM25" i="20"/>
  <c r="BL25" i="20"/>
  <c r="BK25" i="20"/>
  <c r="BJ25" i="20"/>
  <c r="BI25" i="20"/>
  <c r="BH25" i="20"/>
  <c r="BG25" i="20"/>
  <c r="BF25" i="20"/>
  <c r="BE25" i="20"/>
  <c r="BD25" i="20"/>
  <c r="BC25" i="20"/>
  <c r="BB25" i="20"/>
  <c r="BA25" i="20"/>
  <c r="AZ25" i="20"/>
  <c r="AY25" i="20"/>
  <c r="AX25" i="20"/>
  <c r="AW25" i="20"/>
  <c r="AV25" i="20"/>
  <c r="AU25" i="20"/>
  <c r="AT25" i="20"/>
  <c r="AS25" i="20"/>
  <c r="AR25" i="20"/>
  <c r="AQ25" i="20"/>
  <c r="AP25" i="20"/>
  <c r="AO25" i="20"/>
  <c r="AN25" i="20"/>
  <c r="AM25" i="20"/>
  <c r="AL25" i="20"/>
  <c r="AK25" i="20"/>
  <c r="AJ25" i="20"/>
  <c r="AI25" i="20"/>
  <c r="AH25" i="20"/>
  <c r="AG25" i="20"/>
  <c r="AF25" i="20"/>
  <c r="AE25" i="20"/>
  <c r="AD25" i="20"/>
  <c r="AC25" i="20"/>
  <c r="AB25" i="20"/>
  <c r="AA25" i="20"/>
  <c r="Z25" i="20"/>
  <c r="Y25" i="20"/>
  <c r="X25" i="20"/>
  <c r="W25" i="20"/>
  <c r="V25" i="20"/>
  <c r="U25" i="20"/>
  <c r="T25" i="20"/>
  <c r="S25" i="20"/>
  <c r="R25" i="20"/>
  <c r="Q25" i="20"/>
  <c r="P25" i="20"/>
  <c r="O25" i="20"/>
  <c r="N25" i="20"/>
  <c r="M25" i="20"/>
  <c r="L25" i="20"/>
  <c r="K25" i="20"/>
  <c r="J25" i="20"/>
  <c r="I25" i="20"/>
  <c r="H25" i="20"/>
  <c r="G25" i="20"/>
  <c r="F25" i="20"/>
  <c r="E25" i="20"/>
  <c r="D25" i="20"/>
  <c r="C25" i="20"/>
  <c r="B25" i="20"/>
  <c r="CZ24" i="20"/>
  <c r="CY24" i="20"/>
  <c r="CX24" i="20"/>
  <c r="CW24" i="20"/>
  <c r="CV24" i="20"/>
  <c r="CU24" i="20"/>
  <c r="CT24" i="20"/>
  <c r="CS24" i="20"/>
  <c r="CR24" i="20"/>
  <c r="CQ24" i="20"/>
  <c r="CP24" i="20"/>
  <c r="CO24" i="20"/>
  <c r="CN24" i="20"/>
  <c r="CM24" i="20"/>
  <c r="CL24" i="20"/>
  <c r="CK24" i="20"/>
  <c r="CJ24" i="20"/>
  <c r="CI24" i="20"/>
  <c r="CH24" i="20"/>
  <c r="CG24" i="20"/>
  <c r="CF24" i="20"/>
  <c r="CE24" i="20"/>
  <c r="CD24" i="20"/>
  <c r="CC24" i="20"/>
  <c r="CB24" i="20"/>
  <c r="CA24" i="20"/>
  <c r="BZ24" i="20"/>
  <c r="BY24" i="20"/>
  <c r="BX24" i="20"/>
  <c r="BW24" i="20"/>
  <c r="BV24" i="20"/>
  <c r="BU24" i="20"/>
  <c r="BT24" i="20"/>
  <c r="BS24" i="20"/>
  <c r="BR24" i="20"/>
  <c r="BQ24" i="20"/>
  <c r="BP24" i="20"/>
  <c r="BO24" i="20"/>
  <c r="BN24" i="20"/>
  <c r="BM24" i="20"/>
  <c r="BL24" i="20"/>
  <c r="BK24" i="20"/>
  <c r="BJ24" i="20"/>
  <c r="BI24" i="20"/>
  <c r="BH24" i="20"/>
  <c r="BG24" i="20"/>
  <c r="BF24" i="20"/>
  <c r="BE24" i="20"/>
  <c r="BD24" i="20"/>
  <c r="BC24" i="20"/>
  <c r="BB24" i="20"/>
  <c r="BA24" i="20"/>
  <c r="AZ24" i="20"/>
  <c r="AY24" i="20"/>
  <c r="AX24" i="20"/>
  <c r="AW24" i="20"/>
  <c r="AV24" i="20"/>
  <c r="AU24" i="20"/>
  <c r="AT24" i="20"/>
  <c r="AS24" i="20"/>
  <c r="AR24" i="20"/>
  <c r="AQ24" i="20"/>
  <c r="AP24" i="20"/>
  <c r="AO24" i="20"/>
  <c r="AN24" i="20"/>
  <c r="AM24" i="20"/>
  <c r="AL24" i="20"/>
  <c r="AK24" i="20"/>
  <c r="AJ24" i="20"/>
  <c r="AI24" i="20"/>
  <c r="AH24" i="20"/>
  <c r="AG24" i="20"/>
  <c r="AF24" i="20"/>
  <c r="AE24" i="20"/>
  <c r="AD24" i="20"/>
  <c r="AC24" i="20"/>
  <c r="AB24" i="20"/>
  <c r="AA24" i="20"/>
  <c r="Z24" i="20"/>
  <c r="Y24" i="20"/>
  <c r="X24" i="20"/>
  <c r="W24" i="20"/>
  <c r="V24" i="20"/>
  <c r="U24" i="20"/>
  <c r="T24" i="20"/>
  <c r="S24" i="20"/>
  <c r="R24" i="20"/>
  <c r="Q24" i="20"/>
  <c r="P24" i="20"/>
  <c r="O24" i="20"/>
  <c r="N24" i="20"/>
  <c r="M24" i="20"/>
  <c r="L24" i="20"/>
  <c r="K24" i="20"/>
  <c r="J24" i="20"/>
  <c r="I24" i="20"/>
  <c r="H24" i="20"/>
  <c r="G24" i="20"/>
  <c r="F24" i="20"/>
  <c r="E24" i="20"/>
  <c r="D24" i="20"/>
  <c r="C24" i="20"/>
  <c r="B24" i="20"/>
  <c r="CZ23" i="20"/>
  <c r="CY23" i="20"/>
  <c r="CX23" i="20"/>
  <c r="CW23" i="20"/>
  <c r="CV23" i="20"/>
  <c r="CU23" i="20"/>
  <c r="CT23" i="20"/>
  <c r="CS23" i="20"/>
  <c r="CR23" i="20"/>
  <c r="CQ23" i="20"/>
  <c r="CP23" i="20"/>
  <c r="CO23" i="20"/>
  <c r="CN23" i="20"/>
  <c r="CM23" i="20"/>
  <c r="CL23" i="20"/>
  <c r="CK23" i="20"/>
  <c r="CJ23" i="20"/>
  <c r="CI23" i="20"/>
  <c r="CH23" i="20"/>
  <c r="CG23" i="20"/>
  <c r="CF23" i="20"/>
  <c r="CE23" i="20"/>
  <c r="CD23" i="20"/>
  <c r="CC23" i="20"/>
  <c r="CB23" i="20"/>
  <c r="CA23" i="20"/>
  <c r="BZ23" i="20"/>
  <c r="BY23" i="20"/>
  <c r="BX23" i="20"/>
  <c r="BW23" i="20"/>
  <c r="BV23" i="20"/>
  <c r="BU23" i="20"/>
  <c r="BT23" i="20"/>
  <c r="BS23" i="20"/>
  <c r="BR23" i="20"/>
  <c r="BQ23" i="20"/>
  <c r="BP23" i="20"/>
  <c r="BO23" i="20"/>
  <c r="BN23" i="20"/>
  <c r="BM23" i="20"/>
  <c r="BL23" i="20"/>
  <c r="BK23" i="20"/>
  <c r="BJ23" i="20"/>
  <c r="BI23" i="20"/>
  <c r="BH23" i="20"/>
  <c r="BG23" i="20"/>
  <c r="BF23" i="20"/>
  <c r="BE23" i="20"/>
  <c r="BD23" i="20"/>
  <c r="BC23" i="20"/>
  <c r="BB23" i="20"/>
  <c r="BA23" i="20"/>
  <c r="AZ23" i="20"/>
  <c r="AY23" i="20"/>
  <c r="AX23" i="20"/>
  <c r="AW23" i="20"/>
  <c r="AV23" i="20"/>
  <c r="AU23" i="20"/>
  <c r="AT23" i="20"/>
  <c r="AS23" i="20"/>
  <c r="AR23" i="20"/>
  <c r="AQ23" i="20"/>
  <c r="AP23" i="20"/>
  <c r="AO23" i="20"/>
  <c r="AN23" i="20"/>
  <c r="AM23" i="20"/>
  <c r="AL23" i="20"/>
  <c r="AK23" i="20"/>
  <c r="AJ23" i="20"/>
  <c r="AI23" i="20"/>
  <c r="AH23" i="20"/>
  <c r="AG23" i="20"/>
  <c r="AF23" i="20"/>
  <c r="AE23" i="20"/>
  <c r="AD23" i="20"/>
  <c r="AC23" i="20"/>
  <c r="AB23" i="20"/>
  <c r="AA23" i="20"/>
  <c r="Z23" i="20"/>
  <c r="Y23" i="20"/>
  <c r="X23" i="20"/>
  <c r="W23" i="20"/>
  <c r="V23" i="20"/>
  <c r="U23" i="20"/>
  <c r="T23" i="20"/>
  <c r="S23" i="20"/>
  <c r="R23" i="20"/>
  <c r="Q23" i="20"/>
  <c r="P23" i="20"/>
  <c r="O23" i="20"/>
  <c r="N23" i="20"/>
  <c r="M23" i="20"/>
  <c r="L23" i="20"/>
  <c r="K23" i="20"/>
  <c r="J23" i="20"/>
  <c r="I23" i="20"/>
  <c r="H23" i="20"/>
  <c r="G23" i="20"/>
  <c r="F23" i="20"/>
  <c r="E23" i="20"/>
  <c r="D23" i="20"/>
  <c r="C23" i="20"/>
  <c r="B23" i="20"/>
  <c r="CZ22" i="20"/>
  <c r="CY22" i="20"/>
  <c r="CX22" i="20"/>
  <c r="CW22" i="20"/>
  <c r="CV22" i="20"/>
  <c r="CU22" i="20"/>
  <c r="CT22" i="20"/>
  <c r="CS22" i="20"/>
  <c r="CR22" i="20"/>
  <c r="CQ22" i="20"/>
  <c r="CP22" i="20"/>
  <c r="CO22" i="20"/>
  <c r="CN22" i="20"/>
  <c r="CM22" i="20"/>
  <c r="CL22" i="20"/>
  <c r="CK22" i="20"/>
  <c r="CJ22" i="20"/>
  <c r="CI22" i="20"/>
  <c r="CH22" i="20"/>
  <c r="CG22" i="20"/>
  <c r="CF22" i="20"/>
  <c r="CE22" i="20"/>
  <c r="CD22" i="20"/>
  <c r="CC22" i="20"/>
  <c r="CB22" i="20"/>
  <c r="CA22" i="20"/>
  <c r="BZ22" i="20"/>
  <c r="BY22" i="20"/>
  <c r="BX22" i="20"/>
  <c r="BW22" i="20"/>
  <c r="BV22" i="20"/>
  <c r="BU22" i="20"/>
  <c r="BT22" i="20"/>
  <c r="BS22" i="20"/>
  <c r="BR22" i="20"/>
  <c r="BQ22" i="20"/>
  <c r="BP22" i="20"/>
  <c r="BO22" i="20"/>
  <c r="BN22" i="20"/>
  <c r="BM22" i="20"/>
  <c r="BL22" i="20"/>
  <c r="BK22" i="20"/>
  <c r="BJ22" i="20"/>
  <c r="BI22" i="20"/>
  <c r="BH22" i="20"/>
  <c r="BG22" i="20"/>
  <c r="BF22" i="20"/>
  <c r="BE22" i="20"/>
  <c r="BD22" i="20"/>
  <c r="BC22" i="20"/>
  <c r="BB22" i="20"/>
  <c r="BA22" i="20"/>
  <c r="AZ22" i="20"/>
  <c r="AY22" i="20"/>
  <c r="AX22" i="20"/>
  <c r="AW22" i="20"/>
  <c r="AV22" i="20"/>
  <c r="AU22" i="20"/>
  <c r="AT22" i="20"/>
  <c r="AS22" i="20"/>
  <c r="AR22" i="20"/>
  <c r="AQ22" i="20"/>
  <c r="AP22" i="20"/>
  <c r="AO22" i="20"/>
  <c r="AN22" i="20"/>
  <c r="AM22" i="20"/>
  <c r="AL22" i="20"/>
  <c r="AK22" i="20"/>
  <c r="AJ22" i="20"/>
  <c r="AI22" i="20"/>
  <c r="AH22" i="20"/>
  <c r="AG22" i="20"/>
  <c r="AF22" i="20"/>
  <c r="AE22" i="20"/>
  <c r="AD22" i="20"/>
  <c r="AC22" i="20"/>
  <c r="AB22" i="20"/>
  <c r="AA22" i="20"/>
  <c r="Z22" i="20"/>
  <c r="Y22" i="20"/>
  <c r="X22" i="20"/>
  <c r="W22" i="20"/>
  <c r="V22" i="20"/>
  <c r="U22" i="20"/>
  <c r="T22" i="20"/>
  <c r="S22" i="20"/>
  <c r="R22" i="20"/>
  <c r="Q22" i="20"/>
  <c r="P22" i="20"/>
  <c r="O22" i="20"/>
  <c r="N22" i="20"/>
  <c r="M22" i="20"/>
  <c r="L22" i="20"/>
  <c r="K22" i="20"/>
  <c r="J22" i="20"/>
  <c r="I22" i="20"/>
  <c r="H22" i="20"/>
  <c r="G22" i="20"/>
  <c r="F22" i="20"/>
  <c r="E22" i="20"/>
  <c r="D22" i="20"/>
  <c r="C22" i="20"/>
  <c r="B22" i="20"/>
  <c r="CZ21" i="20"/>
  <c r="CY21" i="20"/>
  <c r="CX21" i="20"/>
  <c r="CW21" i="20"/>
  <c r="CV21" i="20"/>
  <c r="CU21" i="20"/>
  <c r="CT21" i="20"/>
  <c r="CS21" i="20"/>
  <c r="CR21" i="20"/>
  <c r="CQ21" i="20"/>
  <c r="CP21" i="20"/>
  <c r="CO21" i="20"/>
  <c r="CN21" i="20"/>
  <c r="CM21" i="20"/>
  <c r="CL21" i="20"/>
  <c r="CK21" i="20"/>
  <c r="CJ21" i="20"/>
  <c r="CI21" i="20"/>
  <c r="CH21" i="20"/>
  <c r="CG21" i="20"/>
  <c r="CF21" i="20"/>
  <c r="CE21" i="20"/>
  <c r="CD21" i="20"/>
  <c r="CC21" i="20"/>
  <c r="CB21" i="20"/>
  <c r="CA21" i="20"/>
  <c r="BZ21" i="20"/>
  <c r="BY21" i="20"/>
  <c r="BX21" i="20"/>
  <c r="BW21" i="20"/>
  <c r="BV21" i="20"/>
  <c r="BU21" i="20"/>
  <c r="BT21" i="20"/>
  <c r="BS21" i="20"/>
  <c r="BR21" i="20"/>
  <c r="BQ21" i="20"/>
  <c r="BP21" i="20"/>
  <c r="BO21" i="20"/>
  <c r="BN21" i="20"/>
  <c r="BM21" i="20"/>
  <c r="BL21" i="20"/>
  <c r="BK21" i="20"/>
  <c r="BJ21" i="20"/>
  <c r="BI21" i="20"/>
  <c r="BH21" i="20"/>
  <c r="BG21" i="20"/>
  <c r="BF21" i="20"/>
  <c r="BE21" i="20"/>
  <c r="BD21" i="20"/>
  <c r="BC21" i="20"/>
  <c r="BB21" i="20"/>
  <c r="BA21" i="20"/>
  <c r="AZ21" i="20"/>
  <c r="AY21" i="20"/>
  <c r="AX21" i="20"/>
  <c r="AW21" i="20"/>
  <c r="AV21" i="20"/>
  <c r="AU21" i="20"/>
  <c r="AT21" i="20"/>
  <c r="AS21" i="20"/>
  <c r="AR21" i="20"/>
  <c r="AQ21" i="20"/>
  <c r="AP21" i="20"/>
  <c r="AO21" i="20"/>
  <c r="AN21" i="20"/>
  <c r="AM21" i="20"/>
  <c r="AL21" i="20"/>
  <c r="AK21" i="20"/>
  <c r="AJ21" i="20"/>
  <c r="AI21" i="20"/>
  <c r="AH21" i="20"/>
  <c r="AG21" i="20"/>
  <c r="AF21" i="20"/>
  <c r="AE21" i="20"/>
  <c r="AD21" i="20"/>
  <c r="AC21" i="20"/>
  <c r="AB21" i="20"/>
  <c r="AA21" i="20"/>
  <c r="Z21" i="20"/>
  <c r="Y21" i="20"/>
  <c r="X21" i="20"/>
  <c r="W21" i="20"/>
  <c r="V21" i="20"/>
  <c r="U21" i="20"/>
  <c r="T21" i="20"/>
  <c r="S21" i="20"/>
  <c r="R21" i="20"/>
  <c r="Q21" i="20"/>
  <c r="P21" i="20"/>
  <c r="O21" i="20"/>
  <c r="N21" i="20"/>
  <c r="M21" i="20"/>
  <c r="L21" i="20"/>
  <c r="K21" i="20"/>
  <c r="J21" i="20"/>
  <c r="I21" i="20"/>
  <c r="H21" i="20"/>
  <c r="G21" i="20"/>
  <c r="F21" i="20"/>
  <c r="E21" i="20"/>
  <c r="D21" i="20"/>
  <c r="C21" i="20"/>
  <c r="B21" i="20"/>
  <c r="CZ20" i="20"/>
  <c r="CY20" i="20"/>
  <c r="CX20" i="20"/>
  <c r="CW20" i="20"/>
  <c r="CV20" i="20"/>
  <c r="CU20" i="20"/>
  <c r="CT20" i="20"/>
  <c r="CS20" i="20"/>
  <c r="CR20" i="20"/>
  <c r="CQ20" i="20"/>
  <c r="CP20" i="20"/>
  <c r="CO20" i="20"/>
  <c r="CN20" i="20"/>
  <c r="CM20" i="20"/>
  <c r="CL20" i="20"/>
  <c r="CK20" i="20"/>
  <c r="CJ20" i="20"/>
  <c r="CI20" i="20"/>
  <c r="CH20" i="20"/>
  <c r="CG20" i="20"/>
  <c r="CF20" i="20"/>
  <c r="CE20" i="20"/>
  <c r="CD20" i="20"/>
  <c r="CC20" i="20"/>
  <c r="CB20" i="20"/>
  <c r="CA20" i="20"/>
  <c r="BZ20" i="20"/>
  <c r="BY20" i="20"/>
  <c r="BX20" i="20"/>
  <c r="BW20" i="20"/>
  <c r="BV20" i="20"/>
  <c r="BU20" i="20"/>
  <c r="BT20" i="20"/>
  <c r="BS20" i="20"/>
  <c r="BR20" i="20"/>
  <c r="BQ20" i="20"/>
  <c r="BP20" i="20"/>
  <c r="BO20" i="20"/>
  <c r="BN20" i="20"/>
  <c r="BM20" i="20"/>
  <c r="BL20" i="20"/>
  <c r="BK20" i="20"/>
  <c r="BJ20" i="20"/>
  <c r="BI20" i="20"/>
  <c r="BH20" i="20"/>
  <c r="BG20" i="20"/>
  <c r="BF20" i="20"/>
  <c r="BE20" i="20"/>
  <c r="BD20" i="20"/>
  <c r="BC20" i="20"/>
  <c r="BB20" i="20"/>
  <c r="BA20" i="20"/>
  <c r="AZ20" i="20"/>
  <c r="AY20" i="20"/>
  <c r="AX20" i="20"/>
  <c r="AW20" i="20"/>
  <c r="AV20" i="20"/>
  <c r="AU20" i="20"/>
  <c r="AT20" i="20"/>
  <c r="AS20" i="20"/>
  <c r="AR20" i="20"/>
  <c r="AQ20" i="20"/>
  <c r="AP20" i="20"/>
  <c r="AO20" i="20"/>
  <c r="AN20" i="20"/>
  <c r="AM20" i="20"/>
  <c r="AL20" i="20"/>
  <c r="AK20" i="20"/>
  <c r="AJ20" i="20"/>
  <c r="AI20" i="20"/>
  <c r="AH20" i="20"/>
  <c r="AG20" i="20"/>
  <c r="AF20" i="20"/>
  <c r="AE20" i="20"/>
  <c r="AD20" i="20"/>
  <c r="AC20" i="20"/>
  <c r="AB20" i="20"/>
  <c r="AA20" i="20"/>
  <c r="Z20" i="20"/>
  <c r="Y20" i="20"/>
  <c r="X20" i="20"/>
  <c r="W20" i="20"/>
  <c r="V20" i="20"/>
  <c r="U20" i="20"/>
  <c r="T20" i="20"/>
  <c r="S20" i="20"/>
  <c r="R20" i="20"/>
  <c r="Q20" i="20"/>
  <c r="P20" i="20"/>
  <c r="O20" i="20"/>
  <c r="N20" i="20"/>
  <c r="M20" i="20"/>
  <c r="L20" i="20"/>
  <c r="K20" i="20"/>
  <c r="J20" i="20"/>
  <c r="I20" i="20"/>
  <c r="H20" i="20"/>
  <c r="G20" i="20"/>
  <c r="F20" i="20"/>
  <c r="E20" i="20"/>
  <c r="D20" i="20"/>
  <c r="C20" i="20"/>
  <c r="B20" i="20"/>
  <c r="CZ19" i="20"/>
  <c r="CY19" i="20"/>
  <c r="CX19" i="20"/>
  <c r="CW19" i="20"/>
  <c r="CV19" i="20"/>
  <c r="CU19" i="20"/>
  <c r="CT19" i="20"/>
  <c r="CS19" i="20"/>
  <c r="CR19" i="20"/>
  <c r="CQ19" i="20"/>
  <c r="CP19" i="20"/>
  <c r="CO19" i="20"/>
  <c r="CN19" i="20"/>
  <c r="CM19" i="20"/>
  <c r="CL19" i="20"/>
  <c r="CK19" i="20"/>
  <c r="CJ19" i="20"/>
  <c r="CI19" i="20"/>
  <c r="CH19" i="20"/>
  <c r="CG19" i="20"/>
  <c r="CF19" i="20"/>
  <c r="CE19" i="20"/>
  <c r="CD19" i="20"/>
  <c r="CC19" i="20"/>
  <c r="CB19" i="20"/>
  <c r="CA19" i="20"/>
  <c r="BZ19" i="20"/>
  <c r="BY19" i="20"/>
  <c r="BX19" i="20"/>
  <c r="BW19" i="20"/>
  <c r="BV19" i="20"/>
  <c r="BU19" i="20"/>
  <c r="BT19" i="20"/>
  <c r="BS19" i="20"/>
  <c r="BR19" i="20"/>
  <c r="BQ19" i="20"/>
  <c r="BP19" i="20"/>
  <c r="BO19" i="20"/>
  <c r="BN19" i="20"/>
  <c r="BM19" i="20"/>
  <c r="BL19" i="20"/>
  <c r="BK19" i="20"/>
  <c r="BJ19" i="20"/>
  <c r="BI19" i="20"/>
  <c r="BH19" i="20"/>
  <c r="BG19" i="20"/>
  <c r="BF19" i="20"/>
  <c r="BE19" i="20"/>
  <c r="BD19" i="20"/>
  <c r="BC19" i="20"/>
  <c r="BB19" i="20"/>
  <c r="BA19" i="20"/>
  <c r="AZ19" i="20"/>
  <c r="AY19" i="20"/>
  <c r="AX19" i="20"/>
  <c r="AW19" i="20"/>
  <c r="AV19" i="20"/>
  <c r="AU19" i="20"/>
  <c r="AT19" i="20"/>
  <c r="AS19" i="20"/>
  <c r="AR19" i="20"/>
  <c r="AQ19" i="20"/>
  <c r="AP19" i="20"/>
  <c r="AO19" i="20"/>
  <c r="AN19" i="20"/>
  <c r="AM19" i="20"/>
  <c r="AL19" i="20"/>
  <c r="AK19" i="20"/>
  <c r="AJ19" i="20"/>
  <c r="AI19" i="20"/>
  <c r="AH19" i="20"/>
  <c r="AG19" i="20"/>
  <c r="AF19" i="20"/>
  <c r="AE19" i="20"/>
  <c r="AD19" i="20"/>
  <c r="AC19" i="20"/>
  <c r="AB19" i="20"/>
  <c r="AA19" i="20"/>
  <c r="Z19" i="20"/>
  <c r="Y19" i="20"/>
  <c r="X19" i="20"/>
  <c r="W19" i="20"/>
  <c r="V19" i="20"/>
  <c r="U19" i="20"/>
  <c r="T19" i="20"/>
  <c r="S19" i="20"/>
  <c r="R19" i="20"/>
  <c r="Q19" i="20"/>
  <c r="P19" i="20"/>
  <c r="O19" i="20"/>
  <c r="N19" i="20"/>
  <c r="M19" i="20"/>
  <c r="L19" i="20"/>
  <c r="K19" i="20"/>
  <c r="J19" i="20"/>
  <c r="I19" i="20"/>
  <c r="H19" i="20"/>
  <c r="G19" i="20"/>
  <c r="F19" i="20"/>
  <c r="E19" i="20"/>
  <c r="D19" i="20"/>
  <c r="C19" i="20"/>
  <c r="B19" i="20"/>
  <c r="CZ18" i="20"/>
  <c r="CY18" i="20"/>
  <c r="CX18" i="20"/>
  <c r="CW18" i="20"/>
  <c r="CV18" i="20"/>
  <c r="CU18" i="20"/>
  <c r="CT18" i="20"/>
  <c r="CS18" i="20"/>
  <c r="CR18" i="20"/>
  <c r="CQ18" i="20"/>
  <c r="CP18" i="20"/>
  <c r="CO18" i="20"/>
  <c r="CN18" i="20"/>
  <c r="CM18" i="20"/>
  <c r="CL18" i="20"/>
  <c r="CK18" i="20"/>
  <c r="CJ18" i="20"/>
  <c r="CI18" i="20"/>
  <c r="CH18" i="20"/>
  <c r="CG18" i="20"/>
  <c r="CF18" i="20"/>
  <c r="CE18" i="20"/>
  <c r="CD18" i="20"/>
  <c r="CC18" i="20"/>
  <c r="CB18" i="20"/>
  <c r="CA18" i="20"/>
  <c r="BZ18" i="20"/>
  <c r="BY18" i="20"/>
  <c r="BX18" i="20"/>
  <c r="BW18" i="20"/>
  <c r="BV18" i="20"/>
  <c r="BU18" i="20"/>
  <c r="BT18" i="20"/>
  <c r="BS18" i="20"/>
  <c r="BR18" i="20"/>
  <c r="BQ18" i="20"/>
  <c r="BP18" i="20"/>
  <c r="BO18" i="20"/>
  <c r="BN18" i="20"/>
  <c r="BM18" i="20"/>
  <c r="BL18" i="20"/>
  <c r="BK18" i="20"/>
  <c r="BJ18" i="20"/>
  <c r="BI18" i="20"/>
  <c r="BH18" i="20"/>
  <c r="BG18" i="20"/>
  <c r="BF18" i="20"/>
  <c r="BE18" i="20"/>
  <c r="BD18" i="20"/>
  <c r="BC18" i="20"/>
  <c r="BB18" i="20"/>
  <c r="BA18" i="20"/>
  <c r="AZ18" i="20"/>
  <c r="AY18" i="20"/>
  <c r="AX18" i="20"/>
  <c r="AW18" i="20"/>
  <c r="AV18" i="20"/>
  <c r="AU18" i="20"/>
  <c r="AT18" i="20"/>
  <c r="AS18" i="20"/>
  <c r="AR18" i="20"/>
  <c r="AQ18" i="20"/>
  <c r="AP18" i="20"/>
  <c r="AO18" i="20"/>
  <c r="AN18" i="20"/>
  <c r="AM18" i="20"/>
  <c r="AL18" i="20"/>
  <c r="AK18" i="20"/>
  <c r="AJ18" i="20"/>
  <c r="AI18" i="20"/>
  <c r="AH18" i="20"/>
  <c r="AG18" i="20"/>
  <c r="AF18" i="20"/>
  <c r="AE18" i="20"/>
  <c r="AD18" i="20"/>
  <c r="AC18" i="20"/>
  <c r="AB18" i="20"/>
  <c r="AA18" i="20"/>
  <c r="Z18" i="20"/>
  <c r="Y18" i="20"/>
  <c r="X18" i="20"/>
  <c r="W18" i="20"/>
  <c r="V18" i="20"/>
  <c r="U18" i="20"/>
  <c r="T18" i="20"/>
  <c r="S18" i="20"/>
  <c r="R18" i="20"/>
  <c r="Q18" i="20"/>
  <c r="P18" i="20"/>
  <c r="O18" i="20"/>
  <c r="N18" i="20"/>
  <c r="M18" i="20"/>
  <c r="L18" i="20"/>
  <c r="K18" i="20"/>
  <c r="J18" i="20"/>
  <c r="I18" i="20"/>
  <c r="H18" i="20"/>
  <c r="G18" i="20"/>
  <c r="F18" i="20"/>
  <c r="E18" i="20"/>
  <c r="D18" i="20"/>
  <c r="C18" i="20"/>
  <c r="B18" i="20"/>
  <c r="CZ17" i="20"/>
  <c r="CY17" i="20"/>
  <c r="CX17" i="20"/>
  <c r="CW17" i="20"/>
  <c r="CV17" i="20"/>
  <c r="CU17" i="20"/>
  <c r="CT17" i="20"/>
  <c r="CS17" i="20"/>
  <c r="CR17" i="20"/>
  <c r="CQ17" i="20"/>
  <c r="CP17" i="20"/>
  <c r="CO17" i="20"/>
  <c r="CN17" i="20"/>
  <c r="CM17" i="20"/>
  <c r="CL17" i="20"/>
  <c r="CK17" i="20"/>
  <c r="CJ17" i="20"/>
  <c r="CI17" i="20"/>
  <c r="CH17" i="20"/>
  <c r="CG17" i="20"/>
  <c r="CF17" i="20"/>
  <c r="CE17" i="20"/>
  <c r="CD17" i="20"/>
  <c r="CC17" i="20"/>
  <c r="CB17" i="20"/>
  <c r="CA17" i="20"/>
  <c r="BZ17" i="20"/>
  <c r="BY17" i="20"/>
  <c r="BX17" i="20"/>
  <c r="BW17" i="20"/>
  <c r="BV17" i="20"/>
  <c r="BU17" i="20"/>
  <c r="BT17" i="20"/>
  <c r="BS17" i="20"/>
  <c r="BR17" i="20"/>
  <c r="BQ17" i="20"/>
  <c r="BP17" i="20"/>
  <c r="BO17" i="20"/>
  <c r="BN17" i="20"/>
  <c r="BM17" i="20"/>
  <c r="BL17" i="20"/>
  <c r="BK17" i="20"/>
  <c r="BJ17" i="20"/>
  <c r="BI17" i="20"/>
  <c r="BH17" i="20"/>
  <c r="BG17" i="20"/>
  <c r="BF17" i="20"/>
  <c r="BE17" i="20"/>
  <c r="BD17" i="20"/>
  <c r="BC17" i="20"/>
  <c r="BB17" i="20"/>
  <c r="BA17" i="20"/>
  <c r="AZ17" i="20"/>
  <c r="AY17" i="20"/>
  <c r="AX17" i="20"/>
  <c r="AW17" i="20"/>
  <c r="AV17" i="20"/>
  <c r="AU17" i="20"/>
  <c r="AT17" i="20"/>
  <c r="AS17" i="20"/>
  <c r="AR17" i="20"/>
  <c r="AQ17" i="20"/>
  <c r="AP17" i="20"/>
  <c r="AO17" i="20"/>
  <c r="AN17" i="20"/>
  <c r="AM17" i="20"/>
  <c r="AL17" i="20"/>
  <c r="AK17" i="20"/>
  <c r="AJ17" i="20"/>
  <c r="AI17" i="20"/>
  <c r="AH17" i="20"/>
  <c r="AG17" i="20"/>
  <c r="AF17" i="20"/>
  <c r="AE17" i="20"/>
  <c r="AD17" i="20"/>
  <c r="AC17" i="20"/>
  <c r="AB17" i="20"/>
  <c r="AA17" i="20"/>
  <c r="Z17" i="20"/>
  <c r="Y17" i="20"/>
  <c r="X17" i="20"/>
  <c r="W17" i="20"/>
  <c r="V17" i="20"/>
  <c r="U17" i="20"/>
  <c r="T17" i="20"/>
  <c r="S17" i="20"/>
  <c r="R17" i="20"/>
  <c r="Q17" i="20"/>
  <c r="P17" i="20"/>
  <c r="O17" i="20"/>
  <c r="N17" i="20"/>
  <c r="M17" i="20"/>
  <c r="L17" i="20"/>
  <c r="K17" i="20"/>
  <c r="J17" i="20"/>
  <c r="I17" i="20"/>
  <c r="H17" i="20"/>
  <c r="G17" i="20"/>
  <c r="F17" i="20"/>
  <c r="E17" i="20"/>
  <c r="D17" i="20"/>
  <c r="C17" i="20"/>
  <c r="B17" i="20"/>
  <c r="CZ16" i="20"/>
  <c r="CY16" i="20"/>
  <c r="CX16" i="20"/>
  <c r="CW16" i="20"/>
  <c r="CV16" i="20"/>
  <c r="CU16" i="20"/>
  <c r="CT16" i="20"/>
  <c r="CS16" i="20"/>
  <c r="CR16" i="20"/>
  <c r="CQ16" i="20"/>
  <c r="CP16" i="20"/>
  <c r="CO16" i="20"/>
  <c r="CN16" i="20"/>
  <c r="CM16" i="20"/>
  <c r="CL16" i="20"/>
  <c r="CK16" i="20"/>
  <c r="CJ16" i="20"/>
  <c r="CI16" i="20"/>
  <c r="CH16" i="20"/>
  <c r="CG16" i="20"/>
  <c r="CF16" i="20"/>
  <c r="CE16" i="20"/>
  <c r="CD16" i="20"/>
  <c r="CC16" i="20"/>
  <c r="CB16" i="20"/>
  <c r="CA16" i="20"/>
  <c r="BZ16" i="20"/>
  <c r="BY16" i="20"/>
  <c r="BX16" i="20"/>
  <c r="BW16" i="20"/>
  <c r="BV16" i="20"/>
  <c r="BU16" i="20"/>
  <c r="BT16" i="20"/>
  <c r="BS16" i="20"/>
  <c r="BR16" i="20"/>
  <c r="BQ16" i="20"/>
  <c r="BP16" i="20"/>
  <c r="BO16" i="20"/>
  <c r="BN16" i="20"/>
  <c r="BM16" i="20"/>
  <c r="BL16" i="20"/>
  <c r="BK16" i="20"/>
  <c r="BJ16" i="20"/>
  <c r="BI16" i="20"/>
  <c r="BH16" i="20"/>
  <c r="BG16" i="20"/>
  <c r="BF16" i="20"/>
  <c r="BE16" i="20"/>
  <c r="BD16" i="20"/>
  <c r="BC16" i="20"/>
  <c r="BB16" i="20"/>
  <c r="BA16" i="20"/>
  <c r="AZ16" i="20"/>
  <c r="AY16" i="20"/>
  <c r="AX16" i="20"/>
  <c r="AW16" i="20"/>
  <c r="AV16" i="20"/>
  <c r="AU16" i="20"/>
  <c r="AT16" i="20"/>
  <c r="AS16" i="20"/>
  <c r="AR16" i="20"/>
  <c r="AQ16" i="20"/>
  <c r="AP16" i="20"/>
  <c r="AO16" i="20"/>
  <c r="AN16" i="20"/>
  <c r="AM16" i="20"/>
  <c r="AL16" i="20"/>
  <c r="AK16" i="20"/>
  <c r="AJ16" i="20"/>
  <c r="AI16" i="20"/>
  <c r="AH16" i="20"/>
  <c r="AG16" i="20"/>
  <c r="AF16" i="20"/>
  <c r="AE16" i="20"/>
  <c r="AD16" i="20"/>
  <c r="AC16" i="20"/>
  <c r="AB16" i="20"/>
  <c r="AA16" i="20"/>
  <c r="Z16" i="20"/>
  <c r="Y16" i="20"/>
  <c r="X16" i="20"/>
  <c r="W16" i="20"/>
  <c r="V16" i="20"/>
  <c r="U16" i="20"/>
  <c r="T16" i="20"/>
  <c r="S16" i="20"/>
  <c r="R16" i="20"/>
  <c r="Q16" i="20"/>
  <c r="P16" i="20"/>
  <c r="O16" i="20"/>
  <c r="N16" i="20"/>
  <c r="M16" i="20"/>
  <c r="L16" i="20"/>
  <c r="K16" i="20"/>
  <c r="J16" i="20"/>
  <c r="I16" i="20"/>
  <c r="H16" i="20"/>
  <c r="G16" i="20"/>
  <c r="F16" i="20"/>
  <c r="E16" i="20"/>
  <c r="D16" i="20"/>
  <c r="C16" i="20"/>
  <c r="B16" i="20"/>
  <c r="CZ15" i="20"/>
  <c r="CY15" i="20"/>
  <c r="CX15" i="20"/>
  <c r="CW15" i="20"/>
  <c r="CV15" i="20"/>
  <c r="CU15" i="20"/>
  <c r="CT15" i="20"/>
  <c r="CS15" i="20"/>
  <c r="CR15" i="20"/>
  <c r="CQ15" i="20"/>
  <c r="CP15" i="20"/>
  <c r="CO15" i="20"/>
  <c r="CN15" i="20"/>
  <c r="CM15" i="20"/>
  <c r="CL15" i="20"/>
  <c r="CK15" i="20"/>
  <c r="CJ15" i="20"/>
  <c r="CI15" i="20"/>
  <c r="CH15" i="20"/>
  <c r="CG15" i="20"/>
  <c r="CF15" i="20"/>
  <c r="CE15" i="20"/>
  <c r="CD15" i="20"/>
  <c r="CC15" i="20"/>
  <c r="CB15" i="20"/>
  <c r="CA15" i="20"/>
  <c r="BZ15" i="20"/>
  <c r="BY15" i="20"/>
  <c r="BX15" i="20"/>
  <c r="BW15" i="20"/>
  <c r="BV15" i="20"/>
  <c r="BU15" i="20"/>
  <c r="BT15" i="20"/>
  <c r="BS15" i="20"/>
  <c r="BR15" i="20"/>
  <c r="BQ15" i="20"/>
  <c r="BP15" i="20"/>
  <c r="BO15" i="20"/>
  <c r="BN15" i="20"/>
  <c r="BM15" i="20"/>
  <c r="BL15" i="20"/>
  <c r="BK15" i="20"/>
  <c r="BJ15" i="20"/>
  <c r="BI15" i="20"/>
  <c r="BH15" i="20"/>
  <c r="BG15" i="20"/>
  <c r="BF15" i="20"/>
  <c r="BE15" i="20"/>
  <c r="BD15" i="20"/>
  <c r="BC15" i="20"/>
  <c r="BB15" i="20"/>
  <c r="BA15" i="20"/>
  <c r="AZ15" i="20"/>
  <c r="AY15" i="20"/>
  <c r="AX15" i="20"/>
  <c r="AW15" i="20"/>
  <c r="AV15" i="20"/>
  <c r="AU15" i="20"/>
  <c r="AT15" i="20"/>
  <c r="AS15" i="20"/>
  <c r="AR15" i="20"/>
  <c r="AQ15" i="20"/>
  <c r="AP15" i="20"/>
  <c r="AO15" i="20"/>
  <c r="AN15" i="20"/>
  <c r="AM15" i="20"/>
  <c r="AL15" i="20"/>
  <c r="AK15" i="20"/>
  <c r="AJ15" i="20"/>
  <c r="AI15" i="20"/>
  <c r="AH15" i="20"/>
  <c r="AG15" i="20"/>
  <c r="AF15" i="20"/>
  <c r="AE15" i="20"/>
  <c r="AD15" i="20"/>
  <c r="AC15" i="20"/>
  <c r="AB15" i="20"/>
  <c r="AA15" i="20"/>
  <c r="Z15" i="20"/>
  <c r="Y15" i="20"/>
  <c r="X15" i="20"/>
  <c r="W15" i="20"/>
  <c r="V15" i="20"/>
  <c r="U15" i="20"/>
  <c r="T15" i="20"/>
  <c r="S15" i="20"/>
  <c r="R15" i="20"/>
  <c r="Q15" i="20"/>
  <c r="P15" i="20"/>
  <c r="O15" i="20"/>
  <c r="N15" i="20"/>
  <c r="M15" i="20"/>
  <c r="L15" i="20"/>
  <c r="K15" i="20"/>
  <c r="J15" i="20"/>
  <c r="I15" i="20"/>
  <c r="H15" i="20"/>
  <c r="G15" i="20"/>
  <c r="F15" i="20"/>
  <c r="E15" i="20"/>
  <c r="D15" i="20"/>
  <c r="C15" i="20"/>
  <c r="B15" i="20"/>
  <c r="CZ14" i="20"/>
  <c r="CY14" i="20"/>
  <c r="CX14" i="20"/>
  <c r="CW14" i="20"/>
  <c r="CV14" i="20"/>
  <c r="CU14" i="20"/>
  <c r="CT14" i="20"/>
  <c r="CS14" i="20"/>
  <c r="CR14" i="20"/>
  <c r="CQ14" i="20"/>
  <c r="CP14" i="20"/>
  <c r="CO14" i="20"/>
  <c r="CN14" i="20"/>
  <c r="CM14" i="20"/>
  <c r="CL14" i="20"/>
  <c r="CK14" i="20"/>
  <c r="CJ14" i="20"/>
  <c r="CI14" i="20"/>
  <c r="CH14" i="20"/>
  <c r="CG14" i="20"/>
  <c r="CF14" i="20"/>
  <c r="CE14" i="20"/>
  <c r="CD14" i="20"/>
  <c r="CC14" i="20"/>
  <c r="CB14" i="20"/>
  <c r="CA14" i="20"/>
  <c r="BZ14" i="20"/>
  <c r="BY14" i="20"/>
  <c r="BX14" i="20"/>
  <c r="BW14" i="20"/>
  <c r="BV14" i="20"/>
  <c r="BU14" i="20"/>
  <c r="BT14" i="20"/>
  <c r="BS14" i="20"/>
  <c r="BR14" i="20"/>
  <c r="BQ14" i="20"/>
  <c r="BP14" i="20"/>
  <c r="BO14" i="20"/>
  <c r="BN14" i="20"/>
  <c r="BM14" i="20"/>
  <c r="BL14" i="20"/>
  <c r="BK14" i="20"/>
  <c r="BJ14" i="20"/>
  <c r="BI14" i="20"/>
  <c r="BH14" i="20"/>
  <c r="BG14" i="20"/>
  <c r="BF14" i="20"/>
  <c r="BE14" i="20"/>
  <c r="BD14" i="20"/>
  <c r="BC14" i="20"/>
  <c r="BB14" i="20"/>
  <c r="BA14" i="20"/>
  <c r="AZ14" i="20"/>
  <c r="AY14" i="20"/>
  <c r="AX14" i="20"/>
  <c r="AW14" i="20"/>
  <c r="AV14" i="20"/>
  <c r="AU14" i="20"/>
  <c r="AT14" i="20"/>
  <c r="AS14" i="20"/>
  <c r="AR14" i="20"/>
  <c r="AQ14" i="20"/>
  <c r="AP14" i="20"/>
  <c r="AO14" i="20"/>
  <c r="AN14" i="20"/>
  <c r="AM14" i="20"/>
  <c r="AL14" i="20"/>
  <c r="AK14" i="20"/>
  <c r="AJ14" i="20"/>
  <c r="AI14" i="20"/>
  <c r="AH14" i="20"/>
  <c r="AG14" i="20"/>
  <c r="AF14" i="20"/>
  <c r="AE14" i="20"/>
  <c r="AD14" i="20"/>
  <c r="AC14" i="20"/>
  <c r="AB14" i="20"/>
  <c r="AA14" i="20"/>
  <c r="Z14" i="20"/>
  <c r="Y14" i="20"/>
  <c r="X14" i="20"/>
  <c r="W14" i="20"/>
  <c r="V14" i="20"/>
  <c r="U14" i="20"/>
  <c r="T14" i="20"/>
  <c r="S14" i="20"/>
  <c r="R14" i="20"/>
  <c r="Q14" i="20"/>
  <c r="P14" i="20"/>
  <c r="O14" i="20"/>
  <c r="N14" i="20"/>
  <c r="M14" i="20"/>
  <c r="L14" i="20"/>
  <c r="K14" i="20"/>
  <c r="J14" i="20"/>
  <c r="I14" i="20"/>
  <c r="H14" i="20"/>
  <c r="G14" i="20"/>
  <c r="F14" i="20"/>
  <c r="E14" i="20"/>
  <c r="D14" i="20"/>
  <c r="C14" i="20"/>
  <c r="B14" i="20"/>
  <c r="CZ13" i="20"/>
  <c r="CY13" i="20"/>
  <c r="CX13" i="20"/>
  <c r="CW13" i="20"/>
  <c r="CV13" i="20"/>
  <c r="CU13" i="20"/>
  <c r="CT13" i="20"/>
  <c r="CS13" i="20"/>
  <c r="CR13" i="20"/>
  <c r="CQ13" i="20"/>
  <c r="CP13" i="20"/>
  <c r="CO13" i="20"/>
  <c r="CN13" i="20"/>
  <c r="CM13" i="20"/>
  <c r="CL13" i="20"/>
  <c r="CK13" i="20"/>
  <c r="CJ13" i="20"/>
  <c r="CI13" i="20"/>
  <c r="CH13" i="20"/>
  <c r="CG13" i="20"/>
  <c r="CF13" i="20"/>
  <c r="CE13" i="20"/>
  <c r="CD13" i="20"/>
  <c r="CC13" i="20"/>
  <c r="CB13" i="20"/>
  <c r="CA13" i="20"/>
  <c r="BZ13" i="20"/>
  <c r="BY13" i="20"/>
  <c r="BX13" i="20"/>
  <c r="BW13" i="20"/>
  <c r="BV13" i="20"/>
  <c r="BU13" i="20"/>
  <c r="BT13" i="20"/>
  <c r="BS13" i="20"/>
  <c r="BR13" i="20"/>
  <c r="BQ13" i="20"/>
  <c r="BP13" i="20"/>
  <c r="BO13" i="20"/>
  <c r="BN13" i="20"/>
  <c r="BM13" i="20"/>
  <c r="BL13" i="20"/>
  <c r="BK13" i="20"/>
  <c r="BJ13" i="20"/>
  <c r="BI13" i="20"/>
  <c r="BH13" i="20"/>
  <c r="BG13" i="20"/>
  <c r="BF13" i="20"/>
  <c r="BE13" i="20"/>
  <c r="BD13" i="20"/>
  <c r="BC13" i="20"/>
  <c r="BB13" i="20"/>
  <c r="BA13" i="20"/>
  <c r="AZ13" i="20"/>
  <c r="AY13" i="20"/>
  <c r="AX13" i="20"/>
  <c r="AW13" i="20"/>
  <c r="AV13" i="20"/>
  <c r="AU13" i="20"/>
  <c r="AT13" i="20"/>
  <c r="AS13" i="20"/>
  <c r="AR13" i="20"/>
  <c r="AQ13" i="20"/>
  <c r="AP13" i="20"/>
  <c r="AO13" i="20"/>
  <c r="AN13" i="20"/>
  <c r="AM13" i="20"/>
  <c r="AL13" i="20"/>
  <c r="AK13" i="20"/>
  <c r="AJ13" i="20"/>
  <c r="AI13" i="20"/>
  <c r="AH13" i="20"/>
  <c r="AG13" i="20"/>
  <c r="AF13" i="20"/>
  <c r="AE13" i="20"/>
  <c r="AD13" i="20"/>
  <c r="AC13" i="20"/>
  <c r="AB13" i="20"/>
  <c r="AA13" i="20"/>
  <c r="Z13" i="20"/>
  <c r="Y13" i="20"/>
  <c r="X13" i="20"/>
  <c r="W13" i="20"/>
  <c r="V13" i="20"/>
  <c r="U13" i="20"/>
  <c r="T13" i="20"/>
  <c r="S13" i="20"/>
  <c r="R13" i="20"/>
  <c r="Q13" i="20"/>
  <c r="P13" i="20"/>
  <c r="O13" i="20"/>
  <c r="N13" i="20"/>
  <c r="M13" i="20"/>
  <c r="L13" i="20"/>
  <c r="K13" i="20"/>
  <c r="J13" i="20"/>
  <c r="I13" i="20"/>
  <c r="H13" i="20"/>
  <c r="G13" i="20"/>
  <c r="F13" i="20"/>
  <c r="E13" i="20"/>
  <c r="D13" i="20"/>
  <c r="C13" i="20"/>
  <c r="B13" i="20"/>
  <c r="CZ12" i="20"/>
  <c r="CY12" i="20"/>
  <c r="CX12" i="20"/>
  <c r="CW12" i="20"/>
  <c r="CV12" i="20"/>
  <c r="CU12" i="20"/>
  <c r="CT12" i="20"/>
  <c r="CS12" i="20"/>
  <c r="CR12" i="20"/>
  <c r="CQ12" i="20"/>
  <c r="CP12" i="20"/>
  <c r="CO12" i="20"/>
  <c r="CN12" i="20"/>
  <c r="CM12" i="20"/>
  <c r="CL12" i="20"/>
  <c r="CK12" i="20"/>
  <c r="CJ12" i="20"/>
  <c r="CI12" i="20"/>
  <c r="CH12" i="20"/>
  <c r="CG12" i="20"/>
  <c r="CF12" i="20"/>
  <c r="CE12" i="20"/>
  <c r="CD12" i="20"/>
  <c r="CC12" i="20"/>
  <c r="CB12" i="20"/>
  <c r="CA12" i="20"/>
  <c r="BZ12" i="20"/>
  <c r="BY12" i="20"/>
  <c r="BX12" i="20"/>
  <c r="BW12" i="20"/>
  <c r="BV12" i="20"/>
  <c r="BU12" i="20"/>
  <c r="BT12" i="20"/>
  <c r="BS12" i="20"/>
  <c r="BR12" i="20"/>
  <c r="BQ12" i="20"/>
  <c r="BP12" i="20"/>
  <c r="BO12" i="20"/>
  <c r="BN12" i="20"/>
  <c r="BM12" i="20"/>
  <c r="BL12" i="20"/>
  <c r="BK12" i="20"/>
  <c r="BJ12" i="20"/>
  <c r="BI12" i="20"/>
  <c r="BH12" i="20"/>
  <c r="BG12" i="20"/>
  <c r="BF12" i="20"/>
  <c r="BE12" i="20"/>
  <c r="BD12" i="20"/>
  <c r="BC12" i="20"/>
  <c r="BB12" i="20"/>
  <c r="BA12" i="20"/>
  <c r="AZ12" i="20"/>
  <c r="AY12" i="20"/>
  <c r="AX12" i="20"/>
  <c r="AW12" i="20"/>
  <c r="AV12" i="20"/>
  <c r="AU12" i="20"/>
  <c r="AT12" i="20"/>
  <c r="AS12" i="20"/>
  <c r="AR12" i="20"/>
  <c r="AQ12" i="20"/>
  <c r="AP12" i="20"/>
  <c r="AO12" i="20"/>
  <c r="AN12" i="20"/>
  <c r="AM12" i="20"/>
  <c r="AL12" i="20"/>
  <c r="AK12" i="20"/>
  <c r="AJ12" i="20"/>
  <c r="AI12" i="20"/>
  <c r="AH12" i="20"/>
  <c r="AG12" i="20"/>
  <c r="AF12" i="20"/>
  <c r="AE12" i="20"/>
  <c r="AD12" i="20"/>
  <c r="AC12" i="20"/>
  <c r="AB12" i="20"/>
  <c r="AA12" i="20"/>
  <c r="Z12" i="20"/>
  <c r="Y12" i="20"/>
  <c r="X12" i="20"/>
  <c r="W12" i="20"/>
  <c r="V12" i="20"/>
  <c r="U12" i="20"/>
  <c r="T12" i="20"/>
  <c r="S12" i="20"/>
  <c r="R12" i="20"/>
  <c r="Q12" i="20"/>
  <c r="P12" i="20"/>
  <c r="O12" i="20"/>
  <c r="N12" i="20"/>
  <c r="M12" i="20"/>
  <c r="L12" i="20"/>
  <c r="K12" i="20"/>
  <c r="J12" i="20"/>
  <c r="I12" i="20"/>
  <c r="H12" i="20"/>
  <c r="G12" i="20"/>
  <c r="F12" i="20"/>
  <c r="E12" i="20"/>
  <c r="D12" i="20"/>
  <c r="C12" i="20"/>
  <c r="B12" i="20"/>
  <c r="CZ11" i="20"/>
  <c r="CY11" i="20"/>
  <c r="CX11" i="20"/>
  <c r="CW11" i="20"/>
  <c r="CV11" i="20"/>
  <c r="CU11" i="20"/>
  <c r="CT11" i="20"/>
  <c r="CS11" i="20"/>
  <c r="CR11" i="20"/>
  <c r="CQ11" i="20"/>
  <c r="CP11" i="20"/>
  <c r="CO11" i="20"/>
  <c r="CN11" i="20"/>
  <c r="CM11" i="20"/>
  <c r="CL11" i="20"/>
  <c r="CK11" i="20"/>
  <c r="CJ11" i="20"/>
  <c r="CI11" i="20"/>
  <c r="CH11" i="20"/>
  <c r="CG11" i="20"/>
  <c r="CF11" i="20"/>
  <c r="CE11" i="20"/>
  <c r="CD11" i="20"/>
  <c r="CC11" i="20"/>
  <c r="CB11" i="20"/>
  <c r="CA11" i="20"/>
  <c r="BZ11" i="20"/>
  <c r="BY11" i="20"/>
  <c r="BX11" i="20"/>
  <c r="BW11" i="20"/>
  <c r="BV11" i="20"/>
  <c r="BU11" i="20"/>
  <c r="BT11" i="20"/>
  <c r="BS11" i="20"/>
  <c r="BR11" i="20"/>
  <c r="BQ11" i="20"/>
  <c r="BP11" i="20"/>
  <c r="BO11" i="20"/>
  <c r="BN11" i="20"/>
  <c r="BM11" i="20"/>
  <c r="BL11" i="20"/>
  <c r="BK11" i="20"/>
  <c r="BJ11" i="20"/>
  <c r="BI11" i="20"/>
  <c r="BH11" i="20"/>
  <c r="BG11" i="20"/>
  <c r="BF11" i="20"/>
  <c r="BE11" i="20"/>
  <c r="BD11" i="20"/>
  <c r="BC11" i="20"/>
  <c r="BB11" i="20"/>
  <c r="BA11" i="20"/>
  <c r="AZ11" i="20"/>
  <c r="AY11" i="20"/>
  <c r="AX11" i="20"/>
  <c r="AW11" i="20"/>
  <c r="AV11" i="20"/>
  <c r="AU11" i="20"/>
  <c r="AT11" i="20"/>
  <c r="AS11" i="20"/>
  <c r="AR11" i="20"/>
  <c r="AQ11" i="20"/>
  <c r="AP11" i="20"/>
  <c r="AO11" i="20"/>
  <c r="AN11" i="20"/>
  <c r="AM11" i="20"/>
  <c r="AL11" i="20"/>
  <c r="AK11" i="20"/>
  <c r="AJ11" i="20"/>
  <c r="AI11" i="20"/>
  <c r="AH11" i="20"/>
  <c r="AG11" i="20"/>
  <c r="AF11" i="20"/>
  <c r="AE11" i="20"/>
  <c r="AD11" i="20"/>
  <c r="AC11" i="20"/>
  <c r="AB11" i="20"/>
  <c r="AA11" i="20"/>
  <c r="Z11" i="20"/>
  <c r="Y11" i="20"/>
  <c r="X11" i="20"/>
  <c r="W11" i="20"/>
  <c r="V11" i="20"/>
  <c r="U11" i="20"/>
  <c r="T11" i="20"/>
  <c r="S11" i="20"/>
  <c r="R11" i="20"/>
  <c r="Q11" i="20"/>
  <c r="P11" i="20"/>
  <c r="O11" i="20"/>
  <c r="N11" i="20"/>
  <c r="M11" i="20"/>
  <c r="L11" i="20"/>
  <c r="K11" i="20"/>
  <c r="J11" i="20"/>
  <c r="I11" i="20"/>
  <c r="H11" i="20"/>
  <c r="G11" i="20"/>
  <c r="F11" i="20"/>
  <c r="E11" i="20"/>
  <c r="D11" i="20"/>
  <c r="C11" i="20"/>
  <c r="B11" i="20"/>
  <c r="CZ10" i="20"/>
  <c r="CY10" i="20"/>
  <c r="CX10" i="20"/>
  <c r="CW10" i="20"/>
  <c r="CV10" i="20"/>
  <c r="CU10" i="20"/>
  <c r="CT10" i="20"/>
  <c r="CS10" i="20"/>
  <c r="CR10" i="20"/>
  <c r="CQ10" i="20"/>
  <c r="CP10" i="20"/>
  <c r="CO10" i="20"/>
  <c r="CN10" i="20"/>
  <c r="CM10" i="20"/>
  <c r="CL10" i="20"/>
  <c r="CK10" i="20"/>
  <c r="CJ10" i="20"/>
  <c r="CI10" i="20"/>
  <c r="CH10" i="20"/>
  <c r="CG10" i="20"/>
  <c r="CF10" i="20"/>
  <c r="CE10" i="20"/>
  <c r="CD10" i="20"/>
  <c r="CC10" i="20"/>
  <c r="CB10" i="20"/>
  <c r="CA10" i="20"/>
  <c r="BZ10" i="20"/>
  <c r="BY10" i="20"/>
  <c r="BX10" i="20"/>
  <c r="BW10" i="20"/>
  <c r="BV10" i="20"/>
  <c r="BU10" i="20"/>
  <c r="BT10" i="20"/>
  <c r="BS10" i="20"/>
  <c r="BR10" i="20"/>
  <c r="BQ10" i="20"/>
  <c r="BP10" i="20"/>
  <c r="BO10" i="20"/>
  <c r="BN10" i="20"/>
  <c r="BM10" i="20"/>
  <c r="BL10" i="20"/>
  <c r="BK10" i="20"/>
  <c r="BJ10" i="20"/>
  <c r="BI10" i="20"/>
  <c r="BH10" i="20"/>
  <c r="BG10" i="20"/>
  <c r="BF10" i="20"/>
  <c r="BE10" i="20"/>
  <c r="BD10" i="20"/>
  <c r="BC10" i="20"/>
  <c r="BB10" i="20"/>
  <c r="BA10" i="20"/>
  <c r="AZ10" i="20"/>
  <c r="AY10" i="20"/>
  <c r="AX10" i="20"/>
  <c r="AW10" i="20"/>
  <c r="AV10" i="20"/>
  <c r="AU10" i="20"/>
  <c r="AT10" i="20"/>
  <c r="AS10" i="20"/>
  <c r="AR10" i="20"/>
  <c r="AQ10" i="20"/>
  <c r="AP10" i="20"/>
  <c r="AO10" i="20"/>
  <c r="AN10" i="20"/>
  <c r="AM10" i="20"/>
  <c r="AL10" i="20"/>
  <c r="AK10" i="20"/>
  <c r="AJ10" i="20"/>
  <c r="AI10" i="20"/>
  <c r="AH10" i="20"/>
  <c r="AG10" i="20"/>
  <c r="AF10" i="20"/>
  <c r="AE10" i="20"/>
  <c r="AD10" i="20"/>
  <c r="AC10" i="20"/>
  <c r="AB10" i="20"/>
  <c r="AA10" i="20"/>
  <c r="Z10" i="20"/>
  <c r="Y10" i="20"/>
  <c r="X10" i="20"/>
  <c r="W10" i="20"/>
  <c r="V10" i="20"/>
  <c r="U10" i="20"/>
  <c r="T10" i="20"/>
  <c r="S10" i="20"/>
  <c r="R10" i="20"/>
  <c r="Q10" i="20"/>
  <c r="P10" i="20"/>
  <c r="O10" i="20"/>
  <c r="N10" i="20"/>
  <c r="M10" i="20"/>
  <c r="L10" i="20"/>
  <c r="K10" i="20"/>
  <c r="J10" i="20"/>
  <c r="I10" i="20"/>
  <c r="H10" i="20"/>
  <c r="G10" i="20"/>
  <c r="F10" i="20"/>
  <c r="E10" i="20"/>
  <c r="D10" i="20"/>
  <c r="C10" i="20"/>
  <c r="B10" i="20"/>
  <c r="CZ9" i="20"/>
  <c r="CY9" i="20"/>
  <c r="CX9" i="20"/>
  <c r="CW9" i="20"/>
  <c r="CV9" i="20"/>
  <c r="CU9" i="20"/>
  <c r="CT9" i="20"/>
  <c r="CS9" i="20"/>
  <c r="CR9" i="20"/>
  <c r="CQ9" i="20"/>
  <c r="CP9" i="20"/>
  <c r="CO9" i="20"/>
  <c r="CN9" i="20"/>
  <c r="CM9" i="20"/>
  <c r="CL9" i="20"/>
  <c r="CK9" i="20"/>
  <c r="CJ9" i="20"/>
  <c r="CI9" i="20"/>
  <c r="CH9" i="20"/>
  <c r="CG9" i="20"/>
  <c r="CF9" i="20"/>
  <c r="CE9" i="20"/>
  <c r="CD9" i="20"/>
  <c r="CC9" i="20"/>
  <c r="CB9" i="20"/>
  <c r="CA9" i="20"/>
  <c r="BZ9" i="20"/>
  <c r="BY9" i="20"/>
  <c r="BX9" i="20"/>
  <c r="BW9" i="20"/>
  <c r="BV9" i="20"/>
  <c r="BU9" i="20"/>
  <c r="BT9" i="20"/>
  <c r="BS9" i="20"/>
  <c r="BR9" i="20"/>
  <c r="BQ9" i="20"/>
  <c r="BP9" i="20"/>
  <c r="BO9" i="20"/>
  <c r="BN9" i="20"/>
  <c r="BM9" i="20"/>
  <c r="BL9" i="20"/>
  <c r="BK9" i="20"/>
  <c r="BJ9" i="20"/>
  <c r="BI9" i="20"/>
  <c r="BH9" i="20"/>
  <c r="BG9" i="20"/>
  <c r="BF9" i="20"/>
  <c r="BE9" i="20"/>
  <c r="BD9" i="20"/>
  <c r="BC9" i="20"/>
  <c r="BB9" i="20"/>
  <c r="BA9" i="20"/>
  <c r="AZ9" i="20"/>
  <c r="AY9" i="20"/>
  <c r="AX9" i="20"/>
  <c r="AW9" i="20"/>
  <c r="AV9" i="20"/>
  <c r="AU9" i="20"/>
  <c r="AT9" i="20"/>
  <c r="AS9" i="20"/>
  <c r="AR9" i="20"/>
  <c r="AQ9" i="20"/>
  <c r="AP9" i="20"/>
  <c r="AO9" i="20"/>
  <c r="AN9" i="20"/>
  <c r="AM9" i="20"/>
  <c r="AL9" i="20"/>
  <c r="AK9" i="20"/>
  <c r="AJ9" i="20"/>
  <c r="AI9" i="20"/>
  <c r="AH9" i="20"/>
  <c r="AG9" i="20"/>
  <c r="AF9" i="20"/>
  <c r="AE9" i="20"/>
  <c r="AD9" i="20"/>
  <c r="AC9" i="20"/>
  <c r="AB9" i="20"/>
  <c r="AA9" i="20"/>
  <c r="Z9" i="20"/>
  <c r="Y9" i="20"/>
  <c r="X9" i="20"/>
  <c r="W9" i="20"/>
  <c r="V9" i="20"/>
  <c r="U9" i="20"/>
  <c r="T9" i="20"/>
  <c r="S9" i="20"/>
  <c r="R9" i="20"/>
  <c r="Q9" i="20"/>
  <c r="P9" i="20"/>
  <c r="O9" i="20"/>
  <c r="N9" i="20"/>
  <c r="M9" i="20"/>
  <c r="L9" i="20"/>
  <c r="K9" i="20"/>
  <c r="J9" i="20"/>
  <c r="I9" i="20"/>
  <c r="H9" i="20"/>
  <c r="G9" i="20"/>
  <c r="F9" i="20"/>
  <c r="E9" i="20"/>
  <c r="D9" i="20"/>
  <c r="C9" i="20"/>
  <c r="B9" i="20"/>
  <c r="CZ8" i="20"/>
  <c r="CY8" i="20"/>
  <c r="CX8" i="20"/>
  <c r="CW8" i="20"/>
  <c r="CV8" i="20"/>
  <c r="CU8" i="20"/>
  <c r="CT8" i="20"/>
  <c r="CS8" i="20"/>
  <c r="CR8" i="20"/>
  <c r="CQ8" i="20"/>
  <c r="CP8" i="20"/>
  <c r="CO8" i="20"/>
  <c r="CN8" i="20"/>
  <c r="CM8" i="20"/>
  <c r="CL8" i="20"/>
  <c r="CK8" i="20"/>
  <c r="CJ8" i="20"/>
  <c r="CI8" i="20"/>
  <c r="CH8" i="20"/>
  <c r="CG8" i="20"/>
  <c r="CF8" i="20"/>
  <c r="CE8" i="20"/>
  <c r="CD8" i="20"/>
  <c r="CC8" i="20"/>
  <c r="CB8" i="20"/>
  <c r="CA8" i="20"/>
  <c r="BZ8" i="20"/>
  <c r="BY8" i="20"/>
  <c r="BX8" i="20"/>
  <c r="BW8" i="20"/>
  <c r="BV8" i="20"/>
  <c r="BU8" i="20"/>
  <c r="BT8" i="20"/>
  <c r="BS8" i="20"/>
  <c r="BR8" i="20"/>
  <c r="BQ8" i="20"/>
  <c r="BP8" i="20"/>
  <c r="BO8" i="20"/>
  <c r="BN8" i="20"/>
  <c r="BM8" i="20"/>
  <c r="BL8" i="20"/>
  <c r="BK8" i="20"/>
  <c r="BJ8" i="20"/>
  <c r="BI8" i="20"/>
  <c r="BH8" i="20"/>
  <c r="BG8" i="20"/>
  <c r="BF8" i="20"/>
  <c r="BE8" i="20"/>
  <c r="BD8" i="20"/>
  <c r="BC8" i="20"/>
  <c r="BB8" i="20"/>
  <c r="BA8" i="20"/>
  <c r="AZ8" i="20"/>
  <c r="AY8" i="20"/>
  <c r="AX8" i="20"/>
  <c r="AW8" i="20"/>
  <c r="AV8" i="20"/>
  <c r="AU8" i="20"/>
  <c r="AT8" i="20"/>
  <c r="AS8" i="20"/>
  <c r="AR8" i="20"/>
  <c r="AQ8" i="20"/>
  <c r="AP8" i="20"/>
  <c r="AO8" i="20"/>
  <c r="AN8" i="20"/>
  <c r="AM8" i="20"/>
  <c r="AL8" i="20"/>
  <c r="AK8" i="20"/>
  <c r="AJ8" i="20"/>
  <c r="AI8" i="20"/>
  <c r="AH8" i="20"/>
  <c r="AG8" i="20"/>
  <c r="AF8" i="20"/>
  <c r="AE8" i="20"/>
  <c r="AD8" i="20"/>
  <c r="AC8" i="20"/>
  <c r="AB8" i="20"/>
  <c r="AA8" i="20"/>
  <c r="Z8" i="20"/>
  <c r="Y8" i="20"/>
  <c r="X8" i="20"/>
  <c r="W8" i="20"/>
  <c r="V8" i="20"/>
  <c r="U8" i="20"/>
  <c r="T8" i="20"/>
  <c r="S8" i="20"/>
  <c r="R8" i="20"/>
  <c r="Q8" i="20"/>
  <c r="P8" i="20"/>
  <c r="O8" i="20"/>
  <c r="N8" i="20"/>
  <c r="M8" i="20"/>
  <c r="L8" i="20"/>
  <c r="K8" i="20"/>
  <c r="J8" i="20"/>
  <c r="I8" i="20"/>
  <c r="H8" i="20"/>
  <c r="G8" i="20"/>
  <c r="F8" i="20"/>
  <c r="E8" i="20"/>
  <c r="D8" i="20"/>
  <c r="C8" i="20"/>
  <c r="B8" i="20"/>
  <c r="CZ7" i="20"/>
  <c r="CY7" i="20"/>
  <c r="CX7" i="20"/>
  <c r="CW7" i="20"/>
  <c r="CV7" i="20"/>
  <c r="CU7" i="20"/>
  <c r="CT7" i="20"/>
  <c r="CS7" i="20"/>
  <c r="CR7" i="20"/>
  <c r="CQ7" i="20"/>
  <c r="CP7" i="20"/>
  <c r="CO7" i="20"/>
  <c r="CN7" i="20"/>
  <c r="CM7" i="20"/>
  <c r="CL7" i="20"/>
  <c r="CK7" i="20"/>
  <c r="CJ7" i="20"/>
  <c r="CI7" i="20"/>
  <c r="CH7" i="20"/>
  <c r="CG7" i="20"/>
  <c r="CF7" i="20"/>
  <c r="CE7" i="20"/>
  <c r="CD7" i="20"/>
  <c r="CC7" i="20"/>
  <c r="CB7" i="20"/>
  <c r="CA7" i="20"/>
  <c r="BZ7" i="20"/>
  <c r="BY7" i="20"/>
  <c r="BX7" i="20"/>
  <c r="BW7" i="20"/>
  <c r="BV7" i="20"/>
  <c r="BU7" i="20"/>
  <c r="BT7" i="20"/>
  <c r="BS7" i="20"/>
  <c r="BR7" i="20"/>
  <c r="BQ7" i="20"/>
  <c r="BP7" i="20"/>
  <c r="BO7" i="20"/>
  <c r="BN7" i="20"/>
  <c r="BM7" i="20"/>
  <c r="BL7" i="20"/>
  <c r="BK7" i="20"/>
  <c r="BJ7" i="20"/>
  <c r="BI7" i="20"/>
  <c r="BH7" i="20"/>
  <c r="BG7" i="20"/>
  <c r="BF7" i="20"/>
  <c r="BE7" i="20"/>
  <c r="BD7" i="20"/>
  <c r="BC7" i="20"/>
  <c r="BB7" i="20"/>
  <c r="BA7" i="20"/>
  <c r="AZ7" i="20"/>
  <c r="AY7" i="20"/>
  <c r="AX7" i="20"/>
  <c r="AW7" i="20"/>
  <c r="AV7" i="20"/>
  <c r="AU7" i="20"/>
  <c r="AT7" i="20"/>
  <c r="AS7" i="20"/>
  <c r="AR7" i="20"/>
  <c r="AQ7" i="20"/>
  <c r="AP7" i="20"/>
  <c r="AO7" i="20"/>
  <c r="AN7" i="20"/>
  <c r="AM7" i="20"/>
  <c r="AL7" i="20"/>
  <c r="AK7" i="20"/>
  <c r="AJ7" i="20"/>
  <c r="AI7" i="20"/>
  <c r="AH7" i="20"/>
  <c r="AG7" i="20"/>
  <c r="AF7" i="20"/>
  <c r="AE7" i="20"/>
  <c r="AD7" i="20"/>
  <c r="AC7" i="20"/>
  <c r="AB7" i="20"/>
  <c r="AA7" i="20"/>
  <c r="Z7" i="20"/>
  <c r="Y7" i="20"/>
  <c r="X7" i="20"/>
  <c r="W7" i="20"/>
  <c r="V7" i="20"/>
  <c r="U7" i="20"/>
  <c r="T7" i="20"/>
  <c r="S7" i="20"/>
  <c r="R7" i="20"/>
  <c r="Q7" i="20"/>
  <c r="P7" i="20"/>
  <c r="O7" i="20"/>
  <c r="N7" i="20"/>
  <c r="M7" i="20"/>
  <c r="L7" i="20"/>
  <c r="K7" i="20"/>
  <c r="J7" i="20"/>
  <c r="I7" i="20"/>
  <c r="H7" i="20"/>
  <c r="G7" i="20"/>
  <c r="F7" i="20"/>
  <c r="E7" i="20"/>
  <c r="D7" i="20"/>
  <c r="C7" i="20"/>
  <c r="B7" i="20"/>
  <c r="CZ6" i="20"/>
  <c r="CY6" i="20"/>
  <c r="CX6" i="20"/>
  <c r="CW6" i="20"/>
  <c r="CV6" i="20"/>
  <c r="CU6" i="20"/>
  <c r="CT6" i="20"/>
  <c r="CS6" i="20"/>
  <c r="CR6" i="20"/>
  <c r="CQ6" i="20"/>
  <c r="CP6" i="20"/>
  <c r="CO6" i="20"/>
  <c r="CN6" i="20"/>
  <c r="CM6" i="20"/>
  <c r="CL6" i="20"/>
  <c r="CK6" i="20"/>
  <c r="CJ6" i="20"/>
  <c r="CI6" i="20"/>
  <c r="CH6" i="20"/>
  <c r="CG6" i="20"/>
  <c r="CF6" i="20"/>
  <c r="CE6" i="20"/>
  <c r="CD6" i="20"/>
  <c r="CC6" i="20"/>
  <c r="CB6" i="20"/>
  <c r="CA6" i="20"/>
  <c r="BZ6" i="20"/>
  <c r="BY6" i="20"/>
  <c r="BX6" i="20"/>
  <c r="BW6" i="20"/>
  <c r="BV6" i="20"/>
  <c r="BU6" i="20"/>
  <c r="BT6" i="20"/>
  <c r="BS6" i="20"/>
  <c r="BR6" i="20"/>
  <c r="BQ6" i="20"/>
  <c r="BP6" i="20"/>
  <c r="BO6" i="20"/>
  <c r="BN6" i="20"/>
  <c r="BM6" i="20"/>
  <c r="BL6" i="20"/>
  <c r="BK6" i="20"/>
  <c r="BJ6" i="20"/>
  <c r="BI6" i="20"/>
  <c r="BH6" i="20"/>
  <c r="BG6" i="20"/>
  <c r="BF6" i="20"/>
  <c r="BE6" i="20"/>
  <c r="BD6" i="20"/>
  <c r="BC6" i="20"/>
  <c r="BB6" i="20"/>
  <c r="BA6" i="20"/>
  <c r="AZ6" i="20"/>
  <c r="AY6" i="20"/>
  <c r="AX6" i="20"/>
  <c r="AW6" i="20"/>
  <c r="AV6" i="20"/>
  <c r="AU6" i="20"/>
  <c r="AT6" i="20"/>
  <c r="AS6" i="20"/>
  <c r="AR6" i="20"/>
  <c r="AQ6" i="20"/>
  <c r="AP6" i="20"/>
  <c r="AO6" i="20"/>
  <c r="AN6" i="20"/>
  <c r="AM6" i="20"/>
  <c r="AL6" i="20"/>
  <c r="AK6" i="20"/>
  <c r="AJ6" i="20"/>
  <c r="AI6" i="20"/>
  <c r="AH6" i="20"/>
  <c r="AG6" i="20"/>
  <c r="AF6" i="20"/>
  <c r="AE6" i="20"/>
  <c r="AD6" i="20"/>
  <c r="AC6" i="20"/>
  <c r="AB6" i="20"/>
  <c r="AA6" i="20"/>
  <c r="Z6" i="20"/>
  <c r="Y6" i="20"/>
  <c r="X6" i="20"/>
  <c r="W6" i="20"/>
  <c r="V6" i="20"/>
  <c r="U6" i="20"/>
  <c r="T6" i="20"/>
  <c r="S6" i="20"/>
  <c r="R6" i="20"/>
  <c r="Q6" i="20"/>
  <c r="P6" i="20"/>
  <c r="O6" i="20"/>
  <c r="N6" i="20"/>
  <c r="M6" i="20"/>
  <c r="L6" i="20"/>
  <c r="K6" i="20"/>
  <c r="J6" i="20"/>
  <c r="I6" i="20"/>
  <c r="H6" i="20"/>
  <c r="G6" i="20"/>
  <c r="F6" i="20"/>
  <c r="E6" i="20"/>
  <c r="D6" i="20"/>
  <c r="C6" i="20"/>
  <c r="B6" i="20"/>
  <c r="CZ5" i="20"/>
  <c r="CY5" i="20"/>
  <c r="CX5" i="20"/>
  <c r="CW5" i="20"/>
  <c r="CV5" i="20"/>
  <c r="CU5" i="20"/>
  <c r="CT5" i="20"/>
  <c r="CS5" i="20"/>
  <c r="CR5" i="20"/>
  <c r="CQ5" i="20"/>
  <c r="CP5" i="20"/>
  <c r="CO5" i="20"/>
  <c r="CN5" i="20"/>
  <c r="CM5" i="20"/>
  <c r="CL5" i="20"/>
  <c r="CK5" i="20"/>
  <c r="CJ5" i="20"/>
  <c r="CI5" i="20"/>
  <c r="CH5" i="20"/>
  <c r="CG5" i="20"/>
  <c r="CF5" i="20"/>
  <c r="CE5" i="20"/>
  <c r="CD5" i="20"/>
  <c r="CC5" i="20"/>
  <c r="CB5" i="20"/>
  <c r="CA5" i="20"/>
  <c r="BZ5" i="20"/>
  <c r="BY5" i="20"/>
  <c r="BX5" i="20"/>
  <c r="BW5" i="20"/>
  <c r="BV5" i="20"/>
  <c r="BU5" i="20"/>
  <c r="BT5" i="20"/>
  <c r="BS5" i="20"/>
  <c r="BR5" i="20"/>
  <c r="BQ5" i="20"/>
  <c r="BP5" i="20"/>
  <c r="BO5" i="20"/>
  <c r="BN5" i="20"/>
  <c r="BM5" i="20"/>
  <c r="BL5" i="20"/>
  <c r="BK5" i="20"/>
  <c r="BJ5" i="20"/>
  <c r="BI5" i="20"/>
  <c r="BH5" i="20"/>
  <c r="BG5" i="20"/>
  <c r="BF5" i="20"/>
  <c r="BE5" i="20"/>
  <c r="BD5" i="20"/>
  <c r="BC5" i="20"/>
  <c r="BB5" i="20"/>
  <c r="BA5" i="20"/>
  <c r="AZ5" i="20"/>
  <c r="AY5" i="20"/>
  <c r="AX5" i="20"/>
  <c r="AW5" i="20"/>
  <c r="AV5" i="20"/>
  <c r="AU5" i="20"/>
  <c r="AT5" i="20"/>
  <c r="AS5" i="20"/>
  <c r="AR5" i="20"/>
  <c r="AQ5" i="20"/>
  <c r="AP5" i="20"/>
  <c r="AO5" i="20"/>
  <c r="AN5" i="20"/>
  <c r="AM5" i="20"/>
  <c r="AL5" i="20"/>
  <c r="AK5" i="20"/>
  <c r="AJ5" i="20"/>
  <c r="AI5" i="20"/>
  <c r="AH5" i="20"/>
  <c r="AG5" i="20"/>
  <c r="AF5" i="20"/>
  <c r="AE5" i="20"/>
  <c r="AD5" i="20"/>
  <c r="AC5" i="20"/>
  <c r="AB5" i="20"/>
  <c r="AA5" i="20"/>
  <c r="Z5" i="20"/>
  <c r="Y5" i="20"/>
  <c r="X5" i="20"/>
  <c r="W5" i="20"/>
  <c r="V5" i="20"/>
  <c r="U5" i="20"/>
  <c r="T5" i="20"/>
  <c r="S5" i="20"/>
  <c r="R5" i="20"/>
  <c r="Q5" i="20"/>
  <c r="P5" i="20"/>
  <c r="O5" i="20"/>
  <c r="N5" i="20"/>
  <c r="M5" i="20"/>
  <c r="L5" i="20"/>
  <c r="K5" i="20"/>
  <c r="J5" i="20"/>
  <c r="I5" i="20"/>
  <c r="H5" i="20"/>
  <c r="G5" i="20"/>
  <c r="F5" i="20"/>
  <c r="E5" i="20"/>
  <c r="D5" i="20"/>
  <c r="C5" i="20"/>
  <c r="B5" i="20"/>
  <c r="CZ4" i="20"/>
  <c r="CY4" i="20"/>
  <c r="CX4" i="20"/>
  <c r="CW4" i="20"/>
  <c r="CV4" i="20"/>
  <c r="CU4" i="20"/>
  <c r="CT4" i="20"/>
  <c r="CS4" i="20"/>
  <c r="CR4" i="20"/>
  <c r="CQ4" i="20"/>
  <c r="CP4" i="20"/>
  <c r="CO4" i="20"/>
  <c r="CN4" i="20"/>
  <c r="CM4" i="20"/>
  <c r="CL4" i="20"/>
  <c r="CK4" i="20"/>
  <c r="CJ4" i="20"/>
  <c r="CI4" i="20"/>
  <c r="CH4" i="20"/>
  <c r="CG4" i="20"/>
  <c r="CF4" i="20"/>
  <c r="CE4" i="20"/>
  <c r="CD4" i="20"/>
  <c r="CC4" i="20"/>
  <c r="CB4" i="20"/>
  <c r="CA4" i="20"/>
  <c r="BZ4" i="20"/>
  <c r="BY4" i="20"/>
  <c r="BX4" i="20"/>
  <c r="BW4" i="20"/>
  <c r="BV4" i="20"/>
  <c r="BU4" i="20"/>
  <c r="BT4" i="20"/>
  <c r="BS4" i="20"/>
  <c r="BR4" i="20"/>
  <c r="BQ4" i="20"/>
  <c r="BP4" i="20"/>
  <c r="BO4" i="20"/>
  <c r="BN4" i="20"/>
  <c r="BM4" i="20"/>
  <c r="BL4" i="20"/>
  <c r="BK4" i="20"/>
  <c r="BJ4" i="20"/>
  <c r="BI4" i="20"/>
  <c r="BH4" i="20"/>
  <c r="BG4" i="20"/>
  <c r="BF4" i="20"/>
  <c r="BE4" i="20"/>
  <c r="BD4" i="20"/>
  <c r="BC4" i="20"/>
  <c r="BB4" i="20"/>
  <c r="BA4" i="20"/>
  <c r="AZ4" i="20"/>
  <c r="AY4" i="20"/>
  <c r="AX4" i="20"/>
  <c r="AW4" i="20"/>
  <c r="AV4" i="20"/>
  <c r="AU4" i="20"/>
  <c r="AT4" i="20"/>
  <c r="AS4" i="20"/>
  <c r="AR4" i="20"/>
  <c r="AQ4" i="20"/>
  <c r="AP4" i="20"/>
  <c r="AO4" i="20"/>
  <c r="AN4" i="20"/>
  <c r="AM4" i="20"/>
  <c r="AL4" i="20"/>
  <c r="AK4" i="20"/>
  <c r="AJ4" i="20"/>
  <c r="AI4" i="20"/>
  <c r="AH4" i="20"/>
  <c r="AG4" i="20"/>
  <c r="AF4" i="20"/>
  <c r="AE4" i="20"/>
  <c r="AD4" i="20"/>
  <c r="AC4" i="20"/>
  <c r="AB4" i="20"/>
  <c r="AA4" i="20"/>
  <c r="Z4" i="20"/>
  <c r="Y4" i="20"/>
  <c r="X4" i="20"/>
  <c r="W4" i="20"/>
  <c r="V4" i="20"/>
  <c r="U4" i="20"/>
  <c r="T4" i="20"/>
  <c r="S4" i="20"/>
  <c r="R4" i="20"/>
  <c r="Q4" i="20"/>
  <c r="P4" i="20"/>
  <c r="O4" i="20"/>
  <c r="N4" i="20"/>
  <c r="M4" i="20"/>
  <c r="L4" i="20"/>
  <c r="K4" i="20"/>
  <c r="J4" i="20"/>
  <c r="I4" i="20"/>
  <c r="H4" i="20"/>
  <c r="G4" i="20"/>
  <c r="F4" i="20"/>
  <c r="E4" i="20"/>
  <c r="D4" i="20"/>
  <c r="C4" i="20"/>
  <c r="B4" i="20"/>
  <c r="CZ3" i="20"/>
  <c r="CY3" i="20"/>
  <c r="CX3" i="20"/>
  <c r="CW3" i="20"/>
  <c r="CV3" i="20"/>
  <c r="CU3" i="20"/>
  <c r="CT3" i="20"/>
  <c r="CS3" i="20"/>
  <c r="CR3" i="20"/>
  <c r="CQ3" i="20"/>
  <c r="CP3" i="20"/>
  <c r="CO3" i="20"/>
  <c r="CN3" i="20"/>
  <c r="CM3" i="20"/>
  <c r="CL3" i="20"/>
  <c r="CK3" i="20"/>
  <c r="CJ3" i="20"/>
  <c r="CI3" i="20"/>
  <c r="CH3" i="20"/>
  <c r="CG3" i="20"/>
  <c r="CF3" i="20"/>
  <c r="CE3" i="20"/>
  <c r="CD3" i="20"/>
  <c r="CC3" i="20"/>
  <c r="CB3" i="20"/>
  <c r="CA3" i="20"/>
  <c r="BZ3" i="20"/>
  <c r="BY3" i="20"/>
  <c r="BX3" i="20"/>
  <c r="BW3" i="20"/>
  <c r="BV3" i="20"/>
  <c r="BU3" i="20"/>
  <c r="BT3" i="20"/>
  <c r="BS3" i="20"/>
  <c r="BR3" i="20"/>
  <c r="BQ3" i="20"/>
  <c r="BP3" i="20"/>
  <c r="BO3" i="20"/>
  <c r="BN3" i="20"/>
  <c r="BM3" i="20"/>
  <c r="BL3" i="20"/>
  <c r="BK3" i="20"/>
  <c r="BJ3" i="20"/>
  <c r="BI3" i="20"/>
  <c r="BH3" i="20"/>
  <c r="BG3" i="20"/>
  <c r="BF3" i="20"/>
  <c r="BE3" i="20"/>
  <c r="BD3" i="20"/>
  <c r="BC3" i="20"/>
  <c r="BB3" i="20"/>
  <c r="BA3" i="20"/>
  <c r="AZ3" i="20"/>
  <c r="AY3" i="20"/>
  <c r="AX3" i="20"/>
  <c r="AW3" i="20"/>
  <c r="AV3" i="20"/>
  <c r="AU3" i="20"/>
  <c r="AT3" i="20"/>
  <c r="AS3" i="20"/>
  <c r="AR3" i="20"/>
  <c r="AQ3" i="20"/>
  <c r="AP3" i="20"/>
  <c r="AO3" i="20"/>
  <c r="AN3" i="20"/>
  <c r="AM3" i="20"/>
  <c r="AL3" i="20"/>
  <c r="AK3" i="20"/>
  <c r="AJ3" i="20"/>
  <c r="AI3" i="20"/>
  <c r="AH3" i="20"/>
  <c r="AG3" i="20"/>
  <c r="AF3" i="20"/>
  <c r="AE3" i="20"/>
  <c r="AD3" i="20"/>
  <c r="AC3" i="20"/>
  <c r="AB3" i="20"/>
  <c r="AA3" i="20"/>
  <c r="Z3" i="20"/>
  <c r="Y3" i="20"/>
  <c r="X3" i="20"/>
  <c r="W3" i="20"/>
  <c r="V3" i="20"/>
  <c r="U3" i="20"/>
  <c r="T3" i="20"/>
  <c r="S3" i="20"/>
  <c r="R3" i="20"/>
  <c r="Q3" i="20"/>
  <c r="P3" i="20"/>
  <c r="O3" i="20"/>
  <c r="N3" i="20"/>
  <c r="M3" i="20"/>
  <c r="L3" i="20"/>
  <c r="K3" i="20"/>
  <c r="J3" i="20"/>
  <c r="I3" i="20"/>
  <c r="H3" i="20"/>
  <c r="G3" i="20"/>
  <c r="F3" i="20"/>
  <c r="E3" i="20"/>
  <c r="D3" i="20"/>
  <c r="C3" i="20"/>
  <c r="B3" i="20"/>
  <c r="CZ2" i="20"/>
  <c r="CY2" i="20"/>
  <c r="CX2" i="20"/>
  <c r="CW2" i="20"/>
  <c r="CV2" i="20"/>
  <c r="CU2" i="20"/>
  <c r="CT2" i="20"/>
  <c r="CS2" i="20"/>
  <c r="CR2" i="20"/>
  <c r="CQ2" i="20"/>
  <c r="CP2" i="20"/>
  <c r="CO2" i="20"/>
  <c r="CN2" i="20"/>
  <c r="CM2" i="20"/>
  <c r="CL2" i="20"/>
  <c r="CK2" i="20"/>
  <c r="CJ2" i="20"/>
  <c r="CI2" i="20"/>
  <c r="CH2" i="20"/>
  <c r="CG2" i="20"/>
  <c r="CF2" i="20"/>
  <c r="CE2" i="20"/>
  <c r="CD2" i="20"/>
  <c r="CC2" i="20"/>
  <c r="CB2" i="20"/>
  <c r="CA2" i="20"/>
  <c r="BZ2" i="20"/>
  <c r="BY2" i="20"/>
  <c r="BX2" i="20"/>
  <c r="BW2" i="20"/>
  <c r="BV2" i="20"/>
  <c r="BU2" i="20"/>
  <c r="BT2" i="20"/>
  <c r="BS2" i="20"/>
  <c r="BR2" i="20"/>
  <c r="BQ2" i="20"/>
  <c r="BP2" i="20"/>
  <c r="BO2" i="20"/>
  <c r="BN2" i="20"/>
  <c r="BM2" i="20"/>
  <c r="BL2" i="20"/>
  <c r="BK2" i="20"/>
  <c r="BJ2" i="20"/>
  <c r="BI2" i="20"/>
  <c r="BH2" i="20"/>
  <c r="BG2" i="20"/>
  <c r="BF2" i="20"/>
  <c r="BE2" i="20"/>
  <c r="BD2" i="20"/>
  <c r="BC2" i="20"/>
  <c r="BB2" i="20"/>
  <c r="BA2" i="20"/>
  <c r="AZ2" i="20"/>
  <c r="AY2" i="20"/>
  <c r="AX2" i="20"/>
  <c r="AW2" i="20"/>
  <c r="AV2" i="20"/>
  <c r="AU2" i="20"/>
  <c r="AT2" i="20"/>
  <c r="AS2" i="20"/>
  <c r="AR2" i="20"/>
  <c r="AQ2" i="20"/>
  <c r="AP2" i="20"/>
  <c r="AO2" i="20"/>
  <c r="AN2" i="20"/>
  <c r="AM2" i="20"/>
  <c r="AL2" i="20"/>
  <c r="AK2" i="20"/>
  <c r="AJ2" i="20"/>
  <c r="AI2" i="20"/>
  <c r="AH2" i="20"/>
  <c r="AG2" i="20"/>
  <c r="AF2" i="20"/>
  <c r="AE2" i="20"/>
  <c r="AD2" i="20"/>
  <c r="AC2" i="20"/>
  <c r="AB2" i="20"/>
  <c r="AA2" i="20"/>
  <c r="Z2" i="20"/>
  <c r="Y2" i="20"/>
  <c r="X2" i="20"/>
  <c r="W2" i="20"/>
  <c r="V2" i="20"/>
  <c r="U2" i="20"/>
  <c r="T2" i="20"/>
  <c r="S2" i="20"/>
  <c r="R2" i="20"/>
  <c r="Q2" i="20"/>
  <c r="P2" i="20"/>
  <c r="O2" i="20"/>
  <c r="N2" i="20"/>
  <c r="M2" i="20"/>
  <c r="L2" i="20"/>
  <c r="K2" i="20"/>
  <c r="J2" i="20"/>
  <c r="I2" i="20"/>
  <c r="H2" i="20"/>
  <c r="G2" i="20"/>
  <c r="F2" i="20"/>
  <c r="E2" i="20"/>
  <c r="D2" i="20"/>
  <c r="C2" i="20"/>
  <c r="B2" i="20"/>
  <c r="CZ25" i="20"/>
  <c r="E99" i="24"/>
  <c r="B2" i="14" a="1"/>
  <c r="CX25" i="14"/>
  <c r="CW25" i="14"/>
  <c r="CV25" i="14"/>
  <c r="CU25" i="14"/>
  <c r="CT25" i="14"/>
  <c r="CS25" i="14"/>
  <c r="CR25" i="14"/>
  <c r="CQ25" i="14"/>
  <c r="CP25" i="14"/>
  <c r="CO25" i="14"/>
  <c r="CN25" i="14"/>
  <c r="CM25" i="14"/>
  <c r="CL25" i="14"/>
  <c r="CK25" i="14"/>
  <c r="CJ25" i="14"/>
  <c r="CI25" i="14"/>
  <c r="CH25" i="14"/>
  <c r="CG25" i="14"/>
  <c r="CF25" i="14"/>
  <c r="CE25" i="14"/>
  <c r="CD25" i="14"/>
  <c r="CC25" i="14"/>
  <c r="CB25" i="14"/>
  <c r="CA25" i="14"/>
  <c r="BZ25" i="14"/>
  <c r="BY25" i="14"/>
  <c r="BX25" i="14"/>
  <c r="BW25" i="14"/>
  <c r="BV25" i="14"/>
  <c r="BU25" i="14"/>
  <c r="BT25" i="14"/>
  <c r="BS25" i="14"/>
  <c r="BR25" i="14"/>
  <c r="BQ25" i="14"/>
  <c r="BP25" i="14"/>
  <c r="BO25" i="14"/>
  <c r="BN25" i="14"/>
  <c r="BM25" i="14"/>
  <c r="BL25" i="14"/>
  <c r="BK25" i="14"/>
  <c r="BJ25" i="14"/>
  <c r="BI25" i="14"/>
  <c r="BH25" i="14"/>
  <c r="BG25" i="14"/>
  <c r="BF25" i="14"/>
  <c r="BE25" i="14"/>
  <c r="BD25" i="14"/>
  <c r="BC25" i="14"/>
  <c r="BB25" i="14"/>
  <c r="BA25" i="14"/>
  <c r="AZ25" i="14"/>
  <c r="AY25" i="14"/>
  <c r="AX25" i="14"/>
  <c r="AW25" i="14"/>
  <c r="AV25" i="14"/>
  <c r="AU25" i="14"/>
  <c r="AT25" i="14"/>
  <c r="AS25" i="14"/>
  <c r="AR25" i="14"/>
  <c r="AQ25" i="14"/>
  <c r="AP25" i="14"/>
  <c r="AO25" i="14"/>
  <c r="AN25" i="14"/>
  <c r="AM25" i="14"/>
  <c r="AL25" i="14"/>
  <c r="AK25" i="14"/>
  <c r="AJ25" i="14"/>
  <c r="AI25" i="14"/>
  <c r="AH25" i="14"/>
  <c r="AG25" i="14"/>
  <c r="AF25" i="14"/>
  <c r="AE25" i="14"/>
  <c r="AD25" i="14"/>
  <c r="AC25" i="14"/>
  <c r="AB25" i="14"/>
  <c r="AA25" i="14"/>
  <c r="Z25" i="14"/>
  <c r="Y25" i="14"/>
  <c r="X25" i="14"/>
  <c r="W25" i="14"/>
  <c r="V25" i="14"/>
  <c r="U25" i="14"/>
  <c r="T25" i="14"/>
  <c r="S25" i="14"/>
  <c r="R25" i="14"/>
  <c r="Q25" i="14"/>
  <c r="P25" i="14"/>
  <c r="O25" i="14"/>
  <c r="N25" i="14"/>
  <c r="M25" i="14"/>
  <c r="L25" i="14"/>
  <c r="K25" i="14"/>
  <c r="J25" i="14"/>
  <c r="I25" i="14"/>
  <c r="H25" i="14"/>
  <c r="G25" i="14"/>
  <c r="F25" i="14"/>
  <c r="E25" i="14"/>
  <c r="D25" i="14"/>
  <c r="C25" i="14"/>
  <c r="B25" i="14"/>
  <c r="CY24" i="14"/>
  <c r="CX24" i="14"/>
  <c r="CW24" i="14"/>
  <c r="CV24" i="14"/>
  <c r="CU24" i="14"/>
  <c r="CT24" i="14"/>
  <c r="CS24" i="14"/>
  <c r="CR24" i="14"/>
  <c r="CQ24" i="14"/>
  <c r="CP24" i="14"/>
  <c r="CO24" i="14"/>
  <c r="CN24" i="14"/>
  <c r="CM24" i="14"/>
  <c r="CL24" i="14"/>
  <c r="CK24" i="14"/>
  <c r="CJ24" i="14"/>
  <c r="CI24" i="14"/>
  <c r="CH24" i="14"/>
  <c r="CG24" i="14"/>
  <c r="CF24" i="14"/>
  <c r="CE24" i="14"/>
  <c r="CD24" i="14"/>
  <c r="CC24" i="14"/>
  <c r="CB24" i="14"/>
  <c r="CA24" i="14"/>
  <c r="BZ24" i="14"/>
  <c r="BY24" i="14"/>
  <c r="BX24" i="14"/>
  <c r="BW24" i="14"/>
  <c r="BV24" i="14"/>
  <c r="BU24" i="14"/>
  <c r="BT24" i="14"/>
  <c r="BS24" i="14"/>
  <c r="BR24" i="14"/>
  <c r="BQ24" i="14"/>
  <c r="BP24" i="14"/>
  <c r="BO24" i="14"/>
  <c r="BN24" i="14"/>
  <c r="BM24" i="14"/>
  <c r="BL24" i="14"/>
  <c r="BK24" i="14"/>
  <c r="BJ24" i="14"/>
  <c r="BI24" i="14"/>
  <c r="BH24" i="14"/>
  <c r="BG24" i="14"/>
  <c r="BF24" i="14"/>
  <c r="BE24" i="14"/>
  <c r="BD24" i="14"/>
  <c r="BC24" i="14"/>
  <c r="BB24" i="14"/>
  <c r="BA24" i="14"/>
  <c r="AZ24" i="14"/>
  <c r="AY24" i="14"/>
  <c r="AX24" i="14"/>
  <c r="AW24" i="14"/>
  <c r="AV24" i="14"/>
  <c r="AU24" i="14"/>
  <c r="AT24" i="14"/>
  <c r="AS24" i="14"/>
  <c r="AR24" i="14"/>
  <c r="AQ24" i="14"/>
  <c r="AP24" i="14"/>
  <c r="AO24" i="14"/>
  <c r="AN24" i="14"/>
  <c r="AM24" i="14"/>
  <c r="AL24" i="14"/>
  <c r="AK24" i="14"/>
  <c r="AJ24" i="14"/>
  <c r="AI24" i="14"/>
  <c r="AH24" i="14"/>
  <c r="AG24" i="14"/>
  <c r="AF24" i="14"/>
  <c r="AE24" i="14"/>
  <c r="AD24" i="14"/>
  <c r="AC24" i="14"/>
  <c r="AB24" i="14"/>
  <c r="AA24" i="14"/>
  <c r="Z24" i="14"/>
  <c r="Y24" i="14"/>
  <c r="X24" i="14"/>
  <c r="W24" i="14"/>
  <c r="V24" i="14"/>
  <c r="U24" i="14"/>
  <c r="T24" i="14"/>
  <c r="S24" i="14"/>
  <c r="R24" i="14"/>
  <c r="Q24" i="14"/>
  <c r="P24" i="14"/>
  <c r="O24" i="14"/>
  <c r="N24" i="14"/>
  <c r="M24" i="14"/>
  <c r="L24" i="14"/>
  <c r="K24" i="14"/>
  <c r="J24" i="14"/>
  <c r="I24" i="14"/>
  <c r="H24" i="14"/>
  <c r="G24" i="14"/>
  <c r="F24" i="14"/>
  <c r="E24" i="14"/>
  <c r="D24" i="14"/>
  <c r="C24" i="14"/>
  <c r="B24" i="14"/>
  <c r="CY23" i="14"/>
  <c r="CX23" i="14"/>
  <c r="CW23" i="14"/>
  <c r="CV23" i="14"/>
  <c r="CU23" i="14"/>
  <c r="CT23" i="14"/>
  <c r="CS23" i="14"/>
  <c r="CR23" i="14"/>
  <c r="CQ23" i="14"/>
  <c r="CP23" i="14"/>
  <c r="CO23" i="14"/>
  <c r="CN23" i="14"/>
  <c r="CM23" i="14"/>
  <c r="CL23" i="14"/>
  <c r="CK23" i="14"/>
  <c r="CJ23" i="14"/>
  <c r="CI23" i="14"/>
  <c r="CH23" i="14"/>
  <c r="CG23" i="14"/>
  <c r="CF23" i="14"/>
  <c r="CE23" i="14"/>
  <c r="CD23" i="14"/>
  <c r="CC23" i="14"/>
  <c r="CB23" i="14"/>
  <c r="CA23" i="14"/>
  <c r="BZ23" i="14"/>
  <c r="BY23" i="14"/>
  <c r="BX23" i="14"/>
  <c r="BW23" i="14"/>
  <c r="BV23" i="14"/>
  <c r="BU23" i="14"/>
  <c r="BT23" i="14"/>
  <c r="BS23" i="14"/>
  <c r="BR23" i="14"/>
  <c r="BQ23" i="14"/>
  <c r="BP23" i="14"/>
  <c r="BO23" i="14"/>
  <c r="BN23" i="14"/>
  <c r="BM23" i="14"/>
  <c r="BL23" i="14"/>
  <c r="BK23" i="14"/>
  <c r="BJ23" i="14"/>
  <c r="BI23" i="14"/>
  <c r="BH23" i="14"/>
  <c r="BG23" i="14"/>
  <c r="BF23" i="14"/>
  <c r="BE23" i="14"/>
  <c r="BD23" i="14"/>
  <c r="BC23" i="14"/>
  <c r="BB23" i="14"/>
  <c r="BA23" i="14"/>
  <c r="AZ23" i="14"/>
  <c r="AY23" i="14"/>
  <c r="AX23" i="14"/>
  <c r="AW23" i="14"/>
  <c r="AV23" i="14"/>
  <c r="AU23" i="14"/>
  <c r="AT23" i="14"/>
  <c r="AS23" i="14"/>
  <c r="AR23" i="14"/>
  <c r="AQ23" i="14"/>
  <c r="AP23" i="14"/>
  <c r="AO23" i="14"/>
  <c r="AN23" i="14"/>
  <c r="AM23" i="14"/>
  <c r="AL23" i="14"/>
  <c r="AK23" i="14"/>
  <c r="AJ23" i="14"/>
  <c r="AI23" i="14"/>
  <c r="AH23" i="14"/>
  <c r="AG23" i="14"/>
  <c r="AF23" i="14"/>
  <c r="AE23" i="14"/>
  <c r="AD23" i="14"/>
  <c r="AC23" i="14"/>
  <c r="AB23" i="14"/>
  <c r="AA23" i="14"/>
  <c r="Z23" i="14"/>
  <c r="Y23" i="14"/>
  <c r="X23" i="14"/>
  <c r="W23" i="14"/>
  <c r="V23" i="14"/>
  <c r="U23" i="14"/>
  <c r="T23" i="14"/>
  <c r="S23" i="14"/>
  <c r="R23" i="14"/>
  <c r="Q23" i="14"/>
  <c r="P23" i="14"/>
  <c r="O23" i="14"/>
  <c r="N23" i="14"/>
  <c r="M23" i="14"/>
  <c r="L23" i="14"/>
  <c r="K23" i="14"/>
  <c r="J23" i="14"/>
  <c r="I23" i="14"/>
  <c r="H23" i="14"/>
  <c r="G23" i="14"/>
  <c r="F23" i="14"/>
  <c r="E23" i="14"/>
  <c r="D23" i="14"/>
  <c r="C23" i="14"/>
  <c r="B23" i="14"/>
  <c r="CY22" i="14"/>
  <c r="CX22" i="14"/>
  <c r="CW22" i="14"/>
  <c r="CV22" i="14"/>
  <c r="CU22" i="14"/>
  <c r="CT22" i="14"/>
  <c r="CS22" i="14"/>
  <c r="CR22" i="14"/>
  <c r="CQ22" i="14"/>
  <c r="CP22" i="14"/>
  <c r="CO22" i="14"/>
  <c r="CN22" i="14"/>
  <c r="CM22" i="14"/>
  <c r="CL22" i="14"/>
  <c r="CK22" i="14"/>
  <c r="CJ22" i="14"/>
  <c r="CI22" i="14"/>
  <c r="CH22" i="14"/>
  <c r="CG22" i="14"/>
  <c r="CF22" i="14"/>
  <c r="CE22" i="14"/>
  <c r="CD22" i="14"/>
  <c r="CC22" i="14"/>
  <c r="CB22" i="14"/>
  <c r="CA22" i="14"/>
  <c r="BZ22" i="14"/>
  <c r="BY22" i="14"/>
  <c r="BX22" i="14"/>
  <c r="BW22" i="14"/>
  <c r="BV22" i="14"/>
  <c r="BU22" i="14"/>
  <c r="BT22" i="14"/>
  <c r="BS22" i="14"/>
  <c r="BR22" i="14"/>
  <c r="BQ22" i="14"/>
  <c r="BP22" i="14"/>
  <c r="BO22" i="14"/>
  <c r="BN22" i="14"/>
  <c r="BM22" i="14"/>
  <c r="BL22" i="14"/>
  <c r="BK22" i="14"/>
  <c r="BJ22" i="14"/>
  <c r="BI22" i="14"/>
  <c r="BH22" i="14"/>
  <c r="BG22" i="14"/>
  <c r="BF22" i="14"/>
  <c r="BE22" i="14"/>
  <c r="BD22" i="14"/>
  <c r="BC22" i="14"/>
  <c r="BB22" i="14"/>
  <c r="BA22" i="14"/>
  <c r="AZ22" i="14"/>
  <c r="AY22" i="14"/>
  <c r="AX22" i="14"/>
  <c r="AW22" i="14"/>
  <c r="AV22" i="14"/>
  <c r="AU22" i="14"/>
  <c r="AT22" i="14"/>
  <c r="AS22" i="14"/>
  <c r="AR22" i="14"/>
  <c r="AQ22" i="14"/>
  <c r="AP22" i="14"/>
  <c r="AO22" i="14"/>
  <c r="AN22" i="14"/>
  <c r="AM22" i="14"/>
  <c r="AL22" i="14"/>
  <c r="AK22" i="14"/>
  <c r="AJ22" i="14"/>
  <c r="AI22" i="14"/>
  <c r="AH22" i="14"/>
  <c r="AG22" i="14"/>
  <c r="AF22" i="14"/>
  <c r="AE22" i="14"/>
  <c r="AD22" i="14"/>
  <c r="AC22" i="14"/>
  <c r="AB22" i="14"/>
  <c r="AA22" i="14"/>
  <c r="Z22" i="14"/>
  <c r="Y22" i="14"/>
  <c r="X22" i="14"/>
  <c r="W22" i="14"/>
  <c r="V22" i="14"/>
  <c r="U22" i="14"/>
  <c r="T22" i="14"/>
  <c r="S22" i="14"/>
  <c r="R22" i="14"/>
  <c r="Q22" i="14"/>
  <c r="P22" i="14"/>
  <c r="O22" i="14"/>
  <c r="N22" i="14"/>
  <c r="M22" i="14"/>
  <c r="L22" i="14"/>
  <c r="K22" i="14"/>
  <c r="J22" i="14"/>
  <c r="I22" i="14"/>
  <c r="H22" i="14"/>
  <c r="G22" i="14"/>
  <c r="F22" i="14"/>
  <c r="E22" i="14"/>
  <c r="D22" i="14"/>
  <c r="C22" i="14"/>
  <c r="B22" i="14"/>
  <c r="CY21" i="14"/>
  <c r="CX21" i="14"/>
  <c r="CW21" i="14"/>
  <c r="CV21" i="14"/>
  <c r="CU21" i="14"/>
  <c r="CT21" i="14"/>
  <c r="CS21" i="14"/>
  <c r="CR21" i="14"/>
  <c r="CQ21" i="14"/>
  <c r="CP21" i="14"/>
  <c r="CO21" i="14"/>
  <c r="CN21" i="14"/>
  <c r="CM21" i="14"/>
  <c r="CL21" i="14"/>
  <c r="CK21" i="14"/>
  <c r="CJ21" i="14"/>
  <c r="CI21" i="14"/>
  <c r="CH21" i="14"/>
  <c r="CG21" i="14"/>
  <c r="CF21" i="14"/>
  <c r="CE21" i="14"/>
  <c r="CD21" i="14"/>
  <c r="CC21" i="14"/>
  <c r="CB21" i="14"/>
  <c r="CA21" i="14"/>
  <c r="BZ21" i="14"/>
  <c r="BY21" i="14"/>
  <c r="BX21" i="14"/>
  <c r="BW21" i="14"/>
  <c r="BV21" i="14"/>
  <c r="BU21" i="14"/>
  <c r="BT21" i="14"/>
  <c r="BS21" i="14"/>
  <c r="BR21" i="14"/>
  <c r="BQ21" i="14"/>
  <c r="BP21" i="14"/>
  <c r="BO21" i="14"/>
  <c r="BN21" i="14"/>
  <c r="BM21" i="14"/>
  <c r="BL21" i="14"/>
  <c r="BK21" i="14"/>
  <c r="BJ21" i="14"/>
  <c r="BI21" i="14"/>
  <c r="BH21" i="14"/>
  <c r="BG21" i="14"/>
  <c r="BF21" i="14"/>
  <c r="BE21" i="14"/>
  <c r="BD21" i="14"/>
  <c r="BC21" i="14"/>
  <c r="BB21" i="14"/>
  <c r="BA21" i="14"/>
  <c r="AZ21" i="14"/>
  <c r="AY21" i="14"/>
  <c r="AX21" i="14"/>
  <c r="AW21" i="14"/>
  <c r="AV21" i="14"/>
  <c r="AU21" i="14"/>
  <c r="AT21" i="14"/>
  <c r="AS21" i="14"/>
  <c r="AR21" i="14"/>
  <c r="AQ21" i="14"/>
  <c r="AP21" i="14"/>
  <c r="AO21" i="14"/>
  <c r="AN21" i="14"/>
  <c r="AM21" i="14"/>
  <c r="AL21" i="14"/>
  <c r="AK21" i="14"/>
  <c r="AJ21" i="14"/>
  <c r="AI21" i="14"/>
  <c r="AH21" i="14"/>
  <c r="AG21" i="14"/>
  <c r="AF21" i="14"/>
  <c r="AE21" i="14"/>
  <c r="AD21" i="14"/>
  <c r="AC21" i="14"/>
  <c r="AB21" i="14"/>
  <c r="AA21" i="14"/>
  <c r="Z21" i="14"/>
  <c r="Y21" i="14"/>
  <c r="X21" i="14"/>
  <c r="W21" i="14"/>
  <c r="V21" i="14"/>
  <c r="U21" i="14"/>
  <c r="T21" i="14"/>
  <c r="S21" i="14"/>
  <c r="R21" i="14"/>
  <c r="Q21" i="14"/>
  <c r="P21" i="14"/>
  <c r="O21" i="14"/>
  <c r="N21" i="14"/>
  <c r="M21" i="14"/>
  <c r="L21" i="14"/>
  <c r="K21" i="14"/>
  <c r="J21" i="14"/>
  <c r="I21" i="14"/>
  <c r="H21" i="14"/>
  <c r="G21" i="14"/>
  <c r="F21" i="14"/>
  <c r="E21" i="14"/>
  <c r="D21" i="14"/>
  <c r="C21" i="14"/>
  <c r="B21" i="14"/>
  <c r="CY20" i="14"/>
  <c r="CX20" i="14"/>
  <c r="CW20" i="14"/>
  <c r="CV20" i="14"/>
  <c r="CU20" i="14"/>
  <c r="CT20" i="14"/>
  <c r="CS20" i="14"/>
  <c r="CR20" i="14"/>
  <c r="CQ20" i="14"/>
  <c r="CP20" i="14"/>
  <c r="CO20" i="14"/>
  <c r="CN20" i="14"/>
  <c r="CM20" i="14"/>
  <c r="CL20" i="14"/>
  <c r="CK20" i="14"/>
  <c r="CJ20" i="14"/>
  <c r="CI20" i="14"/>
  <c r="CH20" i="14"/>
  <c r="CG20" i="14"/>
  <c r="CF20" i="14"/>
  <c r="CE20" i="14"/>
  <c r="CD20" i="14"/>
  <c r="CC20" i="14"/>
  <c r="CB20" i="14"/>
  <c r="CA20" i="14"/>
  <c r="BZ20" i="14"/>
  <c r="BY20" i="14"/>
  <c r="BX20" i="14"/>
  <c r="BW20" i="14"/>
  <c r="BV20" i="14"/>
  <c r="BU20" i="14"/>
  <c r="BT20" i="14"/>
  <c r="BS20" i="14"/>
  <c r="BR20" i="14"/>
  <c r="BQ20" i="14"/>
  <c r="BP20" i="14"/>
  <c r="BO20" i="14"/>
  <c r="BN20" i="14"/>
  <c r="BM20" i="14"/>
  <c r="BL20" i="14"/>
  <c r="BK20" i="14"/>
  <c r="BJ20" i="14"/>
  <c r="BI20" i="14"/>
  <c r="BH20" i="14"/>
  <c r="BG20" i="14"/>
  <c r="BF20" i="14"/>
  <c r="BE20" i="14"/>
  <c r="BD20" i="14"/>
  <c r="BC20" i="14"/>
  <c r="BB20" i="14"/>
  <c r="BA20" i="14"/>
  <c r="AZ20" i="14"/>
  <c r="AY20" i="14"/>
  <c r="AX20" i="14"/>
  <c r="AW20" i="14"/>
  <c r="AV20" i="14"/>
  <c r="AU20" i="14"/>
  <c r="AT20" i="14"/>
  <c r="AS20" i="14"/>
  <c r="AR20" i="14"/>
  <c r="AQ20" i="14"/>
  <c r="AP20" i="14"/>
  <c r="AO20" i="14"/>
  <c r="AN20" i="14"/>
  <c r="AM20" i="14"/>
  <c r="AL20" i="14"/>
  <c r="AK20" i="14"/>
  <c r="AJ20" i="14"/>
  <c r="AI20" i="14"/>
  <c r="AH20" i="14"/>
  <c r="AG20" i="14"/>
  <c r="AF20" i="14"/>
  <c r="AE20" i="14"/>
  <c r="AD20" i="14"/>
  <c r="AC20" i="14"/>
  <c r="AB20" i="14"/>
  <c r="AA20" i="14"/>
  <c r="Z20" i="14"/>
  <c r="Y20" i="14"/>
  <c r="X20" i="14"/>
  <c r="W20" i="14"/>
  <c r="V20" i="14"/>
  <c r="U20" i="14"/>
  <c r="T20" i="14"/>
  <c r="S20" i="14"/>
  <c r="R20" i="14"/>
  <c r="Q20" i="14"/>
  <c r="P20" i="14"/>
  <c r="O20" i="14"/>
  <c r="N20" i="14"/>
  <c r="M20" i="14"/>
  <c r="L20" i="14"/>
  <c r="K20" i="14"/>
  <c r="J20" i="14"/>
  <c r="I20" i="14"/>
  <c r="H20" i="14"/>
  <c r="G20" i="14"/>
  <c r="F20" i="14"/>
  <c r="E20" i="14"/>
  <c r="D20" i="14"/>
  <c r="C20" i="14"/>
  <c r="B20" i="14"/>
  <c r="CY19" i="14"/>
  <c r="CX19" i="14"/>
  <c r="CW19" i="14"/>
  <c r="CV19" i="14"/>
  <c r="CU19" i="14"/>
  <c r="CT19" i="14"/>
  <c r="CS19" i="14"/>
  <c r="CR19" i="14"/>
  <c r="CQ19" i="14"/>
  <c r="CP19" i="14"/>
  <c r="CO19" i="14"/>
  <c r="CN19" i="14"/>
  <c r="CM19" i="14"/>
  <c r="CL19" i="14"/>
  <c r="CK19" i="14"/>
  <c r="CJ19" i="14"/>
  <c r="CI19" i="14"/>
  <c r="CH19" i="14"/>
  <c r="CG19" i="14"/>
  <c r="CF19" i="14"/>
  <c r="CE19" i="14"/>
  <c r="CD19" i="14"/>
  <c r="CC19" i="14"/>
  <c r="CB19" i="14"/>
  <c r="CA19" i="14"/>
  <c r="BZ19" i="14"/>
  <c r="BY19" i="14"/>
  <c r="BX19" i="14"/>
  <c r="BW19" i="14"/>
  <c r="BV19" i="14"/>
  <c r="BU19" i="14"/>
  <c r="BT19" i="14"/>
  <c r="BS19" i="14"/>
  <c r="BR19" i="14"/>
  <c r="BQ19" i="14"/>
  <c r="BP19" i="14"/>
  <c r="BO19" i="14"/>
  <c r="BN19" i="14"/>
  <c r="BM19" i="14"/>
  <c r="BL19" i="14"/>
  <c r="BK19" i="14"/>
  <c r="BJ19" i="14"/>
  <c r="BI19" i="14"/>
  <c r="BH19" i="14"/>
  <c r="BG19" i="14"/>
  <c r="BF19" i="14"/>
  <c r="BE19" i="14"/>
  <c r="BD19" i="14"/>
  <c r="BC19" i="14"/>
  <c r="BB19" i="14"/>
  <c r="BA19" i="14"/>
  <c r="AZ19" i="14"/>
  <c r="AY19" i="14"/>
  <c r="AX19" i="14"/>
  <c r="AW19" i="14"/>
  <c r="AV19" i="14"/>
  <c r="AU19" i="14"/>
  <c r="AT19" i="14"/>
  <c r="AS19" i="14"/>
  <c r="AR19" i="14"/>
  <c r="AQ19" i="14"/>
  <c r="AP19" i="14"/>
  <c r="AO19" i="14"/>
  <c r="AN19" i="14"/>
  <c r="AM19" i="14"/>
  <c r="AL19" i="14"/>
  <c r="AK19" i="14"/>
  <c r="AJ19" i="14"/>
  <c r="AI19" i="14"/>
  <c r="AH19" i="14"/>
  <c r="AG19" i="14"/>
  <c r="AF19" i="14"/>
  <c r="AE19" i="14"/>
  <c r="AD19" i="14"/>
  <c r="AC19" i="14"/>
  <c r="AB19" i="14"/>
  <c r="AA19" i="14"/>
  <c r="Z19" i="14"/>
  <c r="Y19" i="14"/>
  <c r="X19" i="14"/>
  <c r="W19" i="14"/>
  <c r="V19" i="14"/>
  <c r="U19" i="14"/>
  <c r="T19" i="14"/>
  <c r="S19" i="14"/>
  <c r="R19" i="14"/>
  <c r="Q19" i="14"/>
  <c r="P19" i="14"/>
  <c r="O19" i="14"/>
  <c r="N19" i="14"/>
  <c r="M19" i="14"/>
  <c r="L19" i="14"/>
  <c r="K19" i="14"/>
  <c r="J19" i="14"/>
  <c r="I19" i="14"/>
  <c r="H19" i="14"/>
  <c r="G19" i="14"/>
  <c r="F19" i="14"/>
  <c r="E19" i="14"/>
  <c r="D19" i="14"/>
  <c r="C19" i="14"/>
  <c r="B19" i="14"/>
  <c r="CY18" i="14"/>
  <c r="CX18" i="14"/>
  <c r="CW18" i="14"/>
  <c r="CV18" i="14"/>
  <c r="CU18" i="14"/>
  <c r="CT18" i="14"/>
  <c r="CS18" i="14"/>
  <c r="CR18" i="14"/>
  <c r="CQ18" i="14"/>
  <c r="CP18" i="14"/>
  <c r="CO18" i="14"/>
  <c r="CN18" i="14"/>
  <c r="CM18" i="14"/>
  <c r="CL18" i="14"/>
  <c r="CK18" i="14"/>
  <c r="CJ18" i="14"/>
  <c r="CI18" i="14"/>
  <c r="CH18" i="14"/>
  <c r="CG18" i="14"/>
  <c r="CF18" i="14"/>
  <c r="CE18" i="14"/>
  <c r="CD18" i="14"/>
  <c r="CC18" i="14"/>
  <c r="CB18" i="14"/>
  <c r="CA18" i="14"/>
  <c r="BZ18" i="14"/>
  <c r="BY18" i="14"/>
  <c r="BX18" i="14"/>
  <c r="BW18" i="14"/>
  <c r="BV18" i="14"/>
  <c r="BU18" i="14"/>
  <c r="BT18" i="14"/>
  <c r="BS18" i="14"/>
  <c r="BR18" i="14"/>
  <c r="BQ18" i="14"/>
  <c r="BP18" i="14"/>
  <c r="BO18" i="14"/>
  <c r="BN18" i="14"/>
  <c r="BM18" i="14"/>
  <c r="BL18" i="14"/>
  <c r="BK18" i="14"/>
  <c r="BJ18" i="14"/>
  <c r="BI18" i="14"/>
  <c r="BH18" i="14"/>
  <c r="BG18" i="14"/>
  <c r="BF18" i="14"/>
  <c r="BE18" i="14"/>
  <c r="BD18" i="14"/>
  <c r="BC18" i="14"/>
  <c r="BB18" i="14"/>
  <c r="BA18" i="14"/>
  <c r="AZ18" i="14"/>
  <c r="AY18" i="14"/>
  <c r="AX18" i="14"/>
  <c r="AW18" i="14"/>
  <c r="AV18" i="14"/>
  <c r="AU18" i="14"/>
  <c r="AT18" i="14"/>
  <c r="AS18" i="14"/>
  <c r="AR18" i="14"/>
  <c r="AQ18" i="14"/>
  <c r="AP18" i="14"/>
  <c r="AO18" i="14"/>
  <c r="AN18" i="14"/>
  <c r="AM18" i="14"/>
  <c r="AL18" i="14"/>
  <c r="AK18" i="14"/>
  <c r="AJ18" i="14"/>
  <c r="AI18" i="14"/>
  <c r="AH18" i="14"/>
  <c r="AG18" i="14"/>
  <c r="AF18" i="14"/>
  <c r="AE18" i="14"/>
  <c r="AD18" i="14"/>
  <c r="AC18" i="14"/>
  <c r="AB18" i="14"/>
  <c r="AA18" i="14"/>
  <c r="Z18" i="14"/>
  <c r="Y18" i="14"/>
  <c r="X18" i="14"/>
  <c r="W18" i="14"/>
  <c r="V18" i="14"/>
  <c r="U18" i="14"/>
  <c r="T18" i="14"/>
  <c r="S18" i="14"/>
  <c r="R18" i="14"/>
  <c r="Q18" i="14"/>
  <c r="P18" i="14"/>
  <c r="O18" i="14"/>
  <c r="N18" i="14"/>
  <c r="M18" i="14"/>
  <c r="L18" i="14"/>
  <c r="K18" i="14"/>
  <c r="J18" i="14"/>
  <c r="I18" i="14"/>
  <c r="H18" i="14"/>
  <c r="G18" i="14"/>
  <c r="F18" i="14"/>
  <c r="E18" i="14"/>
  <c r="D18" i="14"/>
  <c r="C18" i="14"/>
  <c r="B18" i="14"/>
  <c r="CY17" i="14"/>
  <c r="CX17" i="14"/>
  <c r="CW17" i="14"/>
  <c r="CV17" i="14"/>
  <c r="CU17" i="14"/>
  <c r="CT17" i="14"/>
  <c r="CS17" i="14"/>
  <c r="CR17" i="14"/>
  <c r="CQ17" i="14"/>
  <c r="CP17" i="14"/>
  <c r="CO17" i="14"/>
  <c r="CN17" i="14"/>
  <c r="CM17" i="14"/>
  <c r="CL17" i="14"/>
  <c r="CK17" i="14"/>
  <c r="CJ17" i="14"/>
  <c r="CI17" i="14"/>
  <c r="CH17" i="14"/>
  <c r="CG17" i="14"/>
  <c r="CF17" i="14"/>
  <c r="CE17" i="14"/>
  <c r="CD17" i="14"/>
  <c r="CC17" i="14"/>
  <c r="CB17" i="14"/>
  <c r="CA17" i="14"/>
  <c r="BZ17" i="14"/>
  <c r="BY17" i="14"/>
  <c r="BX17" i="14"/>
  <c r="BW17" i="14"/>
  <c r="BV17" i="14"/>
  <c r="BU17" i="14"/>
  <c r="BT17" i="14"/>
  <c r="BS17" i="14"/>
  <c r="BR17" i="14"/>
  <c r="BQ17" i="14"/>
  <c r="BP17" i="14"/>
  <c r="BO17" i="14"/>
  <c r="BN17" i="14"/>
  <c r="BM17" i="14"/>
  <c r="BL17" i="14"/>
  <c r="BK17" i="14"/>
  <c r="BJ17" i="14"/>
  <c r="BI17" i="14"/>
  <c r="BH17" i="14"/>
  <c r="BG17" i="14"/>
  <c r="BF17" i="14"/>
  <c r="BE17" i="14"/>
  <c r="BD17" i="14"/>
  <c r="BC17" i="14"/>
  <c r="BB17" i="14"/>
  <c r="BA17" i="14"/>
  <c r="AZ17" i="14"/>
  <c r="AY17" i="14"/>
  <c r="AX17" i="14"/>
  <c r="AW17" i="14"/>
  <c r="AV17" i="14"/>
  <c r="AU17" i="14"/>
  <c r="AT17" i="14"/>
  <c r="AS17" i="14"/>
  <c r="AR17" i="14"/>
  <c r="AQ17" i="14"/>
  <c r="AP17" i="14"/>
  <c r="AO17" i="14"/>
  <c r="AN17" i="14"/>
  <c r="AM17" i="14"/>
  <c r="AL17" i="14"/>
  <c r="AK17" i="14"/>
  <c r="AJ17" i="14"/>
  <c r="AI17" i="14"/>
  <c r="AH17" i="14"/>
  <c r="AG17" i="14"/>
  <c r="AF17" i="14"/>
  <c r="AE17" i="14"/>
  <c r="AD17" i="14"/>
  <c r="AC17" i="14"/>
  <c r="AB17" i="14"/>
  <c r="AA17" i="14"/>
  <c r="Z17" i="14"/>
  <c r="Y17" i="14"/>
  <c r="X17" i="14"/>
  <c r="W17" i="14"/>
  <c r="V17" i="14"/>
  <c r="U17" i="14"/>
  <c r="T17" i="14"/>
  <c r="S17" i="14"/>
  <c r="R17" i="14"/>
  <c r="Q17" i="14"/>
  <c r="P17" i="14"/>
  <c r="O17" i="14"/>
  <c r="N17" i="14"/>
  <c r="M17" i="14"/>
  <c r="L17" i="14"/>
  <c r="K17" i="14"/>
  <c r="J17" i="14"/>
  <c r="I17" i="14"/>
  <c r="H17" i="14"/>
  <c r="G17" i="14"/>
  <c r="F17" i="14"/>
  <c r="E17" i="14"/>
  <c r="D17" i="14"/>
  <c r="C17" i="14"/>
  <c r="B17" i="14"/>
  <c r="CY16" i="14"/>
  <c r="CX16" i="14"/>
  <c r="CW16" i="14"/>
  <c r="CV16" i="14"/>
  <c r="CU16" i="14"/>
  <c r="CT16" i="14"/>
  <c r="CS16" i="14"/>
  <c r="CR16" i="14"/>
  <c r="CQ16" i="14"/>
  <c r="CP16" i="14"/>
  <c r="CO16" i="14"/>
  <c r="CN16" i="14"/>
  <c r="CM16" i="14"/>
  <c r="CL16" i="14"/>
  <c r="CK16" i="14"/>
  <c r="CJ16" i="14"/>
  <c r="CI16" i="14"/>
  <c r="CH16" i="14"/>
  <c r="CG16" i="14"/>
  <c r="CF16" i="14"/>
  <c r="CE16" i="14"/>
  <c r="CD16" i="14"/>
  <c r="CC16" i="14"/>
  <c r="CB16" i="14"/>
  <c r="CA16" i="14"/>
  <c r="BZ16" i="14"/>
  <c r="BY16" i="14"/>
  <c r="BX16" i="14"/>
  <c r="BW16" i="14"/>
  <c r="BV16" i="14"/>
  <c r="BU16" i="14"/>
  <c r="BT16" i="14"/>
  <c r="BS16" i="14"/>
  <c r="BR16" i="14"/>
  <c r="BQ16" i="14"/>
  <c r="BP16" i="14"/>
  <c r="BO16" i="14"/>
  <c r="BN16" i="14"/>
  <c r="BM16" i="14"/>
  <c r="BL16" i="14"/>
  <c r="BK16" i="14"/>
  <c r="BJ16" i="14"/>
  <c r="BI16" i="14"/>
  <c r="BH16" i="14"/>
  <c r="BG16" i="14"/>
  <c r="BF16" i="14"/>
  <c r="BE16" i="14"/>
  <c r="BD16" i="14"/>
  <c r="BC16" i="14"/>
  <c r="BB16" i="14"/>
  <c r="BA16" i="14"/>
  <c r="AZ16" i="14"/>
  <c r="AY16" i="14"/>
  <c r="AX16" i="14"/>
  <c r="AW16" i="14"/>
  <c r="AV16" i="14"/>
  <c r="AU16" i="14"/>
  <c r="AT16" i="14"/>
  <c r="AS16" i="14"/>
  <c r="AR16" i="14"/>
  <c r="AQ16" i="14"/>
  <c r="AP16" i="14"/>
  <c r="AO16" i="14"/>
  <c r="AN16" i="14"/>
  <c r="AM16" i="14"/>
  <c r="AL16" i="14"/>
  <c r="AK16" i="14"/>
  <c r="AJ16" i="14"/>
  <c r="AI16" i="14"/>
  <c r="AH16" i="14"/>
  <c r="AG16" i="14"/>
  <c r="AF16" i="14"/>
  <c r="AE16" i="14"/>
  <c r="AD16" i="14"/>
  <c r="AC16" i="14"/>
  <c r="AB16" i="14"/>
  <c r="AA16" i="14"/>
  <c r="Z16" i="14"/>
  <c r="Y16" i="14"/>
  <c r="X16" i="14"/>
  <c r="W16" i="14"/>
  <c r="V16" i="14"/>
  <c r="U16" i="14"/>
  <c r="T16" i="14"/>
  <c r="S16" i="14"/>
  <c r="R16" i="14"/>
  <c r="Q16" i="14"/>
  <c r="P16" i="14"/>
  <c r="O16" i="14"/>
  <c r="N16" i="14"/>
  <c r="M16" i="14"/>
  <c r="L16" i="14"/>
  <c r="K16" i="14"/>
  <c r="J16" i="14"/>
  <c r="I16" i="14"/>
  <c r="H16" i="14"/>
  <c r="G16" i="14"/>
  <c r="F16" i="14"/>
  <c r="E16" i="14"/>
  <c r="D16" i="14"/>
  <c r="C16" i="14"/>
  <c r="B16" i="14"/>
  <c r="CY15" i="14"/>
  <c r="CX15" i="14"/>
  <c r="CW15" i="14"/>
  <c r="CV15" i="14"/>
  <c r="CU15" i="14"/>
  <c r="CT15" i="14"/>
  <c r="CS15" i="14"/>
  <c r="CR15" i="14"/>
  <c r="CQ15" i="14"/>
  <c r="CP15" i="14"/>
  <c r="CO15" i="14"/>
  <c r="CN15" i="14"/>
  <c r="CM15" i="14"/>
  <c r="CL15" i="14"/>
  <c r="CK15" i="14"/>
  <c r="CJ15" i="14"/>
  <c r="CI15" i="14"/>
  <c r="CH15" i="14"/>
  <c r="CG15" i="14"/>
  <c r="CF15" i="14"/>
  <c r="CE15" i="14"/>
  <c r="CD15" i="14"/>
  <c r="CC15" i="14"/>
  <c r="CB15" i="14"/>
  <c r="CA15" i="14"/>
  <c r="BZ15" i="14"/>
  <c r="BY15" i="14"/>
  <c r="BX15" i="14"/>
  <c r="BW15" i="14"/>
  <c r="BV15" i="14"/>
  <c r="BU15" i="14"/>
  <c r="BT15" i="14"/>
  <c r="BS15" i="14"/>
  <c r="BR15" i="14"/>
  <c r="BQ15" i="14"/>
  <c r="BP15" i="14"/>
  <c r="BO15" i="14"/>
  <c r="BN15" i="14"/>
  <c r="BM15" i="14"/>
  <c r="BL15" i="14"/>
  <c r="BK15" i="14"/>
  <c r="BJ15" i="14"/>
  <c r="BI15" i="14"/>
  <c r="BH15" i="14"/>
  <c r="BG15" i="14"/>
  <c r="BF15" i="14"/>
  <c r="BE15" i="14"/>
  <c r="BD15" i="14"/>
  <c r="BC15" i="14"/>
  <c r="BB15" i="14"/>
  <c r="BA15" i="14"/>
  <c r="AZ15" i="14"/>
  <c r="AY15" i="14"/>
  <c r="AX15" i="14"/>
  <c r="AW15" i="14"/>
  <c r="AV15" i="14"/>
  <c r="AU15" i="14"/>
  <c r="AT15" i="14"/>
  <c r="AS15" i="14"/>
  <c r="AR15" i="14"/>
  <c r="AQ15" i="14"/>
  <c r="AP15" i="14"/>
  <c r="AO15" i="14"/>
  <c r="AN15" i="14"/>
  <c r="AM15" i="14"/>
  <c r="AL15" i="14"/>
  <c r="AK15" i="14"/>
  <c r="AJ15" i="14"/>
  <c r="AI15" i="14"/>
  <c r="AH15" i="14"/>
  <c r="AG15" i="14"/>
  <c r="AF15" i="14"/>
  <c r="AE15" i="14"/>
  <c r="AD15" i="14"/>
  <c r="AC15" i="14"/>
  <c r="AB15" i="14"/>
  <c r="AA15" i="14"/>
  <c r="Z15" i="14"/>
  <c r="Y15" i="14"/>
  <c r="X15" i="14"/>
  <c r="W15" i="14"/>
  <c r="V15" i="14"/>
  <c r="U15" i="14"/>
  <c r="T15" i="14"/>
  <c r="S15" i="14"/>
  <c r="R15" i="14"/>
  <c r="Q15" i="14"/>
  <c r="P15" i="14"/>
  <c r="O15" i="14"/>
  <c r="N15" i="14"/>
  <c r="M15" i="14"/>
  <c r="L15" i="14"/>
  <c r="K15" i="14"/>
  <c r="J15" i="14"/>
  <c r="I15" i="14"/>
  <c r="H15" i="14"/>
  <c r="G15" i="14"/>
  <c r="F15" i="14"/>
  <c r="E15" i="14"/>
  <c r="D15" i="14"/>
  <c r="C15" i="14"/>
  <c r="B15" i="14"/>
  <c r="CY14" i="14"/>
  <c r="CX14" i="14"/>
  <c r="CW14" i="14"/>
  <c r="CV14" i="14"/>
  <c r="CU14" i="14"/>
  <c r="CT14" i="14"/>
  <c r="CS14" i="14"/>
  <c r="CR14" i="14"/>
  <c r="CQ14" i="14"/>
  <c r="CP14" i="14"/>
  <c r="CO14" i="14"/>
  <c r="CN14" i="14"/>
  <c r="CM14" i="14"/>
  <c r="CL14" i="14"/>
  <c r="CK14" i="14"/>
  <c r="CJ14" i="14"/>
  <c r="CI14" i="14"/>
  <c r="CH14" i="14"/>
  <c r="CG14" i="14"/>
  <c r="CF14" i="14"/>
  <c r="CE14" i="14"/>
  <c r="CD14" i="14"/>
  <c r="CC14" i="14"/>
  <c r="CB14" i="14"/>
  <c r="CA14" i="14"/>
  <c r="BZ14" i="14"/>
  <c r="BY14" i="14"/>
  <c r="BX14" i="14"/>
  <c r="BW14" i="14"/>
  <c r="BV14" i="14"/>
  <c r="BU14" i="14"/>
  <c r="BT14" i="14"/>
  <c r="BS14" i="14"/>
  <c r="BR14" i="14"/>
  <c r="BQ14" i="14"/>
  <c r="BP14" i="14"/>
  <c r="BO14" i="14"/>
  <c r="BN14" i="14"/>
  <c r="BM14" i="14"/>
  <c r="BL14" i="14"/>
  <c r="BK14" i="14"/>
  <c r="BJ14" i="14"/>
  <c r="BI14" i="14"/>
  <c r="BH14" i="14"/>
  <c r="BG14" i="14"/>
  <c r="BF14" i="14"/>
  <c r="BE14" i="14"/>
  <c r="BD14" i="14"/>
  <c r="BC14" i="14"/>
  <c r="BB14" i="14"/>
  <c r="BA14" i="14"/>
  <c r="AZ14" i="14"/>
  <c r="AY14" i="14"/>
  <c r="AX14" i="14"/>
  <c r="AW14" i="14"/>
  <c r="AV14" i="14"/>
  <c r="AU14" i="14"/>
  <c r="AT14" i="14"/>
  <c r="AS14" i="14"/>
  <c r="AR14" i="14"/>
  <c r="AQ14" i="14"/>
  <c r="AP14" i="14"/>
  <c r="AO14" i="14"/>
  <c r="AN14" i="14"/>
  <c r="AM14" i="14"/>
  <c r="AL14" i="14"/>
  <c r="AK14" i="14"/>
  <c r="AJ14" i="14"/>
  <c r="AI14" i="14"/>
  <c r="AH14" i="14"/>
  <c r="AG14" i="14"/>
  <c r="AF14" i="14"/>
  <c r="AE14" i="14"/>
  <c r="AD14" i="14"/>
  <c r="AC14" i="14"/>
  <c r="AB14" i="14"/>
  <c r="AA14" i="14"/>
  <c r="Z14" i="14"/>
  <c r="Y14" i="14"/>
  <c r="X14" i="14"/>
  <c r="W14" i="14"/>
  <c r="V14" i="14"/>
  <c r="U14" i="14"/>
  <c r="T14" i="14"/>
  <c r="S14" i="14"/>
  <c r="R14" i="14"/>
  <c r="Q14" i="14"/>
  <c r="P14" i="14"/>
  <c r="O14" i="14"/>
  <c r="N14" i="14"/>
  <c r="M14" i="14"/>
  <c r="L14" i="14"/>
  <c r="K14" i="14"/>
  <c r="J14" i="14"/>
  <c r="I14" i="14"/>
  <c r="H14" i="14"/>
  <c r="G14" i="14"/>
  <c r="F14" i="14"/>
  <c r="E14" i="14"/>
  <c r="D14" i="14"/>
  <c r="C14" i="14"/>
  <c r="B14" i="14"/>
  <c r="CY13" i="14"/>
  <c r="CX13" i="14"/>
  <c r="CW13" i="14"/>
  <c r="CV13" i="14"/>
  <c r="CU13" i="14"/>
  <c r="CT13" i="14"/>
  <c r="CS13" i="14"/>
  <c r="CR13" i="14"/>
  <c r="CQ13" i="14"/>
  <c r="CP13" i="14"/>
  <c r="CO13" i="14"/>
  <c r="CN13" i="14"/>
  <c r="CM13" i="14"/>
  <c r="CL13" i="14"/>
  <c r="CK13" i="14"/>
  <c r="CJ13" i="14"/>
  <c r="CI13" i="14"/>
  <c r="CH13" i="14"/>
  <c r="CG13" i="14"/>
  <c r="CF13" i="14"/>
  <c r="CE13" i="14"/>
  <c r="CD13" i="14"/>
  <c r="CC13" i="14"/>
  <c r="CB13" i="14"/>
  <c r="CA13" i="14"/>
  <c r="BZ13" i="14"/>
  <c r="BY13" i="14"/>
  <c r="BX13" i="14"/>
  <c r="BW13" i="14"/>
  <c r="BV13" i="14"/>
  <c r="BU13" i="14"/>
  <c r="BT13" i="14"/>
  <c r="BS13" i="14"/>
  <c r="BR13" i="14"/>
  <c r="BQ13" i="14"/>
  <c r="BP13" i="14"/>
  <c r="BO13" i="14"/>
  <c r="BN13" i="14"/>
  <c r="BM13" i="14"/>
  <c r="BL13" i="14"/>
  <c r="BK13" i="14"/>
  <c r="BJ13" i="14"/>
  <c r="BI13" i="14"/>
  <c r="BH13" i="14"/>
  <c r="BG13" i="14"/>
  <c r="BF13" i="14"/>
  <c r="BE13" i="14"/>
  <c r="BD13" i="14"/>
  <c r="BC13" i="14"/>
  <c r="BB13" i="14"/>
  <c r="BA13" i="14"/>
  <c r="AZ13" i="14"/>
  <c r="AY13" i="14"/>
  <c r="AX13" i="14"/>
  <c r="AW13" i="14"/>
  <c r="AV13" i="14"/>
  <c r="AU13" i="14"/>
  <c r="AT13" i="14"/>
  <c r="AS13" i="14"/>
  <c r="AR13" i="14"/>
  <c r="AQ13" i="14"/>
  <c r="AP13" i="14"/>
  <c r="AO13" i="14"/>
  <c r="AN13" i="14"/>
  <c r="AM13" i="14"/>
  <c r="AL13" i="14"/>
  <c r="AK13" i="14"/>
  <c r="AJ13" i="14"/>
  <c r="AI13" i="14"/>
  <c r="AH13" i="14"/>
  <c r="AG13" i="14"/>
  <c r="AF13" i="14"/>
  <c r="AE13" i="14"/>
  <c r="AD13" i="14"/>
  <c r="AC13" i="14"/>
  <c r="AB13" i="14"/>
  <c r="AA13" i="14"/>
  <c r="Z13" i="14"/>
  <c r="Y13" i="14"/>
  <c r="X13" i="14"/>
  <c r="W13" i="14"/>
  <c r="V13" i="14"/>
  <c r="U13" i="14"/>
  <c r="T13" i="14"/>
  <c r="S13" i="14"/>
  <c r="R13" i="14"/>
  <c r="Q13" i="14"/>
  <c r="P13" i="14"/>
  <c r="O13" i="14"/>
  <c r="N13" i="14"/>
  <c r="M13" i="14"/>
  <c r="L13" i="14"/>
  <c r="K13" i="14"/>
  <c r="J13" i="14"/>
  <c r="I13" i="14"/>
  <c r="H13" i="14"/>
  <c r="G13" i="14"/>
  <c r="F13" i="14"/>
  <c r="E13" i="14"/>
  <c r="D13" i="14"/>
  <c r="C13" i="14"/>
  <c r="B13" i="14"/>
  <c r="CY12" i="14"/>
  <c r="CX12" i="14"/>
  <c r="CW12" i="14"/>
  <c r="CV12" i="14"/>
  <c r="CU12" i="14"/>
  <c r="CT12" i="14"/>
  <c r="CS12" i="14"/>
  <c r="CR12" i="14"/>
  <c r="CQ12" i="14"/>
  <c r="CP12" i="14"/>
  <c r="CO12" i="14"/>
  <c r="CN12" i="14"/>
  <c r="CM12" i="14"/>
  <c r="CL12" i="14"/>
  <c r="CK12" i="14"/>
  <c r="CJ12" i="14"/>
  <c r="CI12" i="14"/>
  <c r="CH12" i="14"/>
  <c r="CG12" i="14"/>
  <c r="CF12" i="14"/>
  <c r="CE12" i="14"/>
  <c r="CD12" i="14"/>
  <c r="CC12" i="14"/>
  <c r="CB12" i="14"/>
  <c r="CA12" i="14"/>
  <c r="BZ12" i="14"/>
  <c r="BY12" i="14"/>
  <c r="BX12" i="14"/>
  <c r="BW12" i="14"/>
  <c r="BV12" i="14"/>
  <c r="BU12" i="14"/>
  <c r="BT12" i="14"/>
  <c r="BS12" i="14"/>
  <c r="BR12" i="14"/>
  <c r="BQ12" i="14"/>
  <c r="BP12" i="14"/>
  <c r="BO12" i="14"/>
  <c r="BN12" i="14"/>
  <c r="BM12" i="14"/>
  <c r="BL12" i="14"/>
  <c r="BK12" i="14"/>
  <c r="BJ12" i="14"/>
  <c r="BI12" i="14"/>
  <c r="BH12" i="14"/>
  <c r="BG12" i="14"/>
  <c r="BF12" i="14"/>
  <c r="BE12" i="14"/>
  <c r="BD12" i="14"/>
  <c r="BC12" i="14"/>
  <c r="BB12" i="14"/>
  <c r="BA12" i="14"/>
  <c r="AZ12" i="14"/>
  <c r="AY12" i="14"/>
  <c r="AX12" i="14"/>
  <c r="AW12" i="14"/>
  <c r="AV12" i="14"/>
  <c r="AU12" i="14"/>
  <c r="AT12" i="14"/>
  <c r="AS12" i="14"/>
  <c r="AR12" i="14"/>
  <c r="AQ12" i="14"/>
  <c r="AP12" i="14"/>
  <c r="AO12" i="14"/>
  <c r="AN12" i="14"/>
  <c r="AM12" i="14"/>
  <c r="AL12" i="14"/>
  <c r="AK12" i="14"/>
  <c r="AJ12" i="14"/>
  <c r="AI12" i="14"/>
  <c r="AH12" i="14"/>
  <c r="AG12" i="14"/>
  <c r="AF12" i="14"/>
  <c r="AE12" i="14"/>
  <c r="AD12" i="14"/>
  <c r="AC12" i="14"/>
  <c r="AB12" i="14"/>
  <c r="AA12" i="14"/>
  <c r="Z12" i="14"/>
  <c r="Y12" i="14"/>
  <c r="X12" i="14"/>
  <c r="W12" i="14"/>
  <c r="V12" i="14"/>
  <c r="U12" i="14"/>
  <c r="T12" i="14"/>
  <c r="S12" i="14"/>
  <c r="R12" i="14"/>
  <c r="Q12" i="14"/>
  <c r="P12" i="14"/>
  <c r="O12" i="14"/>
  <c r="N12" i="14"/>
  <c r="M12" i="14"/>
  <c r="L12" i="14"/>
  <c r="K12" i="14"/>
  <c r="J12" i="14"/>
  <c r="I12" i="14"/>
  <c r="H12" i="14"/>
  <c r="G12" i="14"/>
  <c r="F12" i="14"/>
  <c r="E12" i="14"/>
  <c r="D12" i="14"/>
  <c r="C12" i="14"/>
  <c r="B12" i="14"/>
  <c r="CY11" i="14"/>
  <c r="CX11" i="14"/>
  <c r="CW11" i="14"/>
  <c r="CV11" i="14"/>
  <c r="CU11" i="14"/>
  <c r="CT11" i="14"/>
  <c r="CS11" i="14"/>
  <c r="CR11" i="14"/>
  <c r="CQ11" i="14"/>
  <c r="CP11" i="14"/>
  <c r="CO11" i="14"/>
  <c r="CN11" i="14"/>
  <c r="CM11" i="14"/>
  <c r="CL11" i="14"/>
  <c r="CK11" i="14"/>
  <c r="CJ11" i="14"/>
  <c r="CI11" i="14"/>
  <c r="CH11" i="14"/>
  <c r="CG11" i="14"/>
  <c r="CF11" i="14"/>
  <c r="CE11" i="14"/>
  <c r="CD11" i="14"/>
  <c r="CC11" i="14"/>
  <c r="CB11" i="14"/>
  <c r="CA11" i="14"/>
  <c r="BZ11" i="14"/>
  <c r="BY11" i="14"/>
  <c r="BX11" i="14"/>
  <c r="BW11" i="14"/>
  <c r="BV11" i="14"/>
  <c r="BU11" i="14"/>
  <c r="BT11" i="14"/>
  <c r="BS11" i="14"/>
  <c r="BR11" i="14"/>
  <c r="BQ11" i="14"/>
  <c r="BP11" i="14"/>
  <c r="BO11" i="14"/>
  <c r="BN11" i="14"/>
  <c r="BM11" i="14"/>
  <c r="BL11" i="14"/>
  <c r="BK11" i="14"/>
  <c r="BJ11" i="14"/>
  <c r="BI11" i="14"/>
  <c r="BH11" i="14"/>
  <c r="BG11" i="14"/>
  <c r="BF11" i="14"/>
  <c r="BE11" i="14"/>
  <c r="BD11" i="14"/>
  <c r="BC11" i="14"/>
  <c r="BB11" i="14"/>
  <c r="BA11" i="14"/>
  <c r="AZ11" i="14"/>
  <c r="AY11" i="14"/>
  <c r="AX11" i="14"/>
  <c r="AW11" i="14"/>
  <c r="AV11" i="14"/>
  <c r="AU11" i="14"/>
  <c r="AT11" i="14"/>
  <c r="AS11" i="14"/>
  <c r="AR11" i="14"/>
  <c r="AQ11" i="14"/>
  <c r="AP11" i="14"/>
  <c r="AO11" i="14"/>
  <c r="AN11" i="14"/>
  <c r="AM11" i="14"/>
  <c r="AL11" i="14"/>
  <c r="AK11" i="14"/>
  <c r="AJ11" i="14"/>
  <c r="AI11" i="14"/>
  <c r="AH11" i="14"/>
  <c r="AG11" i="14"/>
  <c r="AF11" i="14"/>
  <c r="AE11" i="14"/>
  <c r="AD11" i="14"/>
  <c r="AC11" i="14"/>
  <c r="AB11" i="14"/>
  <c r="AA11" i="14"/>
  <c r="Z11" i="14"/>
  <c r="Y11" i="14"/>
  <c r="X11" i="14"/>
  <c r="W11" i="14"/>
  <c r="V11" i="14"/>
  <c r="U11" i="14"/>
  <c r="T11" i="14"/>
  <c r="S11" i="14"/>
  <c r="R11" i="14"/>
  <c r="Q11" i="14"/>
  <c r="P11" i="14"/>
  <c r="O11" i="14"/>
  <c r="N11" i="14"/>
  <c r="M11" i="14"/>
  <c r="L11" i="14"/>
  <c r="K11" i="14"/>
  <c r="J11" i="14"/>
  <c r="I11" i="14"/>
  <c r="H11" i="14"/>
  <c r="G11" i="14"/>
  <c r="F11" i="14"/>
  <c r="E11" i="14"/>
  <c r="D11" i="14"/>
  <c r="C11" i="14"/>
  <c r="B11" i="14"/>
  <c r="CY10" i="14"/>
  <c r="CX10" i="14"/>
  <c r="CW10" i="14"/>
  <c r="CV10" i="14"/>
  <c r="CU10" i="14"/>
  <c r="CT10" i="14"/>
  <c r="CS10" i="14"/>
  <c r="CR10" i="14"/>
  <c r="CQ10" i="14"/>
  <c r="CP10" i="14"/>
  <c r="CO10" i="14"/>
  <c r="CN10" i="14"/>
  <c r="CM10" i="14"/>
  <c r="CL10" i="14"/>
  <c r="CK10" i="14"/>
  <c r="CJ10" i="14"/>
  <c r="CI10" i="14"/>
  <c r="CH10" i="14"/>
  <c r="CG10" i="14"/>
  <c r="CF10" i="14"/>
  <c r="CE10" i="14"/>
  <c r="CD10" i="14"/>
  <c r="CC10" i="14"/>
  <c r="CB10" i="14"/>
  <c r="CA10" i="14"/>
  <c r="BZ10" i="14"/>
  <c r="BY10" i="14"/>
  <c r="BX10" i="14"/>
  <c r="BW10" i="14"/>
  <c r="BV10" i="14"/>
  <c r="BU10" i="14"/>
  <c r="BT10" i="14"/>
  <c r="BS10" i="14"/>
  <c r="BR10" i="14"/>
  <c r="BQ10" i="14"/>
  <c r="BP10" i="14"/>
  <c r="BO10" i="14"/>
  <c r="BN10" i="14"/>
  <c r="BM10" i="14"/>
  <c r="BL10" i="14"/>
  <c r="BK10" i="14"/>
  <c r="BJ10" i="14"/>
  <c r="BI10" i="14"/>
  <c r="BH10" i="14"/>
  <c r="BG10" i="14"/>
  <c r="BF10" i="14"/>
  <c r="BE10" i="14"/>
  <c r="BD10" i="14"/>
  <c r="BC10" i="14"/>
  <c r="BB10" i="14"/>
  <c r="BA10" i="14"/>
  <c r="AZ10" i="14"/>
  <c r="AY10" i="14"/>
  <c r="AX10" i="14"/>
  <c r="AW10" i="14"/>
  <c r="AV10" i="14"/>
  <c r="AU10" i="14"/>
  <c r="AT10" i="14"/>
  <c r="AS10" i="14"/>
  <c r="AR10" i="14"/>
  <c r="AQ10" i="14"/>
  <c r="AP10" i="14"/>
  <c r="AO10" i="14"/>
  <c r="AN10" i="14"/>
  <c r="AM10" i="14"/>
  <c r="AL10" i="14"/>
  <c r="AK10" i="14"/>
  <c r="AJ10" i="14"/>
  <c r="AI10" i="14"/>
  <c r="AH10" i="14"/>
  <c r="AG10" i="14"/>
  <c r="AF10" i="14"/>
  <c r="AE10" i="14"/>
  <c r="AD10" i="14"/>
  <c r="AC10" i="14"/>
  <c r="AB10" i="14"/>
  <c r="AA10" i="14"/>
  <c r="Z10" i="14"/>
  <c r="Y10" i="14"/>
  <c r="X10" i="14"/>
  <c r="W10" i="14"/>
  <c r="V10" i="14"/>
  <c r="U10" i="14"/>
  <c r="T10" i="14"/>
  <c r="S10" i="14"/>
  <c r="R10" i="14"/>
  <c r="Q10" i="14"/>
  <c r="P10" i="14"/>
  <c r="O10" i="14"/>
  <c r="N10" i="14"/>
  <c r="M10" i="14"/>
  <c r="L10" i="14"/>
  <c r="K10" i="14"/>
  <c r="J10" i="14"/>
  <c r="I10" i="14"/>
  <c r="H10" i="14"/>
  <c r="G10" i="14"/>
  <c r="F10" i="14"/>
  <c r="E10" i="14"/>
  <c r="D10" i="14"/>
  <c r="C10" i="14"/>
  <c r="B10" i="14"/>
  <c r="CY9" i="14"/>
  <c r="CX9" i="14"/>
  <c r="CW9" i="14"/>
  <c r="CV9" i="14"/>
  <c r="CU9" i="14"/>
  <c r="CT9" i="14"/>
  <c r="CS9" i="14"/>
  <c r="CR9" i="14"/>
  <c r="CQ9" i="14"/>
  <c r="CP9" i="14"/>
  <c r="CO9" i="14"/>
  <c r="CN9" i="14"/>
  <c r="CM9" i="14"/>
  <c r="CL9" i="14"/>
  <c r="CK9" i="14"/>
  <c r="CJ9" i="14"/>
  <c r="CI9" i="14"/>
  <c r="CH9" i="14"/>
  <c r="CG9" i="14"/>
  <c r="CF9" i="14"/>
  <c r="CE9" i="14"/>
  <c r="CD9" i="14"/>
  <c r="CC9" i="14"/>
  <c r="CB9" i="14"/>
  <c r="CA9" i="14"/>
  <c r="BZ9" i="14"/>
  <c r="BY9" i="14"/>
  <c r="BX9" i="14"/>
  <c r="BW9" i="14"/>
  <c r="BV9" i="14"/>
  <c r="BU9" i="14"/>
  <c r="BT9" i="14"/>
  <c r="BS9" i="14"/>
  <c r="BR9" i="14"/>
  <c r="BQ9" i="14"/>
  <c r="BP9" i="14"/>
  <c r="BO9" i="14"/>
  <c r="BN9" i="14"/>
  <c r="BM9" i="14"/>
  <c r="BL9" i="14"/>
  <c r="BK9" i="14"/>
  <c r="BJ9" i="14"/>
  <c r="BI9" i="14"/>
  <c r="BH9" i="14"/>
  <c r="BG9" i="14"/>
  <c r="BF9" i="14"/>
  <c r="BE9" i="14"/>
  <c r="BD9" i="14"/>
  <c r="BC9" i="14"/>
  <c r="BB9" i="14"/>
  <c r="BA9" i="14"/>
  <c r="AZ9" i="14"/>
  <c r="AY9" i="14"/>
  <c r="AX9" i="14"/>
  <c r="AW9" i="14"/>
  <c r="AV9" i="14"/>
  <c r="AU9" i="14"/>
  <c r="AT9" i="14"/>
  <c r="AS9" i="14"/>
  <c r="AR9" i="14"/>
  <c r="AQ9" i="14"/>
  <c r="AP9" i="14"/>
  <c r="AO9" i="14"/>
  <c r="AN9" i="14"/>
  <c r="AM9" i="14"/>
  <c r="AL9" i="14"/>
  <c r="AK9" i="14"/>
  <c r="AJ9" i="14"/>
  <c r="AI9" i="14"/>
  <c r="AH9" i="14"/>
  <c r="AG9" i="14"/>
  <c r="AF9" i="14"/>
  <c r="AE9" i="14"/>
  <c r="AD9" i="14"/>
  <c r="AC9" i="14"/>
  <c r="AB9" i="14"/>
  <c r="AA9" i="14"/>
  <c r="Z9" i="14"/>
  <c r="Y9" i="14"/>
  <c r="X9" i="14"/>
  <c r="W9" i="14"/>
  <c r="V9" i="14"/>
  <c r="U9" i="14"/>
  <c r="T9" i="14"/>
  <c r="S9" i="14"/>
  <c r="R9" i="14"/>
  <c r="Q9" i="14"/>
  <c r="P9" i="14"/>
  <c r="O9" i="14"/>
  <c r="N9" i="14"/>
  <c r="M9" i="14"/>
  <c r="L9" i="14"/>
  <c r="K9" i="14"/>
  <c r="J9" i="14"/>
  <c r="I9" i="14"/>
  <c r="H9" i="14"/>
  <c r="G9" i="14"/>
  <c r="F9" i="14"/>
  <c r="E9" i="14"/>
  <c r="D9" i="14"/>
  <c r="C9" i="14"/>
  <c r="B9" i="14"/>
  <c r="CY8" i="14"/>
  <c r="CX8" i="14"/>
  <c r="CW8" i="14"/>
  <c r="CV8" i="14"/>
  <c r="CU8" i="14"/>
  <c r="CT8" i="14"/>
  <c r="CS8" i="14"/>
  <c r="CR8" i="14"/>
  <c r="CQ8" i="14"/>
  <c r="CP8" i="14"/>
  <c r="CO8" i="14"/>
  <c r="CN8" i="14"/>
  <c r="CM8" i="14"/>
  <c r="CL8" i="14"/>
  <c r="CK8" i="14"/>
  <c r="CJ8" i="14"/>
  <c r="CI8" i="14"/>
  <c r="CH8" i="14"/>
  <c r="CG8" i="14"/>
  <c r="CF8" i="14"/>
  <c r="CE8" i="14"/>
  <c r="CD8" i="14"/>
  <c r="CC8" i="14"/>
  <c r="CB8" i="14"/>
  <c r="CA8" i="14"/>
  <c r="BZ8" i="14"/>
  <c r="BY8" i="14"/>
  <c r="BX8" i="14"/>
  <c r="BW8" i="14"/>
  <c r="BV8" i="14"/>
  <c r="BU8" i="14"/>
  <c r="BT8" i="14"/>
  <c r="BS8" i="14"/>
  <c r="BR8" i="14"/>
  <c r="BQ8" i="14"/>
  <c r="BP8" i="14"/>
  <c r="BO8" i="14"/>
  <c r="BN8" i="14"/>
  <c r="BM8" i="14"/>
  <c r="BL8" i="14"/>
  <c r="BK8" i="14"/>
  <c r="BJ8" i="14"/>
  <c r="BI8" i="14"/>
  <c r="BH8" i="14"/>
  <c r="BG8" i="14"/>
  <c r="BF8" i="14"/>
  <c r="BE8" i="14"/>
  <c r="BD8" i="14"/>
  <c r="BC8" i="14"/>
  <c r="BB8" i="14"/>
  <c r="BA8" i="14"/>
  <c r="AZ8" i="14"/>
  <c r="AY8" i="14"/>
  <c r="AX8" i="14"/>
  <c r="AW8" i="14"/>
  <c r="AV8" i="14"/>
  <c r="AU8" i="14"/>
  <c r="AT8" i="14"/>
  <c r="AS8" i="14"/>
  <c r="AR8" i="14"/>
  <c r="AQ8" i="14"/>
  <c r="AP8" i="14"/>
  <c r="AO8" i="14"/>
  <c r="AN8" i="14"/>
  <c r="AM8" i="14"/>
  <c r="AL8" i="14"/>
  <c r="AK8" i="14"/>
  <c r="AJ8" i="14"/>
  <c r="AI8" i="14"/>
  <c r="AH8" i="14"/>
  <c r="AG8" i="14"/>
  <c r="AF8" i="14"/>
  <c r="AE8" i="14"/>
  <c r="AD8" i="14"/>
  <c r="AC8" i="14"/>
  <c r="AB8" i="14"/>
  <c r="AA8" i="14"/>
  <c r="Z8" i="14"/>
  <c r="Y8" i="14"/>
  <c r="X8" i="14"/>
  <c r="W8" i="14"/>
  <c r="V8" i="14"/>
  <c r="U8" i="14"/>
  <c r="T8" i="14"/>
  <c r="S8" i="14"/>
  <c r="R8" i="14"/>
  <c r="Q8" i="14"/>
  <c r="P8" i="14"/>
  <c r="O8" i="14"/>
  <c r="N8" i="14"/>
  <c r="M8" i="14"/>
  <c r="L8" i="14"/>
  <c r="K8" i="14"/>
  <c r="J8" i="14"/>
  <c r="I8" i="14"/>
  <c r="H8" i="14"/>
  <c r="G8" i="14"/>
  <c r="F8" i="14"/>
  <c r="E8" i="14"/>
  <c r="D8" i="14"/>
  <c r="C8" i="14"/>
  <c r="B8" i="14"/>
  <c r="CY7" i="14"/>
  <c r="CX7" i="14"/>
  <c r="CW7" i="14"/>
  <c r="CV7" i="14"/>
  <c r="CU7" i="14"/>
  <c r="CT7" i="14"/>
  <c r="CS7" i="14"/>
  <c r="CR7" i="14"/>
  <c r="CQ7" i="14"/>
  <c r="CP7" i="14"/>
  <c r="CO7" i="14"/>
  <c r="CN7" i="14"/>
  <c r="CM7" i="14"/>
  <c r="CL7" i="14"/>
  <c r="CK7" i="14"/>
  <c r="CJ7" i="14"/>
  <c r="CI7" i="14"/>
  <c r="CH7" i="14"/>
  <c r="CG7" i="14"/>
  <c r="CF7" i="14"/>
  <c r="CE7" i="14"/>
  <c r="CD7" i="14"/>
  <c r="CC7" i="14"/>
  <c r="CB7" i="14"/>
  <c r="CA7" i="14"/>
  <c r="BZ7" i="14"/>
  <c r="BY7" i="14"/>
  <c r="BX7" i="14"/>
  <c r="BW7" i="14"/>
  <c r="BV7" i="14"/>
  <c r="BU7" i="14"/>
  <c r="BT7" i="14"/>
  <c r="BS7" i="14"/>
  <c r="BR7" i="14"/>
  <c r="BQ7" i="14"/>
  <c r="BP7" i="14"/>
  <c r="BO7" i="14"/>
  <c r="BN7" i="14"/>
  <c r="BM7" i="14"/>
  <c r="BL7" i="14"/>
  <c r="BK7" i="14"/>
  <c r="BJ7" i="14"/>
  <c r="BI7" i="14"/>
  <c r="BH7" i="14"/>
  <c r="BG7" i="14"/>
  <c r="BF7" i="14"/>
  <c r="BE7" i="14"/>
  <c r="BD7" i="14"/>
  <c r="BC7" i="14"/>
  <c r="BB7" i="14"/>
  <c r="BA7" i="14"/>
  <c r="AZ7" i="14"/>
  <c r="AY7" i="14"/>
  <c r="AX7" i="14"/>
  <c r="AW7" i="14"/>
  <c r="AV7" i="14"/>
  <c r="AU7" i="14"/>
  <c r="AT7" i="14"/>
  <c r="AS7" i="14"/>
  <c r="AR7" i="14"/>
  <c r="AQ7" i="14"/>
  <c r="AP7" i="14"/>
  <c r="AO7" i="14"/>
  <c r="AN7" i="14"/>
  <c r="AM7" i="14"/>
  <c r="AL7" i="14"/>
  <c r="AK7" i="14"/>
  <c r="AJ7" i="14"/>
  <c r="AI7" i="14"/>
  <c r="AH7" i="14"/>
  <c r="AG7" i="14"/>
  <c r="AF7" i="14"/>
  <c r="AE7" i="14"/>
  <c r="AD7" i="14"/>
  <c r="AC7" i="14"/>
  <c r="AB7" i="14"/>
  <c r="AA7" i="14"/>
  <c r="Z7" i="14"/>
  <c r="Y7" i="14"/>
  <c r="X7" i="14"/>
  <c r="W7" i="14"/>
  <c r="V7" i="14"/>
  <c r="U7" i="14"/>
  <c r="T7" i="14"/>
  <c r="S7" i="14"/>
  <c r="R7" i="14"/>
  <c r="Q7" i="14"/>
  <c r="P7" i="14"/>
  <c r="O7" i="14"/>
  <c r="N7" i="14"/>
  <c r="M7" i="14"/>
  <c r="L7" i="14"/>
  <c r="K7" i="14"/>
  <c r="J7" i="14"/>
  <c r="I7" i="14"/>
  <c r="H7" i="14"/>
  <c r="G7" i="14"/>
  <c r="F7" i="14"/>
  <c r="E7" i="14"/>
  <c r="D7" i="14"/>
  <c r="C7" i="14"/>
  <c r="B7" i="14"/>
  <c r="CY6" i="14"/>
  <c r="CX6" i="14"/>
  <c r="CW6" i="14"/>
  <c r="CV6" i="14"/>
  <c r="CU6" i="14"/>
  <c r="CT6" i="14"/>
  <c r="CS6" i="14"/>
  <c r="CR6" i="14"/>
  <c r="CQ6" i="14"/>
  <c r="CP6" i="14"/>
  <c r="CO6" i="14"/>
  <c r="CN6" i="14"/>
  <c r="CM6" i="14"/>
  <c r="CL6" i="14"/>
  <c r="CK6" i="14"/>
  <c r="CJ6" i="14"/>
  <c r="CI6" i="14"/>
  <c r="CH6" i="14"/>
  <c r="CG6" i="14"/>
  <c r="CF6" i="14"/>
  <c r="CE6" i="14"/>
  <c r="CD6" i="14"/>
  <c r="CC6" i="14"/>
  <c r="CB6" i="14"/>
  <c r="CA6" i="14"/>
  <c r="BZ6" i="14"/>
  <c r="BY6" i="14"/>
  <c r="BX6" i="14"/>
  <c r="BW6" i="14"/>
  <c r="BV6" i="14"/>
  <c r="BU6" i="14"/>
  <c r="BT6" i="14"/>
  <c r="BS6" i="14"/>
  <c r="BR6" i="14"/>
  <c r="BQ6" i="14"/>
  <c r="BP6" i="14"/>
  <c r="BO6" i="14"/>
  <c r="BN6" i="14"/>
  <c r="BM6" i="14"/>
  <c r="BL6" i="14"/>
  <c r="BK6" i="14"/>
  <c r="BJ6" i="14"/>
  <c r="BI6" i="14"/>
  <c r="BH6" i="14"/>
  <c r="BG6" i="14"/>
  <c r="BF6" i="14"/>
  <c r="BE6" i="14"/>
  <c r="BD6" i="14"/>
  <c r="BC6" i="14"/>
  <c r="BB6" i="14"/>
  <c r="BA6" i="14"/>
  <c r="AZ6" i="14"/>
  <c r="AY6" i="14"/>
  <c r="AX6" i="14"/>
  <c r="AW6" i="14"/>
  <c r="AV6" i="14"/>
  <c r="AU6" i="14"/>
  <c r="AT6" i="14"/>
  <c r="AS6" i="14"/>
  <c r="AR6" i="14"/>
  <c r="AQ6" i="14"/>
  <c r="AP6" i="14"/>
  <c r="AO6" i="14"/>
  <c r="AN6" i="14"/>
  <c r="AM6" i="14"/>
  <c r="AL6" i="14"/>
  <c r="AK6" i="14"/>
  <c r="AJ6" i="14"/>
  <c r="AI6" i="14"/>
  <c r="AH6" i="14"/>
  <c r="AG6" i="14"/>
  <c r="AF6" i="14"/>
  <c r="AE6" i="14"/>
  <c r="AD6" i="14"/>
  <c r="AC6" i="14"/>
  <c r="AB6" i="14"/>
  <c r="AA6" i="14"/>
  <c r="Z6" i="14"/>
  <c r="Y6" i="14"/>
  <c r="X6" i="14"/>
  <c r="W6" i="14"/>
  <c r="V6" i="14"/>
  <c r="U6" i="14"/>
  <c r="T6" i="14"/>
  <c r="S6" i="14"/>
  <c r="R6" i="14"/>
  <c r="Q6" i="14"/>
  <c r="P6" i="14"/>
  <c r="O6" i="14"/>
  <c r="N6" i="14"/>
  <c r="M6" i="14"/>
  <c r="L6" i="14"/>
  <c r="K6" i="14"/>
  <c r="J6" i="14"/>
  <c r="I6" i="14"/>
  <c r="H6" i="14"/>
  <c r="G6" i="14"/>
  <c r="F6" i="14"/>
  <c r="E6" i="14"/>
  <c r="D6" i="14"/>
  <c r="C6" i="14"/>
  <c r="B6" i="14"/>
  <c r="CY5" i="14"/>
  <c r="CX5" i="14"/>
  <c r="CW5" i="14"/>
  <c r="CV5" i="14"/>
  <c r="CU5" i="14"/>
  <c r="CT5" i="14"/>
  <c r="CS5" i="14"/>
  <c r="CR5" i="14"/>
  <c r="CQ5" i="14"/>
  <c r="CP5" i="14"/>
  <c r="CO5" i="14"/>
  <c r="CN5" i="14"/>
  <c r="CM5" i="14"/>
  <c r="CL5" i="14"/>
  <c r="CK5" i="14"/>
  <c r="CJ5" i="14"/>
  <c r="CI5" i="14"/>
  <c r="CH5" i="14"/>
  <c r="CG5" i="14"/>
  <c r="CF5" i="14"/>
  <c r="CE5" i="14"/>
  <c r="CD5" i="14"/>
  <c r="CC5" i="14"/>
  <c r="CB5" i="14"/>
  <c r="CA5" i="14"/>
  <c r="BZ5" i="14"/>
  <c r="BY5" i="14"/>
  <c r="BX5" i="14"/>
  <c r="BW5" i="14"/>
  <c r="BV5" i="14"/>
  <c r="BU5" i="14"/>
  <c r="BT5" i="14"/>
  <c r="BS5" i="14"/>
  <c r="BR5" i="14"/>
  <c r="BQ5" i="14"/>
  <c r="BP5" i="14"/>
  <c r="BO5" i="14"/>
  <c r="BN5" i="14"/>
  <c r="BM5" i="14"/>
  <c r="BL5" i="14"/>
  <c r="BK5" i="14"/>
  <c r="BJ5" i="14"/>
  <c r="BI5" i="14"/>
  <c r="BH5" i="14"/>
  <c r="BG5" i="14"/>
  <c r="BF5" i="14"/>
  <c r="BE5" i="14"/>
  <c r="BD5" i="14"/>
  <c r="BC5" i="14"/>
  <c r="BB5" i="14"/>
  <c r="BA5" i="14"/>
  <c r="AZ5" i="14"/>
  <c r="AY5" i="14"/>
  <c r="AX5" i="14"/>
  <c r="AW5" i="14"/>
  <c r="AV5" i="14"/>
  <c r="AU5" i="14"/>
  <c r="AT5" i="14"/>
  <c r="AS5" i="14"/>
  <c r="AR5" i="14"/>
  <c r="AQ5" i="14"/>
  <c r="AP5" i="14"/>
  <c r="AO5" i="14"/>
  <c r="AN5" i="14"/>
  <c r="AM5" i="14"/>
  <c r="AL5" i="14"/>
  <c r="AK5" i="14"/>
  <c r="AJ5" i="14"/>
  <c r="AI5" i="14"/>
  <c r="AH5" i="14"/>
  <c r="AG5" i="14"/>
  <c r="AF5" i="14"/>
  <c r="AE5" i="14"/>
  <c r="AD5" i="14"/>
  <c r="AC5" i="14"/>
  <c r="AB5" i="14"/>
  <c r="AA5" i="14"/>
  <c r="Z5" i="14"/>
  <c r="Y5" i="14"/>
  <c r="X5" i="14"/>
  <c r="W5" i="14"/>
  <c r="V5" i="14"/>
  <c r="U5" i="14"/>
  <c r="T5" i="14"/>
  <c r="S5" i="14"/>
  <c r="R5" i="14"/>
  <c r="Q5" i="14"/>
  <c r="P5" i="14"/>
  <c r="O5" i="14"/>
  <c r="N5" i="14"/>
  <c r="M5" i="14"/>
  <c r="L5" i="14"/>
  <c r="K5" i="14"/>
  <c r="J5" i="14"/>
  <c r="I5" i="14"/>
  <c r="H5" i="14"/>
  <c r="G5" i="14"/>
  <c r="F5" i="14"/>
  <c r="E5" i="14"/>
  <c r="D5" i="14"/>
  <c r="C5" i="14"/>
  <c r="B5" i="14"/>
  <c r="CY4" i="14"/>
  <c r="CX4" i="14"/>
  <c r="CW4" i="14"/>
  <c r="CV4" i="14"/>
  <c r="CU4" i="14"/>
  <c r="CT4" i="14"/>
  <c r="CS4" i="14"/>
  <c r="CR4" i="14"/>
  <c r="CQ4" i="14"/>
  <c r="CP4" i="14"/>
  <c r="CO4" i="14"/>
  <c r="CN4" i="14"/>
  <c r="CM4" i="14"/>
  <c r="CL4" i="14"/>
  <c r="CK4" i="14"/>
  <c r="CJ4" i="14"/>
  <c r="CI4" i="14"/>
  <c r="CH4" i="14"/>
  <c r="CG4" i="14"/>
  <c r="CF4" i="14"/>
  <c r="CE4" i="14"/>
  <c r="CD4" i="14"/>
  <c r="CC4" i="14"/>
  <c r="CB4" i="14"/>
  <c r="CA4" i="14"/>
  <c r="BZ4" i="14"/>
  <c r="BY4" i="14"/>
  <c r="BX4" i="14"/>
  <c r="BW4" i="14"/>
  <c r="BV4" i="14"/>
  <c r="BU4" i="14"/>
  <c r="BT4" i="14"/>
  <c r="BS4" i="14"/>
  <c r="BR4" i="14"/>
  <c r="BQ4" i="14"/>
  <c r="BP4" i="14"/>
  <c r="BO4" i="14"/>
  <c r="BN4" i="14"/>
  <c r="BM4" i="14"/>
  <c r="BL4" i="14"/>
  <c r="BK4" i="14"/>
  <c r="BJ4" i="14"/>
  <c r="BI4" i="14"/>
  <c r="BH4" i="14"/>
  <c r="BG4" i="14"/>
  <c r="BF4" i="14"/>
  <c r="BE4" i="14"/>
  <c r="BD4" i="14"/>
  <c r="BC4" i="14"/>
  <c r="BB4" i="14"/>
  <c r="BA4" i="14"/>
  <c r="AZ4" i="14"/>
  <c r="AY4" i="14"/>
  <c r="AX4" i="14"/>
  <c r="AW4" i="14"/>
  <c r="AV4" i="14"/>
  <c r="AU4" i="14"/>
  <c r="AT4" i="14"/>
  <c r="AS4" i="14"/>
  <c r="AR4" i="14"/>
  <c r="AQ4" i="14"/>
  <c r="AP4" i="14"/>
  <c r="AO4" i="14"/>
  <c r="AN4" i="14"/>
  <c r="AM4" i="14"/>
  <c r="AL4" i="14"/>
  <c r="AK4" i="14"/>
  <c r="AJ4" i="14"/>
  <c r="AI4" i="14"/>
  <c r="AH4" i="14"/>
  <c r="AG4" i="14"/>
  <c r="AF4" i="14"/>
  <c r="AE4" i="14"/>
  <c r="AD4" i="14"/>
  <c r="AC4" i="14"/>
  <c r="AB4" i="14"/>
  <c r="AA4" i="14"/>
  <c r="Z4" i="14"/>
  <c r="Y4" i="14"/>
  <c r="X4" i="14"/>
  <c r="W4" i="14"/>
  <c r="V4" i="14"/>
  <c r="U4" i="14"/>
  <c r="T4" i="14"/>
  <c r="S4" i="14"/>
  <c r="R4" i="14"/>
  <c r="Q4" i="14"/>
  <c r="P4" i="14"/>
  <c r="O4" i="14"/>
  <c r="N4" i="14"/>
  <c r="M4" i="14"/>
  <c r="L4" i="14"/>
  <c r="K4" i="14"/>
  <c r="J4" i="14"/>
  <c r="I4" i="14"/>
  <c r="H4" i="14"/>
  <c r="G4" i="14"/>
  <c r="F4" i="14"/>
  <c r="E4" i="14"/>
  <c r="D4" i="14"/>
  <c r="C4" i="14"/>
  <c r="B4" i="14"/>
  <c r="CY3" i="14"/>
  <c r="CX3" i="14"/>
  <c r="CW3" i="14"/>
  <c r="CV3" i="14"/>
  <c r="CU3" i="14"/>
  <c r="CT3" i="14"/>
  <c r="CS3" i="14"/>
  <c r="CR3" i="14"/>
  <c r="CQ3" i="14"/>
  <c r="CP3" i="14"/>
  <c r="CO3" i="14"/>
  <c r="CN3" i="14"/>
  <c r="CM3" i="14"/>
  <c r="CL3" i="14"/>
  <c r="CK3" i="14"/>
  <c r="CJ3" i="14"/>
  <c r="CI3" i="14"/>
  <c r="CH3" i="14"/>
  <c r="CG3" i="14"/>
  <c r="CF3" i="14"/>
  <c r="CE3" i="14"/>
  <c r="CD3" i="14"/>
  <c r="CC3" i="14"/>
  <c r="CB3" i="14"/>
  <c r="CA3" i="14"/>
  <c r="BZ3" i="14"/>
  <c r="BY3" i="14"/>
  <c r="BX3" i="14"/>
  <c r="BW3" i="14"/>
  <c r="BV3" i="14"/>
  <c r="BU3" i="14"/>
  <c r="BT3" i="14"/>
  <c r="BS3" i="14"/>
  <c r="BR3" i="14"/>
  <c r="BQ3" i="14"/>
  <c r="BP3" i="14"/>
  <c r="BO3" i="14"/>
  <c r="BN3" i="14"/>
  <c r="BM3" i="14"/>
  <c r="BL3" i="14"/>
  <c r="BK3" i="14"/>
  <c r="BJ3" i="14"/>
  <c r="BI3" i="14"/>
  <c r="BH3" i="14"/>
  <c r="BG3" i="14"/>
  <c r="BF3" i="14"/>
  <c r="BE3" i="14"/>
  <c r="BD3" i="14"/>
  <c r="BC3" i="14"/>
  <c r="BB3" i="14"/>
  <c r="BA3" i="14"/>
  <c r="AZ3" i="14"/>
  <c r="AY3" i="14"/>
  <c r="AX3" i="14"/>
  <c r="AW3" i="14"/>
  <c r="AV3" i="14"/>
  <c r="AU3" i="14"/>
  <c r="AT3" i="14"/>
  <c r="AS3" i="14"/>
  <c r="AR3" i="14"/>
  <c r="AQ3" i="14"/>
  <c r="AP3" i="14"/>
  <c r="AO3" i="14"/>
  <c r="AN3" i="14"/>
  <c r="AM3" i="14"/>
  <c r="AL3" i="14"/>
  <c r="AK3" i="14"/>
  <c r="AJ3" i="14"/>
  <c r="AI3" i="14"/>
  <c r="AH3" i="14"/>
  <c r="AG3" i="14"/>
  <c r="AF3" i="14"/>
  <c r="AE3" i="14"/>
  <c r="AD3" i="14"/>
  <c r="AC3" i="14"/>
  <c r="AB3" i="14"/>
  <c r="AA3" i="14"/>
  <c r="Z3" i="14"/>
  <c r="Y3" i="14"/>
  <c r="X3" i="14"/>
  <c r="W3" i="14"/>
  <c r="V3" i="14"/>
  <c r="U3" i="14"/>
  <c r="T3" i="14"/>
  <c r="S3" i="14"/>
  <c r="R3" i="14"/>
  <c r="Q3" i="14"/>
  <c r="P3" i="14"/>
  <c r="O3" i="14"/>
  <c r="N3" i="14"/>
  <c r="M3" i="14"/>
  <c r="L3" i="14"/>
  <c r="K3" i="14"/>
  <c r="J3" i="14"/>
  <c r="I3" i="14"/>
  <c r="H3" i="14"/>
  <c r="G3" i="14"/>
  <c r="F3" i="14"/>
  <c r="E3" i="14"/>
  <c r="D3" i="14"/>
  <c r="C3" i="14"/>
  <c r="B3" i="14"/>
  <c r="CY2" i="14"/>
  <c r="CX2" i="14"/>
  <c r="CW2" i="14"/>
  <c r="CV2" i="14"/>
  <c r="CU2" i="14"/>
  <c r="CT2" i="14"/>
  <c r="CS2" i="14"/>
  <c r="CR2" i="14"/>
  <c r="CQ2" i="14"/>
  <c r="CP2" i="14"/>
  <c r="CO2" i="14"/>
  <c r="CN2" i="14"/>
  <c r="CM2" i="14"/>
  <c r="CL2" i="14"/>
  <c r="CK2" i="14"/>
  <c r="CJ2" i="14"/>
  <c r="CI2" i="14"/>
  <c r="CH2" i="14"/>
  <c r="CG2" i="14"/>
  <c r="CF2" i="14"/>
  <c r="CE2" i="14"/>
  <c r="CD2" i="14"/>
  <c r="CC2" i="14"/>
  <c r="CB2" i="14"/>
  <c r="CA2" i="14"/>
  <c r="BZ2" i="14"/>
  <c r="BY2" i="14"/>
  <c r="BX2" i="14"/>
  <c r="BW2" i="14"/>
  <c r="BV2" i="14"/>
  <c r="BU2" i="14"/>
  <c r="BT2" i="14"/>
  <c r="BS2" i="14"/>
  <c r="BR2" i="14"/>
  <c r="BQ2" i="14"/>
  <c r="BP2" i="14"/>
  <c r="BO2" i="14"/>
  <c r="BN2" i="14"/>
  <c r="BM2" i="14"/>
  <c r="BL2" i="14"/>
  <c r="BK2" i="14"/>
  <c r="BJ2" i="14"/>
  <c r="BI2" i="14"/>
  <c r="BH2" i="14"/>
  <c r="BG2" i="14"/>
  <c r="BF2" i="14"/>
  <c r="BE2" i="14"/>
  <c r="BD2" i="14"/>
  <c r="BC2" i="14"/>
  <c r="BB2" i="14"/>
  <c r="BA2" i="14"/>
  <c r="AZ2" i="14"/>
  <c r="AY2" i="14"/>
  <c r="AX2" i="14"/>
  <c r="AW2" i="14"/>
  <c r="AV2" i="14"/>
  <c r="AU2" i="14"/>
  <c r="AT2" i="14"/>
  <c r="AS2" i="14"/>
  <c r="AR2" i="14"/>
  <c r="AQ2" i="14"/>
  <c r="AP2" i="14"/>
  <c r="AO2" i="14"/>
  <c r="AN2" i="14"/>
  <c r="AM2" i="14"/>
  <c r="AL2" i="14"/>
  <c r="AK2" i="14"/>
  <c r="AJ2" i="14"/>
  <c r="AI2" i="14"/>
  <c r="AH2" i="14"/>
  <c r="AG2" i="14"/>
  <c r="AF2" i="14"/>
  <c r="AE2" i="14"/>
  <c r="AD2" i="14"/>
  <c r="AC2" i="14"/>
  <c r="AB2" i="14"/>
  <c r="AA2" i="14"/>
  <c r="Z2" i="14"/>
  <c r="Y2" i="14"/>
  <c r="X2" i="14"/>
  <c r="W2" i="14"/>
  <c r="V2" i="14"/>
  <c r="U2" i="14"/>
  <c r="T2" i="14"/>
  <c r="S2" i="14"/>
  <c r="R2" i="14"/>
  <c r="Q2" i="14"/>
  <c r="P2" i="14"/>
  <c r="O2" i="14"/>
  <c r="N2" i="14"/>
  <c r="M2" i="14"/>
  <c r="L2" i="14"/>
  <c r="K2" i="14"/>
  <c r="J2" i="14"/>
  <c r="I2" i="14"/>
  <c r="H2" i="14"/>
  <c r="G2" i="14"/>
  <c r="F2" i="14"/>
  <c r="E2" i="14"/>
  <c r="D2" i="14"/>
  <c r="C2" i="14"/>
  <c r="B2" i="14"/>
  <c r="CY25" i="14"/>
  <c r="F87" i="23"/>
  <c r="F84" i="23"/>
  <c r="E84" i="23"/>
  <c r="F36" i="23"/>
  <c r="F4" i="23"/>
  <c r="C54" i="17" a="1"/>
  <c r="C54" i="17"/>
  <c r="C53" i="17" a="1"/>
  <c r="C53" i="17"/>
  <c r="C52" i="17" a="1"/>
  <c r="C52" i="17"/>
  <c r="C51" i="17" a="1"/>
  <c r="C51" i="17"/>
  <c r="C50" i="17" a="1"/>
  <c r="C50" i="17"/>
  <c r="C49" i="17" a="1"/>
  <c r="C49" i="17"/>
  <c r="C48" i="17" a="1"/>
  <c r="C48" i="17"/>
  <c r="C47" i="17" a="1"/>
  <c r="C47" i="17"/>
  <c r="C46" i="17" a="1"/>
  <c r="C46" i="17"/>
  <c r="C45" i="17" a="1"/>
  <c r="C45" i="17"/>
  <c r="C44" i="17" a="1"/>
  <c r="C44" i="17"/>
  <c r="C42" i="17" a="1"/>
  <c r="C42" i="17"/>
  <c r="C39" i="17" a="1"/>
  <c r="C39" i="17"/>
  <c r="C38" i="17" a="1"/>
  <c r="C38" i="17"/>
  <c r="C37" i="17" a="1"/>
  <c r="C37" i="17"/>
  <c r="C36" i="17" a="1"/>
  <c r="C36" i="17"/>
  <c r="C35" i="17" a="1"/>
  <c r="C35" i="17"/>
  <c r="C34" i="17" a="1"/>
  <c r="C34" i="17"/>
  <c r="C33" i="17" a="1"/>
  <c r="C33" i="17"/>
  <c r="C32" i="17" a="1"/>
  <c r="C32" i="17"/>
  <c r="C31" i="17" a="1"/>
  <c r="C31" i="17"/>
  <c r="C30" i="17" a="1"/>
  <c r="C30" i="17"/>
  <c r="C28" i="17" a="1"/>
  <c r="C28" i="17"/>
  <c r="C27" i="17" a="1"/>
  <c r="C27" i="17"/>
  <c r="C26" i="17" a="1"/>
  <c r="C26" i="17"/>
  <c r="C25" i="17" a="1"/>
  <c r="C25" i="17"/>
  <c r="C24" i="17" a="1"/>
  <c r="C24" i="17"/>
  <c r="C23" i="17" a="1"/>
  <c r="C23" i="17"/>
  <c r="C20" i="17" a="1"/>
  <c r="C20" i="17"/>
  <c r="C19" i="17" a="1"/>
  <c r="C19" i="17"/>
  <c r="C18" i="17" a="1"/>
  <c r="C18" i="17"/>
  <c r="C17" i="17" a="1"/>
  <c r="C17" i="17"/>
  <c r="C16" i="17" a="1"/>
  <c r="C16" i="17"/>
  <c r="C15" i="17" a="1"/>
  <c r="C15" i="17"/>
  <c r="C13" i="17" a="1"/>
  <c r="C13" i="17"/>
  <c r="C12" i="17" a="1"/>
  <c r="C12" i="17"/>
  <c r="C10" i="17" a="1"/>
  <c r="C10" i="17"/>
  <c r="C9" i="17" a="1"/>
  <c r="C9" i="17"/>
  <c r="C8" i="17" a="1"/>
  <c r="C8" i="17"/>
  <c r="C5" i="17" a="1"/>
  <c r="C5" i="17"/>
  <c r="C4" i="17" a="1"/>
  <c r="C4" i="17"/>
  <c r="C3" i="17" a="1"/>
  <c r="C3" i="17"/>
  <c r="C2" i="17" a="1"/>
  <c r="C2" i="17"/>
  <c r="E3" i="17"/>
  <c r="E4" i="17"/>
  <c r="E5" i="17"/>
  <c r="E6" i="17"/>
  <c r="E7" i="17"/>
  <c r="E8" i="17"/>
  <c r="E9" i="17"/>
  <c r="E10" i="17"/>
  <c r="E11" i="17"/>
  <c r="E12" i="17"/>
  <c r="E13" i="17"/>
  <c r="E14" i="17"/>
  <c r="E15" i="17"/>
  <c r="E16" i="17"/>
  <c r="E17" i="17"/>
  <c r="E18" i="17"/>
  <c r="E19" i="17"/>
  <c r="E20" i="17"/>
  <c r="E21" i="17"/>
  <c r="E22" i="17"/>
  <c r="E23" i="17"/>
  <c r="E24" i="17"/>
  <c r="E25" i="17"/>
  <c r="E26" i="17"/>
  <c r="E27" i="17"/>
  <c r="E28" i="17"/>
  <c r="E29" i="17"/>
  <c r="E30" i="17"/>
  <c r="E31" i="17"/>
  <c r="E32" i="17"/>
  <c r="E33" i="17"/>
  <c r="E34" i="17"/>
  <c r="E35" i="17"/>
  <c r="E36" i="17"/>
  <c r="E37" i="17"/>
  <c r="E38" i="17"/>
  <c r="E39" i="17"/>
  <c r="E40" i="17"/>
  <c r="E41" i="17"/>
  <c r="E42" i="17"/>
  <c r="E43" i="17"/>
  <c r="E44" i="17"/>
  <c r="E45" i="17"/>
  <c r="E46" i="17"/>
  <c r="E47" i="17"/>
  <c r="E48" i="17"/>
  <c r="E49" i="17"/>
  <c r="E50" i="17"/>
  <c r="E51" i="17"/>
  <c r="E52" i="17"/>
  <c r="E53" i="17"/>
  <c r="E54" i="17"/>
  <c r="E2" i="17"/>
  <c r="C1" i="20"/>
  <c r="D1" i="20"/>
  <c r="E1" i="20"/>
  <c r="F1" i="20"/>
  <c r="G1" i="20"/>
  <c r="H1" i="20"/>
  <c r="I1" i="20"/>
  <c r="J1" i="20"/>
  <c r="K1" i="20"/>
  <c r="L1" i="20"/>
  <c r="M1" i="20"/>
  <c r="N1" i="20"/>
  <c r="O1" i="20"/>
  <c r="P1" i="20"/>
  <c r="Q1" i="20"/>
  <c r="R1" i="20"/>
  <c r="S1" i="20"/>
  <c r="T1" i="20"/>
  <c r="U1" i="20"/>
  <c r="V1" i="20"/>
  <c r="W1" i="20"/>
  <c r="X1" i="20"/>
  <c r="Y1" i="20"/>
  <c r="Z1" i="20"/>
  <c r="AA1" i="20"/>
  <c r="AB1" i="20"/>
  <c r="AC1" i="20"/>
  <c r="AD1" i="20"/>
  <c r="AE1" i="20"/>
  <c r="AF1" i="20"/>
  <c r="AG1" i="20"/>
  <c r="AH1" i="20"/>
  <c r="AI1" i="20"/>
  <c r="AJ1" i="20"/>
  <c r="AK1" i="20"/>
  <c r="AL1" i="20"/>
  <c r="AM1" i="20"/>
  <c r="AN1" i="20"/>
  <c r="AO1" i="20"/>
  <c r="AP1" i="20"/>
  <c r="AQ1" i="20"/>
  <c r="AR1" i="20"/>
  <c r="AS1" i="20"/>
  <c r="AT1" i="20"/>
  <c r="AU1" i="20"/>
  <c r="AV1" i="20"/>
  <c r="AW1" i="20"/>
  <c r="AX1" i="20"/>
  <c r="AY1" i="20"/>
  <c r="AZ1" i="20"/>
  <c r="BA1" i="20"/>
  <c r="BB1" i="20"/>
  <c r="BC1" i="20"/>
  <c r="BD1" i="20"/>
  <c r="BE1" i="20"/>
  <c r="BF1" i="20"/>
  <c r="BG1" i="20"/>
  <c r="BH1" i="20"/>
  <c r="BI1" i="20"/>
  <c r="BJ1" i="20"/>
  <c r="BK1" i="20"/>
  <c r="BL1" i="20"/>
  <c r="BM1" i="20"/>
  <c r="BN1" i="20"/>
  <c r="BO1" i="20"/>
  <c r="BP1" i="20"/>
  <c r="BQ1" i="20"/>
  <c r="BR1" i="20"/>
  <c r="BS1" i="20"/>
  <c r="BT1" i="20"/>
  <c r="BU1" i="20"/>
  <c r="BV1" i="20"/>
  <c r="BW1" i="20"/>
  <c r="BX1" i="20"/>
  <c r="BY1" i="20"/>
  <c r="BZ1" i="20"/>
  <c r="CA1" i="20"/>
  <c r="CB1" i="20"/>
  <c r="CC1" i="20"/>
  <c r="CD1" i="20"/>
  <c r="CE1" i="20"/>
  <c r="CF1" i="20"/>
  <c r="CG1" i="20"/>
  <c r="CH1" i="20"/>
  <c r="CI1" i="20"/>
  <c r="CJ1" i="20"/>
  <c r="CK1" i="20"/>
  <c r="CL1" i="20"/>
  <c r="CM1" i="20"/>
  <c r="CN1" i="20"/>
  <c r="CO1" i="20"/>
  <c r="CP1" i="20"/>
  <c r="CQ1" i="20"/>
  <c r="CR1" i="20"/>
  <c r="CS1" i="20"/>
  <c r="CT1" i="20"/>
  <c r="CU1" i="20"/>
  <c r="CV1" i="20"/>
  <c r="CW1" i="20"/>
  <c r="CX1" i="20"/>
  <c r="CY1" i="20"/>
  <c r="CZ1" i="20"/>
  <c r="DA1" i="20"/>
  <c r="DB1" i="20"/>
  <c r="DC1" i="20"/>
  <c r="DD1" i="20"/>
  <c r="DE1" i="20"/>
  <c r="DF1" i="20"/>
  <c r="DG1" i="20"/>
  <c r="DH1" i="20"/>
  <c r="DI1" i="20"/>
  <c r="DJ1" i="20"/>
  <c r="DK1" i="20"/>
  <c r="DL1" i="20"/>
  <c r="DM1" i="20"/>
  <c r="DN1" i="20"/>
  <c r="DO1" i="20"/>
  <c r="DP1" i="20"/>
  <c r="DQ1" i="20"/>
  <c r="DR1" i="20"/>
  <c r="DS1" i="20"/>
  <c r="DT1" i="20"/>
  <c r="DU1" i="20"/>
  <c r="DV1" i="20"/>
  <c r="DW1" i="20"/>
  <c r="DX1" i="20"/>
  <c r="DY1" i="20"/>
  <c r="DZ1" i="20"/>
  <c r="EA1" i="20"/>
  <c r="EB1" i="20"/>
  <c r="EC1" i="20"/>
  <c r="ED1" i="20"/>
  <c r="EE1" i="20"/>
  <c r="EF1" i="20"/>
  <c r="EG1" i="20"/>
  <c r="EH1" i="20"/>
  <c r="EI1" i="20"/>
  <c r="EJ1" i="20"/>
  <c r="EK1" i="20"/>
  <c r="EL1" i="20"/>
  <c r="EM1" i="20"/>
  <c r="EN1" i="20"/>
  <c r="EO1" i="20"/>
  <c r="EP1" i="20"/>
  <c r="EQ1" i="20"/>
  <c r="ER1" i="20"/>
  <c r="ES1" i="20"/>
  <c r="ET1" i="20"/>
  <c r="EU1" i="20"/>
  <c r="EV1" i="20"/>
  <c r="EW1" i="20"/>
  <c r="EX1" i="20"/>
  <c r="EY1" i="20"/>
  <c r="EZ1" i="20"/>
  <c r="FA1" i="20"/>
  <c r="FB1" i="20"/>
  <c r="FC1" i="20"/>
  <c r="FD1" i="20"/>
  <c r="FE1" i="20"/>
  <c r="FF1" i="20"/>
  <c r="FG1" i="20"/>
  <c r="FH1" i="20"/>
  <c r="FI1" i="20"/>
  <c r="FJ1" i="20"/>
  <c r="FK1" i="20"/>
  <c r="FL1" i="20"/>
  <c r="FM1" i="20"/>
  <c r="FN1" i="20"/>
  <c r="FO1" i="20"/>
  <c r="FP1" i="20"/>
  <c r="FQ1" i="20"/>
  <c r="FR1" i="20"/>
  <c r="FS1" i="20"/>
  <c r="FT1" i="20"/>
  <c r="FU1" i="20"/>
  <c r="FV1" i="20"/>
  <c r="FW1" i="20"/>
  <c r="FX1" i="20"/>
  <c r="FY1" i="20"/>
  <c r="FZ1" i="20"/>
  <c r="GA1" i="20"/>
  <c r="GB1" i="20"/>
  <c r="GC1" i="20"/>
  <c r="GD1" i="20"/>
  <c r="GE1" i="20"/>
  <c r="GF1" i="20"/>
  <c r="GG1" i="20"/>
  <c r="GH1" i="20"/>
  <c r="GI1" i="20"/>
  <c r="GJ1" i="20"/>
  <c r="GK1" i="20"/>
  <c r="GL1" i="20"/>
  <c r="GM1" i="20"/>
  <c r="GN1" i="20"/>
  <c r="GO1" i="20"/>
  <c r="GP1" i="20"/>
  <c r="GQ1" i="20"/>
  <c r="GR1" i="20"/>
  <c r="GS1" i="20"/>
  <c r="E8" i="24"/>
  <c r="R28" i="20"/>
  <c r="S28" i="20"/>
  <c r="Y28" i="20"/>
  <c r="Z28" i="20"/>
  <c r="AB28" i="20"/>
  <c r="AC28" i="20"/>
  <c r="AE28" i="20"/>
  <c r="AF28" i="20"/>
  <c r="AI28" i="20"/>
  <c r="AJ28" i="20"/>
  <c r="AK28" i="20"/>
  <c r="AL28" i="20"/>
  <c r="AO28" i="20"/>
  <c r="AP28" i="20"/>
  <c r="AR28" i="20"/>
  <c r="AS28" i="20"/>
  <c r="AT28" i="20"/>
  <c r="AW28" i="20"/>
  <c r="AY28" i="20"/>
  <c r="AZ28" i="20"/>
  <c r="BG28" i="20"/>
  <c r="BH28" i="20"/>
  <c r="BI28" i="20"/>
  <c r="BJ28" i="20"/>
  <c r="BK28" i="20"/>
  <c r="BL28" i="20"/>
  <c r="BX28" i="20"/>
  <c r="BY28" i="20"/>
  <c r="BZ28" i="20"/>
  <c r="CA28" i="20"/>
  <c r="CB28" i="20"/>
  <c r="CC28" i="20"/>
  <c r="CD28" i="20"/>
  <c r="CE28" i="20"/>
  <c r="CF28" i="20"/>
  <c r="CG28" i="20"/>
  <c r="CH28" i="20"/>
  <c r="CI28" i="20"/>
  <c r="CJ28" i="20"/>
  <c r="CK28" i="20"/>
  <c r="CL28" i="20"/>
  <c r="CM28" i="20"/>
  <c r="CN28" i="20"/>
  <c r="D4" i="24"/>
  <c r="D8" i="24"/>
  <c r="D9" i="24"/>
  <c r="D11" i="24"/>
  <c r="D14" i="24"/>
  <c r="D15" i="24"/>
  <c r="D21" i="24"/>
  <c r="D22" i="24"/>
  <c r="D24" i="24"/>
  <c r="D25" i="24"/>
  <c r="D92" i="24"/>
  <c r="D99" i="24"/>
  <c r="E107" i="24"/>
  <c r="E109" i="24"/>
  <c r="E110" i="24"/>
  <c r="F107" i="24"/>
  <c r="E123" i="24"/>
  <c r="E92" i="24"/>
  <c r="F92" i="24"/>
  <c r="F123" i="24"/>
  <c r="G123" i="24"/>
  <c r="H123" i="24"/>
  <c r="I123" i="24"/>
  <c r="E24" i="24"/>
  <c r="E22" i="24"/>
  <c r="F22" i="24"/>
  <c r="G22" i="24"/>
  <c r="H22" i="24"/>
  <c r="I22" i="24"/>
  <c r="E122" i="24"/>
  <c r="E25" i="24"/>
  <c r="E96" i="24"/>
  <c r="F96" i="24"/>
  <c r="F97" i="24"/>
  <c r="E97" i="24"/>
  <c r="E21" i="24"/>
  <c r="F24" i="24"/>
  <c r="G24" i="24"/>
  <c r="H24" i="24"/>
  <c r="F25" i="24"/>
  <c r="G25" i="24"/>
  <c r="H25" i="24"/>
  <c r="I25" i="24"/>
  <c r="F21" i="24"/>
  <c r="G21" i="24"/>
  <c r="H21" i="24"/>
  <c r="I21" i="24"/>
  <c r="E2" i="24"/>
  <c r="E11" i="24"/>
  <c r="E14" i="24"/>
  <c r="E15" i="24"/>
  <c r="E207" i="24"/>
  <c r="E198" i="24"/>
  <c r="C33" i="24"/>
  <c r="C34" i="24"/>
  <c r="E34" i="24"/>
  <c r="C35" i="24"/>
  <c r="E35" i="24"/>
  <c r="C36" i="24"/>
  <c r="E36" i="24"/>
  <c r="C37" i="24"/>
  <c r="E37" i="24"/>
  <c r="C38" i="24"/>
  <c r="E38" i="24"/>
  <c r="C39" i="24"/>
  <c r="E39" i="24"/>
  <c r="C40" i="24"/>
  <c r="E40" i="24"/>
  <c r="C41" i="24"/>
  <c r="E41" i="24"/>
  <c r="C42" i="24"/>
  <c r="E42" i="24"/>
  <c r="C43" i="24"/>
  <c r="E43" i="24"/>
  <c r="C44" i="24"/>
  <c r="E44" i="24"/>
  <c r="C45" i="24"/>
  <c r="E45" i="24"/>
  <c r="C46" i="24"/>
  <c r="E46" i="24"/>
  <c r="C47" i="24"/>
  <c r="E47" i="24"/>
  <c r="C48" i="24"/>
  <c r="E48" i="24"/>
  <c r="C49" i="24"/>
  <c r="E49" i="24"/>
  <c r="C50" i="24"/>
  <c r="E50" i="24"/>
  <c r="C51" i="24"/>
  <c r="E51" i="24"/>
  <c r="C52" i="24"/>
  <c r="E52" i="24"/>
  <c r="C53" i="24"/>
  <c r="E53" i="24"/>
  <c r="C54" i="24"/>
  <c r="E54" i="24"/>
  <c r="C55" i="24"/>
  <c r="E55" i="24"/>
  <c r="C56" i="24"/>
  <c r="E56" i="24"/>
  <c r="C57" i="24"/>
  <c r="E57" i="24"/>
  <c r="C58" i="24"/>
  <c r="E58" i="24"/>
  <c r="C59" i="24"/>
  <c r="E59" i="24"/>
  <c r="C60" i="24"/>
  <c r="E60" i="24"/>
  <c r="C61" i="24"/>
  <c r="E61" i="24"/>
  <c r="C62" i="24"/>
  <c r="E62" i="24"/>
  <c r="C63" i="24"/>
  <c r="E63" i="24"/>
  <c r="C64" i="24"/>
  <c r="E64" i="24"/>
  <c r="C65" i="24"/>
  <c r="E65" i="24"/>
  <c r="C66" i="24"/>
  <c r="E66" i="24"/>
  <c r="C67" i="24"/>
  <c r="E67" i="24"/>
  <c r="C68" i="24"/>
  <c r="E68" i="24"/>
  <c r="C69" i="24"/>
  <c r="E69" i="24"/>
  <c r="C70" i="24"/>
  <c r="E70" i="24"/>
  <c r="C71" i="24"/>
  <c r="E71" i="24"/>
  <c r="C72" i="24"/>
  <c r="E72" i="24"/>
  <c r="E106" i="24"/>
  <c r="E111" i="24"/>
  <c r="E121" i="24"/>
  <c r="E136" i="24"/>
  <c r="E137" i="24"/>
  <c r="J123" i="24"/>
  <c r="K123" i="24"/>
  <c r="L123" i="24"/>
  <c r="M123" i="24"/>
  <c r="N123" i="24"/>
  <c r="O123" i="24"/>
  <c r="P123" i="24"/>
  <c r="Q123" i="24"/>
  <c r="R123" i="24"/>
  <c r="S123" i="24"/>
  <c r="T123" i="24"/>
  <c r="U123" i="24"/>
  <c r="V123" i="24"/>
  <c r="W123" i="24"/>
  <c r="X123" i="24"/>
  <c r="Y107" i="24"/>
  <c r="Y109" i="24"/>
  <c r="Z107" i="24"/>
  <c r="Z109" i="24"/>
  <c r="AA107" i="24"/>
  <c r="AA109" i="24"/>
  <c r="AB107" i="24"/>
  <c r="AB109" i="24"/>
  <c r="AC107" i="24"/>
  <c r="AC109" i="24"/>
  <c r="AD107" i="24"/>
  <c r="AD109" i="24"/>
  <c r="AE107" i="24"/>
  <c r="AE109" i="24"/>
  <c r="AF107" i="24"/>
  <c r="AF109" i="24"/>
  <c r="AG107" i="24"/>
  <c r="AG109" i="24"/>
  <c r="AH107" i="24"/>
  <c r="AH109" i="24"/>
  <c r="AI107" i="24"/>
  <c r="AI109" i="24"/>
  <c r="AJ107" i="24"/>
  <c r="AJ109" i="24"/>
  <c r="AK107" i="24"/>
  <c r="AK109" i="24"/>
  <c r="AL107" i="24"/>
  <c r="AL109" i="24"/>
  <c r="AM107" i="24"/>
  <c r="AM109" i="24"/>
  <c r="AN107" i="24"/>
  <c r="AN109" i="24"/>
  <c r="AO107" i="24"/>
  <c r="AO109" i="24"/>
  <c r="AP107" i="24"/>
  <c r="AP109" i="24"/>
  <c r="AQ107" i="24"/>
  <c r="AQ109" i="24"/>
  <c r="AR107" i="24"/>
  <c r="AR109" i="24"/>
  <c r="Y128" i="24"/>
  <c r="Z128" i="24"/>
  <c r="AA128" i="24"/>
  <c r="AB128" i="24"/>
  <c r="AC128" i="24"/>
  <c r="AD128" i="24"/>
  <c r="AE128" i="24"/>
  <c r="AF128" i="24"/>
  <c r="AG128" i="24"/>
  <c r="AH128" i="24"/>
  <c r="AI128" i="24"/>
  <c r="AJ128" i="24"/>
  <c r="AK128" i="24"/>
  <c r="AL128" i="24"/>
  <c r="AM128" i="24"/>
  <c r="AN128" i="24"/>
  <c r="AO128" i="24"/>
  <c r="AP128" i="24"/>
  <c r="AQ128" i="24"/>
  <c r="AR128" i="24"/>
  <c r="J22" i="24"/>
  <c r="K22" i="24"/>
  <c r="L22" i="24"/>
  <c r="M22" i="24"/>
  <c r="N22" i="24"/>
  <c r="O22" i="24"/>
  <c r="P22" i="24"/>
  <c r="Q22" i="24"/>
  <c r="R22" i="24"/>
  <c r="S22" i="24"/>
  <c r="T22" i="24"/>
  <c r="U22" i="24"/>
  <c r="V22" i="24"/>
  <c r="W22" i="24"/>
  <c r="X22" i="24"/>
  <c r="J25" i="24"/>
  <c r="J21" i="24"/>
  <c r="K25" i="24"/>
  <c r="K21" i="24"/>
  <c r="L21" i="24"/>
  <c r="M21" i="24"/>
  <c r="N21" i="24"/>
  <c r="O21" i="24"/>
  <c r="P21" i="24"/>
  <c r="Q21" i="24"/>
  <c r="R21" i="24"/>
  <c r="S21" i="24"/>
  <c r="T21" i="24"/>
  <c r="U21" i="24"/>
  <c r="V21" i="24"/>
  <c r="W21" i="24"/>
  <c r="X21" i="24"/>
  <c r="L25" i="24"/>
  <c r="M25" i="24"/>
  <c r="N25" i="24"/>
  <c r="O25" i="24"/>
  <c r="P25" i="24"/>
  <c r="Q25" i="24"/>
  <c r="R25" i="24"/>
  <c r="S25" i="24"/>
  <c r="T25" i="24"/>
  <c r="U25" i="24"/>
  <c r="V25" i="24"/>
  <c r="W25" i="24"/>
  <c r="X25" i="24"/>
  <c r="Y132" i="24"/>
  <c r="Z132" i="24"/>
  <c r="AA132" i="24"/>
  <c r="AB132" i="24"/>
  <c r="AC132" i="24"/>
  <c r="AD132" i="24"/>
  <c r="AE132" i="24"/>
  <c r="AF132" i="24"/>
  <c r="AG132" i="24"/>
  <c r="AH132" i="24"/>
  <c r="AI132" i="24"/>
  <c r="AJ132" i="24"/>
  <c r="AK132" i="24"/>
  <c r="AL132" i="24"/>
  <c r="AM132" i="24"/>
  <c r="AN132" i="24"/>
  <c r="AO132" i="24"/>
  <c r="AP132" i="24"/>
  <c r="AQ132" i="24"/>
  <c r="AR132" i="24"/>
  <c r="F2" i="24"/>
  <c r="F11" i="24"/>
  <c r="F35" i="24"/>
  <c r="F36" i="24"/>
  <c r="F37" i="24"/>
  <c r="F38" i="24"/>
  <c r="F39" i="24"/>
  <c r="F40" i="24"/>
  <c r="F41" i="24"/>
  <c r="F42" i="24"/>
  <c r="F43" i="24"/>
  <c r="F44" i="24"/>
  <c r="F45" i="24"/>
  <c r="F46" i="24"/>
  <c r="F47" i="24"/>
  <c r="F48" i="24"/>
  <c r="F49" i="24"/>
  <c r="F50" i="24"/>
  <c r="F51" i="24"/>
  <c r="F52" i="24"/>
  <c r="F53" i="24"/>
  <c r="F54" i="24"/>
  <c r="F55" i="24"/>
  <c r="F56" i="24"/>
  <c r="F57" i="24"/>
  <c r="F58" i="24"/>
  <c r="F59" i="24"/>
  <c r="F60" i="24"/>
  <c r="F61" i="24"/>
  <c r="F62" i="24"/>
  <c r="F63" i="24"/>
  <c r="F64" i="24"/>
  <c r="F65" i="24"/>
  <c r="F66" i="24"/>
  <c r="F67" i="24"/>
  <c r="F68" i="24"/>
  <c r="F69" i="24"/>
  <c r="F70" i="24"/>
  <c r="F71" i="24"/>
  <c r="F72" i="24"/>
  <c r="F106" i="24"/>
  <c r="F111" i="24"/>
  <c r="F121" i="24"/>
  <c r="F136" i="24"/>
  <c r="F137" i="24"/>
  <c r="G2" i="24"/>
  <c r="G11" i="24"/>
  <c r="G36" i="24"/>
  <c r="G37" i="24"/>
  <c r="G38" i="24"/>
  <c r="G39" i="24"/>
  <c r="G40" i="24"/>
  <c r="G41" i="24"/>
  <c r="G42" i="24"/>
  <c r="G43" i="24"/>
  <c r="G44" i="24"/>
  <c r="G45" i="24"/>
  <c r="G46" i="24"/>
  <c r="G47" i="24"/>
  <c r="G48" i="24"/>
  <c r="G49" i="24"/>
  <c r="G50" i="24"/>
  <c r="G51" i="24"/>
  <c r="G52" i="24"/>
  <c r="G53" i="24"/>
  <c r="G54" i="24"/>
  <c r="G55" i="24"/>
  <c r="G56" i="24"/>
  <c r="G57" i="24"/>
  <c r="G58" i="24"/>
  <c r="G59" i="24"/>
  <c r="G60" i="24"/>
  <c r="G61" i="24"/>
  <c r="G62" i="24"/>
  <c r="G63" i="24"/>
  <c r="G64" i="24"/>
  <c r="G65" i="24"/>
  <c r="G66" i="24"/>
  <c r="G67" i="24"/>
  <c r="G68" i="24"/>
  <c r="G69" i="24"/>
  <c r="G70" i="24"/>
  <c r="G71" i="24"/>
  <c r="G72" i="24"/>
  <c r="G106" i="24"/>
  <c r="G111" i="24"/>
  <c r="G121" i="24"/>
  <c r="G136" i="24"/>
  <c r="G137" i="24"/>
  <c r="H2" i="24"/>
  <c r="H11" i="24"/>
  <c r="H37" i="24"/>
  <c r="H38" i="24"/>
  <c r="H39" i="24"/>
  <c r="H40" i="24"/>
  <c r="H41" i="24"/>
  <c r="H42" i="24"/>
  <c r="H43" i="24"/>
  <c r="H44" i="24"/>
  <c r="H45" i="24"/>
  <c r="H46" i="24"/>
  <c r="H47" i="24"/>
  <c r="H48" i="24"/>
  <c r="H49" i="24"/>
  <c r="H50" i="24"/>
  <c r="H51" i="24"/>
  <c r="H52" i="24"/>
  <c r="H53" i="24"/>
  <c r="H54" i="24"/>
  <c r="H55" i="24"/>
  <c r="H56" i="24"/>
  <c r="H57" i="24"/>
  <c r="H58" i="24"/>
  <c r="H59" i="24"/>
  <c r="H60" i="24"/>
  <c r="H61" i="24"/>
  <c r="H62" i="24"/>
  <c r="H63" i="24"/>
  <c r="H64" i="24"/>
  <c r="H65" i="24"/>
  <c r="H66" i="24"/>
  <c r="H67" i="24"/>
  <c r="H68" i="24"/>
  <c r="H69" i="24"/>
  <c r="H70" i="24"/>
  <c r="H71" i="24"/>
  <c r="H72" i="24"/>
  <c r="H106" i="24"/>
  <c r="H111" i="24"/>
  <c r="H121" i="24"/>
  <c r="H136" i="24"/>
  <c r="H137" i="24"/>
  <c r="I2" i="24"/>
  <c r="I11" i="24"/>
  <c r="I38" i="24"/>
  <c r="I39" i="24"/>
  <c r="I40" i="24"/>
  <c r="I41" i="24"/>
  <c r="I42" i="24"/>
  <c r="I43" i="24"/>
  <c r="I44" i="24"/>
  <c r="I45" i="24"/>
  <c r="I46" i="24"/>
  <c r="I47" i="24"/>
  <c r="I48" i="24"/>
  <c r="I49" i="24"/>
  <c r="I50" i="24"/>
  <c r="I51" i="24"/>
  <c r="I52" i="24"/>
  <c r="I53" i="24"/>
  <c r="I54" i="24"/>
  <c r="I55" i="24"/>
  <c r="I56" i="24"/>
  <c r="I57" i="24"/>
  <c r="I58" i="24"/>
  <c r="I59" i="24"/>
  <c r="I60" i="24"/>
  <c r="I61" i="24"/>
  <c r="I62" i="24"/>
  <c r="I63" i="24"/>
  <c r="I64" i="24"/>
  <c r="I65" i="24"/>
  <c r="I66" i="24"/>
  <c r="I67" i="24"/>
  <c r="I68" i="24"/>
  <c r="I69" i="24"/>
  <c r="I70" i="24"/>
  <c r="I71" i="24"/>
  <c r="I72" i="24"/>
  <c r="I106" i="24"/>
  <c r="I121" i="24"/>
  <c r="J2" i="24"/>
  <c r="J11" i="24"/>
  <c r="J39" i="24"/>
  <c r="J40" i="24"/>
  <c r="J41" i="24"/>
  <c r="J42" i="24"/>
  <c r="J43" i="24"/>
  <c r="J44" i="24"/>
  <c r="J45" i="24"/>
  <c r="J46" i="24"/>
  <c r="J47" i="24"/>
  <c r="J48" i="24"/>
  <c r="J49" i="24"/>
  <c r="J50" i="24"/>
  <c r="J51" i="24"/>
  <c r="J52" i="24"/>
  <c r="J53" i="24"/>
  <c r="J54" i="24"/>
  <c r="J55" i="24"/>
  <c r="J56" i="24"/>
  <c r="J57" i="24"/>
  <c r="J58" i="24"/>
  <c r="J59" i="24"/>
  <c r="J60" i="24"/>
  <c r="J61" i="24"/>
  <c r="J62" i="24"/>
  <c r="J63" i="24"/>
  <c r="J64" i="24"/>
  <c r="J65" i="24"/>
  <c r="J66" i="24"/>
  <c r="J67" i="24"/>
  <c r="J68" i="24"/>
  <c r="J69" i="24"/>
  <c r="J70" i="24"/>
  <c r="J71" i="24"/>
  <c r="J72" i="24"/>
  <c r="J106" i="24"/>
  <c r="J111" i="24"/>
  <c r="J121" i="24"/>
  <c r="J136" i="24"/>
  <c r="J137" i="24"/>
  <c r="K2" i="24"/>
  <c r="K11" i="24"/>
  <c r="K40" i="24"/>
  <c r="K41" i="24"/>
  <c r="K42" i="24"/>
  <c r="K43" i="24"/>
  <c r="K44" i="24"/>
  <c r="K45" i="24"/>
  <c r="K46" i="24"/>
  <c r="K47" i="24"/>
  <c r="K48" i="24"/>
  <c r="K49" i="24"/>
  <c r="K50" i="24"/>
  <c r="K51" i="24"/>
  <c r="K52" i="24"/>
  <c r="K53" i="24"/>
  <c r="K54" i="24"/>
  <c r="K55" i="24"/>
  <c r="K56" i="24"/>
  <c r="K57" i="24"/>
  <c r="K58" i="24"/>
  <c r="K59" i="24"/>
  <c r="K60" i="24"/>
  <c r="K61" i="24"/>
  <c r="K62" i="24"/>
  <c r="K63" i="24"/>
  <c r="K64" i="24"/>
  <c r="K65" i="24"/>
  <c r="K66" i="24"/>
  <c r="K67" i="24"/>
  <c r="K68" i="24"/>
  <c r="K69" i="24"/>
  <c r="K70" i="24"/>
  <c r="K71" i="24"/>
  <c r="K72" i="24"/>
  <c r="K106" i="24"/>
  <c r="K111" i="24"/>
  <c r="K121" i="24"/>
  <c r="L121" i="24"/>
  <c r="M121" i="24"/>
  <c r="N121" i="24"/>
  <c r="K136" i="24"/>
  <c r="K137" i="24"/>
  <c r="L2" i="24"/>
  <c r="L11" i="24"/>
  <c r="L41" i="24"/>
  <c r="L42" i="24"/>
  <c r="L43" i="24"/>
  <c r="L44" i="24"/>
  <c r="L45" i="24"/>
  <c r="L46" i="24"/>
  <c r="L47" i="24"/>
  <c r="L48" i="24"/>
  <c r="L49" i="24"/>
  <c r="L50" i="24"/>
  <c r="L51" i="24"/>
  <c r="L52" i="24"/>
  <c r="L53" i="24"/>
  <c r="L54" i="24"/>
  <c r="L55" i="24"/>
  <c r="L56" i="24"/>
  <c r="L57" i="24"/>
  <c r="L58" i="24"/>
  <c r="L59" i="24"/>
  <c r="L60" i="24"/>
  <c r="L61" i="24"/>
  <c r="L62" i="24"/>
  <c r="L63" i="24"/>
  <c r="L64" i="24"/>
  <c r="L65" i="24"/>
  <c r="L66" i="24"/>
  <c r="L67" i="24"/>
  <c r="L68" i="24"/>
  <c r="L69" i="24"/>
  <c r="L70" i="24"/>
  <c r="L71" i="24"/>
  <c r="L72" i="24"/>
  <c r="L106" i="24"/>
  <c r="L111" i="24"/>
  <c r="L136" i="24"/>
  <c r="L137" i="24"/>
  <c r="M2" i="24"/>
  <c r="M11" i="24"/>
  <c r="M42" i="24"/>
  <c r="M43" i="24"/>
  <c r="M44" i="24"/>
  <c r="M45" i="24"/>
  <c r="M46" i="24"/>
  <c r="M47" i="24"/>
  <c r="M48" i="24"/>
  <c r="M49" i="24"/>
  <c r="M50" i="24"/>
  <c r="M51" i="24"/>
  <c r="M52" i="24"/>
  <c r="M53" i="24"/>
  <c r="M54" i="24"/>
  <c r="M55" i="24"/>
  <c r="M56" i="24"/>
  <c r="M57" i="24"/>
  <c r="M58" i="24"/>
  <c r="M59" i="24"/>
  <c r="M60" i="24"/>
  <c r="M61" i="24"/>
  <c r="M62" i="24"/>
  <c r="M63" i="24"/>
  <c r="M64" i="24"/>
  <c r="M65" i="24"/>
  <c r="M66" i="24"/>
  <c r="M67" i="24"/>
  <c r="M68" i="24"/>
  <c r="M69" i="24"/>
  <c r="M70" i="24"/>
  <c r="M71" i="24"/>
  <c r="M72" i="24"/>
  <c r="M106" i="24"/>
  <c r="M111" i="24"/>
  <c r="M136" i="24"/>
  <c r="M137" i="24"/>
  <c r="N2" i="24"/>
  <c r="N11" i="24"/>
  <c r="N43" i="24"/>
  <c r="N44" i="24"/>
  <c r="N45" i="24"/>
  <c r="N46" i="24"/>
  <c r="N47" i="24"/>
  <c r="N48" i="24"/>
  <c r="N49" i="24"/>
  <c r="N50" i="24"/>
  <c r="N51" i="24"/>
  <c r="N52" i="24"/>
  <c r="N53" i="24"/>
  <c r="N54" i="24"/>
  <c r="N55" i="24"/>
  <c r="N56" i="24"/>
  <c r="N57" i="24"/>
  <c r="N58" i="24"/>
  <c r="N59" i="24"/>
  <c r="N60" i="24"/>
  <c r="N61" i="24"/>
  <c r="N62" i="24"/>
  <c r="N63" i="24"/>
  <c r="N64" i="24"/>
  <c r="N65" i="24"/>
  <c r="N66" i="24"/>
  <c r="N67" i="24"/>
  <c r="N68" i="24"/>
  <c r="N69" i="24"/>
  <c r="N70" i="24"/>
  <c r="N71" i="24"/>
  <c r="N72" i="24"/>
  <c r="N106" i="24"/>
  <c r="O2" i="24"/>
  <c r="O11" i="24"/>
  <c r="O44" i="24"/>
  <c r="O45" i="24"/>
  <c r="O46" i="24"/>
  <c r="O47" i="24"/>
  <c r="O48" i="24"/>
  <c r="O49" i="24"/>
  <c r="O50" i="24"/>
  <c r="O51" i="24"/>
  <c r="O52" i="24"/>
  <c r="O53" i="24"/>
  <c r="O54" i="24"/>
  <c r="O55" i="24"/>
  <c r="O56" i="24"/>
  <c r="O57" i="24"/>
  <c r="O58" i="24"/>
  <c r="O59" i="24"/>
  <c r="O60" i="24"/>
  <c r="O61" i="24"/>
  <c r="O62" i="24"/>
  <c r="O63" i="24"/>
  <c r="O64" i="24"/>
  <c r="O65" i="24"/>
  <c r="O66" i="24"/>
  <c r="O67" i="24"/>
  <c r="O68" i="24"/>
  <c r="O69" i="24"/>
  <c r="O70" i="24"/>
  <c r="O71" i="24"/>
  <c r="O72" i="24"/>
  <c r="O106" i="24"/>
  <c r="O111" i="24"/>
  <c r="O121" i="24"/>
  <c r="O136" i="24"/>
  <c r="O137" i="24"/>
  <c r="P2" i="24"/>
  <c r="P11" i="24"/>
  <c r="P45" i="24"/>
  <c r="P46" i="24"/>
  <c r="P47" i="24"/>
  <c r="P48" i="24"/>
  <c r="P49" i="24"/>
  <c r="P50" i="24"/>
  <c r="P51" i="24"/>
  <c r="P52" i="24"/>
  <c r="P53" i="24"/>
  <c r="P54" i="24"/>
  <c r="P55" i="24"/>
  <c r="P56" i="24"/>
  <c r="P57" i="24"/>
  <c r="P58" i="24"/>
  <c r="P59" i="24"/>
  <c r="P60" i="24"/>
  <c r="P61" i="24"/>
  <c r="P62" i="24"/>
  <c r="P63" i="24"/>
  <c r="P64" i="24"/>
  <c r="P65" i="24"/>
  <c r="P66" i="24"/>
  <c r="P67" i="24"/>
  <c r="P68" i="24"/>
  <c r="P69" i="24"/>
  <c r="P70" i="24"/>
  <c r="P71" i="24"/>
  <c r="P72" i="24"/>
  <c r="P106" i="24"/>
  <c r="P111" i="24"/>
  <c r="P121" i="24"/>
  <c r="P136" i="24"/>
  <c r="P137" i="24"/>
  <c r="Q2" i="24"/>
  <c r="Q11" i="24"/>
  <c r="Q46" i="24"/>
  <c r="Q47" i="24"/>
  <c r="Q48" i="24"/>
  <c r="Q49" i="24"/>
  <c r="Q50" i="24"/>
  <c r="Q51" i="24"/>
  <c r="Q52" i="24"/>
  <c r="Q53" i="24"/>
  <c r="Q54" i="24"/>
  <c r="Q55" i="24"/>
  <c r="Q56" i="24"/>
  <c r="Q57" i="24"/>
  <c r="Q58" i="24"/>
  <c r="Q59" i="24"/>
  <c r="Q60" i="24"/>
  <c r="Q61" i="24"/>
  <c r="Q62" i="24"/>
  <c r="Q63" i="24"/>
  <c r="Q64" i="24"/>
  <c r="Q65" i="24"/>
  <c r="Q66" i="24"/>
  <c r="Q67" i="24"/>
  <c r="Q68" i="24"/>
  <c r="Q69" i="24"/>
  <c r="Q70" i="24"/>
  <c r="Q71" i="24"/>
  <c r="Q72" i="24"/>
  <c r="Q106" i="24"/>
  <c r="Q111" i="24"/>
  <c r="Q121" i="24"/>
  <c r="Q136" i="24"/>
  <c r="Q137" i="24"/>
  <c r="R2" i="24"/>
  <c r="R11" i="24"/>
  <c r="R47" i="24"/>
  <c r="R48" i="24"/>
  <c r="R49" i="24"/>
  <c r="R50" i="24"/>
  <c r="R51" i="24"/>
  <c r="R52" i="24"/>
  <c r="R53" i="24"/>
  <c r="R54" i="24"/>
  <c r="R55" i="24"/>
  <c r="R56" i="24"/>
  <c r="R57" i="24"/>
  <c r="R58" i="24"/>
  <c r="R59" i="24"/>
  <c r="R60" i="24"/>
  <c r="R61" i="24"/>
  <c r="R62" i="24"/>
  <c r="R63" i="24"/>
  <c r="R64" i="24"/>
  <c r="R65" i="24"/>
  <c r="R66" i="24"/>
  <c r="R67" i="24"/>
  <c r="R68" i="24"/>
  <c r="R69" i="24"/>
  <c r="R70" i="24"/>
  <c r="R71" i="24"/>
  <c r="R72" i="24"/>
  <c r="R106" i="24"/>
  <c r="R111" i="24"/>
  <c r="R121" i="24"/>
  <c r="R136" i="24"/>
  <c r="R137" i="24"/>
  <c r="S2" i="24"/>
  <c r="S11" i="24"/>
  <c r="S48" i="24"/>
  <c r="S49" i="24"/>
  <c r="S50" i="24"/>
  <c r="S51" i="24"/>
  <c r="S52" i="24"/>
  <c r="S53" i="24"/>
  <c r="S54" i="24"/>
  <c r="S55" i="24"/>
  <c r="S56" i="24"/>
  <c r="S57" i="24"/>
  <c r="S58" i="24"/>
  <c r="S59" i="24"/>
  <c r="S60" i="24"/>
  <c r="S61" i="24"/>
  <c r="S62" i="24"/>
  <c r="S63" i="24"/>
  <c r="S64" i="24"/>
  <c r="S65" i="24"/>
  <c r="S66" i="24"/>
  <c r="S67" i="24"/>
  <c r="S68" i="24"/>
  <c r="S69" i="24"/>
  <c r="S70" i="24"/>
  <c r="S71" i="24"/>
  <c r="S72" i="24"/>
  <c r="S106" i="24"/>
  <c r="S121" i="24"/>
  <c r="T2" i="24"/>
  <c r="T11" i="24"/>
  <c r="T49" i="24"/>
  <c r="T50" i="24"/>
  <c r="T51" i="24"/>
  <c r="T52" i="24"/>
  <c r="T53" i="24"/>
  <c r="T54" i="24"/>
  <c r="T55" i="24"/>
  <c r="T56" i="24"/>
  <c r="T57" i="24"/>
  <c r="T58" i="24"/>
  <c r="T59" i="24"/>
  <c r="T60" i="24"/>
  <c r="T61" i="24"/>
  <c r="T62" i="24"/>
  <c r="T63" i="24"/>
  <c r="T64" i="24"/>
  <c r="T65" i="24"/>
  <c r="T66" i="24"/>
  <c r="T67" i="24"/>
  <c r="T68" i="24"/>
  <c r="T69" i="24"/>
  <c r="T70" i="24"/>
  <c r="T71" i="24"/>
  <c r="T72" i="24"/>
  <c r="T106" i="24"/>
  <c r="T111" i="24"/>
  <c r="T121" i="24"/>
  <c r="T136" i="24"/>
  <c r="T137" i="24"/>
  <c r="U2" i="24"/>
  <c r="U11" i="24"/>
  <c r="U50" i="24"/>
  <c r="U51" i="24"/>
  <c r="U52" i="24"/>
  <c r="U53" i="24"/>
  <c r="U54" i="24"/>
  <c r="U55" i="24"/>
  <c r="U56" i="24"/>
  <c r="U57" i="24"/>
  <c r="U58" i="24"/>
  <c r="U59" i="24"/>
  <c r="U60" i="24"/>
  <c r="U61" i="24"/>
  <c r="U62" i="24"/>
  <c r="U63" i="24"/>
  <c r="U64" i="24"/>
  <c r="U65" i="24"/>
  <c r="U66" i="24"/>
  <c r="U67" i="24"/>
  <c r="U68" i="24"/>
  <c r="U69" i="24"/>
  <c r="U70" i="24"/>
  <c r="U71" i="24"/>
  <c r="U72" i="24"/>
  <c r="U106" i="24"/>
  <c r="U111" i="24"/>
  <c r="U121" i="24"/>
  <c r="U136" i="24"/>
  <c r="U137" i="24"/>
  <c r="V2" i="24"/>
  <c r="V11" i="24"/>
  <c r="V51" i="24"/>
  <c r="V52" i="24"/>
  <c r="V53" i="24"/>
  <c r="V54" i="24"/>
  <c r="V55" i="24"/>
  <c r="V56" i="24"/>
  <c r="V57" i="24"/>
  <c r="V58" i="24"/>
  <c r="V59" i="24"/>
  <c r="V60" i="24"/>
  <c r="V61" i="24"/>
  <c r="V62" i="24"/>
  <c r="V63" i="24"/>
  <c r="V64" i="24"/>
  <c r="V65" i="24"/>
  <c r="V66" i="24"/>
  <c r="V67" i="24"/>
  <c r="V68" i="24"/>
  <c r="V69" i="24"/>
  <c r="V70" i="24"/>
  <c r="V71" i="24"/>
  <c r="V72" i="24"/>
  <c r="V106" i="24"/>
  <c r="V111" i="24"/>
  <c r="V121" i="24"/>
  <c r="V136" i="24"/>
  <c r="V137" i="24"/>
  <c r="W2" i="24"/>
  <c r="W11" i="24"/>
  <c r="W52" i="24"/>
  <c r="W53" i="24"/>
  <c r="W54" i="24"/>
  <c r="W55" i="24"/>
  <c r="W56" i="24"/>
  <c r="W57" i="24"/>
  <c r="W58" i="24"/>
  <c r="W59" i="24"/>
  <c r="W60" i="24"/>
  <c r="W61" i="24"/>
  <c r="W62" i="24"/>
  <c r="W63" i="24"/>
  <c r="W64" i="24"/>
  <c r="W65" i="24"/>
  <c r="W66" i="24"/>
  <c r="W67" i="24"/>
  <c r="W68" i="24"/>
  <c r="W69" i="24"/>
  <c r="W70" i="24"/>
  <c r="W71" i="24"/>
  <c r="W72" i="24"/>
  <c r="W106" i="24"/>
  <c r="W111" i="24"/>
  <c r="W121" i="24"/>
  <c r="W136" i="24"/>
  <c r="W137" i="24"/>
  <c r="X2" i="24"/>
  <c r="X11" i="24"/>
  <c r="X53" i="24"/>
  <c r="X54" i="24"/>
  <c r="X55" i="24"/>
  <c r="X56" i="24"/>
  <c r="X57" i="24"/>
  <c r="X58" i="24"/>
  <c r="X59" i="24"/>
  <c r="X60" i="24"/>
  <c r="X61" i="24"/>
  <c r="X62" i="24"/>
  <c r="X63" i="24"/>
  <c r="X64" i="24"/>
  <c r="X65" i="24"/>
  <c r="X66" i="24"/>
  <c r="X67" i="24"/>
  <c r="X68" i="24"/>
  <c r="X69" i="24"/>
  <c r="X70" i="24"/>
  <c r="X71" i="24"/>
  <c r="X72" i="24"/>
  <c r="X106" i="24"/>
  <c r="X121" i="24"/>
  <c r="E50" i="20"/>
  <c r="B52" i="20"/>
  <c r="C52" i="20"/>
  <c r="D52" i="20"/>
  <c r="E52" i="20"/>
  <c r="F52" i="20"/>
  <c r="G52" i="20"/>
  <c r="H52" i="20"/>
  <c r="I52" i="20"/>
  <c r="J52" i="20"/>
  <c r="K52" i="20"/>
  <c r="L52" i="20"/>
  <c r="M52" i="20"/>
  <c r="N52" i="20"/>
  <c r="O52" i="20"/>
  <c r="P52" i="20"/>
  <c r="Q52" i="20"/>
  <c r="R52" i="20"/>
  <c r="S52" i="20"/>
  <c r="T52" i="20"/>
  <c r="U52" i="20"/>
  <c r="V52" i="20"/>
  <c r="W52" i="20"/>
  <c r="X52" i="20"/>
  <c r="Y52" i="20"/>
  <c r="Z52" i="20"/>
  <c r="AA52" i="20"/>
  <c r="AB52" i="20"/>
  <c r="AC52" i="20"/>
  <c r="AD52" i="20"/>
  <c r="AE52" i="20"/>
  <c r="AF52" i="20"/>
  <c r="AG52" i="20"/>
  <c r="AH52" i="20"/>
  <c r="AI52" i="20"/>
  <c r="AJ52" i="20"/>
  <c r="AK52" i="20"/>
  <c r="AL52" i="20"/>
  <c r="AM52" i="20"/>
  <c r="AN52" i="20"/>
  <c r="AO52" i="20"/>
  <c r="AP52" i="20"/>
  <c r="AQ52" i="20"/>
  <c r="AR52" i="20"/>
  <c r="AS52" i="20"/>
  <c r="AT52" i="20"/>
  <c r="AU52" i="20"/>
  <c r="AV52" i="20"/>
  <c r="AW52" i="20"/>
  <c r="AX52" i="20"/>
  <c r="AY52" i="20"/>
  <c r="AZ52" i="20"/>
  <c r="BA52" i="20"/>
  <c r="BB52" i="20"/>
  <c r="BC52" i="20"/>
  <c r="BD52" i="20"/>
  <c r="BE52" i="20"/>
  <c r="BF52" i="20"/>
  <c r="BG52" i="20"/>
  <c r="BH52" i="20"/>
  <c r="BI52" i="20"/>
  <c r="BJ52" i="20"/>
  <c r="BK52" i="20"/>
  <c r="BL52" i="20"/>
  <c r="BM52" i="20"/>
  <c r="BN52" i="20"/>
  <c r="BO52" i="20"/>
  <c r="BP52" i="20"/>
  <c r="BQ52" i="20"/>
  <c r="BR52" i="20"/>
  <c r="BS52" i="20"/>
  <c r="BT52" i="20"/>
  <c r="BU52" i="20"/>
  <c r="BV52" i="20"/>
  <c r="BW52" i="20"/>
  <c r="BX52" i="20"/>
  <c r="BY52" i="20"/>
  <c r="BZ52" i="20"/>
  <c r="CA52" i="20"/>
  <c r="CB52" i="20"/>
  <c r="CC52" i="20"/>
  <c r="CD52" i="20"/>
  <c r="CE52" i="20"/>
  <c r="CF52" i="20"/>
  <c r="CG52" i="20"/>
  <c r="CH52" i="20"/>
  <c r="CI52" i="20"/>
  <c r="CJ52" i="20"/>
  <c r="CK52" i="20"/>
  <c r="CL52" i="20"/>
  <c r="CM52" i="20"/>
  <c r="CN52" i="20"/>
  <c r="CO52" i="20"/>
  <c r="CP52" i="20"/>
  <c r="CQ52" i="20"/>
  <c r="CR52" i="20"/>
  <c r="CS52" i="20"/>
  <c r="CT52" i="20"/>
  <c r="CU52" i="20"/>
  <c r="CV52" i="20"/>
  <c r="CW52" i="20"/>
  <c r="CX52" i="20"/>
  <c r="CY52" i="20"/>
  <c r="CZ52" i="20"/>
  <c r="DA52" i="20"/>
  <c r="DB52" i="20"/>
  <c r="DC52" i="20"/>
  <c r="DD52" i="20"/>
  <c r="DE52" i="20"/>
  <c r="DF52" i="20"/>
  <c r="DG52" i="20"/>
  <c r="DH52" i="20"/>
  <c r="DI52" i="20"/>
  <c r="DJ52" i="20"/>
  <c r="DK52" i="20"/>
  <c r="DL52" i="20"/>
  <c r="DM52" i="20"/>
  <c r="DN52" i="20"/>
  <c r="DO52" i="20"/>
  <c r="DP52" i="20"/>
  <c r="DQ52" i="20"/>
  <c r="DR52" i="20"/>
  <c r="DS52" i="20"/>
  <c r="DT52" i="20"/>
  <c r="DU52" i="20"/>
  <c r="DV52" i="20"/>
  <c r="DW52" i="20"/>
  <c r="DX52" i="20"/>
  <c r="DY52" i="20"/>
  <c r="DZ52" i="20"/>
  <c r="EA52" i="20"/>
  <c r="EB52" i="20"/>
  <c r="EC52" i="20"/>
  <c r="ED52" i="20"/>
  <c r="EE52" i="20"/>
  <c r="EF52" i="20"/>
  <c r="EG52" i="20"/>
  <c r="EH52" i="20"/>
  <c r="EI52" i="20"/>
  <c r="EJ52" i="20"/>
  <c r="EK52" i="20"/>
  <c r="EL52" i="20"/>
  <c r="EM52" i="20"/>
  <c r="EN52" i="20"/>
  <c r="EO52" i="20"/>
  <c r="EP52" i="20"/>
  <c r="EQ52" i="20"/>
  <c r="ER52" i="20"/>
  <c r="ES52" i="20"/>
  <c r="ET52" i="20"/>
  <c r="EU52" i="20"/>
  <c r="EV52" i="20"/>
  <c r="EW52" i="20"/>
  <c r="EX52" i="20"/>
  <c r="EY52" i="20"/>
  <c r="EZ52" i="20"/>
  <c r="FA52" i="20"/>
  <c r="FB52" i="20"/>
  <c r="FC52" i="20"/>
  <c r="FD52" i="20"/>
  <c r="FE52" i="20"/>
  <c r="FF52" i="20"/>
  <c r="FG52" i="20"/>
  <c r="FH52" i="20"/>
  <c r="FI52" i="20"/>
  <c r="FJ52" i="20"/>
  <c r="FK52" i="20"/>
  <c r="FL52" i="20"/>
  <c r="FM52" i="20"/>
  <c r="FN52" i="20"/>
  <c r="FO52" i="20"/>
  <c r="FP52" i="20"/>
  <c r="FQ52" i="20"/>
  <c r="FR52" i="20"/>
  <c r="FS52" i="20"/>
  <c r="FT52" i="20"/>
  <c r="FU52" i="20"/>
  <c r="FV52" i="20"/>
  <c r="FW52" i="20"/>
  <c r="FX52" i="20"/>
  <c r="FY52" i="20"/>
  <c r="FZ52" i="20"/>
  <c r="GA52" i="20"/>
  <c r="GB52" i="20"/>
  <c r="GC52" i="20"/>
  <c r="GD52" i="20"/>
  <c r="GE52" i="20"/>
  <c r="GF52" i="20"/>
  <c r="GG52" i="20"/>
  <c r="GH52" i="20"/>
  <c r="GI52" i="20"/>
  <c r="GJ52" i="20"/>
  <c r="GK52" i="20"/>
  <c r="GL52" i="20"/>
  <c r="GM52" i="20"/>
  <c r="GN52" i="20"/>
  <c r="GO52" i="20"/>
  <c r="GP52" i="20"/>
  <c r="GQ52" i="20"/>
  <c r="GR52" i="20"/>
  <c r="GS52" i="20"/>
  <c r="GT52" i="20"/>
  <c r="GU52" i="20"/>
  <c r="GV52" i="20"/>
  <c r="GW52" i="20"/>
  <c r="GX52" i="20"/>
  <c r="GY52" i="20"/>
  <c r="GZ52" i="20"/>
  <c r="HA52" i="20"/>
  <c r="HB52" i="20"/>
  <c r="HC52" i="20"/>
  <c r="HD52" i="20"/>
  <c r="HE52" i="20"/>
  <c r="HF52" i="20"/>
  <c r="HG52" i="20"/>
  <c r="HH52" i="20"/>
  <c r="HI52" i="20"/>
  <c r="HJ52" i="20"/>
  <c r="HK52" i="20"/>
  <c r="HL52" i="20"/>
  <c r="HM52" i="20"/>
  <c r="HN52" i="20"/>
  <c r="HO52" i="20"/>
  <c r="HP52" i="20"/>
  <c r="HQ52" i="20"/>
  <c r="HR52" i="20"/>
  <c r="HS52" i="20"/>
  <c r="HT52" i="20"/>
  <c r="HU52" i="20"/>
  <c r="HV52" i="20"/>
  <c r="HW52" i="20"/>
  <c r="HX52" i="20"/>
  <c r="HY52" i="20"/>
  <c r="HZ52" i="20"/>
  <c r="IA52" i="20"/>
  <c r="IB52" i="20"/>
  <c r="IC52" i="20"/>
  <c r="ID52" i="20"/>
  <c r="IE52" i="20"/>
  <c r="IF52" i="20"/>
  <c r="IG52" i="20"/>
  <c r="IH52" i="20"/>
  <c r="II52" i="20"/>
  <c r="IJ52" i="20"/>
  <c r="IK52" i="20"/>
  <c r="IL52" i="20"/>
  <c r="IM52" i="20"/>
  <c r="IN52" i="20"/>
  <c r="IO52" i="20"/>
  <c r="IP52" i="20"/>
  <c r="IQ52" i="20"/>
  <c r="IR52" i="20"/>
  <c r="IS52" i="20"/>
  <c r="IT52" i="20"/>
  <c r="IU52" i="20"/>
  <c r="IV52" i="20"/>
  <c r="IW52" i="20"/>
  <c r="IX52" i="20"/>
  <c r="IY52" i="20"/>
  <c r="IZ52" i="20"/>
  <c r="JA52" i="20"/>
  <c r="JB52" i="20"/>
  <c r="JC52" i="20"/>
  <c r="JD52" i="20"/>
  <c r="JE52" i="20"/>
  <c r="JF52" i="20"/>
  <c r="JG52" i="20"/>
  <c r="JH52" i="20"/>
  <c r="JI52" i="20"/>
  <c r="JJ52" i="20"/>
  <c r="JK52" i="20"/>
  <c r="JL52" i="20"/>
  <c r="JM52" i="20"/>
  <c r="JN52" i="20"/>
  <c r="JO52" i="20"/>
  <c r="JP52" i="20"/>
  <c r="JQ52" i="20"/>
  <c r="JR52" i="20"/>
  <c r="JS52" i="20"/>
  <c r="JT52" i="20"/>
  <c r="JU52" i="20"/>
  <c r="JV52" i="20"/>
  <c r="JW52" i="20"/>
  <c r="JX52" i="20"/>
  <c r="JY52" i="20"/>
  <c r="JZ52" i="20"/>
  <c r="KA52" i="20"/>
  <c r="KB52" i="20"/>
  <c r="KC52" i="20"/>
  <c r="KD52" i="20"/>
  <c r="KE52" i="20"/>
  <c r="KF52" i="20"/>
  <c r="KG52" i="20"/>
  <c r="KH52" i="20"/>
  <c r="KI52" i="20"/>
  <c r="KJ52" i="20"/>
  <c r="KK52" i="20"/>
  <c r="KL52" i="20"/>
  <c r="KM52" i="20"/>
  <c r="KN52" i="20"/>
  <c r="D203" i="24"/>
  <c r="D197" i="24"/>
  <c r="D207" i="24"/>
  <c r="D198" i="24"/>
  <c r="D201" i="24"/>
  <c r="D202" i="24"/>
  <c r="D205" i="24"/>
  <c r="D206" i="24"/>
  <c r="E203" i="24"/>
  <c r="E197" i="24"/>
  <c r="E201" i="24"/>
  <c r="E202" i="24"/>
  <c r="F203" i="24"/>
  <c r="F197" i="24"/>
  <c r="F201" i="24"/>
  <c r="F202" i="24"/>
  <c r="G203" i="24"/>
  <c r="G197" i="24"/>
  <c r="G201" i="24"/>
  <c r="G202" i="24"/>
  <c r="H203" i="24"/>
  <c r="H197" i="24"/>
  <c r="H201" i="24"/>
  <c r="H202" i="24"/>
  <c r="I203" i="24"/>
  <c r="I197" i="24"/>
  <c r="I201" i="24"/>
  <c r="I202" i="24"/>
  <c r="J203" i="24"/>
  <c r="J197" i="24"/>
  <c r="J201" i="24"/>
  <c r="J202" i="24"/>
  <c r="K203" i="24"/>
  <c r="K197" i="24"/>
  <c r="K201" i="24"/>
  <c r="K202" i="24"/>
  <c r="L203" i="24"/>
  <c r="L197" i="24"/>
  <c r="L201" i="24"/>
  <c r="L202" i="24"/>
  <c r="M203" i="24"/>
  <c r="M197" i="24"/>
  <c r="M201" i="24"/>
  <c r="M202" i="24"/>
  <c r="N203" i="24"/>
  <c r="N197" i="24"/>
  <c r="N201" i="24"/>
  <c r="N202" i="24"/>
  <c r="O203" i="24"/>
  <c r="O197" i="24"/>
  <c r="O201" i="24"/>
  <c r="O202" i="24"/>
  <c r="P203" i="24"/>
  <c r="P197" i="24"/>
  <c r="P201" i="24"/>
  <c r="P202" i="24"/>
  <c r="Q203" i="24"/>
  <c r="Q197" i="24"/>
  <c r="Q201" i="24"/>
  <c r="Q202" i="24"/>
  <c r="R203" i="24"/>
  <c r="R197" i="24"/>
  <c r="R201" i="24"/>
  <c r="R202" i="24"/>
  <c r="S203" i="24"/>
  <c r="S197" i="24"/>
  <c r="S201" i="24"/>
  <c r="S202" i="24"/>
  <c r="T203" i="24"/>
  <c r="T197" i="24"/>
  <c r="T201" i="24"/>
  <c r="T202" i="24"/>
  <c r="U203" i="24"/>
  <c r="U197" i="24"/>
  <c r="U201" i="24"/>
  <c r="U202" i="24"/>
  <c r="V203" i="24"/>
  <c r="V197" i="24"/>
  <c r="V201" i="24"/>
  <c r="V202" i="24"/>
  <c r="W203" i="24"/>
  <c r="W197" i="24"/>
  <c r="W201" i="24"/>
  <c r="W202" i="24"/>
  <c r="X203" i="24"/>
  <c r="X197" i="24"/>
  <c r="X201" i="24"/>
  <c r="X202" i="24"/>
  <c r="C1" i="14"/>
  <c r="D1" i="14"/>
  <c r="E1" i="14"/>
  <c r="F1" i="14"/>
  <c r="G1" i="14"/>
  <c r="H1" i="14"/>
  <c r="I1" i="14"/>
  <c r="J1" i="14"/>
  <c r="K1" i="14"/>
  <c r="L1" i="14"/>
  <c r="M1" i="14"/>
  <c r="N1" i="14"/>
  <c r="O1" i="14"/>
  <c r="P1" i="14"/>
  <c r="Q1" i="14"/>
  <c r="R1" i="14"/>
  <c r="S1" i="14"/>
  <c r="T1" i="14"/>
  <c r="U1" i="14"/>
  <c r="V1" i="14"/>
  <c r="W1" i="14"/>
  <c r="X1" i="14"/>
  <c r="Y1" i="14"/>
  <c r="Z1" i="14"/>
  <c r="AA1" i="14"/>
  <c r="AB1" i="14"/>
  <c r="AC1" i="14"/>
  <c r="AD1" i="14"/>
  <c r="AE1" i="14"/>
  <c r="AF1" i="14"/>
  <c r="AG1" i="14"/>
  <c r="AH1" i="14"/>
  <c r="AI1" i="14"/>
  <c r="AJ1" i="14"/>
  <c r="AK1" i="14"/>
  <c r="AL1" i="14"/>
  <c r="AM1" i="14"/>
  <c r="AN1" i="14"/>
  <c r="AO1" i="14"/>
  <c r="AP1" i="14"/>
  <c r="AQ1" i="14"/>
  <c r="AR1" i="14"/>
  <c r="AS1" i="14"/>
  <c r="AT1" i="14"/>
  <c r="AU1" i="14"/>
  <c r="AV1" i="14"/>
  <c r="AW1" i="14"/>
  <c r="AX1" i="14"/>
  <c r="AY1" i="14"/>
  <c r="AZ1" i="14"/>
  <c r="BA1" i="14"/>
  <c r="BB1" i="14"/>
  <c r="BC1" i="14"/>
  <c r="BD1" i="14"/>
  <c r="BE1" i="14"/>
  <c r="BF1" i="14"/>
  <c r="BG1" i="14"/>
  <c r="BH1" i="14"/>
  <c r="BI1" i="14"/>
  <c r="BJ1" i="14"/>
  <c r="BK1" i="14"/>
  <c r="BL1" i="14"/>
  <c r="BM1" i="14"/>
  <c r="BN1" i="14"/>
  <c r="BO1" i="14"/>
  <c r="BP1" i="14"/>
  <c r="BQ1" i="14"/>
  <c r="BR1" i="14"/>
  <c r="BS1" i="14"/>
  <c r="BT1" i="14"/>
  <c r="BU1" i="14"/>
  <c r="BV1" i="14"/>
  <c r="BW1" i="14"/>
  <c r="BX1" i="14"/>
  <c r="BY1" i="14"/>
  <c r="BZ1" i="14"/>
  <c r="CA1" i="14"/>
  <c r="CB1" i="14"/>
  <c r="CC1" i="14"/>
  <c r="CD1" i="14"/>
  <c r="CE1" i="14"/>
  <c r="CF1" i="14"/>
  <c r="CG1" i="14"/>
  <c r="CH1" i="14"/>
  <c r="CI1" i="14"/>
  <c r="CJ1" i="14"/>
  <c r="CK1" i="14"/>
  <c r="CL1" i="14"/>
  <c r="CM1" i="14"/>
  <c r="CN1" i="14"/>
  <c r="CO1" i="14"/>
  <c r="CP1" i="14"/>
  <c r="CQ1" i="14"/>
  <c r="CR1" i="14"/>
  <c r="CS1" i="14"/>
  <c r="CT1" i="14"/>
  <c r="CU1" i="14"/>
  <c r="CV1" i="14"/>
  <c r="CW1" i="14"/>
  <c r="CX1" i="14"/>
  <c r="CY1" i="14"/>
  <c r="CZ1" i="14"/>
  <c r="DA1" i="14"/>
  <c r="DB1" i="14"/>
  <c r="DC1" i="14"/>
  <c r="DD1" i="14"/>
  <c r="DE1" i="14"/>
  <c r="DF1" i="14"/>
  <c r="DG1" i="14"/>
  <c r="DH1" i="14"/>
  <c r="DI1" i="14"/>
  <c r="DJ1" i="14"/>
  <c r="DK1" i="14"/>
  <c r="DL1" i="14"/>
  <c r="DM1" i="14"/>
  <c r="DN1" i="14"/>
  <c r="DO1" i="14"/>
  <c r="DP1" i="14"/>
  <c r="DQ1" i="14"/>
  <c r="DR1" i="14"/>
  <c r="DS1" i="14"/>
  <c r="DT1" i="14"/>
  <c r="DU1" i="14"/>
  <c r="DV1" i="14"/>
  <c r="DW1" i="14"/>
  <c r="DX1" i="14"/>
  <c r="DY1" i="14"/>
  <c r="DZ1" i="14"/>
  <c r="EA1" i="14"/>
  <c r="EB1" i="14"/>
  <c r="EC1" i="14"/>
  <c r="ED1" i="14"/>
  <c r="EE1" i="14"/>
  <c r="EF1" i="14"/>
  <c r="EG1" i="14"/>
  <c r="EH1" i="14"/>
  <c r="EI1" i="14"/>
  <c r="EJ1" i="14"/>
  <c r="EK1" i="14"/>
  <c r="EL1" i="14"/>
  <c r="EM1" i="14"/>
  <c r="EN1" i="14"/>
  <c r="EO1" i="14"/>
  <c r="EP1" i="14"/>
  <c r="EQ1" i="14"/>
  <c r="ER1" i="14"/>
  <c r="ES1" i="14"/>
  <c r="ET1" i="14"/>
  <c r="EU1" i="14"/>
  <c r="EV1" i="14"/>
  <c r="EW1" i="14"/>
  <c r="EX1" i="14"/>
  <c r="EY1" i="14"/>
  <c r="EZ1" i="14"/>
  <c r="FA1" i="14"/>
  <c r="FB1" i="14"/>
  <c r="FC1" i="14"/>
  <c r="FD1" i="14"/>
  <c r="FE1" i="14"/>
  <c r="FF1" i="14"/>
  <c r="FG1" i="14"/>
  <c r="FH1" i="14"/>
  <c r="FI1" i="14"/>
  <c r="FJ1" i="14"/>
  <c r="FK1" i="14"/>
  <c r="FL1" i="14"/>
  <c r="FM1" i="14"/>
  <c r="FN1" i="14"/>
  <c r="FO1" i="14"/>
  <c r="FP1" i="14"/>
  <c r="FQ1" i="14"/>
  <c r="FR1" i="14"/>
  <c r="FS1" i="14"/>
  <c r="FT1" i="14"/>
  <c r="FU1" i="14"/>
  <c r="FV1" i="14"/>
  <c r="FW1" i="14"/>
  <c r="FX1" i="14"/>
  <c r="FY1" i="14"/>
  <c r="FZ1" i="14"/>
  <c r="GA1" i="14"/>
  <c r="GB1" i="14"/>
  <c r="GC1" i="14"/>
  <c r="GD1" i="14"/>
  <c r="GE1" i="14"/>
  <c r="GF1" i="14"/>
  <c r="GG1" i="14"/>
  <c r="GH1" i="14"/>
  <c r="GI1" i="14"/>
  <c r="GJ1" i="14"/>
  <c r="GK1" i="14"/>
  <c r="GL1" i="14"/>
  <c r="GM1" i="14"/>
  <c r="GN1" i="14"/>
  <c r="GO1" i="14"/>
  <c r="GP1" i="14"/>
  <c r="GQ1" i="14"/>
  <c r="GR1" i="14"/>
  <c r="GS1" i="14"/>
  <c r="D195" i="23"/>
  <c r="D200" i="23"/>
  <c r="D206" i="23"/>
  <c r="D210" i="23"/>
  <c r="D207" i="23"/>
  <c r="D202" i="23"/>
  <c r="D194" i="23"/>
  <c r="D204" i="23"/>
  <c r="D198" i="23"/>
  <c r="E195" i="23"/>
  <c r="E206" i="23"/>
  <c r="D4" i="23"/>
  <c r="E4" i="23"/>
  <c r="E6" i="23"/>
  <c r="E202" i="23"/>
  <c r="E200" i="23"/>
  <c r="E194" i="23"/>
  <c r="E204" i="23"/>
  <c r="E110" i="23"/>
  <c r="E111" i="23"/>
  <c r="F111" i="23"/>
  <c r="G111" i="23"/>
  <c r="H111" i="23"/>
  <c r="I111" i="23"/>
  <c r="D112" i="23"/>
  <c r="F110" i="23"/>
  <c r="G110" i="23"/>
  <c r="H110" i="23"/>
  <c r="I110" i="23"/>
  <c r="E122" i="23"/>
  <c r="E38" i="23"/>
  <c r="E106" i="23"/>
  <c r="F122" i="23"/>
  <c r="G122" i="23"/>
  <c r="G4" i="23"/>
  <c r="H4" i="23"/>
  <c r="I4" i="23"/>
  <c r="J4" i="23"/>
  <c r="K4" i="23"/>
  <c r="L4" i="23"/>
  <c r="M4" i="23"/>
  <c r="N4" i="23"/>
  <c r="O4" i="23"/>
  <c r="P4" i="23"/>
  <c r="Q4" i="23"/>
  <c r="R4" i="23"/>
  <c r="S4" i="23"/>
  <c r="T4" i="23"/>
  <c r="U4" i="23"/>
  <c r="V4" i="23"/>
  <c r="W4" i="23"/>
  <c r="X4" i="23"/>
  <c r="Y4" i="23"/>
  <c r="Z4" i="23"/>
  <c r="AA4" i="23"/>
  <c r="AB4" i="23"/>
  <c r="AC4" i="23"/>
  <c r="AD4" i="23"/>
  <c r="AE4" i="23"/>
  <c r="AF4" i="23"/>
  <c r="AG4" i="23"/>
  <c r="AH4" i="23"/>
  <c r="AI4" i="23"/>
  <c r="AJ4" i="23"/>
  <c r="AK4" i="23"/>
  <c r="AL4" i="23"/>
  <c r="AM4" i="23"/>
  <c r="AN4" i="23"/>
  <c r="AO4" i="23"/>
  <c r="AP4" i="23"/>
  <c r="AQ4" i="23"/>
  <c r="AR4" i="23"/>
  <c r="H122" i="23"/>
  <c r="I122" i="23"/>
  <c r="D103" i="23"/>
  <c r="E100" i="23"/>
  <c r="D30" i="23"/>
  <c r="E30" i="23"/>
  <c r="D33" i="23"/>
  <c r="E33" i="23"/>
  <c r="F33" i="23"/>
  <c r="G33" i="23"/>
  <c r="H33" i="23"/>
  <c r="I33" i="23"/>
  <c r="J33" i="23"/>
  <c r="K33" i="23"/>
  <c r="L33" i="23"/>
  <c r="M33" i="23"/>
  <c r="N33" i="23"/>
  <c r="O33" i="23"/>
  <c r="P33" i="23"/>
  <c r="Q33" i="23"/>
  <c r="R33" i="23"/>
  <c r="S33" i="23"/>
  <c r="T33" i="23"/>
  <c r="U33" i="23"/>
  <c r="V33" i="23"/>
  <c r="W33" i="23"/>
  <c r="X33" i="23"/>
  <c r="D31" i="23"/>
  <c r="E31" i="23"/>
  <c r="D34" i="23"/>
  <c r="E34" i="23"/>
  <c r="F34" i="23"/>
  <c r="G34" i="23"/>
  <c r="H34" i="23"/>
  <c r="I34" i="23"/>
  <c r="J34" i="23"/>
  <c r="K34" i="23"/>
  <c r="L34" i="23"/>
  <c r="M34" i="23"/>
  <c r="N34" i="23"/>
  <c r="O34" i="23"/>
  <c r="P34" i="23"/>
  <c r="Q34" i="23"/>
  <c r="R34" i="23"/>
  <c r="S34" i="23"/>
  <c r="T34" i="23"/>
  <c r="U34" i="23"/>
  <c r="V34" i="23"/>
  <c r="W34" i="23"/>
  <c r="X34" i="23"/>
  <c r="F195" i="23"/>
  <c r="F194" i="23"/>
  <c r="G195" i="23"/>
  <c r="G194" i="23"/>
  <c r="H194" i="23"/>
  <c r="J110" i="23"/>
  <c r="J111" i="23"/>
  <c r="K111" i="23"/>
  <c r="K110" i="23"/>
  <c r="L110" i="23"/>
  <c r="L111" i="23"/>
  <c r="M111" i="23"/>
  <c r="N111" i="23"/>
  <c r="I112" i="23"/>
  <c r="M110" i="23"/>
  <c r="N110" i="23"/>
  <c r="J122" i="23"/>
  <c r="K122" i="23"/>
  <c r="L122" i="23"/>
  <c r="M122" i="23"/>
  <c r="N122" i="23"/>
  <c r="O110" i="23"/>
  <c r="O111" i="23"/>
  <c r="P111" i="23"/>
  <c r="Q111" i="23"/>
  <c r="R111" i="23"/>
  <c r="P110" i="23"/>
  <c r="Q110" i="23"/>
  <c r="R110" i="23"/>
  <c r="S110" i="23"/>
  <c r="S111" i="23"/>
  <c r="N112" i="23"/>
  <c r="O122" i="23"/>
  <c r="P122" i="23"/>
  <c r="Q122" i="23"/>
  <c r="R122" i="23"/>
  <c r="S122" i="23"/>
  <c r="T110" i="23"/>
  <c r="T111" i="23"/>
  <c r="U111" i="23"/>
  <c r="U110" i="23"/>
  <c r="V110" i="23"/>
  <c r="V111" i="23"/>
  <c r="W111" i="23"/>
  <c r="X111" i="23"/>
  <c r="S112" i="23"/>
  <c r="W110" i="23"/>
  <c r="X110" i="23"/>
  <c r="T122" i="23"/>
  <c r="U122" i="23"/>
  <c r="V122" i="23"/>
  <c r="W122" i="23"/>
  <c r="X122" i="23"/>
  <c r="J28" i="14"/>
  <c r="R28" i="14"/>
  <c r="S28" i="14"/>
  <c r="T28" i="14"/>
  <c r="V28" i="14"/>
  <c r="AB28" i="14"/>
  <c r="AC28" i="14"/>
  <c r="AE28" i="14"/>
  <c r="AF28" i="14"/>
  <c r="AH28" i="14"/>
  <c r="AJ28" i="14"/>
  <c r="AK28" i="14"/>
  <c r="AW28" i="14"/>
  <c r="AX28" i="14"/>
  <c r="BG28" i="14"/>
  <c r="BH28" i="14"/>
  <c r="D8" i="23"/>
  <c r="D9" i="23"/>
  <c r="D15" i="23"/>
  <c r="D16" i="23"/>
  <c r="D17" i="23"/>
  <c r="D20" i="23"/>
  <c r="D21" i="23"/>
  <c r="D23" i="23"/>
  <c r="D24" i="23"/>
  <c r="E2" i="23"/>
  <c r="E5" i="23"/>
  <c r="E8" i="23"/>
  <c r="E9" i="23"/>
  <c r="E11" i="23"/>
  <c r="E15" i="23"/>
  <c r="E16" i="23"/>
  <c r="E17" i="23"/>
  <c r="E18" i="23"/>
  <c r="E20" i="23"/>
  <c r="E21" i="23"/>
  <c r="E23" i="23"/>
  <c r="E24" i="23"/>
  <c r="C42" i="23"/>
  <c r="C43" i="23"/>
  <c r="C44" i="23"/>
  <c r="E44" i="23"/>
  <c r="C45" i="23"/>
  <c r="E45" i="23"/>
  <c r="C46" i="23"/>
  <c r="E46" i="23"/>
  <c r="C47" i="23"/>
  <c r="E47" i="23"/>
  <c r="C48" i="23"/>
  <c r="E48" i="23"/>
  <c r="C49" i="23"/>
  <c r="E49" i="23"/>
  <c r="C50" i="23"/>
  <c r="E50" i="23"/>
  <c r="C51" i="23"/>
  <c r="E51" i="23"/>
  <c r="C52" i="23"/>
  <c r="E52" i="23"/>
  <c r="C53" i="23"/>
  <c r="E53" i="23"/>
  <c r="C54" i="23"/>
  <c r="E54" i="23"/>
  <c r="C55" i="23"/>
  <c r="E55" i="23"/>
  <c r="C56" i="23"/>
  <c r="E56" i="23"/>
  <c r="C57" i="23"/>
  <c r="E57" i="23"/>
  <c r="C58" i="23"/>
  <c r="E58" i="23"/>
  <c r="C59" i="23"/>
  <c r="C60" i="23"/>
  <c r="E60" i="23"/>
  <c r="C61" i="23"/>
  <c r="E61" i="23"/>
  <c r="C62" i="23"/>
  <c r="E62" i="23"/>
  <c r="C63" i="23"/>
  <c r="E63" i="23"/>
  <c r="C64" i="23"/>
  <c r="E64" i="23"/>
  <c r="C65" i="23"/>
  <c r="E65" i="23"/>
  <c r="C66" i="23"/>
  <c r="E66" i="23"/>
  <c r="C67" i="23"/>
  <c r="E67" i="23"/>
  <c r="C68" i="23"/>
  <c r="E68" i="23"/>
  <c r="C69" i="23"/>
  <c r="E69" i="23"/>
  <c r="C70" i="23"/>
  <c r="E70" i="23"/>
  <c r="C71" i="23"/>
  <c r="E71" i="23"/>
  <c r="C72" i="23"/>
  <c r="E72" i="23"/>
  <c r="C73" i="23"/>
  <c r="E73" i="23"/>
  <c r="C74" i="23"/>
  <c r="E74" i="23"/>
  <c r="C75" i="23"/>
  <c r="F75" i="23"/>
  <c r="C76" i="23"/>
  <c r="E76" i="23"/>
  <c r="C77" i="23"/>
  <c r="E77" i="23"/>
  <c r="C78" i="23"/>
  <c r="E78" i="23"/>
  <c r="C79" i="23"/>
  <c r="E79" i="23"/>
  <c r="C80" i="23"/>
  <c r="E80" i="23"/>
  <c r="C81" i="23"/>
  <c r="E81" i="23"/>
  <c r="E90" i="23"/>
  <c r="E91" i="23"/>
  <c r="E92" i="23"/>
  <c r="E189" i="23"/>
  <c r="E94" i="23"/>
  <c r="E95" i="23"/>
  <c r="E96" i="23"/>
  <c r="E112" i="23"/>
  <c r="E135" i="23"/>
  <c r="E136" i="23"/>
  <c r="Y110" i="23"/>
  <c r="Z110" i="23"/>
  <c r="AA110" i="23"/>
  <c r="AB110" i="23"/>
  <c r="AC110" i="23"/>
  <c r="AD110" i="23"/>
  <c r="AE110" i="23"/>
  <c r="AF110" i="23"/>
  <c r="AG110" i="23"/>
  <c r="AH110" i="23"/>
  <c r="AI110" i="23"/>
  <c r="AJ110" i="23"/>
  <c r="AK110" i="23"/>
  <c r="AL110" i="23"/>
  <c r="AM110" i="23"/>
  <c r="AN110" i="23"/>
  <c r="AO110" i="23"/>
  <c r="AP110" i="23"/>
  <c r="AQ110" i="23"/>
  <c r="AR110" i="23"/>
  <c r="Y127" i="23"/>
  <c r="Z127" i="23"/>
  <c r="AA127" i="23"/>
  <c r="AB127" i="23"/>
  <c r="AC127" i="23"/>
  <c r="AD127" i="23"/>
  <c r="AE127" i="23"/>
  <c r="AF127" i="23"/>
  <c r="AG127" i="23"/>
  <c r="AH127" i="23"/>
  <c r="AI127" i="23"/>
  <c r="AJ127" i="23"/>
  <c r="AK127" i="23"/>
  <c r="AL127" i="23"/>
  <c r="AM127" i="23"/>
  <c r="AN127" i="23"/>
  <c r="AO127" i="23"/>
  <c r="AP127" i="23"/>
  <c r="AQ127" i="23"/>
  <c r="AR127" i="23"/>
  <c r="Y131" i="23"/>
  <c r="Z131" i="23"/>
  <c r="AA131" i="23"/>
  <c r="AB131" i="23"/>
  <c r="AC131" i="23"/>
  <c r="AD131" i="23"/>
  <c r="AE131" i="23"/>
  <c r="AF131" i="23"/>
  <c r="AG131" i="23"/>
  <c r="AH131" i="23"/>
  <c r="AI131" i="23"/>
  <c r="AJ131" i="23"/>
  <c r="AK131" i="23"/>
  <c r="AL131" i="23"/>
  <c r="AM131" i="23"/>
  <c r="AN131" i="23"/>
  <c r="AO131" i="23"/>
  <c r="AP131" i="23"/>
  <c r="AQ131" i="23"/>
  <c r="AR131" i="23"/>
  <c r="E166" i="23"/>
  <c r="E188" i="23"/>
  <c r="F2" i="23"/>
  <c r="F5" i="23"/>
  <c r="G5" i="23"/>
  <c r="H5" i="23"/>
  <c r="I5" i="23"/>
  <c r="J5" i="23"/>
  <c r="F8" i="23"/>
  <c r="F9" i="23"/>
  <c r="F11" i="23"/>
  <c r="F15" i="23"/>
  <c r="F16" i="23"/>
  <c r="F17" i="23"/>
  <c r="F18" i="23"/>
  <c r="F20" i="23"/>
  <c r="F21" i="23"/>
  <c r="F23" i="23"/>
  <c r="F24" i="23"/>
  <c r="F44" i="23"/>
  <c r="F45" i="23"/>
  <c r="F46" i="23"/>
  <c r="F47" i="23"/>
  <c r="F48" i="23"/>
  <c r="F49" i="23"/>
  <c r="F50" i="23"/>
  <c r="F51" i="23"/>
  <c r="F52" i="23"/>
  <c r="F53" i="23"/>
  <c r="F54" i="23"/>
  <c r="F56" i="23"/>
  <c r="F57" i="23"/>
  <c r="F58" i="23"/>
  <c r="F59" i="23"/>
  <c r="F60" i="23"/>
  <c r="F61" i="23"/>
  <c r="F62" i="23"/>
  <c r="F63" i="23"/>
  <c r="F64" i="23"/>
  <c r="F65" i="23"/>
  <c r="F66" i="23"/>
  <c r="F67" i="23"/>
  <c r="F68" i="23"/>
  <c r="F69" i="23"/>
  <c r="F70" i="23"/>
  <c r="F72" i="23"/>
  <c r="F73" i="23"/>
  <c r="F74" i="23"/>
  <c r="F76" i="23"/>
  <c r="F77" i="23"/>
  <c r="F78" i="23"/>
  <c r="F79" i="23"/>
  <c r="F80" i="23"/>
  <c r="F81" i="23"/>
  <c r="F90" i="23"/>
  <c r="F91" i="23"/>
  <c r="F92" i="23"/>
  <c r="F94" i="23"/>
  <c r="F95" i="23"/>
  <c r="F96" i="23"/>
  <c r="F112" i="23"/>
  <c r="F135" i="23"/>
  <c r="F136" i="23"/>
  <c r="F188" i="23"/>
  <c r="F189" i="23"/>
  <c r="G2" i="23"/>
  <c r="G8" i="23"/>
  <c r="H8" i="23"/>
  <c r="I8" i="23"/>
  <c r="J8" i="23"/>
  <c r="G9" i="23"/>
  <c r="G11" i="23"/>
  <c r="G15" i="23"/>
  <c r="G16" i="23"/>
  <c r="G17" i="23"/>
  <c r="G18" i="23"/>
  <c r="G20" i="23"/>
  <c r="H20" i="23"/>
  <c r="G21" i="23"/>
  <c r="G23" i="23"/>
  <c r="G24" i="23"/>
  <c r="G45" i="23"/>
  <c r="G46" i="23"/>
  <c r="G47" i="23"/>
  <c r="G48" i="23"/>
  <c r="G49" i="23"/>
  <c r="G50" i="23"/>
  <c r="G51" i="23"/>
  <c r="G52" i="23"/>
  <c r="G53" i="23"/>
  <c r="G54" i="23"/>
  <c r="G55" i="23"/>
  <c r="G56" i="23"/>
  <c r="G57" i="23"/>
  <c r="G58" i="23"/>
  <c r="G60" i="23"/>
  <c r="G61" i="23"/>
  <c r="G62" i="23"/>
  <c r="G63" i="23"/>
  <c r="G64" i="23"/>
  <c r="G65" i="23"/>
  <c r="G66" i="23"/>
  <c r="G67" i="23"/>
  <c r="G68" i="23"/>
  <c r="G69" i="23"/>
  <c r="G70" i="23"/>
  <c r="G71" i="23"/>
  <c r="G72" i="23"/>
  <c r="G73" i="23"/>
  <c r="G74" i="23"/>
  <c r="G76" i="23"/>
  <c r="G77" i="23"/>
  <c r="G78" i="23"/>
  <c r="G79" i="23"/>
  <c r="G80" i="23"/>
  <c r="G81" i="23"/>
  <c r="G90" i="23"/>
  <c r="G91" i="23"/>
  <c r="G92" i="23"/>
  <c r="G94" i="23"/>
  <c r="G95" i="23"/>
  <c r="G96" i="23"/>
  <c r="G112" i="23"/>
  <c r="G135" i="23"/>
  <c r="G136" i="23"/>
  <c r="G188" i="23"/>
  <c r="G189" i="23"/>
  <c r="H2" i="23"/>
  <c r="H9" i="23"/>
  <c r="H11" i="23"/>
  <c r="H15" i="23"/>
  <c r="H16" i="23"/>
  <c r="H17" i="23"/>
  <c r="H18" i="23"/>
  <c r="H23" i="23"/>
  <c r="H24" i="23"/>
  <c r="H46" i="23"/>
  <c r="H47" i="23"/>
  <c r="H48" i="23"/>
  <c r="H49" i="23"/>
  <c r="H50" i="23"/>
  <c r="H51" i="23"/>
  <c r="H52" i="23"/>
  <c r="H53" i="23"/>
  <c r="H54" i="23"/>
  <c r="H55" i="23"/>
  <c r="H56" i="23"/>
  <c r="H57" i="23"/>
  <c r="H58" i="23"/>
  <c r="H60" i="23"/>
  <c r="H61" i="23"/>
  <c r="H62" i="23"/>
  <c r="H63" i="23"/>
  <c r="H64" i="23"/>
  <c r="H65" i="23"/>
  <c r="H66" i="23"/>
  <c r="H67" i="23"/>
  <c r="H68" i="23"/>
  <c r="H69" i="23"/>
  <c r="H70" i="23"/>
  <c r="H71" i="23"/>
  <c r="H72" i="23"/>
  <c r="H73" i="23"/>
  <c r="H74" i="23"/>
  <c r="H76" i="23"/>
  <c r="H77" i="23"/>
  <c r="H78" i="23"/>
  <c r="H79" i="23"/>
  <c r="H80" i="23"/>
  <c r="H81" i="23"/>
  <c r="H90" i="23"/>
  <c r="H91" i="23"/>
  <c r="H92" i="23"/>
  <c r="H188" i="23"/>
  <c r="H94" i="23"/>
  <c r="H95" i="23"/>
  <c r="H96" i="23"/>
  <c r="H112" i="23"/>
  <c r="H135" i="23"/>
  <c r="H136" i="23"/>
  <c r="I2" i="23"/>
  <c r="I9" i="23"/>
  <c r="I11" i="23"/>
  <c r="I15" i="23"/>
  <c r="I17" i="23"/>
  <c r="I18" i="23"/>
  <c r="I16" i="23"/>
  <c r="I23" i="23"/>
  <c r="I24" i="23"/>
  <c r="I47" i="23"/>
  <c r="I48" i="23"/>
  <c r="I49" i="23"/>
  <c r="I50" i="23"/>
  <c r="I51" i="23"/>
  <c r="I52" i="23"/>
  <c r="I53" i="23"/>
  <c r="I54" i="23"/>
  <c r="I55" i="23"/>
  <c r="I56" i="23"/>
  <c r="I57" i="23"/>
  <c r="I58" i="23"/>
  <c r="I60" i="23"/>
  <c r="I61" i="23"/>
  <c r="I62" i="23"/>
  <c r="I63" i="23"/>
  <c r="I64" i="23"/>
  <c r="I65" i="23"/>
  <c r="I66" i="23"/>
  <c r="I67" i="23"/>
  <c r="I68" i="23"/>
  <c r="I69" i="23"/>
  <c r="I70" i="23"/>
  <c r="I71" i="23"/>
  <c r="I72" i="23"/>
  <c r="I73" i="23"/>
  <c r="I74" i="23"/>
  <c r="I76" i="23"/>
  <c r="I77" i="23"/>
  <c r="I78" i="23"/>
  <c r="I79" i="23"/>
  <c r="I80" i="23"/>
  <c r="I81" i="23"/>
  <c r="I90" i="23"/>
  <c r="I91" i="23"/>
  <c r="I92" i="23"/>
  <c r="I189" i="23"/>
  <c r="I94" i="23"/>
  <c r="I95" i="23"/>
  <c r="I96" i="23"/>
  <c r="I188" i="23"/>
  <c r="J2" i="23"/>
  <c r="K2" i="23"/>
  <c r="L2" i="23"/>
  <c r="M2" i="23"/>
  <c r="J9" i="23"/>
  <c r="J11" i="23"/>
  <c r="K11" i="23"/>
  <c r="L11" i="23"/>
  <c r="M11" i="23"/>
  <c r="J15" i="23"/>
  <c r="J16" i="23"/>
  <c r="J23" i="23"/>
  <c r="J24" i="23"/>
  <c r="J48" i="23"/>
  <c r="J49" i="23"/>
  <c r="J50" i="23"/>
  <c r="J51" i="23"/>
  <c r="J52" i="23"/>
  <c r="J53" i="23"/>
  <c r="J54" i="23"/>
  <c r="J55" i="23"/>
  <c r="J56" i="23"/>
  <c r="J57" i="23"/>
  <c r="J58" i="23"/>
  <c r="J60" i="23"/>
  <c r="J61" i="23"/>
  <c r="J62" i="23"/>
  <c r="J63" i="23"/>
  <c r="J64" i="23"/>
  <c r="J65" i="23"/>
  <c r="J66" i="23"/>
  <c r="J67" i="23"/>
  <c r="J68" i="23"/>
  <c r="J69" i="23"/>
  <c r="J70" i="23"/>
  <c r="J71" i="23"/>
  <c r="J72" i="23"/>
  <c r="J73" i="23"/>
  <c r="J74" i="23"/>
  <c r="J76" i="23"/>
  <c r="J77" i="23"/>
  <c r="J78" i="23"/>
  <c r="J79" i="23"/>
  <c r="J80" i="23"/>
  <c r="J81" i="23"/>
  <c r="J112" i="23"/>
  <c r="J135" i="23"/>
  <c r="J136" i="23"/>
  <c r="K5" i="23"/>
  <c r="L5" i="23"/>
  <c r="M5" i="23"/>
  <c r="N5" i="23"/>
  <c r="O5" i="23"/>
  <c r="P5" i="23"/>
  <c r="Q5" i="23"/>
  <c r="R5" i="23"/>
  <c r="S5" i="23"/>
  <c r="T5" i="23"/>
  <c r="U5" i="23"/>
  <c r="V5" i="23"/>
  <c r="W5" i="23"/>
  <c r="K8" i="23"/>
  <c r="L8" i="23"/>
  <c r="K9" i="23"/>
  <c r="K16" i="23"/>
  <c r="K23" i="23"/>
  <c r="K24" i="23"/>
  <c r="K49" i="23"/>
  <c r="K50" i="23"/>
  <c r="K51" i="23"/>
  <c r="K52" i="23"/>
  <c r="K53" i="23"/>
  <c r="K54" i="23"/>
  <c r="K55" i="23"/>
  <c r="K56" i="23"/>
  <c r="K57" i="23"/>
  <c r="K58" i="23"/>
  <c r="K60" i="23"/>
  <c r="K61" i="23"/>
  <c r="K62" i="23"/>
  <c r="K63" i="23"/>
  <c r="K64" i="23"/>
  <c r="K65" i="23"/>
  <c r="K66" i="23"/>
  <c r="K67" i="23"/>
  <c r="K68" i="23"/>
  <c r="K69" i="23"/>
  <c r="K70" i="23"/>
  <c r="K71" i="23"/>
  <c r="K72" i="23"/>
  <c r="K73" i="23"/>
  <c r="K74" i="23"/>
  <c r="K76" i="23"/>
  <c r="K77" i="23"/>
  <c r="K78" i="23"/>
  <c r="K79" i="23"/>
  <c r="K80" i="23"/>
  <c r="K81" i="23"/>
  <c r="K112" i="23"/>
  <c r="K135" i="23"/>
  <c r="K136" i="23"/>
  <c r="L9" i="23"/>
  <c r="L16" i="23"/>
  <c r="L23" i="23"/>
  <c r="L24" i="23"/>
  <c r="L50" i="23"/>
  <c r="L51" i="23"/>
  <c r="L52" i="23"/>
  <c r="L53" i="23"/>
  <c r="L54" i="23"/>
  <c r="L55" i="23"/>
  <c r="L56" i="23"/>
  <c r="L57" i="23"/>
  <c r="L58" i="23"/>
  <c r="L60" i="23"/>
  <c r="L61" i="23"/>
  <c r="L62" i="23"/>
  <c r="L63" i="23"/>
  <c r="L64" i="23"/>
  <c r="L65" i="23"/>
  <c r="L66" i="23"/>
  <c r="L67" i="23"/>
  <c r="L68" i="23"/>
  <c r="L69" i="23"/>
  <c r="L70" i="23"/>
  <c r="L71" i="23"/>
  <c r="L72" i="23"/>
  <c r="L73" i="23"/>
  <c r="L74" i="23"/>
  <c r="L76" i="23"/>
  <c r="L77" i="23"/>
  <c r="L78" i="23"/>
  <c r="L79" i="23"/>
  <c r="L80" i="23"/>
  <c r="L81" i="23"/>
  <c r="L112" i="23"/>
  <c r="L135" i="23"/>
  <c r="L136" i="23"/>
  <c r="M8" i="23"/>
  <c r="N8" i="23"/>
  <c r="M9" i="23"/>
  <c r="M16" i="23"/>
  <c r="M23" i="23"/>
  <c r="M24" i="23"/>
  <c r="M51" i="23"/>
  <c r="M52" i="23"/>
  <c r="M53" i="23"/>
  <c r="M54" i="23"/>
  <c r="M55" i="23"/>
  <c r="M56" i="23"/>
  <c r="M57" i="23"/>
  <c r="M58" i="23"/>
  <c r="M60" i="23"/>
  <c r="M61" i="23"/>
  <c r="M62" i="23"/>
  <c r="M63" i="23"/>
  <c r="M64" i="23"/>
  <c r="M65" i="23"/>
  <c r="M66" i="23"/>
  <c r="M67" i="23"/>
  <c r="M68" i="23"/>
  <c r="M69" i="23"/>
  <c r="M70" i="23"/>
  <c r="M71" i="23"/>
  <c r="M72" i="23"/>
  <c r="M73" i="23"/>
  <c r="M74" i="23"/>
  <c r="M76" i="23"/>
  <c r="M77" i="23"/>
  <c r="M78" i="23"/>
  <c r="M79" i="23"/>
  <c r="M80" i="23"/>
  <c r="M81" i="23"/>
  <c r="M112" i="23"/>
  <c r="M135" i="23"/>
  <c r="M136" i="23"/>
  <c r="N2" i="23"/>
  <c r="N9" i="23"/>
  <c r="N11" i="23"/>
  <c r="O11" i="23"/>
  <c r="P11" i="23"/>
  <c r="Q11" i="23"/>
  <c r="R11" i="23"/>
  <c r="S11" i="23"/>
  <c r="T11" i="23"/>
  <c r="U11" i="23"/>
  <c r="N16" i="23"/>
  <c r="N23" i="23"/>
  <c r="N24" i="23"/>
  <c r="N52" i="23"/>
  <c r="N53" i="23"/>
  <c r="N54" i="23"/>
  <c r="N55" i="23"/>
  <c r="N56" i="23"/>
  <c r="N57" i="23"/>
  <c r="N58" i="23"/>
  <c r="N59" i="23"/>
  <c r="N60" i="23"/>
  <c r="N61" i="23"/>
  <c r="N62" i="23"/>
  <c r="N63" i="23"/>
  <c r="N64" i="23"/>
  <c r="N65" i="23"/>
  <c r="N66" i="23"/>
  <c r="N67" i="23"/>
  <c r="N68" i="23"/>
  <c r="N69" i="23"/>
  <c r="N70" i="23"/>
  <c r="N71" i="23"/>
  <c r="N72" i="23"/>
  <c r="N73" i="23"/>
  <c r="N74" i="23"/>
  <c r="N75" i="23"/>
  <c r="N76" i="23"/>
  <c r="N77" i="23"/>
  <c r="N78" i="23"/>
  <c r="N79" i="23"/>
  <c r="N80" i="23"/>
  <c r="N81" i="23"/>
  <c r="O2" i="23"/>
  <c r="O8" i="23"/>
  <c r="O9" i="23"/>
  <c r="O16" i="23"/>
  <c r="O23" i="23"/>
  <c r="O24" i="23"/>
  <c r="O53" i="23"/>
  <c r="O54" i="23"/>
  <c r="O55" i="23"/>
  <c r="O56" i="23"/>
  <c r="O57" i="23"/>
  <c r="O58" i="23"/>
  <c r="O59" i="23"/>
  <c r="O60" i="23"/>
  <c r="O61" i="23"/>
  <c r="O62" i="23"/>
  <c r="O63" i="23"/>
  <c r="O64" i="23"/>
  <c r="O65" i="23"/>
  <c r="O66" i="23"/>
  <c r="O67" i="23"/>
  <c r="O68" i="23"/>
  <c r="O69" i="23"/>
  <c r="O70" i="23"/>
  <c r="O71" i="23"/>
  <c r="O72" i="23"/>
  <c r="O73" i="23"/>
  <c r="O74" i="23"/>
  <c r="O75" i="23"/>
  <c r="O76" i="23"/>
  <c r="O77" i="23"/>
  <c r="O78" i="23"/>
  <c r="O79" i="23"/>
  <c r="O80" i="23"/>
  <c r="O81" i="23"/>
  <c r="O112" i="23"/>
  <c r="O135" i="23"/>
  <c r="O136" i="23"/>
  <c r="P2" i="23"/>
  <c r="P8" i="23"/>
  <c r="P9" i="23"/>
  <c r="P16" i="23"/>
  <c r="P23" i="23"/>
  <c r="P24" i="23"/>
  <c r="P54" i="23"/>
  <c r="P55" i="23"/>
  <c r="P56" i="23"/>
  <c r="P57" i="23"/>
  <c r="P58" i="23"/>
  <c r="P59" i="23"/>
  <c r="P60" i="23"/>
  <c r="P61" i="23"/>
  <c r="P62" i="23"/>
  <c r="P63" i="23"/>
  <c r="P64" i="23"/>
  <c r="P65" i="23"/>
  <c r="P66" i="23"/>
  <c r="P67" i="23"/>
  <c r="P68" i="23"/>
  <c r="P69" i="23"/>
  <c r="P70" i="23"/>
  <c r="P71" i="23"/>
  <c r="P72" i="23"/>
  <c r="P73" i="23"/>
  <c r="P74" i="23"/>
  <c r="P75" i="23"/>
  <c r="P76" i="23"/>
  <c r="P77" i="23"/>
  <c r="P78" i="23"/>
  <c r="P79" i="23"/>
  <c r="P80" i="23"/>
  <c r="P81" i="23"/>
  <c r="P112" i="23"/>
  <c r="P135" i="23"/>
  <c r="P136" i="23"/>
  <c r="Q2" i="23"/>
  <c r="R2" i="23"/>
  <c r="S2" i="23"/>
  <c r="T2" i="23"/>
  <c r="U2" i="23"/>
  <c r="Q8" i="23"/>
  <c r="Q9" i="23"/>
  <c r="Q16" i="23"/>
  <c r="Q23" i="23"/>
  <c r="Q24" i="23"/>
  <c r="Q55" i="23"/>
  <c r="Q56" i="23"/>
  <c r="Q57" i="23"/>
  <c r="Q58" i="23"/>
  <c r="Q59" i="23"/>
  <c r="Q60" i="23"/>
  <c r="Q61" i="23"/>
  <c r="Q62" i="23"/>
  <c r="Q63" i="23"/>
  <c r="Q64" i="23"/>
  <c r="Q65" i="23"/>
  <c r="Q66" i="23"/>
  <c r="Q67" i="23"/>
  <c r="Q68" i="23"/>
  <c r="Q69" i="23"/>
  <c r="Q70" i="23"/>
  <c r="Q71" i="23"/>
  <c r="Q72" i="23"/>
  <c r="Q73" i="23"/>
  <c r="Q74" i="23"/>
  <c r="Q75" i="23"/>
  <c r="Q76" i="23"/>
  <c r="Q77" i="23"/>
  <c r="Q78" i="23"/>
  <c r="Q79" i="23"/>
  <c r="Q80" i="23"/>
  <c r="Q81" i="23"/>
  <c r="Q112" i="23"/>
  <c r="Q135" i="23"/>
  <c r="Q136" i="23"/>
  <c r="R8" i="23"/>
  <c r="R9" i="23"/>
  <c r="R16" i="23"/>
  <c r="R23" i="23"/>
  <c r="R24" i="23"/>
  <c r="R56" i="23"/>
  <c r="R57" i="23"/>
  <c r="R58" i="23"/>
  <c r="R59" i="23"/>
  <c r="R60" i="23"/>
  <c r="R61" i="23"/>
  <c r="R62" i="23"/>
  <c r="R63" i="23"/>
  <c r="R64" i="23"/>
  <c r="R65" i="23"/>
  <c r="R66" i="23"/>
  <c r="R67" i="23"/>
  <c r="R68" i="23"/>
  <c r="R69" i="23"/>
  <c r="R70" i="23"/>
  <c r="R71" i="23"/>
  <c r="R72" i="23"/>
  <c r="R73" i="23"/>
  <c r="R74" i="23"/>
  <c r="R75" i="23"/>
  <c r="R76" i="23"/>
  <c r="R77" i="23"/>
  <c r="R78" i="23"/>
  <c r="R79" i="23"/>
  <c r="R80" i="23"/>
  <c r="R81" i="23"/>
  <c r="R112" i="23"/>
  <c r="R135" i="23"/>
  <c r="R136" i="23"/>
  <c r="S8" i="23"/>
  <c r="S9" i="23"/>
  <c r="S16" i="23"/>
  <c r="S23" i="23"/>
  <c r="S24" i="23"/>
  <c r="S57" i="23"/>
  <c r="S58" i="23"/>
  <c r="S59" i="23"/>
  <c r="S60" i="23"/>
  <c r="S61" i="23"/>
  <c r="S62" i="23"/>
  <c r="S63" i="23"/>
  <c r="S64" i="23"/>
  <c r="S65" i="23"/>
  <c r="S66" i="23"/>
  <c r="S67" i="23"/>
  <c r="S68" i="23"/>
  <c r="S69" i="23"/>
  <c r="S70" i="23"/>
  <c r="S71" i="23"/>
  <c r="S72" i="23"/>
  <c r="S73" i="23"/>
  <c r="S74" i="23"/>
  <c r="S75" i="23"/>
  <c r="S76" i="23"/>
  <c r="S77" i="23"/>
  <c r="S78" i="23"/>
  <c r="S79" i="23"/>
  <c r="S80" i="23"/>
  <c r="S81" i="23"/>
  <c r="T8" i="23"/>
  <c r="U8" i="23"/>
  <c r="V8" i="23"/>
  <c r="W8" i="23"/>
  <c r="X8" i="23"/>
  <c r="T9" i="23"/>
  <c r="T16" i="23"/>
  <c r="T23" i="23"/>
  <c r="T24" i="23"/>
  <c r="T58" i="23"/>
  <c r="T59" i="23"/>
  <c r="T60" i="23"/>
  <c r="T61" i="23"/>
  <c r="T62" i="23"/>
  <c r="T63" i="23"/>
  <c r="T64" i="23"/>
  <c r="T65" i="23"/>
  <c r="T66" i="23"/>
  <c r="T67" i="23"/>
  <c r="T68" i="23"/>
  <c r="T69" i="23"/>
  <c r="T70" i="23"/>
  <c r="T71" i="23"/>
  <c r="T72" i="23"/>
  <c r="T73" i="23"/>
  <c r="T74" i="23"/>
  <c r="T75" i="23"/>
  <c r="T76" i="23"/>
  <c r="T77" i="23"/>
  <c r="T78" i="23"/>
  <c r="T79" i="23"/>
  <c r="T80" i="23"/>
  <c r="T81" i="23"/>
  <c r="T112" i="23"/>
  <c r="T135" i="23"/>
  <c r="T136" i="23"/>
  <c r="U9" i="23"/>
  <c r="U16" i="23"/>
  <c r="U23" i="23"/>
  <c r="U24" i="23"/>
  <c r="U59" i="23"/>
  <c r="U60" i="23"/>
  <c r="U61" i="23"/>
  <c r="U62" i="23"/>
  <c r="U63" i="23"/>
  <c r="U64" i="23"/>
  <c r="U65" i="23"/>
  <c r="U66" i="23"/>
  <c r="U67" i="23"/>
  <c r="U68" i="23"/>
  <c r="U69" i="23"/>
  <c r="U70" i="23"/>
  <c r="U71" i="23"/>
  <c r="U72" i="23"/>
  <c r="U73" i="23"/>
  <c r="U74" i="23"/>
  <c r="U75" i="23"/>
  <c r="U76" i="23"/>
  <c r="U77" i="23"/>
  <c r="U78" i="23"/>
  <c r="U79" i="23"/>
  <c r="U80" i="23"/>
  <c r="U81" i="23"/>
  <c r="U112" i="23"/>
  <c r="U135" i="23"/>
  <c r="U136" i="23"/>
  <c r="V2" i="23"/>
  <c r="V9" i="23"/>
  <c r="V11" i="23"/>
  <c r="V16" i="23"/>
  <c r="V23" i="23"/>
  <c r="V24" i="23"/>
  <c r="V60" i="23"/>
  <c r="V61" i="23"/>
  <c r="V62" i="23"/>
  <c r="V63" i="23"/>
  <c r="V64" i="23"/>
  <c r="V65" i="23"/>
  <c r="V66" i="23"/>
  <c r="V67" i="23"/>
  <c r="V68" i="23"/>
  <c r="V69" i="23"/>
  <c r="V70" i="23"/>
  <c r="V71" i="23"/>
  <c r="V72" i="23"/>
  <c r="V73" i="23"/>
  <c r="V74" i="23"/>
  <c r="V75" i="23"/>
  <c r="V76" i="23"/>
  <c r="V77" i="23"/>
  <c r="V78" i="23"/>
  <c r="V79" i="23"/>
  <c r="V80" i="23"/>
  <c r="V81" i="23"/>
  <c r="V112" i="23"/>
  <c r="V135" i="23"/>
  <c r="V136" i="23"/>
  <c r="W2" i="23"/>
  <c r="X2" i="23"/>
  <c r="W9" i="23"/>
  <c r="W11" i="23"/>
  <c r="X11" i="23"/>
  <c r="W16" i="23"/>
  <c r="W23" i="23"/>
  <c r="W24" i="23"/>
  <c r="W61" i="23"/>
  <c r="W62" i="23"/>
  <c r="W63" i="23"/>
  <c r="W64" i="23"/>
  <c r="W65" i="23"/>
  <c r="W66" i="23"/>
  <c r="W67" i="23"/>
  <c r="W68" i="23"/>
  <c r="W69" i="23"/>
  <c r="W70" i="23"/>
  <c r="W71" i="23"/>
  <c r="W72" i="23"/>
  <c r="W73" i="23"/>
  <c r="W74" i="23"/>
  <c r="W75" i="23"/>
  <c r="W76" i="23"/>
  <c r="W77" i="23"/>
  <c r="W78" i="23"/>
  <c r="W79" i="23"/>
  <c r="W80" i="23"/>
  <c r="W81" i="23"/>
  <c r="W112" i="23"/>
  <c r="W135" i="23"/>
  <c r="W136" i="23"/>
  <c r="X5" i="23"/>
  <c r="X9" i="23"/>
  <c r="X16" i="23"/>
  <c r="X23" i="23"/>
  <c r="X24" i="23"/>
  <c r="X62" i="23"/>
  <c r="X63" i="23"/>
  <c r="X64" i="23"/>
  <c r="X65" i="23"/>
  <c r="X66" i="23"/>
  <c r="X67" i="23"/>
  <c r="X68" i="23"/>
  <c r="X69" i="23"/>
  <c r="X70" i="23"/>
  <c r="X71" i="23"/>
  <c r="X72" i="23"/>
  <c r="X73" i="23"/>
  <c r="X74" i="23"/>
  <c r="X75" i="23"/>
  <c r="X76" i="23"/>
  <c r="X77" i="23"/>
  <c r="X78" i="23"/>
  <c r="X79" i="23"/>
  <c r="X80" i="23"/>
  <c r="X81" i="23"/>
  <c r="X112" i="23"/>
  <c r="E50" i="14"/>
  <c r="B52" i="14"/>
  <c r="C52" i="14"/>
  <c r="D52" i="14"/>
  <c r="E52" i="14"/>
  <c r="F52" i="14"/>
  <c r="G52" i="14"/>
  <c r="H52" i="14"/>
  <c r="I52" i="14"/>
  <c r="J52" i="14"/>
  <c r="K52" i="14"/>
  <c r="L52" i="14"/>
  <c r="M52" i="14"/>
  <c r="N52" i="14"/>
  <c r="O52" i="14"/>
  <c r="P52" i="14"/>
  <c r="Q52" i="14"/>
  <c r="R52" i="14"/>
  <c r="S52" i="14"/>
  <c r="T52" i="14"/>
  <c r="U52" i="14"/>
  <c r="V52" i="14"/>
  <c r="W52" i="14"/>
  <c r="X52" i="14"/>
  <c r="Y52" i="14"/>
  <c r="Z52" i="14"/>
  <c r="AA52" i="14"/>
  <c r="AB52" i="14"/>
  <c r="AC52" i="14"/>
  <c r="AD52" i="14"/>
  <c r="AE52" i="14"/>
  <c r="AF52" i="14"/>
  <c r="AG52" i="14"/>
  <c r="AH52" i="14"/>
  <c r="AI52" i="14"/>
  <c r="AJ52" i="14"/>
  <c r="AK52" i="14"/>
  <c r="AL52" i="14"/>
  <c r="AM52" i="14"/>
  <c r="AN52" i="14"/>
  <c r="AO52" i="14"/>
  <c r="AP52" i="14"/>
  <c r="AQ52" i="14"/>
  <c r="AR52" i="14"/>
  <c r="AS52" i="14"/>
  <c r="AT52" i="14"/>
  <c r="AU52" i="14"/>
  <c r="AV52" i="14"/>
  <c r="AW52" i="14"/>
  <c r="AX52" i="14"/>
  <c r="AY52" i="14"/>
  <c r="AZ52" i="14"/>
  <c r="BA52" i="14"/>
  <c r="BB52" i="14"/>
  <c r="BC52" i="14"/>
  <c r="BD52" i="14"/>
  <c r="BE52" i="14"/>
  <c r="BF52" i="14"/>
  <c r="BG52" i="14"/>
  <c r="BH52" i="14"/>
  <c r="BI52" i="14"/>
  <c r="BJ52" i="14"/>
  <c r="BK52" i="14"/>
  <c r="BL52" i="14"/>
  <c r="BM52" i="14"/>
  <c r="BN52" i="14"/>
  <c r="BO52" i="14"/>
  <c r="BP52" i="14"/>
  <c r="BQ52" i="14"/>
  <c r="BR52" i="14"/>
  <c r="BS52" i="14"/>
  <c r="BT52" i="14"/>
  <c r="BU52" i="14"/>
  <c r="BV52" i="14"/>
  <c r="BW52" i="14"/>
  <c r="BX52" i="14"/>
  <c r="BY52" i="14"/>
  <c r="BZ52" i="14"/>
  <c r="CA52" i="14"/>
  <c r="CB52" i="14"/>
  <c r="CC52" i="14"/>
  <c r="CD52" i="14"/>
  <c r="CE52" i="14"/>
  <c r="CF52" i="14"/>
  <c r="CG52" i="14"/>
  <c r="CH52" i="14"/>
  <c r="CI52" i="14"/>
  <c r="CJ52" i="14"/>
  <c r="CK52" i="14"/>
  <c r="CL52" i="14"/>
  <c r="CM52" i="14"/>
  <c r="CN52" i="14"/>
  <c r="CO52" i="14"/>
  <c r="CP52" i="14"/>
  <c r="CQ52" i="14"/>
  <c r="CR52" i="14"/>
  <c r="CS52" i="14"/>
  <c r="CT52" i="14"/>
  <c r="CU52" i="14"/>
  <c r="CV52" i="14"/>
  <c r="CW52" i="14"/>
  <c r="CX52" i="14"/>
  <c r="CY52" i="14"/>
  <c r="CZ52" i="14"/>
  <c r="DA52" i="14"/>
  <c r="DB52" i="14"/>
  <c r="DC52" i="14"/>
  <c r="DD52" i="14"/>
  <c r="DE52" i="14"/>
  <c r="DF52" i="14"/>
  <c r="DG52" i="14"/>
  <c r="DH52" i="14"/>
  <c r="DI52" i="14"/>
  <c r="DJ52" i="14"/>
  <c r="DK52" i="14"/>
  <c r="DL52" i="14"/>
  <c r="DM52" i="14"/>
  <c r="DN52" i="14"/>
  <c r="DO52" i="14"/>
  <c r="DP52" i="14"/>
  <c r="DQ52" i="14"/>
  <c r="DR52" i="14"/>
  <c r="DS52" i="14"/>
  <c r="DT52" i="14"/>
  <c r="DU52" i="14"/>
  <c r="DV52" i="14"/>
  <c r="DW52" i="14"/>
  <c r="DX52" i="14"/>
  <c r="DY52" i="14"/>
  <c r="DZ52" i="14"/>
  <c r="EA52" i="14"/>
  <c r="EB52" i="14"/>
  <c r="EC52" i="14"/>
  <c r="ED52" i="14"/>
  <c r="EE52" i="14"/>
  <c r="EF52" i="14"/>
  <c r="EG52" i="14"/>
  <c r="EH52" i="14"/>
  <c r="EI52" i="14"/>
  <c r="EJ52" i="14"/>
  <c r="EK52" i="14"/>
  <c r="EL52" i="14"/>
  <c r="EM52" i="14"/>
  <c r="EN52" i="14"/>
  <c r="EO52" i="14"/>
  <c r="EP52" i="14"/>
  <c r="EQ52" i="14"/>
  <c r="ER52" i="14"/>
  <c r="ES52" i="14"/>
  <c r="ET52" i="14"/>
  <c r="EU52" i="14"/>
  <c r="EV52" i="14"/>
  <c r="EW52" i="14"/>
  <c r="EX52" i="14"/>
  <c r="EY52" i="14"/>
  <c r="EZ52" i="14"/>
  <c r="FA52" i="14"/>
  <c r="FB52" i="14"/>
  <c r="FC52" i="14"/>
  <c r="FD52" i="14"/>
  <c r="FE52" i="14"/>
  <c r="FF52" i="14"/>
  <c r="FG52" i="14"/>
  <c r="FH52" i="14"/>
  <c r="FI52" i="14"/>
  <c r="FJ52" i="14"/>
  <c r="FK52" i="14"/>
  <c r="FL52" i="14"/>
  <c r="FM52" i="14"/>
  <c r="FN52" i="14"/>
  <c r="FO52" i="14"/>
  <c r="FP52" i="14"/>
  <c r="FQ52" i="14"/>
  <c r="FR52" i="14"/>
  <c r="FS52" i="14"/>
  <c r="FT52" i="14"/>
  <c r="FU52" i="14"/>
  <c r="FV52" i="14"/>
  <c r="FW52" i="14"/>
  <c r="FX52" i="14"/>
  <c r="FY52" i="14"/>
  <c r="FZ52" i="14"/>
  <c r="GA52" i="14"/>
  <c r="GB52" i="14"/>
  <c r="GC52" i="14"/>
  <c r="GD52" i="14"/>
  <c r="GE52" i="14"/>
  <c r="GF52" i="14"/>
  <c r="GG52" i="14"/>
  <c r="GH52" i="14"/>
  <c r="GI52" i="14"/>
  <c r="GJ52" i="14"/>
  <c r="GK52" i="14"/>
  <c r="GL52" i="14"/>
  <c r="GM52" i="14"/>
  <c r="GN52" i="14"/>
  <c r="GO52" i="14"/>
  <c r="GP52" i="14"/>
  <c r="GQ52" i="14"/>
  <c r="GR52" i="14"/>
  <c r="GS52" i="14"/>
  <c r="GT52" i="14"/>
  <c r="GU52" i="14"/>
  <c r="GV52" i="14"/>
  <c r="GW52" i="14"/>
  <c r="GX52" i="14"/>
  <c r="GY52" i="14"/>
  <c r="GZ52" i="14"/>
  <c r="HA52" i="14"/>
  <c r="HB52" i="14"/>
  <c r="HC52" i="14"/>
  <c r="HD52" i="14"/>
  <c r="HE52" i="14"/>
  <c r="HF52" i="14"/>
  <c r="HG52" i="14"/>
  <c r="HH52" i="14"/>
  <c r="HI52" i="14"/>
  <c r="HJ52" i="14"/>
  <c r="HK52" i="14"/>
  <c r="HL52" i="14"/>
  <c r="HM52" i="14"/>
  <c r="HN52" i="14"/>
  <c r="HO52" i="14"/>
  <c r="HP52" i="14"/>
  <c r="HQ52" i="14"/>
  <c r="HR52" i="14"/>
  <c r="HS52" i="14"/>
  <c r="HT52" i="14"/>
  <c r="HU52" i="14"/>
  <c r="HV52" i="14"/>
  <c r="HW52" i="14"/>
  <c r="HX52" i="14"/>
  <c r="HY52" i="14"/>
  <c r="HZ52" i="14"/>
  <c r="IA52" i="14"/>
  <c r="IB52" i="14"/>
  <c r="IC52" i="14"/>
  <c r="ID52" i="14"/>
  <c r="IE52" i="14"/>
  <c r="IF52" i="14"/>
  <c r="IG52" i="14"/>
  <c r="IH52" i="14"/>
  <c r="II52" i="14"/>
  <c r="IJ52" i="14"/>
  <c r="IK52" i="14"/>
  <c r="IL52" i="14"/>
  <c r="IM52" i="14"/>
  <c r="IN52" i="14"/>
  <c r="IO52" i="14"/>
  <c r="IP52" i="14"/>
  <c r="IQ52" i="14"/>
  <c r="IR52" i="14"/>
  <c r="IS52" i="14"/>
  <c r="IT52" i="14"/>
  <c r="IU52" i="14"/>
  <c r="IV52" i="14"/>
  <c r="IW52" i="14"/>
  <c r="IX52" i="14"/>
  <c r="IY52" i="14"/>
  <c r="IZ52" i="14"/>
  <c r="JA52" i="14"/>
  <c r="JB52" i="14"/>
  <c r="JC52" i="14"/>
  <c r="JD52" i="14"/>
  <c r="JE52" i="14"/>
  <c r="JF52" i="14"/>
  <c r="JG52" i="14"/>
  <c r="JH52" i="14"/>
  <c r="JI52" i="14"/>
  <c r="JJ52" i="14"/>
  <c r="JK52" i="14"/>
  <c r="JL52" i="14"/>
  <c r="JM52" i="14"/>
  <c r="JN52" i="14"/>
  <c r="JO52" i="14"/>
  <c r="JP52" i="14"/>
  <c r="JQ52" i="14"/>
  <c r="JR52" i="14"/>
  <c r="JS52" i="14"/>
  <c r="JT52" i="14"/>
  <c r="JU52" i="14"/>
  <c r="JV52" i="14"/>
  <c r="JW52" i="14"/>
  <c r="JX52" i="14"/>
  <c r="JY52" i="14"/>
  <c r="JZ52" i="14"/>
  <c r="KA52" i="14"/>
  <c r="KB52" i="14"/>
  <c r="KC52" i="14"/>
  <c r="KD52" i="14"/>
  <c r="KE52" i="14"/>
  <c r="KF52" i="14"/>
  <c r="KG52" i="14"/>
  <c r="KH52" i="14"/>
  <c r="KI52" i="14"/>
  <c r="KJ52" i="14"/>
  <c r="KK52" i="14"/>
  <c r="KL52" i="14"/>
  <c r="KM52" i="14"/>
  <c r="KN52" i="14"/>
  <c r="F192" i="23"/>
  <c r="J88" i="23"/>
  <c r="E57" i="17"/>
  <c r="D148" i="23"/>
  <c r="D199" i="23"/>
  <c r="D209" i="23"/>
  <c r="D220" i="24"/>
  <c r="E220" i="24"/>
  <c r="D218" i="24"/>
  <c r="B196" i="24"/>
  <c r="A196" i="24"/>
  <c r="D221" i="24"/>
  <c r="E219" i="24"/>
  <c r="D219" i="24"/>
  <c r="AR212" i="24"/>
  <c r="AQ212" i="24"/>
  <c r="AP212" i="24"/>
  <c r="AO212" i="24"/>
  <c r="AN212" i="24"/>
  <c r="AM212" i="24"/>
  <c r="AL212" i="24"/>
  <c r="AK212" i="24"/>
  <c r="AJ212" i="24"/>
  <c r="AI212" i="24"/>
  <c r="AH212" i="24"/>
  <c r="AG212" i="24"/>
  <c r="AF212" i="24"/>
  <c r="AE212" i="24"/>
  <c r="AD212" i="24"/>
  <c r="AC212" i="24"/>
  <c r="AB212" i="24"/>
  <c r="AA212" i="24"/>
  <c r="Z212" i="24"/>
  <c r="Y212" i="24"/>
  <c r="X212" i="24"/>
  <c r="W212" i="24"/>
  <c r="V212" i="24"/>
  <c r="U212" i="24"/>
  <c r="T212" i="24"/>
  <c r="S212" i="24"/>
  <c r="R212" i="24"/>
  <c r="Q212" i="24"/>
  <c r="P212" i="24"/>
  <c r="O212" i="24"/>
  <c r="N212" i="24"/>
  <c r="M212" i="24"/>
  <c r="L212" i="24"/>
  <c r="K212" i="24"/>
  <c r="J212" i="24"/>
  <c r="I212" i="24"/>
  <c r="H212" i="24"/>
  <c r="G212" i="24"/>
  <c r="F212" i="24"/>
  <c r="E212" i="24"/>
  <c r="AR211" i="24"/>
  <c r="AQ211" i="24"/>
  <c r="AP211" i="24"/>
  <c r="AO211" i="24"/>
  <c r="AN211" i="24"/>
  <c r="AM211" i="24"/>
  <c r="AL211" i="24"/>
  <c r="AK211" i="24"/>
  <c r="AJ211" i="24"/>
  <c r="AI211" i="24"/>
  <c r="AH211" i="24"/>
  <c r="AG211" i="24"/>
  <c r="AF211" i="24"/>
  <c r="AE211" i="24"/>
  <c r="AD211" i="24"/>
  <c r="AC211" i="24"/>
  <c r="AB211" i="24"/>
  <c r="AA211" i="24"/>
  <c r="Z211" i="24"/>
  <c r="Y211" i="24"/>
  <c r="X211" i="24"/>
  <c r="W211" i="24"/>
  <c r="V211" i="24"/>
  <c r="U211" i="24"/>
  <c r="T211" i="24"/>
  <c r="S211" i="24"/>
  <c r="R211" i="24"/>
  <c r="Q211" i="24"/>
  <c r="P211" i="24"/>
  <c r="O211" i="24"/>
  <c r="N211" i="24"/>
  <c r="M211" i="24"/>
  <c r="L211" i="24"/>
  <c r="K211" i="24"/>
  <c r="J211" i="24"/>
  <c r="I211" i="24"/>
  <c r="H211" i="24"/>
  <c r="G211" i="24"/>
  <c r="F211" i="24"/>
  <c r="E211" i="24"/>
  <c r="AR106" i="24"/>
  <c r="AQ106" i="24"/>
  <c r="AP106" i="24"/>
  <c r="AO106" i="24"/>
  <c r="AN106" i="24"/>
  <c r="AM106" i="24"/>
  <c r="AL106" i="24"/>
  <c r="AK106" i="24"/>
  <c r="AJ106" i="24"/>
  <c r="AI106" i="24"/>
  <c r="AH106" i="24"/>
  <c r="AG106" i="24"/>
  <c r="AF106" i="24"/>
  <c r="AE106" i="24"/>
  <c r="AD106" i="24"/>
  <c r="AC106" i="24"/>
  <c r="AB106" i="24"/>
  <c r="AA106" i="24"/>
  <c r="Z106" i="24"/>
  <c r="Y106" i="24"/>
  <c r="O9" i="25"/>
  <c r="O3" i="25"/>
  <c r="P3" i="25"/>
  <c r="P4" i="25"/>
  <c r="P5" i="25"/>
  <c r="P6" i="25"/>
  <c r="P7" i="25"/>
  <c r="P8" i="25"/>
  <c r="P9" i="25"/>
  <c r="P10" i="25"/>
  <c r="P11" i="25"/>
  <c r="P12" i="25"/>
  <c r="P13" i="25"/>
  <c r="R13" i="25"/>
  <c r="O4" i="25"/>
  <c r="O5" i="25"/>
  <c r="O6" i="25"/>
  <c r="O7" i="25"/>
  <c r="O8" i="25"/>
  <c r="O10" i="25"/>
  <c r="O11" i="25"/>
  <c r="O12" i="25"/>
  <c r="O13" i="25"/>
  <c r="E105" i="23"/>
  <c r="D93" i="24"/>
  <c r="E93" i="24"/>
  <c r="E101" i="24"/>
  <c r="B43" i="17"/>
  <c r="AR210" i="23"/>
  <c r="AQ210" i="23"/>
  <c r="AP210" i="23"/>
  <c r="AO210" i="23"/>
  <c r="AN210" i="23"/>
  <c r="AM210" i="23"/>
  <c r="AL210" i="23"/>
  <c r="AK210" i="23"/>
  <c r="AJ210" i="23"/>
  <c r="AI210" i="23"/>
  <c r="AH210" i="23"/>
  <c r="AG210" i="23"/>
  <c r="AF210" i="23"/>
  <c r="AE210" i="23"/>
  <c r="AD210" i="23"/>
  <c r="AC210" i="23"/>
  <c r="AB210" i="23"/>
  <c r="AA210" i="23"/>
  <c r="Z210" i="23"/>
  <c r="Y210" i="23"/>
  <c r="AR209" i="23"/>
  <c r="AQ209" i="23"/>
  <c r="AP209" i="23"/>
  <c r="AO209" i="23"/>
  <c r="AN209" i="23"/>
  <c r="AM209" i="23"/>
  <c r="AL209" i="23"/>
  <c r="AK209" i="23"/>
  <c r="AJ209" i="23"/>
  <c r="AI209" i="23"/>
  <c r="AH209" i="23"/>
  <c r="AG209" i="23"/>
  <c r="AF209" i="23"/>
  <c r="AE209" i="23"/>
  <c r="AD209" i="23"/>
  <c r="AC209" i="23"/>
  <c r="AB209" i="23"/>
  <c r="AA209" i="23"/>
  <c r="Z209" i="23"/>
  <c r="Y209" i="23"/>
  <c r="AR207" i="23"/>
  <c r="AQ207" i="23"/>
  <c r="AP207" i="23"/>
  <c r="AO207" i="23"/>
  <c r="AN207" i="23"/>
  <c r="AM207" i="23"/>
  <c r="AL207" i="23"/>
  <c r="AK207" i="23"/>
  <c r="AJ207" i="23"/>
  <c r="AI207" i="23"/>
  <c r="AH207" i="23"/>
  <c r="AG207" i="23"/>
  <c r="AF207" i="23"/>
  <c r="AE207" i="23"/>
  <c r="AD207" i="23"/>
  <c r="AC207" i="23"/>
  <c r="AB207" i="23"/>
  <c r="AA207" i="23"/>
  <c r="Z207" i="23"/>
  <c r="Y207" i="23"/>
  <c r="AR206" i="23"/>
  <c r="AQ206" i="23"/>
  <c r="AP206" i="23"/>
  <c r="AO206" i="23"/>
  <c r="AN206" i="23"/>
  <c r="AM206" i="23"/>
  <c r="AL206" i="23"/>
  <c r="AK206" i="23"/>
  <c r="AJ206" i="23"/>
  <c r="AI206" i="23"/>
  <c r="AH206" i="23"/>
  <c r="AG206" i="23"/>
  <c r="AF206" i="23"/>
  <c r="AE206" i="23"/>
  <c r="AD206" i="23"/>
  <c r="AC206" i="23"/>
  <c r="AB206" i="23"/>
  <c r="AA206" i="23"/>
  <c r="Z206" i="23"/>
  <c r="Y206" i="23"/>
  <c r="AR204" i="23"/>
  <c r="AQ204" i="23"/>
  <c r="AP204" i="23"/>
  <c r="AO204" i="23"/>
  <c r="AN204" i="23"/>
  <c r="AM204" i="23"/>
  <c r="AL204" i="23"/>
  <c r="AK204" i="23"/>
  <c r="AJ204" i="23"/>
  <c r="AI204" i="23"/>
  <c r="AH204" i="23"/>
  <c r="AG204" i="23"/>
  <c r="AF204" i="23"/>
  <c r="AE204" i="23"/>
  <c r="AD204" i="23"/>
  <c r="AC204" i="23"/>
  <c r="AB204" i="23"/>
  <c r="AA204" i="23"/>
  <c r="Z204" i="23"/>
  <c r="Y204" i="23"/>
  <c r="AR202" i="23"/>
  <c r="AQ202" i="23"/>
  <c r="AP202" i="23"/>
  <c r="AO202" i="23"/>
  <c r="AN202" i="23"/>
  <c r="AM202" i="23"/>
  <c r="AL202" i="23"/>
  <c r="AK202" i="23"/>
  <c r="AJ202" i="23"/>
  <c r="AI202" i="23"/>
  <c r="AH202" i="23"/>
  <c r="AG202" i="23"/>
  <c r="AF202" i="23"/>
  <c r="AE202" i="23"/>
  <c r="AD202" i="23"/>
  <c r="AC202" i="23"/>
  <c r="AB202" i="23"/>
  <c r="AA202" i="23"/>
  <c r="Z202" i="23"/>
  <c r="Y202" i="23"/>
  <c r="AR200" i="23"/>
  <c r="AQ200" i="23"/>
  <c r="AP200" i="23"/>
  <c r="AO200" i="23"/>
  <c r="AN200" i="23"/>
  <c r="AM200" i="23"/>
  <c r="AL200" i="23"/>
  <c r="AK200" i="23"/>
  <c r="AJ200" i="23"/>
  <c r="AI200" i="23"/>
  <c r="AH200" i="23"/>
  <c r="AG200" i="23"/>
  <c r="AF200" i="23"/>
  <c r="AE200" i="23"/>
  <c r="AD200" i="23"/>
  <c r="AC200" i="23"/>
  <c r="AB200" i="23"/>
  <c r="AA200" i="23"/>
  <c r="Z200" i="23"/>
  <c r="Y200" i="23"/>
  <c r="AR199" i="23"/>
  <c r="AQ199" i="23"/>
  <c r="AP199" i="23"/>
  <c r="AO199" i="23"/>
  <c r="AN199" i="23"/>
  <c r="AM199" i="23"/>
  <c r="AL199" i="23"/>
  <c r="AK199" i="23"/>
  <c r="AJ199" i="23"/>
  <c r="AI199" i="23"/>
  <c r="AH199" i="23"/>
  <c r="AG199" i="23"/>
  <c r="AF199" i="23"/>
  <c r="AE199" i="23"/>
  <c r="AD199" i="23"/>
  <c r="AC199" i="23"/>
  <c r="AB199" i="23"/>
  <c r="AA199" i="23"/>
  <c r="Z199" i="23"/>
  <c r="Y199" i="23"/>
  <c r="AR198" i="23"/>
  <c r="AQ198" i="23"/>
  <c r="AP198" i="23"/>
  <c r="AO198" i="23"/>
  <c r="AN198" i="23"/>
  <c r="AM198" i="23"/>
  <c r="AL198" i="23"/>
  <c r="AK198" i="23"/>
  <c r="AJ198" i="23"/>
  <c r="AI198" i="23"/>
  <c r="AH198" i="23"/>
  <c r="AG198" i="23"/>
  <c r="AF198" i="23"/>
  <c r="AE198" i="23"/>
  <c r="AD198" i="23"/>
  <c r="AC198" i="23"/>
  <c r="AB198" i="23"/>
  <c r="AA198" i="23"/>
  <c r="Z198" i="23"/>
  <c r="Y198" i="23"/>
  <c r="C198" i="23"/>
  <c r="AR195" i="23"/>
  <c r="AQ195" i="23"/>
  <c r="AP195" i="23"/>
  <c r="AO195" i="23"/>
  <c r="AN195" i="23"/>
  <c r="AM195" i="23"/>
  <c r="AL195" i="23"/>
  <c r="AK195" i="23"/>
  <c r="AJ195" i="23"/>
  <c r="AI195" i="23"/>
  <c r="AH195" i="23"/>
  <c r="AG195" i="23"/>
  <c r="AF195" i="23"/>
  <c r="AE195" i="23"/>
  <c r="AD195" i="23"/>
  <c r="AC195" i="23"/>
  <c r="AB195" i="23"/>
  <c r="AA195" i="23"/>
  <c r="Z195" i="23"/>
  <c r="Y195" i="23"/>
  <c r="AR194" i="23"/>
  <c r="AQ194" i="23"/>
  <c r="AP194" i="23"/>
  <c r="AO194" i="23"/>
  <c r="AN194" i="23"/>
  <c r="AM194" i="23"/>
  <c r="AL194" i="23"/>
  <c r="AK194" i="23"/>
  <c r="AJ194" i="23"/>
  <c r="AI194" i="23"/>
  <c r="AH194" i="23"/>
  <c r="AG194" i="23"/>
  <c r="AF194" i="23"/>
  <c r="AE194" i="23"/>
  <c r="AD194" i="23"/>
  <c r="AC194" i="23"/>
  <c r="AB194" i="23"/>
  <c r="AA194" i="23"/>
  <c r="Z194" i="23"/>
  <c r="Y194" i="23"/>
  <c r="AR189" i="23"/>
  <c r="AQ189" i="23"/>
  <c r="AP189" i="23"/>
  <c r="AO189" i="23"/>
  <c r="AN189" i="23"/>
  <c r="AM189" i="23"/>
  <c r="AL189" i="23"/>
  <c r="AK189" i="23"/>
  <c r="AJ189" i="23"/>
  <c r="AI189" i="23"/>
  <c r="AH189" i="23"/>
  <c r="AG189" i="23"/>
  <c r="AF189" i="23"/>
  <c r="AE189" i="23"/>
  <c r="AD189" i="23"/>
  <c r="AC189" i="23"/>
  <c r="AB189" i="23"/>
  <c r="AA189" i="23"/>
  <c r="Z189" i="23"/>
  <c r="Y189" i="23"/>
  <c r="C189" i="23"/>
  <c r="AR188" i="23"/>
  <c r="AQ188" i="23"/>
  <c r="AP188" i="23"/>
  <c r="AO188" i="23"/>
  <c r="AN188" i="23"/>
  <c r="AM188" i="23"/>
  <c r="AL188" i="23"/>
  <c r="AK188" i="23"/>
  <c r="AJ188" i="23"/>
  <c r="AI188" i="23"/>
  <c r="AH188" i="23"/>
  <c r="AG188" i="23"/>
  <c r="AF188" i="23"/>
  <c r="AE188" i="23"/>
  <c r="AD188" i="23"/>
  <c r="AC188" i="23"/>
  <c r="AB188" i="23"/>
  <c r="AA188" i="23"/>
  <c r="Z188" i="23"/>
  <c r="Y188" i="23"/>
  <c r="AR186" i="23"/>
  <c r="AQ186" i="23"/>
  <c r="AP186" i="23"/>
  <c r="AO186" i="23"/>
  <c r="AN186" i="23"/>
  <c r="AM186" i="23"/>
  <c r="AL186" i="23"/>
  <c r="AK186" i="23"/>
  <c r="AJ186" i="23"/>
  <c r="AI186" i="23"/>
  <c r="AH186" i="23"/>
  <c r="AG186" i="23"/>
  <c r="AF186" i="23"/>
  <c r="AE186" i="23"/>
  <c r="AD186" i="23"/>
  <c r="AC186" i="23"/>
  <c r="AB186" i="23"/>
  <c r="AA186" i="23"/>
  <c r="Z186" i="23"/>
  <c r="Y186" i="23"/>
  <c r="C186" i="23"/>
  <c r="AR185" i="23"/>
  <c r="AQ185" i="23"/>
  <c r="AP185" i="23"/>
  <c r="AO185" i="23"/>
  <c r="AN185" i="23"/>
  <c r="AM185" i="23"/>
  <c r="AL185" i="23"/>
  <c r="AK185" i="23"/>
  <c r="AJ185" i="23"/>
  <c r="AI185" i="23"/>
  <c r="AH185" i="23"/>
  <c r="AG185" i="23"/>
  <c r="AF185" i="23"/>
  <c r="AE185" i="23"/>
  <c r="AD185" i="23"/>
  <c r="AC185" i="23"/>
  <c r="AB185" i="23"/>
  <c r="AA185" i="23"/>
  <c r="Z185" i="23"/>
  <c r="Y185" i="23"/>
  <c r="AR180" i="23"/>
  <c r="AQ180" i="23"/>
  <c r="AP180" i="23"/>
  <c r="AO180" i="23"/>
  <c r="AN180" i="23"/>
  <c r="AM180" i="23"/>
  <c r="AL180" i="23"/>
  <c r="AK180" i="23"/>
  <c r="AJ180" i="23"/>
  <c r="AI180" i="23"/>
  <c r="AH180" i="23"/>
  <c r="AG180" i="23"/>
  <c r="AF180" i="23"/>
  <c r="AE180" i="23"/>
  <c r="AD180" i="23"/>
  <c r="AC180" i="23"/>
  <c r="AB180" i="23"/>
  <c r="AA180" i="23"/>
  <c r="Z180" i="23"/>
  <c r="Y180" i="23"/>
  <c r="AR179" i="23"/>
  <c r="AQ179" i="23"/>
  <c r="AP179" i="23"/>
  <c r="AO179" i="23"/>
  <c r="AN179" i="23"/>
  <c r="AM179" i="23"/>
  <c r="AL179" i="23"/>
  <c r="AK179" i="23"/>
  <c r="AJ179" i="23"/>
  <c r="AI179" i="23"/>
  <c r="AH179" i="23"/>
  <c r="AG179" i="23"/>
  <c r="AF179" i="23"/>
  <c r="AE179" i="23"/>
  <c r="AD179" i="23"/>
  <c r="AC179" i="23"/>
  <c r="AB179" i="23"/>
  <c r="AA179" i="23"/>
  <c r="Z179" i="23"/>
  <c r="Y179" i="23"/>
  <c r="B178" i="23"/>
  <c r="AR177" i="23"/>
  <c r="AQ177" i="23"/>
  <c r="AP177" i="23"/>
  <c r="AO177" i="23"/>
  <c r="AN177" i="23"/>
  <c r="AM177" i="23"/>
  <c r="AL177" i="23"/>
  <c r="AK177" i="23"/>
  <c r="AJ177" i="23"/>
  <c r="AI177" i="23"/>
  <c r="AH177" i="23"/>
  <c r="AG177" i="23"/>
  <c r="AF177" i="23"/>
  <c r="AE177" i="23"/>
  <c r="AD177" i="23"/>
  <c r="AC177" i="23"/>
  <c r="AB177" i="23"/>
  <c r="AA177" i="23"/>
  <c r="Z177" i="23"/>
  <c r="Y177" i="23"/>
  <c r="AR176" i="23"/>
  <c r="AQ176" i="23"/>
  <c r="AP176" i="23"/>
  <c r="AO176" i="23"/>
  <c r="AN176" i="23"/>
  <c r="AM176" i="23"/>
  <c r="AL176" i="23"/>
  <c r="AK176" i="23"/>
  <c r="AJ176" i="23"/>
  <c r="AI176" i="23"/>
  <c r="AH176" i="23"/>
  <c r="AG176" i="23"/>
  <c r="AF176" i="23"/>
  <c r="AE176" i="23"/>
  <c r="AD176" i="23"/>
  <c r="AC176" i="23"/>
  <c r="AB176" i="23"/>
  <c r="AA176" i="23"/>
  <c r="Z176" i="23"/>
  <c r="Y176" i="23"/>
  <c r="A174" i="23"/>
  <c r="AR159" i="23"/>
  <c r="AR162" i="23"/>
  <c r="AR163" i="23"/>
  <c r="AR164" i="23"/>
  <c r="AR165" i="23"/>
  <c r="AR166" i="23"/>
  <c r="AR167" i="23"/>
  <c r="AQ159" i="23"/>
  <c r="AQ162" i="23"/>
  <c r="AQ163" i="23"/>
  <c r="AQ164" i="23"/>
  <c r="AQ165" i="23"/>
  <c r="AQ166" i="23"/>
  <c r="AQ167" i="23"/>
  <c r="AP159" i="23"/>
  <c r="AP162" i="23"/>
  <c r="AP163" i="23"/>
  <c r="AP164" i="23"/>
  <c r="AP165" i="23"/>
  <c r="AP166" i="23"/>
  <c r="AP167" i="23"/>
  <c r="AO159" i="23"/>
  <c r="AO162" i="23"/>
  <c r="AO163" i="23"/>
  <c r="AO164" i="23"/>
  <c r="AO165" i="23"/>
  <c r="AO166" i="23"/>
  <c r="AO167" i="23"/>
  <c r="AN159" i="23"/>
  <c r="AN162" i="23"/>
  <c r="AN163" i="23"/>
  <c r="AN164" i="23"/>
  <c r="AN165" i="23"/>
  <c r="AN166" i="23"/>
  <c r="AN167" i="23"/>
  <c r="AM159" i="23"/>
  <c r="AM162" i="23"/>
  <c r="AM163" i="23"/>
  <c r="AM164" i="23"/>
  <c r="AM165" i="23"/>
  <c r="AM166" i="23"/>
  <c r="AM167" i="23"/>
  <c r="AL159" i="23"/>
  <c r="AL162" i="23"/>
  <c r="AL163" i="23"/>
  <c r="AL164" i="23"/>
  <c r="AL165" i="23"/>
  <c r="AL166" i="23"/>
  <c r="AL167" i="23"/>
  <c r="AK159" i="23"/>
  <c r="AK162" i="23"/>
  <c r="AK163" i="23"/>
  <c r="AK164" i="23"/>
  <c r="AK165" i="23"/>
  <c r="AK166" i="23"/>
  <c r="AK167" i="23"/>
  <c r="AJ159" i="23"/>
  <c r="AJ162" i="23"/>
  <c r="AJ163" i="23"/>
  <c r="AJ164" i="23"/>
  <c r="AJ165" i="23"/>
  <c r="AJ166" i="23"/>
  <c r="AJ167" i="23"/>
  <c r="AI159" i="23"/>
  <c r="AI162" i="23"/>
  <c r="AI163" i="23"/>
  <c r="AI164" i="23"/>
  <c r="AI165" i="23"/>
  <c r="AI166" i="23"/>
  <c r="AI167" i="23"/>
  <c r="AH159" i="23"/>
  <c r="AH162" i="23"/>
  <c r="AH163" i="23"/>
  <c r="AH164" i="23"/>
  <c r="AH165" i="23"/>
  <c r="AH166" i="23"/>
  <c r="AH167" i="23"/>
  <c r="AG159" i="23"/>
  <c r="AG162" i="23"/>
  <c r="AG163" i="23"/>
  <c r="AG164" i="23"/>
  <c r="AG165" i="23"/>
  <c r="AG166" i="23"/>
  <c r="AG167" i="23"/>
  <c r="AF159" i="23"/>
  <c r="AF162" i="23"/>
  <c r="AF163" i="23"/>
  <c r="AF164" i="23"/>
  <c r="AF165" i="23"/>
  <c r="AF166" i="23"/>
  <c r="AF167" i="23"/>
  <c r="AE159" i="23"/>
  <c r="AE162" i="23"/>
  <c r="AE163" i="23"/>
  <c r="AE164" i="23"/>
  <c r="AE165" i="23"/>
  <c r="AE166" i="23"/>
  <c r="AE167" i="23"/>
  <c r="AD159" i="23"/>
  <c r="AD162" i="23"/>
  <c r="AD163" i="23"/>
  <c r="AD164" i="23"/>
  <c r="AD165" i="23"/>
  <c r="AD166" i="23"/>
  <c r="AD167" i="23"/>
  <c r="AC159" i="23"/>
  <c r="AC162" i="23"/>
  <c r="AC163" i="23"/>
  <c r="AC164" i="23"/>
  <c r="AC165" i="23"/>
  <c r="AC166" i="23"/>
  <c r="AC167" i="23"/>
  <c r="AB159" i="23"/>
  <c r="AB162" i="23"/>
  <c r="AB163" i="23"/>
  <c r="AB164" i="23"/>
  <c r="AB165" i="23"/>
  <c r="AB166" i="23"/>
  <c r="AB167" i="23"/>
  <c r="AA159" i="23"/>
  <c r="AA162" i="23"/>
  <c r="AA163" i="23"/>
  <c r="AA164" i="23"/>
  <c r="AA165" i="23"/>
  <c r="AA166" i="23"/>
  <c r="AA167" i="23"/>
  <c r="Z159" i="23"/>
  <c r="Z162" i="23"/>
  <c r="Z163" i="23"/>
  <c r="Z164" i="23"/>
  <c r="Z165" i="23"/>
  <c r="Z166" i="23"/>
  <c r="Z167" i="23"/>
  <c r="Y159" i="23"/>
  <c r="Y162" i="23"/>
  <c r="Y163" i="23"/>
  <c r="Y164" i="23"/>
  <c r="Y165" i="23"/>
  <c r="Y166" i="23"/>
  <c r="Y167" i="23"/>
  <c r="C171" i="23"/>
  <c r="AR158" i="23"/>
  <c r="AQ158" i="23"/>
  <c r="AP158" i="23"/>
  <c r="AO158" i="23"/>
  <c r="AN158" i="23"/>
  <c r="AM158" i="23"/>
  <c r="AL158" i="23"/>
  <c r="AK158" i="23"/>
  <c r="AJ158" i="23"/>
  <c r="AI158" i="23"/>
  <c r="AH158" i="23"/>
  <c r="AG158" i="23"/>
  <c r="AF158" i="23"/>
  <c r="AE158" i="23"/>
  <c r="AD158" i="23"/>
  <c r="AC158" i="23"/>
  <c r="AB158" i="23"/>
  <c r="AA158" i="23"/>
  <c r="Z158" i="23"/>
  <c r="Y158" i="23"/>
  <c r="C159" i="23"/>
  <c r="A156" i="23"/>
  <c r="AR154" i="23"/>
  <c r="AQ154" i="23"/>
  <c r="AP154" i="23"/>
  <c r="AO154" i="23"/>
  <c r="AN154" i="23"/>
  <c r="AM154" i="23"/>
  <c r="AL154" i="23"/>
  <c r="AK154" i="23"/>
  <c r="AJ154" i="23"/>
  <c r="AI154" i="23"/>
  <c r="AH154" i="23"/>
  <c r="AG154" i="23"/>
  <c r="AF154" i="23"/>
  <c r="AE154" i="23"/>
  <c r="AD154" i="23"/>
  <c r="AC154" i="23"/>
  <c r="AB154" i="23"/>
  <c r="AA154" i="23"/>
  <c r="Z154" i="23"/>
  <c r="Y154" i="23"/>
  <c r="AR153" i="23"/>
  <c r="AQ153" i="23"/>
  <c r="AP153" i="23"/>
  <c r="AO153" i="23"/>
  <c r="AN153" i="23"/>
  <c r="AM153" i="23"/>
  <c r="AL153" i="23"/>
  <c r="AK153" i="23"/>
  <c r="AJ153" i="23"/>
  <c r="AI153" i="23"/>
  <c r="AH153" i="23"/>
  <c r="AG153" i="23"/>
  <c r="AF153" i="23"/>
  <c r="AE153" i="23"/>
  <c r="AD153" i="23"/>
  <c r="AC153" i="23"/>
  <c r="AB153" i="23"/>
  <c r="AA153" i="23"/>
  <c r="Z153" i="23"/>
  <c r="Y153" i="23"/>
  <c r="B152" i="23"/>
  <c r="AR151" i="23"/>
  <c r="AQ151" i="23"/>
  <c r="AP151" i="23"/>
  <c r="AO151" i="23"/>
  <c r="AN151" i="23"/>
  <c r="AM151" i="23"/>
  <c r="AL151" i="23"/>
  <c r="AK151" i="23"/>
  <c r="AJ151" i="23"/>
  <c r="AI151" i="23"/>
  <c r="AH151" i="23"/>
  <c r="AG151" i="23"/>
  <c r="AF151" i="23"/>
  <c r="AE151" i="23"/>
  <c r="AD151" i="23"/>
  <c r="AC151" i="23"/>
  <c r="AB151" i="23"/>
  <c r="AA151" i="23"/>
  <c r="Z151" i="23"/>
  <c r="Y151" i="23"/>
  <c r="AR150" i="23"/>
  <c r="AQ150" i="23"/>
  <c r="AP150" i="23"/>
  <c r="AO150" i="23"/>
  <c r="AN150" i="23"/>
  <c r="AM150" i="23"/>
  <c r="AL150" i="23"/>
  <c r="AK150" i="23"/>
  <c r="AJ150" i="23"/>
  <c r="AI150" i="23"/>
  <c r="AH150" i="23"/>
  <c r="AG150" i="23"/>
  <c r="AF150" i="23"/>
  <c r="AE150" i="23"/>
  <c r="AD150" i="23"/>
  <c r="AC150" i="23"/>
  <c r="AB150" i="23"/>
  <c r="AA150" i="23"/>
  <c r="Z150" i="23"/>
  <c r="Y150" i="23"/>
  <c r="AR144" i="23"/>
  <c r="AQ144" i="23"/>
  <c r="AP144" i="23"/>
  <c r="AO144" i="23"/>
  <c r="AN144" i="23"/>
  <c r="AM144" i="23"/>
  <c r="AL144" i="23"/>
  <c r="AK144" i="23"/>
  <c r="AJ144" i="23"/>
  <c r="AI144" i="23"/>
  <c r="AH144" i="23"/>
  <c r="AG144" i="23"/>
  <c r="AF144" i="23"/>
  <c r="AE144" i="23"/>
  <c r="AD144" i="23"/>
  <c r="AC144" i="23"/>
  <c r="AB144" i="23"/>
  <c r="AA144" i="23"/>
  <c r="Z144" i="23"/>
  <c r="Y144" i="23"/>
  <c r="AR143" i="23"/>
  <c r="AQ143" i="23"/>
  <c r="AP143" i="23"/>
  <c r="AO143" i="23"/>
  <c r="AN143" i="23"/>
  <c r="AM143" i="23"/>
  <c r="AL143" i="23"/>
  <c r="AK143" i="23"/>
  <c r="AJ143" i="23"/>
  <c r="AI143" i="23"/>
  <c r="AH143" i="23"/>
  <c r="AG143" i="23"/>
  <c r="AF143" i="23"/>
  <c r="AE143" i="23"/>
  <c r="AD143" i="23"/>
  <c r="AC143" i="23"/>
  <c r="AB143" i="23"/>
  <c r="AA143" i="23"/>
  <c r="Z143" i="23"/>
  <c r="Y143" i="23"/>
  <c r="B142" i="23"/>
  <c r="AR141" i="23"/>
  <c r="AQ141" i="23"/>
  <c r="AP141" i="23"/>
  <c r="AO141" i="23"/>
  <c r="AN141" i="23"/>
  <c r="AM141" i="23"/>
  <c r="AL141" i="23"/>
  <c r="AK141" i="23"/>
  <c r="AJ141" i="23"/>
  <c r="AI141" i="23"/>
  <c r="AH141" i="23"/>
  <c r="AG141" i="23"/>
  <c r="AF141" i="23"/>
  <c r="AE141" i="23"/>
  <c r="AD141" i="23"/>
  <c r="AC141" i="23"/>
  <c r="AB141" i="23"/>
  <c r="AA141" i="23"/>
  <c r="Z141" i="23"/>
  <c r="Y141" i="23"/>
  <c r="AR140" i="23"/>
  <c r="AQ140" i="23"/>
  <c r="AP140" i="23"/>
  <c r="AO140" i="23"/>
  <c r="AN140" i="23"/>
  <c r="AM140" i="23"/>
  <c r="AL140" i="23"/>
  <c r="AK140" i="23"/>
  <c r="AJ140" i="23"/>
  <c r="AI140" i="23"/>
  <c r="AH140" i="23"/>
  <c r="AG140" i="23"/>
  <c r="AF140" i="23"/>
  <c r="AE140" i="23"/>
  <c r="AD140" i="23"/>
  <c r="AC140" i="23"/>
  <c r="AB140" i="23"/>
  <c r="AA140" i="23"/>
  <c r="Z140" i="23"/>
  <c r="Y140" i="23"/>
  <c r="AR136" i="23"/>
  <c r="AQ136" i="23"/>
  <c r="AP136" i="23"/>
  <c r="AO136" i="23"/>
  <c r="AN136" i="23"/>
  <c r="AM136" i="23"/>
  <c r="AL136" i="23"/>
  <c r="AK136" i="23"/>
  <c r="AJ136" i="23"/>
  <c r="AI136" i="23"/>
  <c r="AH136" i="23"/>
  <c r="AG136" i="23"/>
  <c r="AF136" i="23"/>
  <c r="AE136" i="23"/>
  <c r="AD136" i="23"/>
  <c r="AC136" i="23"/>
  <c r="AB136" i="23"/>
  <c r="AA136" i="23"/>
  <c r="Z136" i="23"/>
  <c r="Y136" i="23"/>
  <c r="AR135" i="23"/>
  <c r="AQ135" i="23"/>
  <c r="AP135" i="23"/>
  <c r="AO135" i="23"/>
  <c r="AN135" i="23"/>
  <c r="AM135" i="23"/>
  <c r="AL135" i="23"/>
  <c r="AK135" i="23"/>
  <c r="AJ135" i="23"/>
  <c r="AI135" i="23"/>
  <c r="AH135" i="23"/>
  <c r="AG135" i="23"/>
  <c r="AF135" i="23"/>
  <c r="AE135" i="23"/>
  <c r="AD135" i="23"/>
  <c r="AC135" i="23"/>
  <c r="AB135" i="23"/>
  <c r="AA135" i="23"/>
  <c r="Z135" i="23"/>
  <c r="Y135" i="23"/>
  <c r="AR132" i="23"/>
  <c r="AQ132" i="23"/>
  <c r="AP132" i="23"/>
  <c r="AO132" i="23"/>
  <c r="AN132" i="23"/>
  <c r="AM132" i="23"/>
  <c r="AL132" i="23"/>
  <c r="AK132" i="23"/>
  <c r="AJ132" i="23"/>
  <c r="AI132" i="23"/>
  <c r="AH132" i="23"/>
  <c r="AG132" i="23"/>
  <c r="AF132" i="23"/>
  <c r="AE132" i="23"/>
  <c r="AD132" i="23"/>
  <c r="AC132" i="23"/>
  <c r="AB132" i="23"/>
  <c r="AA132" i="23"/>
  <c r="Z132" i="23"/>
  <c r="Y132" i="23"/>
  <c r="AR115" i="23"/>
  <c r="AR118" i="23"/>
  <c r="AR119" i="23"/>
  <c r="AR120" i="23"/>
  <c r="AR121" i="23"/>
  <c r="AR130" i="23"/>
  <c r="AQ115" i="23"/>
  <c r="AQ118" i="23"/>
  <c r="AQ119" i="23"/>
  <c r="AQ130" i="23"/>
  <c r="AQ120" i="23"/>
  <c r="AQ121" i="23"/>
  <c r="AP115" i="23"/>
  <c r="AP118" i="23"/>
  <c r="AP119" i="23"/>
  <c r="AP130" i="23"/>
  <c r="AP120" i="23"/>
  <c r="AP121" i="23"/>
  <c r="AO115" i="23"/>
  <c r="AO118" i="23"/>
  <c r="AO119" i="23"/>
  <c r="AO120" i="23"/>
  <c r="AO130" i="23"/>
  <c r="AO121" i="23"/>
  <c r="AN115" i="23"/>
  <c r="AN118" i="23"/>
  <c r="AN119" i="23"/>
  <c r="AN120" i="23"/>
  <c r="AN121" i="23"/>
  <c r="AN130" i="23"/>
  <c r="AM115" i="23"/>
  <c r="AM118" i="23"/>
  <c r="AM119" i="23"/>
  <c r="AM130" i="23"/>
  <c r="AM120" i="23"/>
  <c r="AM121" i="23"/>
  <c r="AL115" i="23"/>
  <c r="AL118" i="23"/>
  <c r="AL119" i="23"/>
  <c r="AL130" i="23"/>
  <c r="AL120" i="23"/>
  <c r="AL121" i="23"/>
  <c r="AK115" i="23"/>
  <c r="AK118" i="23"/>
  <c r="AK119" i="23"/>
  <c r="AK120" i="23"/>
  <c r="AK130" i="23"/>
  <c r="AK121" i="23"/>
  <c r="AJ115" i="23"/>
  <c r="AJ118" i="23"/>
  <c r="AJ119" i="23"/>
  <c r="AJ120" i="23"/>
  <c r="AJ121" i="23"/>
  <c r="AJ130" i="23"/>
  <c r="AI115" i="23"/>
  <c r="AI118" i="23"/>
  <c r="AI119" i="23"/>
  <c r="AI130" i="23"/>
  <c r="AI120" i="23"/>
  <c r="AI121" i="23"/>
  <c r="AH115" i="23"/>
  <c r="AH118" i="23"/>
  <c r="AH119" i="23"/>
  <c r="AH130" i="23"/>
  <c r="AH120" i="23"/>
  <c r="AH121" i="23"/>
  <c r="AG115" i="23"/>
  <c r="AG118" i="23"/>
  <c r="AG119" i="23"/>
  <c r="AG120" i="23"/>
  <c r="AG130" i="23"/>
  <c r="AG121" i="23"/>
  <c r="AF115" i="23"/>
  <c r="AF118" i="23"/>
  <c r="AF119" i="23"/>
  <c r="AF120" i="23"/>
  <c r="AF121" i="23"/>
  <c r="AF130" i="23"/>
  <c r="AE115" i="23"/>
  <c r="AE118" i="23"/>
  <c r="AE119" i="23"/>
  <c r="AE130" i="23"/>
  <c r="AE120" i="23"/>
  <c r="AE121" i="23"/>
  <c r="AD115" i="23"/>
  <c r="AD118" i="23"/>
  <c r="AD119" i="23"/>
  <c r="AD130" i="23"/>
  <c r="AD120" i="23"/>
  <c r="AD121" i="23"/>
  <c r="AC115" i="23"/>
  <c r="AC118" i="23"/>
  <c r="AC119" i="23"/>
  <c r="AC120" i="23"/>
  <c r="AC130" i="23"/>
  <c r="AC121" i="23"/>
  <c r="AB115" i="23"/>
  <c r="AB118" i="23"/>
  <c r="AB119" i="23"/>
  <c r="AB130" i="23"/>
  <c r="AB120" i="23"/>
  <c r="AB121" i="23"/>
  <c r="AA115" i="23"/>
  <c r="AA118" i="23"/>
  <c r="AA119" i="23"/>
  <c r="AA130" i="23"/>
  <c r="AA120" i="23"/>
  <c r="AA121" i="23"/>
  <c r="Z115" i="23"/>
  <c r="Z118" i="23"/>
  <c r="Z119" i="23"/>
  <c r="Z130" i="23"/>
  <c r="Z120" i="23"/>
  <c r="Z121" i="23"/>
  <c r="Y115" i="23"/>
  <c r="Y118" i="23"/>
  <c r="Y119" i="23"/>
  <c r="Y120" i="23"/>
  <c r="Y130" i="23"/>
  <c r="Y121" i="23"/>
  <c r="AR128" i="23"/>
  <c r="AQ128" i="23"/>
  <c r="AP128" i="23"/>
  <c r="AO128" i="23"/>
  <c r="AN128" i="23"/>
  <c r="AM128" i="23"/>
  <c r="AL128" i="23"/>
  <c r="AK128" i="23"/>
  <c r="AJ128" i="23"/>
  <c r="AI128" i="23"/>
  <c r="AH128" i="23"/>
  <c r="AG128" i="23"/>
  <c r="AF128" i="23"/>
  <c r="AE128" i="23"/>
  <c r="AD128" i="23"/>
  <c r="AC128" i="23"/>
  <c r="AB128" i="23"/>
  <c r="AA128" i="23"/>
  <c r="Z128" i="23"/>
  <c r="Y128" i="23"/>
  <c r="AR122" i="23"/>
  <c r="AR114" i="23"/>
  <c r="AR117" i="23"/>
  <c r="AR126" i="23"/>
  <c r="AQ122" i="23"/>
  <c r="AQ114" i="23"/>
  <c r="AQ117" i="23"/>
  <c r="AQ126" i="23"/>
  <c r="AP122" i="23"/>
  <c r="AP114" i="23"/>
  <c r="AP117" i="23"/>
  <c r="AP126" i="23"/>
  <c r="AO122" i="23"/>
  <c r="AO114" i="23"/>
  <c r="AO117" i="23"/>
  <c r="AO126" i="23"/>
  <c r="AN122" i="23"/>
  <c r="AN114" i="23"/>
  <c r="AN117" i="23"/>
  <c r="AN126" i="23"/>
  <c r="AM122" i="23"/>
  <c r="AM114" i="23"/>
  <c r="AM117" i="23"/>
  <c r="AM126" i="23"/>
  <c r="AL122" i="23"/>
  <c r="AL114" i="23"/>
  <c r="AL117" i="23"/>
  <c r="AL126" i="23"/>
  <c r="AK122" i="23"/>
  <c r="AK114" i="23"/>
  <c r="AK117" i="23"/>
  <c r="AK126" i="23"/>
  <c r="AJ122" i="23"/>
  <c r="AJ114" i="23"/>
  <c r="AJ117" i="23"/>
  <c r="AJ126" i="23"/>
  <c r="AI122" i="23"/>
  <c r="AI114" i="23"/>
  <c r="AI117" i="23"/>
  <c r="AI126" i="23"/>
  <c r="AH122" i="23"/>
  <c r="AH114" i="23"/>
  <c r="AH117" i="23"/>
  <c r="AH126" i="23"/>
  <c r="AG122" i="23"/>
  <c r="AG114" i="23"/>
  <c r="AG117" i="23"/>
  <c r="AG126" i="23"/>
  <c r="AF122" i="23"/>
  <c r="AF114" i="23"/>
  <c r="AF117" i="23"/>
  <c r="AF126" i="23"/>
  <c r="AE122" i="23"/>
  <c r="AE114" i="23"/>
  <c r="AE117" i="23"/>
  <c r="AE126" i="23"/>
  <c r="AD122" i="23"/>
  <c r="AD114" i="23"/>
  <c r="AD117" i="23"/>
  <c r="AD126" i="23"/>
  <c r="AC122" i="23"/>
  <c r="AC114" i="23"/>
  <c r="AC117" i="23"/>
  <c r="AC126" i="23"/>
  <c r="AB122" i="23"/>
  <c r="AB114" i="23"/>
  <c r="AB117" i="23"/>
  <c r="AB126" i="23"/>
  <c r="AA122" i="23"/>
  <c r="AA114" i="23"/>
  <c r="AA117" i="23"/>
  <c r="AA126" i="23"/>
  <c r="Z122" i="23"/>
  <c r="Z114" i="23"/>
  <c r="Z117" i="23"/>
  <c r="Z126" i="23"/>
  <c r="Y122" i="23"/>
  <c r="Y114" i="23"/>
  <c r="Y117" i="23"/>
  <c r="Y126" i="23"/>
  <c r="AR112" i="23"/>
  <c r="AQ112" i="23"/>
  <c r="AP112" i="23"/>
  <c r="AO112" i="23"/>
  <c r="AN112" i="23"/>
  <c r="AM112" i="23"/>
  <c r="AL112" i="23"/>
  <c r="AK112" i="23"/>
  <c r="AJ112" i="23"/>
  <c r="AI112" i="23"/>
  <c r="AH112" i="23"/>
  <c r="AG112" i="23"/>
  <c r="AF112" i="23"/>
  <c r="AE112" i="23"/>
  <c r="AD112" i="23"/>
  <c r="AC112" i="23"/>
  <c r="AB112" i="23"/>
  <c r="AA112" i="23"/>
  <c r="Z112" i="23"/>
  <c r="Y112" i="23"/>
  <c r="C112" i="23"/>
  <c r="AR111" i="23"/>
  <c r="AQ111" i="23"/>
  <c r="AP111" i="23"/>
  <c r="AO111" i="23"/>
  <c r="AN111" i="23"/>
  <c r="AM111" i="23"/>
  <c r="AL111" i="23"/>
  <c r="AK111" i="23"/>
  <c r="AJ111" i="23"/>
  <c r="AI111" i="23"/>
  <c r="AH111" i="23"/>
  <c r="AG111" i="23"/>
  <c r="AF111" i="23"/>
  <c r="AE111" i="23"/>
  <c r="AD111" i="23"/>
  <c r="AC111" i="23"/>
  <c r="AB111" i="23"/>
  <c r="AA111" i="23"/>
  <c r="Z111" i="23"/>
  <c r="Y111" i="23"/>
  <c r="AM84" i="23"/>
  <c r="AM86" i="23"/>
  <c r="AR96" i="23"/>
  <c r="AL84" i="23"/>
  <c r="AL86" i="23"/>
  <c r="AK84" i="23"/>
  <c r="AK86" i="23"/>
  <c r="AJ84" i="23"/>
  <c r="AJ86" i="23"/>
  <c r="AI84" i="23"/>
  <c r="AI86" i="23"/>
  <c r="AN96" i="23"/>
  <c r="AH84" i="23"/>
  <c r="AH86" i="23"/>
  <c r="AM96" i="23"/>
  <c r="AG84" i="23"/>
  <c r="AG86" i="23"/>
  <c r="AL96" i="23"/>
  <c r="AF84" i="23"/>
  <c r="AF86" i="23"/>
  <c r="AE84" i="23"/>
  <c r="AE86" i="23"/>
  <c r="AJ96" i="23"/>
  <c r="AD84" i="23"/>
  <c r="AD86" i="23"/>
  <c r="AC84" i="23"/>
  <c r="AC86" i="23"/>
  <c r="AB84" i="23"/>
  <c r="AB86" i="23"/>
  <c r="AA84" i="23"/>
  <c r="AA86" i="23"/>
  <c r="AF96" i="23"/>
  <c r="Z84" i="23"/>
  <c r="Z86" i="23"/>
  <c r="AE96" i="23"/>
  <c r="Y84" i="23"/>
  <c r="Y86" i="23"/>
  <c r="AD96" i="23"/>
  <c r="AM42" i="23"/>
  <c r="AM43" i="23"/>
  <c r="AM44" i="23"/>
  <c r="AM45" i="23"/>
  <c r="AM46" i="23"/>
  <c r="AM47" i="23"/>
  <c r="AM48" i="23"/>
  <c r="AM49" i="23"/>
  <c r="AM50" i="23"/>
  <c r="AM51" i="23"/>
  <c r="AM52" i="23"/>
  <c r="AM53" i="23"/>
  <c r="AM54" i="23"/>
  <c r="AM55" i="23"/>
  <c r="AM56" i="23"/>
  <c r="AM57" i="23"/>
  <c r="AM58" i="23"/>
  <c r="AM59" i="23"/>
  <c r="AM60" i="23"/>
  <c r="AM61" i="23"/>
  <c r="AM62" i="23"/>
  <c r="AM63" i="23"/>
  <c r="AM64" i="23"/>
  <c r="AM65" i="23"/>
  <c r="AM66" i="23"/>
  <c r="AM67" i="23"/>
  <c r="AM68" i="23"/>
  <c r="AM69" i="23"/>
  <c r="AM70" i="23"/>
  <c r="AM71" i="23"/>
  <c r="AM72" i="23"/>
  <c r="AM73" i="23"/>
  <c r="AM74" i="23"/>
  <c r="AM75" i="23"/>
  <c r="AM76" i="23"/>
  <c r="AM77" i="23"/>
  <c r="AM78" i="23"/>
  <c r="AM79" i="23"/>
  <c r="AM80" i="23"/>
  <c r="AM81" i="23"/>
  <c r="AM82" i="23"/>
  <c r="AM85" i="23"/>
  <c r="AL42" i="23"/>
  <c r="AL43" i="23"/>
  <c r="AL44" i="23"/>
  <c r="AL45" i="23"/>
  <c r="AL46" i="23"/>
  <c r="AL47" i="23"/>
  <c r="AL48" i="23"/>
  <c r="AL49" i="23"/>
  <c r="AL50" i="23"/>
  <c r="AL51" i="23"/>
  <c r="AL52" i="23"/>
  <c r="AL53" i="23"/>
  <c r="AL54" i="23"/>
  <c r="AL55" i="23"/>
  <c r="AL56" i="23"/>
  <c r="AL57" i="23"/>
  <c r="AL58" i="23"/>
  <c r="AL59" i="23"/>
  <c r="AL60" i="23"/>
  <c r="AL61" i="23"/>
  <c r="AL62" i="23"/>
  <c r="AL63" i="23"/>
  <c r="AL64" i="23"/>
  <c r="AL65" i="23"/>
  <c r="AL66" i="23"/>
  <c r="AL67" i="23"/>
  <c r="AL68" i="23"/>
  <c r="AL69" i="23"/>
  <c r="AL70" i="23"/>
  <c r="AL71" i="23"/>
  <c r="AL72" i="23"/>
  <c r="AL73" i="23"/>
  <c r="AL74" i="23"/>
  <c r="AL75" i="23"/>
  <c r="AL76" i="23"/>
  <c r="AL77" i="23"/>
  <c r="AL78" i="23"/>
  <c r="AL79" i="23"/>
  <c r="AL80" i="23"/>
  <c r="AL81" i="23"/>
  <c r="AL82" i="23"/>
  <c r="AL85" i="23"/>
  <c r="AK42" i="23"/>
  <c r="AK43" i="23"/>
  <c r="AK44" i="23"/>
  <c r="AK45" i="23"/>
  <c r="AK46" i="23"/>
  <c r="AK47" i="23"/>
  <c r="AK48" i="23"/>
  <c r="AK49" i="23"/>
  <c r="AK50" i="23"/>
  <c r="AK51" i="23"/>
  <c r="AK52" i="23"/>
  <c r="AK53" i="23"/>
  <c r="AK54" i="23"/>
  <c r="AK55" i="23"/>
  <c r="AK56" i="23"/>
  <c r="AK57" i="23"/>
  <c r="AK58" i="23"/>
  <c r="AK59" i="23"/>
  <c r="AK60" i="23"/>
  <c r="AK61" i="23"/>
  <c r="AK62" i="23"/>
  <c r="AK63" i="23"/>
  <c r="AK64" i="23"/>
  <c r="AK65" i="23"/>
  <c r="AK66" i="23"/>
  <c r="AK67" i="23"/>
  <c r="AK68" i="23"/>
  <c r="AK69" i="23"/>
  <c r="AK70" i="23"/>
  <c r="AK71" i="23"/>
  <c r="AK72" i="23"/>
  <c r="AK73" i="23"/>
  <c r="AK74" i="23"/>
  <c r="AK75" i="23"/>
  <c r="AK76" i="23"/>
  <c r="AK77" i="23"/>
  <c r="AK78" i="23"/>
  <c r="AK79" i="23"/>
  <c r="AK80" i="23"/>
  <c r="AK81" i="23"/>
  <c r="AK82" i="23"/>
  <c r="AK85" i="23"/>
  <c r="AJ42" i="23"/>
  <c r="AJ43" i="23"/>
  <c r="AJ44" i="23"/>
  <c r="AJ45" i="23"/>
  <c r="AJ46" i="23"/>
  <c r="AJ47" i="23"/>
  <c r="AJ48" i="23"/>
  <c r="AJ49" i="23"/>
  <c r="AJ50" i="23"/>
  <c r="AJ51" i="23"/>
  <c r="AJ52" i="23"/>
  <c r="AJ53" i="23"/>
  <c r="AJ54" i="23"/>
  <c r="AJ55" i="23"/>
  <c r="AJ56" i="23"/>
  <c r="AJ57" i="23"/>
  <c r="AJ58" i="23"/>
  <c r="AJ59" i="23"/>
  <c r="AJ60" i="23"/>
  <c r="AJ61" i="23"/>
  <c r="AJ62" i="23"/>
  <c r="AJ63" i="23"/>
  <c r="AJ64" i="23"/>
  <c r="AJ65" i="23"/>
  <c r="AJ66" i="23"/>
  <c r="AJ67" i="23"/>
  <c r="AJ68" i="23"/>
  <c r="AJ69" i="23"/>
  <c r="AJ70" i="23"/>
  <c r="AJ71" i="23"/>
  <c r="AJ72" i="23"/>
  <c r="AJ73" i="23"/>
  <c r="AJ74" i="23"/>
  <c r="AJ75" i="23"/>
  <c r="AJ76" i="23"/>
  <c r="AJ77" i="23"/>
  <c r="AJ78" i="23"/>
  <c r="AJ79" i="23"/>
  <c r="AJ80" i="23"/>
  <c r="AJ81" i="23"/>
  <c r="AJ82" i="23"/>
  <c r="AJ85" i="23"/>
  <c r="AI42" i="23"/>
  <c r="AI43" i="23"/>
  <c r="AI44" i="23"/>
  <c r="AI45" i="23"/>
  <c r="AI46" i="23"/>
  <c r="AI47" i="23"/>
  <c r="AI48" i="23"/>
  <c r="AI49" i="23"/>
  <c r="AI50" i="23"/>
  <c r="AI51" i="23"/>
  <c r="AI52" i="23"/>
  <c r="AI53" i="23"/>
  <c r="AI54" i="23"/>
  <c r="AI55" i="23"/>
  <c r="AI56" i="23"/>
  <c r="AI57" i="23"/>
  <c r="AI58" i="23"/>
  <c r="AI59" i="23"/>
  <c r="AI60" i="23"/>
  <c r="AI61" i="23"/>
  <c r="AI62" i="23"/>
  <c r="AI63" i="23"/>
  <c r="AI64" i="23"/>
  <c r="AI65" i="23"/>
  <c r="AI66" i="23"/>
  <c r="AI67" i="23"/>
  <c r="AI68" i="23"/>
  <c r="AI69" i="23"/>
  <c r="AI70" i="23"/>
  <c r="AI71" i="23"/>
  <c r="AI72" i="23"/>
  <c r="AI73" i="23"/>
  <c r="AI74" i="23"/>
  <c r="AI75" i="23"/>
  <c r="AI76" i="23"/>
  <c r="AI77" i="23"/>
  <c r="AI78" i="23"/>
  <c r="AI79" i="23"/>
  <c r="AI80" i="23"/>
  <c r="AI81" i="23"/>
  <c r="AI82" i="23"/>
  <c r="AI85" i="23"/>
  <c r="AH42" i="23"/>
  <c r="AH43" i="23"/>
  <c r="AH44" i="23"/>
  <c r="AH45" i="23"/>
  <c r="AH46" i="23"/>
  <c r="AH47" i="23"/>
  <c r="AH48" i="23"/>
  <c r="AH49" i="23"/>
  <c r="AH50" i="23"/>
  <c r="AH51" i="23"/>
  <c r="AH52" i="23"/>
  <c r="AH53" i="23"/>
  <c r="AH54" i="23"/>
  <c r="AH55" i="23"/>
  <c r="AH56" i="23"/>
  <c r="AH57" i="23"/>
  <c r="AH58" i="23"/>
  <c r="AH59" i="23"/>
  <c r="AH60" i="23"/>
  <c r="AH61" i="23"/>
  <c r="AH62" i="23"/>
  <c r="AH63" i="23"/>
  <c r="AH64" i="23"/>
  <c r="AH65" i="23"/>
  <c r="AH66" i="23"/>
  <c r="AH67" i="23"/>
  <c r="AH68" i="23"/>
  <c r="AH69" i="23"/>
  <c r="AH70" i="23"/>
  <c r="AH71" i="23"/>
  <c r="AH72" i="23"/>
  <c r="AH73" i="23"/>
  <c r="AH74" i="23"/>
  <c r="AH75" i="23"/>
  <c r="AH76" i="23"/>
  <c r="AH77" i="23"/>
  <c r="AH78" i="23"/>
  <c r="AH79" i="23"/>
  <c r="AH80" i="23"/>
  <c r="AH81" i="23"/>
  <c r="AH82" i="23"/>
  <c r="AH85" i="23"/>
  <c r="AG42" i="23"/>
  <c r="AG43" i="23"/>
  <c r="AG44" i="23"/>
  <c r="AG45" i="23"/>
  <c r="AG46" i="23"/>
  <c r="AG47" i="23"/>
  <c r="AG48" i="23"/>
  <c r="AG49" i="23"/>
  <c r="AG50" i="23"/>
  <c r="AG51" i="23"/>
  <c r="AG52" i="23"/>
  <c r="AG53" i="23"/>
  <c r="AG54" i="23"/>
  <c r="AG55" i="23"/>
  <c r="AG56" i="23"/>
  <c r="AG57" i="23"/>
  <c r="AG58" i="23"/>
  <c r="AG59" i="23"/>
  <c r="AG60" i="23"/>
  <c r="AG61" i="23"/>
  <c r="AG62" i="23"/>
  <c r="AG63" i="23"/>
  <c r="AG64" i="23"/>
  <c r="AG65" i="23"/>
  <c r="AG66" i="23"/>
  <c r="AG67" i="23"/>
  <c r="AG68" i="23"/>
  <c r="AG69" i="23"/>
  <c r="AG70" i="23"/>
  <c r="AG71" i="23"/>
  <c r="AG72" i="23"/>
  <c r="AG73" i="23"/>
  <c r="AG74" i="23"/>
  <c r="AG75" i="23"/>
  <c r="AG76" i="23"/>
  <c r="AG77" i="23"/>
  <c r="AG78" i="23"/>
  <c r="AG79" i="23"/>
  <c r="AG80" i="23"/>
  <c r="AG81" i="23"/>
  <c r="AG82" i="23"/>
  <c r="AG85" i="23"/>
  <c r="AF42" i="23"/>
  <c r="AF43" i="23"/>
  <c r="AF44" i="23"/>
  <c r="AF45" i="23"/>
  <c r="AF46" i="23"/>
  <c r="AF47" i="23"/>
  <c r="AF48" i="23"/>
  <c r="AF49" i="23"/>
  <c r="AF50" i="23"/>
  <c r="AF51" i="23"/>
  <c r="AF52" i="23"/>
  <c r="AF53" i="23"/>
  <c r="AF54" i="23"/>
  <c r="AF55" i="23"/>
  <c r="AF56" i="23"/>
  <c r="AF57" i="23"/>
  <c r="AF58" i="23"/>
  <c r="AF59" i="23"/>
  <c r="AF60" i="23"/>
  <c r="AF61" i="23"/>
  <c r="AF62" i="23"/>
  <c r="AF63" i="23"/>
  <c r="AF64" i="23"/>
  <c r="AF65" i="23"/>
  <c r="AF66" i="23"/>
  <c r="AF67" i="23"/>
  <c r="AF68" i="23"/>
  <c r="AF69" i="23"/>
  <c r="AF70" i="23"/>
  <c r="AF71" i="23"/>
  <c r="AF72" i="23"/>
  <c r="AF73" i="23"/>
  <c r="AF74" i="23"/>
  <c r="AF75" i="23"/>
  <c r="AF76" i="23"/>
  <c r="AF77" i="23"/>
  <c r="AF78" i="23"/>
  <c r="AF79" i="23"/>
  <c r="AF80" i="23"/>
  <c r="AF81" i="23"/>
  <c r="AF82" i="23"/>
  <c r="AF85" i="23"/>
  <c r="AE42" i="23"/>
  <c r="AE43" i="23"/>
  <c r="AE44" i="23"/>
  <c r="AE45" i="23"/>
  <c r="AE46" i="23"/>
  <c r="AE47" i="23"/>
  <c r="AE48" i="23"/>
  <c r="AE49" i="23"/>
  <c r="AE50" i="23"/>
  <c r="AE51" i="23"/>
  <c r="AE52" i="23"/>
  <c r="AE53" i="23"/>
  <c r="AE54" i="23"/>
  <c r="AE55" i="23"/>
  <c r="AE56" i="23"/>
  <c r="AE57" i="23"/>
  <c r="AE58" i="23"/>
  <c r="AE59" i="23"/>
  <c r="AE60" i="23"/>
  <c r="AE61" i="23"/>
  <c r="AE62" i="23"/>
  <c r="AE63" i="23"/>
  <c r="AE64" i="23"/>
  <c r="AE65" i="23"/>
  <c r="AE66" i="23"/>
  <c r="AE67" i="23"/>
  <c r="AE68" i="23"/>
  <c r="AE69" i="23"/>
  <c r="AE70" i="23"/>
  <c r="AE71" i="23"/>
  <c r="AE72" i="23"/>
  <c r="AE73" i="23"/>
  <c r="AE74" i="23"/>
  <c r="AE75" i="23"/>
  <c r="AE76" i="23"/>
  <c r="AE77" i="23"/>
  <c r="AE78" i="23"/>
  <c r="AE79" i="23"/>
  <c r="AE80" i="23"/>
  <c r="AE81" i="23"/>
  <c r="AE82" i="23"/>
  <c r="AE85" i="23"/>
  <c r="AD42" i="23"/>
  <c r="AD43" i="23"/>
  <c r="AD44" i="23"/>
  <c r="AD45" i="23"/>
  <c r="AD46" i="23"/>
  <c r="AD47" i="23"/>
  <c r="AD48" i="23"/>
  <c r="AD49" i="23"/>
  <c r="AD50" i="23"/>
  <c r="AD51" i="23"/>
  <c r="AD52" i="23"/>
  <c r="AD53" i="23"/>
  <c r="AD54" i="23"/>
  <c r="AD55" i="23"/>
  <c r="AD56" i="23"/>
  <c r="AD57" i="23"/>
  <c r="AD58" i="23"/>
  <c r="AD59" i="23"/>
  <c r="AD60" i="23"/>
  <c r="AD61" i="23"/>
  <c r="AD62" i="23"/>
  <c r="AD63" i="23"/>
  <c r="AD64" i="23"/>
  <c r="AD65" i="23"/>
  <c r="AD66" i="23"/>
  <c r="AD67" i="23"/>
  <c r="AD68" i="23"/>
  <c r="AD69" i="23"/>
  <c r="AD70" i="23"/>
  <c r="AD71" i="23"/>
  <c r="AD72" i="23"/>
  <c r="AD73" i="23"/>
  <c r="AD74" i="23"/>
  <c r="AD75" i="23"/>
  <c r="AD76" i="23"/>
  <c r="AD77" i="23"/>
  <c r="AD78" i="23"/>
  <c r="AD79" i="23"/>
  <c r="AD80" i="23"/>
  <c r="AD81" i="23"/>
  <c r="AD82" i="23"/>
  <c r="AD85" i="23"/>
  <c r="AC42" i="23"/>
  <c r="AC43" i="23"/>
  <c r="AC44" i="23"/>
  <c r="AC45" i="23"/>
  <c r="AC46" i="23"/>
  <c r="AC47" i="23"/>
  <c r="AC48" i="23"/>
  <c r="AC49" i="23"/>
  <c r="AC50" i="23"/>
  <c r="AC51" i="23"/>
  <c r="AC52" i="23"/>
  <c r="AC53" i="23"/>
  <c r="AC54" i="23"/>
  <c r="AC55" i="23"/>
  <c r="AC56" i="23"/>
  <c r="AC57" i="23"/>
  <c r="AC58" i="23"/>
  <c r="AC59" i="23"/>
  <c r="AC60" i="23"/>
  <c r="AC61" i="23"/>
  <c r="AC62" i="23"/>
  <c r="AC63" i="23"/>
  <c r="AC64" i="23"/>
  <c r="AC65" i="23"/>
  <c r="AC66" i="23"/>
  <c r="AC67" i="23"/>
  <c r="AC68" i="23"/>
  <c r="AC69" i="23"/>
  <c r="AC70" i="23"/>
  <c r="AC71" i="23"/>
  <c r="AC72" i="23"/>
  <c r="AC73" i="23"/>
  <c r="AC74" i="23"/>
  <c r="AC75" i="23"/>
  <c r="AC76" i="23"/>
  <c r="AC77" i="23"/>
  <c r="AC78" i="23"/>
  <c r="AC79" i="23"/>
  <c r="AC80" i="23"/>
  <c r="AC81" i="23"/>
  <c r="AC82" i="23"/>
  <c r="AC85" i="23"/>
  <c r="AB42" i="23"/>
  <c r="AB43" i="23"/>
  <c r="AB44" i="23"/>
  <c r="AB45" i="23"/>
  <c r="AB46" i="23"/>
  <c r="AB47" i="23"/>
  <c r="AB48" i="23"/>
  <c r="AB49" i="23"/>
  <c r="AB50" i="23"/>
  <c r="AB51" i="23"/>
  <c r="AB52" i="23"/>
  <c r="AB53" i="23"/>
  <c r="AB54" i="23"/>
  <c r="AB55" i="23"/>
  <c r="AB56" i="23"/>
  <c r="AB57" i="23"/>
  <c r="AB58" i="23"/>
  <c r="AB59" i="23"/>
  <c r="AB60" i="23"/>
  <c r="AB61" i="23"/>
  <c r="AB62" i="23"/>
  <c r="AB63" i="23"/>
  <c r="AB64" i="23"/>
  <c r="AB65" i="23"/>
  <c r="AB66" i="23"/>
  <c r="AB67" i="23"/>
  <c r="AB68" i="23"/>
  <c r="AB69" i="23"/>
  <c r="AB70" i="23"/>
  <c r="AB71" i="23"/>
  <c r="AB72" i="23"/>
  <c r="AB73" i="23"/>
  <c r="AB74" i="23"/>
  <c r="AB75" i="23"/>
  <c r="AB76" i="23"/>
  <c r="AB77" i="23"/>
  <c r="AB78" i="23"/>
  <c r="AB79" i="23"/>
  <c r="AB80" i="23"/>
  <c r="AB81" i="23"/>
  <c r="AB82" i="23"/>
  <c r="AB85" i="23"/>
  <c r="AA42" i="23"/>
  <c r="AA43" i="23"/>
  <c r="AA44" i="23"/>
  <c r="AA45" i="23"/>
  <c r="AA46" i="23"/>
  <c r="AA47" i="23"/>
  <c r="AA48" i="23"/>
  <c r="AA49" i="23"/>
  <c r="AA50" i="23"/>
  <c r="AA51" i="23"/>
  <c r="AA52" i="23"/>
  <c r="AA53" i="23"/>
  <c r="AA54" i="23"/>
  <c r="AA55" i="23"/>
  <c r="AA56" i="23"/>
  <c r="AA57" i="23"/>
  <c r="AA58" i="23"/>
  <c r="AA59" i="23"/>
  <c r="AA60" i="23"/>
  <c r="AA61" i="23"/>
  <c r="AA62" i="23"/>
  <c r="AA63" i="23"/>
  <c r="AA64" i="23"/>
  <c r="AA65" i="23"/>
  <c r="AA66" i="23"/>
  <c r="AA67" i="23"/>
  <c r="AA68" i="23"/>
  <c r="AA69" i="23"/>
  <c r="AA70" i="23"/>
  <c r="AA71" i="23"/>
  <c r="AA72" i="23"/>
  <c r="AA73" i="23"/>
  <c r="AA74" i="23"/>
  <c r="AA75" i="23"/>
  <c r="AA76" i="23"/>
  <c r="AA77" i="23"/>
  <c r="AA78" i="23"/>
  <c r="AA79" i="23"/>
  <c r="AA80" i="23"/>
  <c r="AA81" i="23"/>
  <c r="AA82" i="23"/>
  <c r="AA85" i="23"/>
  <c r="Z42" i="23"/>
  <c r="Z43" i="23"/>
  <c r="Z44" i="23"/>
  <c r="Z45" i="23"/>
  <c r="Z46" i="23"/>
  <c r="Z47" i="23"/>
  <c r="Z48" i="23"/>
  <c r="Z49" i="23"/>
  <c r="Z50" i="23"/>
  <c r="Z51" i="23"/>
  <c r="Z52" i="23"/>
  <c r="Z53" i="23"/>
  <c r="Z54" i="23"/>
  <c r="Z55" i="23"/>
  <c r="Z56" i="23"/>
  <c r="Z57" i="23"/>
  <c r="Z58" i="23"/>
  <c r="Z59" i="23"/>
  <c r="Z60" i="23"/>
  <c r="Z61" i="23"/>
  <c r="Z62" i="23"/>
  <c r="Z63" i="23"/>
  <c r="Z64" i="23"/>
  <c r="Z65" i="23"/>
  <c r="Z66" i="23"/>
  <c r="Z67" i="23"/>
  <c r="Z68" i="23"/>
  <c r="Z69" i="23"/>
  <c r="Z70" i="23"/>
  <c r="Z71" i="23"/>
  <c r="Z72" i="23"/>
  <c r="Z73" i="23"/>
  <c r="Z74" i="23"/>
  <c r="Z75" i="23"/>
  <c r="Z76" i="23"/>
  <c r="Z77" i="23"/>
  <c r="Z78" i="23"/>
  <c r="Z79" i="23"/>
  <c r="Z80" i="23"/>
  <c r="Z81" i="23"/>
  <c r="Z82" i="23"/>
  <c r="Z85" i="23"/>
  <c r="Y42" i="23"/>
  <c r="Y43" i="23"/>
  <c r="Y44" i="23"/>
  <c r="Y45" i="23"/>
  <c r="Y46" i="23"/>
  <c r="Y47" i="23"/>
  <c r="Y48" i="23"/>
  <c r="Y49" i="23"/>
  <c r="Y50" i="23"/>
  <c r="Y51" i="23"/>
  <c r="Y52" i="23"/>
  <c r="Y53" i="23"/>
  <c r="Y54" i="23"/>
  <c r="Y55" i="23"/>
  <c r="Y56" i="23"/>
  <c r="Y57" i="23"/>
  <c r="Y58" i="23"/>
  <c r="Y59" i="23"/>
  <c r="Y60" i="23"/>
  <c r="Y61" i="23"/>
  <c r="Y62" i="23"/>
  <c r="Y63" i="23"/>
  <c r="Y64" i="23"/>
  <c r="Y65" i="23"/>
  <c r="Y66" i="23"/>
  <c r="Y67" i="23"/>
  <c r="Y68" i="23"/>
  <c r="Y69" i="23"/>
  <c r="Y70" i="23"/>
  <c r="Y71" i="23"/>
  <c r="Y72" i="23"/>
  <c r="Y73" i="23"/>
  <c r="Y74" i="23"/>
  <c r="Y75" i="23"/>
  <c r="Y76" i="23"/>
  <c r="Y77" i="23"/>
  <c r="Y78" i="23"/>
  <c r="Y79" i="23"/>
  <c r="Y80" i="23"/>
  <c r="Y81" i="23"/>
  <c r="Y82" i="23"/>
  <c r="Y85" i="23"/>
  <c r="AR94" i="23"/>
  <c r="AQ94" i="23"/>
  <c r="AP94" i="23"/>
  <c r="AO94" i="23"/>
  <c r="AN94" i="23"/>
  <c r="AM94" i="23"/>
  <c r="AL94" i="23"/>
  <c r="AK94" i="23"/>
  <c r="AJ94" i="23"/>
  <c r="AI94" i="23"/>
  <c r="AH94" i="23"/>
  <c r="AG94" i="23"/>
  <c r="AF94" i="23"/>
  <c r="AE94" i="23"/>
  <c r="AD94" i="23"/>
  <c r="AR92" i="23"/>
  <c r="AN92" i="23"/>
  <c r="AM92" i="23"/>
  <c r="AL92" i="23"/>
  <c r="AJ92" i="23"/>
  <c r="AF92" i="23"/>
  <c r="AE92" i="23"/>
  <c r="AD92" i="23"/>
  <c r="AR90" i="23"/>
  <c r="AQ90" i="23"/>
  <c r="AP90" i="23"/>
  <c r="AO90" i="23"/>
  <c r="AN90" i="23"/>
  <c r="AM90" i="23"/>
  <c r="AL90" i="23"/>
  <c r="AK90" i="23"/>
  <c r="AJ90" i="23"/>
  <c r="AI90" i="23"/>
  <c r="AH90" i="23"/>
  <c r="AG90" i="23"/>
  <c r="AF90" i="23"/>
  <c r="AE90" i="23"/>
  <c r="AD90" i="23"/>
  <c r="AR84" i="23"/>
  <c r="AR86" i="23"/>
  <c r="AQ84" i="23"/>
  <c r="AQ86" i="23"/>
  <c r="AP84" i="23"/>
  <c r="AP86" i="23"/>
  <c r="AO84" i="23"/>
  <c r="AO86" i="23"/>
  <c r="AN84" i="23"/>
  <c r="AN86" i="23"/>
  <c r="AR42" i="23"/>
  <c r="AR43" i="23"/>
  <c r="AR44" i="23"/>
  <c r="AR45" i="23"/>
  <c r="AR46" i="23"/>
  <c r="AR47" i="23"/>
  <c r="AR48" i="23"/>
  <c r="AR49" i="23"/>
  <c r="AR50" i="23"/>
  <c r="AR51" i="23"/>
  <c r="AR52" i="23"/>
  <c r="AR53" i="23"/>
  <c r="AR54" i="23"/>
  <c r="AR55" i="23"/>
  <c r="AR56" i="23"/>
  <c r="AR57" i="23"/>
  <c r="AR58" i="23"/>
  <c r="AR59" i="23"/>
  <c r="AR60" i="23"/>
  <c r="AR61" i="23"/>
  <c r="AR62" i="23"/>
  <c r="AR63" i="23"/>
  <c r="AR64" i="23"/>
  <c r="AR65" i="23"/>
  <c r="AR66" i="23"/>
  <c r="AR67" i="23"/>
  <c r="AR68" i="23"/>
  <c r="AR69" i="23"/>
  <c r="AR70" i="23"/>
  <c r="AR71" i="23"/>
  <c r="AR72" i="23"/>
  <c r="AR73" i="23"/>
  <c r="AR74" i="23"/>
  <c r="AR75" i="23"/>
  <c r="AR76" i="23"/>
  <c r="AR77" i="23"/>
  <c r="AR78" i="23"/>
  <c r="AR79" i="23"/>
  <c r="AR80" i="23"/>
  <c r="AR81" i="23"/>
  <c r="AR82" i="23"/>
  <c r="AR85" i="23"/>
  <c r="AQ42" i="23"/>
  <c r="AQ43" i="23"/>
  <c r="AQ44" i="23"/>
  <c r="AQ45" i="23"/>
  <c r="AQ46" i="23"/>
  <c r="AQ47" i="23"/>
  <c r="AQ48" i="23"/>
  <c r="AQ49" i="23"/>
  <c r="AQ50" i="23"/>
  <c r="AQ51" i="23"/>
  <c r="AQ52" i="23"/>
  <c r="AQ53" i="23"/>
  <c r="AQ54" i="23"/>
  <c r="AQ55" i="23"/>
  <c r="AQ56" i="23"/>
  <c r="AQ57" i="23"/>
  <c r="AQ58" i="23"/>
  <c r="AQ59" i="23"/>
  <c r="AQ60" i="23"/>
  <c r="AQ61" i="23"/>
  <c r="AQ62" i="23"/>
  <c r="AQ63" i="23"/>
  <c r="AQ64" i="23"/>
  <c r="AQ65" i="23"/>
  <c r="AQ66" i="23"/>
  <c r="AQ67" i="23"/>
  <c r="AQ68" i="23"/>
  <c r="AQ69" i="23"/>
  <c r="AQ70" i="23"/>
  <c r="AQ71" i="23"/>
  <c r="AQ72" i="23"/>
  <c r="AQ73" i="23"/>
  <c r="AQ74" i="23"/>
  <c r="AQ75" i="23"/>
  <c r="AQ76" i="23"/>
  <c r="AQ77" i="23"/>
  <c r="AQ78" i="23"/>
  <c r="AQ79" i="23"/>
  <c r="AQ80" i="23"/>
  <c r="AQ81" i="23"/>
  <c r="AQ82" i="23"/>
  <c r="AQ85" i="23"/>
  <c r="AP42" i="23"/>
  <c r="AP43" i="23"/>
  <c r="AP44" i="23"/>
  <c r="AP45" i="23"/>
  <c r="AP46" i="23"/>
  <c r="AP47" i="23"/>
  <c r="AP48" i="23"/>
  <c r="AP49" i="23"/>
  <c r="AP50" i="23"/>
  <c r="AP51" i="23"/>
  <c r="AP52" i="23"/>
  <c r="AP53" i="23"/>
  <c r="AP54" i="23"/>
  <c r="AP55" i="23"/>
  <c r="AP56" i="23"/>
  <c r="AP57" i="23"/>
  <c r="AP58" i="23"/>
  <c r="AP59" i="23"/>
  <c r="AP60" i="23"/>
  <c r="AP61" i="23"/>
  <c r="AP62" i="23"/>
  <c r="AP63" i="23"/>
  <c r="AP64" i="23"/>
  <c r="AP65" i="23"/>
  <c r="AP66" i="23"/>
  <c r="AP67" i="23"/>
  <c r="AP68" i="23"/>
  <c r="AP69" i="23"/>
  <c r="AP70" i="23"/>
  <c r="AP71" i="23"/>
  <c r="AP72" i="23"/>
  <c r="AP73" i="23"/>
  <c r="AP74" i="23"/>
  <c r="AP75" i="23"/>
  <c r="AP76" i="23"/>
  <c r="AP77" i="23"/>
  <c r="AP78" i="23"/>
  <c r="AP79" i="23"/>
  <c r="AP80" i="23"/>
  <c r="AP81" i="23"/>
  <c r="AP82" i="23"/>
  <c r="AP85" i="23"/>
  <c r="AO42" i="23"/>
  <c r="AO43" i="23"/>
  <c r="AO44" i="23"/>
  <c r="AO45" i="23"/>
  <c r="AO46" i="23"/>
  <c r="AO47" i="23"/>
  <c r="AO48" i="23"/>
  <c r="AO49" i="23"/>
  <c r="AO50" i="23"/>
  <c r="AO51" i="23"/>
  <c r="AO52" i="23"/>
  <c r="AO53" i="23"/>
  <c r="AO54" i="23"/>
  <c r="AO55" i="23"/>
  <c r="AO56" i="23"/>
  <c r="AO57" i="23"/>
  <c r="AO58" i="23"/>
  <c r="AO59" i="23"/>
  <c r="AO60" i="23"/>
  <c r="AO61" i="23"/>
  <c r="AO62" i="23"/>
  <c r="AO63" i="23"/>
  <c r="AO64" i="23"/>
  <c r="AO65" i="23"/>
  <c r="AO66" i="23"/>
  <c r="AO67" i="23"/>
  <c r="AO68" i="23"/>
  <c r="AO69" i="23"/>
  <c r="AO70" i="23"/>
  <c r="AO71" i="23"/>
  <c r="AO72" i="23"/>
  <c r="AO73" i="23"/>
  <c r="AO74" i="23"/>
  <c r="AO75" i="23"/>
  <c r="AO76" i="23"/>
  <c r="AO77" i="23"/>
  <c r="AO78" i="23"/>
  <c r="AO79" i="23"/>
  <c r="AO80" i="23"/>
  <c r="AO81" i="23"/>
  <c r="AO82" i="23"/>
  <c r="AO85" i="23"/>
  <c r="AN42" i="23"/>
  <c r="AN43" i="23"/>
  <c r="AN44" i="23"/>
  <c r="AN45" i="23"/>
  <c r="AN46" i="23"/>
  <c r="AN47" i="23"/>
  <c r="AN48" i="23"/>
  <c r="AN49" i="23"/>
  <c r="AN50" i="23"/>
  <c r="AN51" i="23"/>
  <c r="AN52" i="23"/>
  <c r="AN53" i="23"/>
  <c r="AN54" i="23"/>
  <c r="AN55" i="23"/>
  <c r="AN56" i="23"/>
  <c r="AN57" i="23"/>
  <c r="AN58" i="23"/>
  <c r="AN59" i="23"/>
  <c r="AN60" i="23"/>
  <c r="AN61" i="23"/>
  <c r="AN62" i="23"/>
  <c r="AN63" i="23"/>
  <c r="AN64" i="23"/>
  <c r="AN65" i="23"/>
  <c r="AN66" i="23"/>
  <c r="AN67" i="23"/>
  <c r="AN68" i="23"/>
  <c r="AN69" i="23"/>
  <c r="AN70" i="23"/>
  <c r="AN71" i="23"/>
  <c r="AN72" i="23"/>
  <c r="AN73" i="23"/>
  <c r="AN74" i="23"/>
  <c r="AN75" i="23"/>
  <c r="AN76" i="23"/>
  <c r="AN77" i="23"/>
  <c r="AN78" i="23"/>
  <c r="AN79" i="23"/>
  <c r="AN80" i="23"/>
  <c r="AN81" i="23"/>
  <c r="AN82" i="23"/>
  <c r="AN85" i="23"/>
  <c r="B40" i="23"/>
  <c r="A37" i="23"/>
  <c r="Y34" i="23"/>
  <c r="Z34" i="23"/>
  <c r="AA34" i="23"/>
  <c r="AB34" i="23"/>
  <c r="AC34" i="23"/>
  <c r="AD34" i="23"/>
  <c r="AE34" i="23"/>
  <c r="AF34" i="23"/>
  <c r="AG34" i="23"/>
  <c r="AH34" i="23"/>
  <c r="AI34" i="23"/>
  <c r="AJ34" i="23"/>
  <c r="AK34" i="23"/>
  <c r="AL34" i="23"/>
  <c r="AM34" i="23"/>
  <c r="AN34" i="23"/>
  <c r="AO34" i="23"/>
  <c r="AP34" i="23"/>
  <c r="AQ34" i="23"/>
  <c r="AR34" i="23"/>
  <c r="Y33" i="23"/>
  <c r="Z33" i="23"/>
  <c r="AA33" i="23"/>
  <c r="AB33" i="23"/>
  <c r="AC33" i="23"/>
  <c r="AD33" i="23"/>
  <c r="AE33" i="23"/>
  <c r="AF33" i="23"/>
  <c r="AG33" i="23"/>
  <c r="AH33" i="23"/>
  <c r="AI33" i="23"/>
  <c r="AJ33" i="23"/>
  <c r="AK33" i="23"/>
  <c r="AL33" i="23"/>
  <c r="AM33" i="23"/>
  <c r="AN33" i="23"/>
  <c r="AO33" i="23"/>
  <c r="AP33" i="23"/>
  <c r="AQ33" i="23"/>
  <c r="AR33" i="23"/>
  <c r="A27" i="23"/>
  <c r="AR24" i="23"/>
  <c r="AQ24" i="23"/>
  <c r="AP24" i="23"/>
  <c r="AO24" i="23"/>
  <c r="AN24" i="23"/>
  <c r="AM24" i="23"/>
  <c r="AL24" i="23"/>
  <c r="AK24" i="23"/>
  <c r="AJ24" i="23"/>
  <c r="AI24" i="23"/>
  <c r="AH24" i="23"/>
  <c r="AG24" i="23"/>
  <c r="AF24" i="23"/>
  <c r="AE24" i="23"/>
  <c r="AD24" i="23"/>
  <c r="AC24" i="23"/>
  <c r="AB24" i="23"/>
  <c r="AA24" i="23"/>
  <c r="Z24" i="23"/>
  <c r="Y24" i="23"/>
  <c r="AR23" i="23"/>
  <c r="AQ23" i="23"/>
  <c r="AP23" i="23"/>
  <c r="AO23" i="23"/>
  <c r="AN23" i="23"/>
  <c r="AM23" i="23"/>
  <c r="AL23" i="23"/>
  <c r="AK23" i="23"/>
  <c r="AJ23" i="23"/>
  <c r="AI23" i="23"/>
  <c r="AH23" i="23"/>
  <c r="AG23" i="23"/>
  <c r="AF23" i="23"/>
  <c r="AE23" i="23"/>
  <c r="AD23" i="23"/>
  <c r="AC23" i="23"/>
  <c r="AB23" i="23"/>
  <c r="AA23" i="23"/>
  <c r="Z23" i="23"/>
  <c r="Y23" i="23"/>
  <c r="B21" i="23"/>
  <c r="AR16" i="23"/>
  <c r="AQ16" i="23"/>
  <c r="AP16" i="23"/>
  <c r="AO16" i="23"/>
  <c r="AN16" i="23"/>
  <c r="AM16" i="23"/>
  <c r="AL16" i="23"/>
  <c r="AK16" i="23"/>
  <c r="AJ16" i="23"/>
  <c r="AI16" i="23"/>
  <c r="AH16" i="23"/>
  <c r="AG16" i="23"/>
  <c r="AF16" i="23"/>
  <c r="AE16" i="23"/>
  <c r="AD16" i="23"/>
  <c r="AC16" i="23"/>
  <c r="AB16" i="23"/>
  <c r="AA16" i="23"/>
  <c r="Z16" i="23"/>
  <c r="Y16" i="23"/>
  <c r="Y11" i="23"/>
  <c r="Z11" i="23"/>
  <c r="AA11" i="23"/>
  <c r="AB11" i="23"/>
  <c r="AC11" i="23"/>
  <c r="AD11" i="23"/>
  <c r="AE11" i="23"/>
  <c r="AF11" i="23"/>
  <c r="AG11" i="23"/>
  <c r="AH11" i="23"/>
  <c r="AI11" i="23"/>
  <c r="AJ11" i="23"/>
  <c r="AK11" i="23"/>
  <c r="AL11" i="23"/>
  <c r="AM11" i="23"/>
  <c r="AN11" i="23"/>
  <c r="AO11" i="23"/>
  <c r="AP11" i="23"/>
  <c r="AQ11" i="23"/>
  <c r="AR11" i="23"/>
  <c r="AR9" i="23"/>
  <c r="AQ9" i="23"/>
  <c r="AP9" i="23"/>
  <c r="AO9" i="23"/>
  <c r="AN9" i="23"/>
  <c r="AM9" i="23"/>
  <c r="AL9" i="23"/>
  <c r="AK9" i="23"/>
  <c r="AJ9" i="23"/>
  <c r="AI9" i="23"/>
  <c r="AH9" i="23"/>
  <c r="AG9" i="23"/>
  <c r="AF9" i="23"/>
  <c r="AE9" i="23"/>
  <c r="AD9" i="23"/>
  <c r="AC9" i="23"/>
  <c r="AB9" i="23"/>
  <c r="AA9" i="23"/>
  <c r="Z9" i="23"/>
  <c r="Y9" i="23"/>
  <c r="Y8" i="23"/>
  <c r="Z8" i="23"/>
  <c r="AA8" i="23"/>
  <c r="AB8" i="23"/>
  <c r="AC8" i="23"/>
  <c r="AD8" i="23"/>
  <c r="AE8" i="23"/>
  <c r="AF8" i="23"/>
  <c r="AG8" i="23"/>
  <c r="AH8" i="23"/>
  <c r="AI8" i="23"/>
  <c r="AJ8" i="23"/>
  <c r="AK8" i="23"/>
  <c r="AL8" i="23"/>
  <c r="AM8" i="23"/>
  <c r="AN8" i="23"/>
  <c r="AO8" i="23"/>
  <c r="AP8" i="23"/>
  <c r="AQ8" i="23"/>
  <c r="AR8" i="23"/>
  <c r="Y5" i="23"/>
  <c r="Z5" i="23"/>
  <c r="AA5" i="23"/>
  <c r="AB5" i="23"/>
  <c r="AC5" i="23"/>
  <c r="AD5" i="23"/>
  <c r="AE5" i="23"/>
  <c r="AF5" i="23"/>
  <c r="AG5" i="23"/>
  <c r="AH5" i="23"/>
  <c r="AI5" i="23"/>
  <c r="AJ5" i="23"/>
  <c r="AK5" i="23"/>
  <c r="AL5" i="23"/>
  <c r="AM5" i="23"/>
  <c r="AN5" i="23"/>
  <c r="AO5" i="23"/>
  <c r="AP5" i="23"/>
  <c r="AQ5" i="23"/>
  <c r="AR5" i="23"/>
  <c r="AR2" i="23"/>
  <c r="AQ2" i="23"/>
  <c r="AP2" i="23"/>
  <c r="AO2" i="23"/>
  <c r="AN2" i="23"/>
  <c r="AM2" i="23"/>
  <c r="AL2" i="23"/>
  <c r="AK2" i="23"/>
  <c r="AJ2" i="23"/>
  <c r="AI2" i="23"/>
  <c r="AH2" i="23"/>
  <c r="AG2" i="23"/>
  <c r="AF2" i="23"/>
  <c r="AE2" i="23"/>
  <c r="AD2" i="23"/>
  <c r="AC2" i="23"/>
  <c r="AB2" i="23"/>
  <c r="AA2" i="23"/>
  <c r="Z2" i="23"/>
  <c r="Y2" i="23"/>
  <c r="C224" i="24"/>
  <c r="C223" i="24"/>
  <c r="AS222" i="24"/>
  <c r="AR222" i="24"/>
  <c r="AQ222" i="24"/>
  <c r="AP222" i="24"/>
  <c r="AO222" i="24"/>
  <c r="AN222" i="24"/>
  <c r="AM222" i="24"/>
  <c r="AL222" i="24"/>
  <c r="AK222" i="24"/>
  <c r="AJ222" i="24"/>
  <c r="AI222" i="24"/>
  <c r="AH222" i="24"/>
  <c r="AG222" i="24"/>
  <c r="AF222" i="24"/>
  <c r="AE222" i="24"/>
  <c r="AD222" i="24"/>
  <c r="AC222" i="24"/>
  <c r="AB222" i="24"/>
  <c r="AA222" i="24"/>
  <c r="Z222" i="24"/>
  <c r="D222" i="24"/>
  <c r="B222" i="24"/>
  <c r="F219" i="24"/>
  <c r="B218" i="24"/>
  <c r="AR216" i="24"/>
  <c r="AQ216" i="24"/>
  <c r="AP216" i="24"/>
  <c r="AO216" i="24"/>
  <c r="AN216" i="24"/>
  <c r="AM216" i="24"/>
  <c r="AL216" i="24"/>
  <c r="AK216" i="24"/>
  <c r="AJ216" i="24"/>
  <c r="AI216" i="24"/>
  <c r="AH216" i="24"/>
  <c r="AG216" i="24"/>
  <c r="AF216" i="24"/>
  <c r="AE216" i="24"/>
  <c r="AD216" i="24"/>
  <c r="AC216" i="24"/>
  <c r="AB216" i="24"/>
  <c r="AA216" i="24"/>
  <c r="Z216" i="24"/>
  <c r="Y216" i="24"/>
  <c r="X216" i="24"/>
  <c r="W216" i="24"/>
  <c r="V216" i="24"/>
  <c r="U216" i="24"/>
  <c r="T216" i="24"/>
  <c r="S216" i="24"/>
  <c r="R216" i="24"/>
  <c r="Q216" i="24"/>
  <c r="P216" i="24"/>
  <c r="O216" i="24"/>
  <c r="N216" i="24"/>
  <c r="M216" i="24"/>
  <c r="L216" i="24"/>
  <c r="K216" i="24"/>
  <c r="J216" i="24"/>
  <c r="I216" i="24"/>
  <c r="H216" i="24"/>
  <c r="G216" i="24"/>
  <c r="F216" i="24"/>
  <c r="E216" i="24"/>
  <c r="D216" i="24"/>
  <c r="D215" i="24"/>
  <c r="E215" i="24"/>
  <c r="F215" i="24"/>
  <c r="G215" i="24"/>
  <c r="H215" i="24"/>
  <c r="I215" i="24"/>
  <c r="J215" i="24"/>
  <c r="K215" i="24"/>
  <c r="L215" i="24"/>
  <c r="M215" i="24"/>
  <c r="N215" i="24"/>
  <c r="O215" i="24"/>
  <c r="P215" i="24"/>
  <c r="Q215" i="24"/>
  <c r="R215" i="24"/>
  <c r="S215" i="24"/>
  <c r="T215" i="24"/>
  <c r="U215" i="24"/>
  <c r="V215" i="24"/>
  <c r="W215" i="24"/>
  <c r="X215" i="24"/>
  <c r="Y215" i="24"/>
  <c r="Z215" i="24"/>
  <c r="AA215" i="24"/>
  <c r="AB215" i="24"/>
  <c r="AC215" i="24"/>
  <c r="AD215" i="24"/>
  <c r="AE215" i="24"/>
  <c r="AF215" i="24"/>
  <c r="AG215" i="24"/>
  <c r="AH215" i="24"/>
  <c r="AI215" i="24"/>
  <c r="AJ215" i="24"/>
  <c r="AK215" i="24"/>
  <c r="AL215" i="24"/>
  <c r="AM215" i="24"/>
  <c r="AN215" i="24"/>
  <c r="AO215" i="24"/>
  <c r="AP215" i="24"/>
  <c r="AQ215" i="24"/>
  <c r="AR215" i="24"/>
  <c r="AR213" i="24"/>
  <c r="AQ213" i="24"/>
  <c r="AP213" i="24"/>
  <c r="AO213" i="24"/>
  <c r="AN213" i="24"/>
  <c r="AM213" i="24"/>
  <c r="AL213" i="24"/>
  <c r="AK213" i="24"/>
  <c r="AJ213" i="24"/>
  <c r="AI213" i="24"/>
  <c r="AH213" i="24"/>
  <c r="AG213" i="24"/>
  <c r="AF213" i="24"/>
  <c r="AE213" i="24"/>
  <c r="AD213" i="24"/>
  <c r="AC213" i="24"/>
  <c r="AB213" i="24"/>
  <c r="AA213" i="24"/>
  <c r="Z213" i="24"/>
  <c r="Y213" i="24"/>
  <c r="D213" i="24"/>
  <c r="D212" i="24"/>
  <c r="D211" i="24"/>
  <c r="AA210" i="24"/>
  <c r="AB210" i="24"/>
  <c r="AC210" i="24"/>
  <c r="AD210" i="24"/>
  <c r="AE210" i="24"/>
  <c r="AF210" i="24"/>
  <c r="AG210" i="24"/>
  <c r="AH210" i="24"/>
  <c r="AI210" i="24"/>
  <c r="AJ210" i="24"/>
  <c r="AK210" i="24"/>
  <c r="AL210" i="24"/>
  <c r="AM210" i="24"/>
  <c r="AN210" i="24"/>
  <c r="AO210" i="24"/>
  <c r="AP210" i="24"/>
  <c r="AQ210" i="24"/>
  <c r="AR210" i="24"/>
  <c r="B210" i="24"/>
  <c r="AA204" i="24"/>
  <c r="AB204" i="24"/>
  <c r="AC204" i="24"/>
  <c r="AD204" i="24"/>
  <c r="AE204" i="24"/>
  <c r="AF204" i="24"/>
  <c r="AG204" i="24"/>
  <c r="AH204" i="24"/>
  <c r="AI204" i="24"/>
  <c r="AJ204" i="24"/>
  <c r="AK204" i="24"/>
  <c r="AL204" i="24"/>
  <c r="AM204" i="24"/>
  <c r="AN204" i="24"/>
  <c r="AO204" i="24"/>
  <c r="AP204" i="24"/>
  <c r="AQ204" i="24"/>
  <c r="AR204" i="24"/>
  <c r="AR203" i="24"/>
  <c r="AQ203" i="24"/>
  <c r="AP203" i="24"/>
  <c r="AO203" i="24"/>
  <c r="AN203" i="24"/>
  <c r="AM203" i="24"/>
  <c r="AL203" i="24"/>
  <c r="AK203" i="24"/>
  <c r="AJ203" i="24"/>
  <c r="AI203" i="24"/>
  <c r="AH203" i="24"/>
  <c r="AG203" i="24"/>
  <c r="AF203" i="24"/>
  <c r="AE203" i="24"/>
  <c r="AD203" i="24"/>
  <c r="AC203" i="24"/>
  <c r="AB203" i="24"/>
  <c r="AA203" i="24"/>
  <c r="Z203" i="24"/>
  <c r="Y203" i="24"/>
  <c r="AR202" i="24"/>
  <c r="AQ202" i="24"/>
  <c r="AP202" i="24"/>
  <c r="AO202" i="24"/>
  <c r="AN202" i="24"/>
  <c r="AM202" i="24"/>
  <c r="AL202" i="24"/>
  <c r="AK202" i="24"/>
  <c r="AJ202" i="24"/>
  <c r="AI202" i="24"/>
  <c r="AH202" i="24"/>
  <c r="AG202" i="24"/>
  <c r="AF202" i="24"/>
  <c r="AE202" i="24"/>
  <c r="AD202" i="24"/>
  <c r="AC202" i="24"/>
  <c r="AB202" i="24"/>
  <c r="AA202" i="24"/>
  <c r="Z202" i="24"/>
  <c r="Y202" i="24"/>
  <c r="AR201" i="24"/>
  <c r="AQ201" i="24"/>
  <c r="AP201" i="24"/>
  <c r="AO201" i="24"/>
  <c r="AN201" i="24"/>
  <c r="AM201" i="24"/>
  <c r="AL201" i="24"/>
  <c r="AK201" i="24"/>
  <c r="AJ201" i="24"/>
  <c r="AI201" i="24"/>
  <c r="AH201" i="24"/>
  <c r="AG201" i="24"/>
  <c r="AF201" i="24"/>
  <c r="AE201" i="24"/>
  <c r="AD201" i="24"/>
  <c r="AC201" i="24"/>
  <c r="AB201" i="24"/>
  <c r="AA201" i="24"/>
  <c r="Z201" i="24"/>
  <c r="Y201" i="24"/>
  <c r="AA200" i="24"/>
  <c r="AB200" i="24"/>
  <c r="AC200" i="24"/>
  <c r="AD200" i="24"/>
  <c r="AE200" i="24"/>
  <c r="AF200" i="24"/>
  <c r="AG200" i="24"/>
  <c r="AH200" i="24"/>
  <c r="AI200" i="24"/>
  <c r="AJ200" i="24"/>
  <c r="AK200" i="24"/>
  <c r="AL200" i="24"/>
  <c r="AM200" i="24"/>
  <c r="AN200" i="24"/>
  <c r="AO200" i="24"/>
  <c r="AP200" i="24"/>
  <c r="AQ200" i="24"/>
  <c r="AR200" i="24"/>
  <c r="AR198" i="24"/>
  <c r="AQ198" i="24"/>
  <c r="AP198" i="24"/>
  <c r="AO198" i="24"/>
  <c r="AN198" i="24"/>
  <c r="AM198" i="24"/>
  <c r="AL198" i="24"/>
  <c r="AK198" i="24"/>
  <c r="AJ198" i="24"/>
  <c r="AI198" i="24"/>
  <c r="AH198" i="24"/>
  <c r="AG198" i="24"/>
  <c r="AF198" i="24"/>
  <c r="AE198" i="24"/>
  <c r="AD198" i="24"/>
  <c r="AC198" i="24"/>
  <c r="AB198" i="24"/>
  <c r="AA198" i="24"/>
  <c r="Z198" i="24"/>
  <c r="Y198" i="24"/>
  <c r="AR197" i="24"/>
  <c r="AQ197" i="24"/>
  <c r="AP197" i="24"/>
  <c r="AO197" i="24"/>
  <c r="AN197" i="24"/>
  <c r="AM197" i="24"/>
  <c r="AL197" i="24"/>
  <c r="AK197" i="24"/>
  <c r="AJ197" i="24"/>
  <c r="AI197" i="24"/>
  <c r="AH197" i="24"/>
  <c r="AG197" i="24"/>
  <c r="AF197" i="24"/>
  <c r="AE197" i="24"/>
  <c r="AD197" i="24"/>
  <c r="AC197" i="24"/>
  <c r="AB197" i="24"/>
  <c r="AA197" i="24"/>
  <c r="Z197" i="24"/>
  <c r="Y197" i="24"/>
  <c r="AA196" i="24"/>
  <c r="AB196" i="24"/>
  <c r="AC196" i="24"/>
  <c r="AD196" i="24"/>
  <c r="AE196" i="24"/>
  <c r="AF196" i="24"/>
  <c r="AG196" i="24"/>
  <c r="AH196" i="24"/>
  <c r="AI196" i="24"/>
  <c r="AJ196" i="24"/>
  <c r="AK196" i="24"/>
  <c r="AL196" i="24"/>
  <c r="AM196" i="24"/>
  <c r="AN196" i="24"/>
  <c r="AO196" i="24"/>
  <c r="AP196" i="24"/>
  <c r="AQ196" i="24"/>
  <c r="AR196" i="24"/>
  <c r="AR191" i="24"/>
  <c r="AQ191" i="24"/>
  <c r="AP191" i="24"/>
  <c r="AO191" i="24"/>
  <c r="AN191" i="24"/>
  <c r="AM191" i="24"/>
  <c r="AL191" i="24"/>
  <c r="AK191" i="24"/>
  <c r="AJ191" i="24"/>
  <c r="AI191" i="24"/>
  <c r="AH191" i="24"/>
  <c r="AG191" i="24"/>
  <c r="AF191" i="24"/>
  <c r="AE191" i="24"/>
  <c r="AD191" i="24"/>
  <c r="AC191" i="24"/>
  <c r="AB191" i="24"/>
  <c r="AA191" i="24"/>
  <c r="Z191" i="24"/>
  <c r="Y191" i="24"/>
  <c r="C191" i="24"/>
  <c r="AR190" i="24"/>
  <c r="AQ190" i="24"/>
  <c r="AP190" i="24"/>
  <c r="AO190" i="24"/>
  <c r="AN190" i="24"/>
  <c r="AM190" i="24"/>
  <c r="AL190" i="24"/>
  <c r="AK190" i="24"/>
  <c r="AJ190" i="24"/>
  <c r="AI190" i="24"/>
  <c r="AH190" i="24"/>
  <c r="AG190" i="24"/>
  <c r="AF190" i="24"/>
  <c r="AE190" i="24"/>
  <c r="AD190" i="24"/>
  <c r="AC190" i="24"/>
  <c r="AB190" i="24"/>
  <c r="AA190" i="24"/>
  <c r="Z190" i="24"/>
  <c r="Y190" i="24"/>
  <c r="AR188" i="24"/>
  <c r="AQ188" i="24"/>
  <c r="AP188" i="24"/>
  <c r="AO188" i="24"/>
  <c r="AN188" i="24"/>
  <c r="AM188" i="24"/>
  <c r="AL188" i="24"/>
  <c r="AK188" i="24"/>
  <c r="AJ188" i="24"/>
  <c r="AI188" i="24"/>
  <c r="AH188" i="24"/>
  <c r="AG188" i="24"/>
  <c r="AF188" i="24"/>
  <c r="AE188" i="24"/>
  <c r="AD188" i="24"/>
  <c r="AC188" i="24"/>
  <c r="AB188" i="24"/>
  <c r="AA188" i="24"/>
  <c r="Z188" i="24"/>
  <c r="Y188" i="24"/>
  <c r="C188" i="24"/>
  <c r="AR187" i="24"/>
  <c r="AQ187" i="24"/>
  <c r="AP187" i="24"/>
  <c r="AO187" i="24"/>
  <c r="AN187" i="24"/>
  <c r="AM187" i="24"/>
  <c r="AL187" i="24"/>
  <c r="AK187" i="24"/>
  <c r="AJ187" i="24"/>
  <c r="AI187" i="24"/>
  <c r="AH187" i="24"/>
  <c r="AG187" i="24"/>
  <c r="AF187" i="24"/>
  <c r="AE187" i="24"/>
  <c r="AD187" i="24"/>
  <c r="AC187" i="24"/>
  <c r="AB187" i="24"/>
  <c r="AA187" i="24"/>
  <c r="Z187" i="24"/>
  <c r="Y187" i="24"/>
  <c r="AR182" i="24"/>
  <c r="AQ182" i="24"/>
  <c r="AP182" i="24"/>
  <c r="AO182" i="24"/>
  <c r="AN182" i="24"/>
  <c r="AM182" i="24"/>
  <c r="AL182" i="24"/>
  <c r="AK182" i="24"/>
  <c r="AJ182" i="24"/>
  <c r="AI182" i="24"/>
  <c r="AH182" i="24"/>
  <c r="AG182" i="24"/>
  <c r="AF182" i="24"/>
  <c r="AE182" i="24"/>
  <c r="AD182" i="24"/>
  <c r="AC182" i="24"/>
  <c r="AB182" i="24"/>
  <c r="AA182" i="24"/>
  <c r="Z182" i="24"/>
  <c r="Y182" i="24"/>
  <c r="AR181" i="24"/>
  <c r="AQ181" i="24"/>
  <c r="AP181" i="24"/>
  <c r="AO181" i="24"/>
  <c r="AN181" i="24"/>
  <c r="AM181" i="24"/>
  <c r="AL181" i="24"/>
  <c r="AK181" i="24"/>
  <c r="AJ181" i="24"/>
  <c r="AI181" i="24"/>
  <c r="AH181" i="24"/>
  <c r="AG181" i="24"/>
  <c r="AF181" i="24"/>
  <c r="AE181" i="24"/>
  <c r="AD181" i="24"/>
  <c r="AC181" i="24"/>
  <c r="AB181" i="24"/>
  <c r="AA181" i="24"/>
  <c r="Z181" i="24"/>
  <c r="Y181" i="24"/>
  <c r="B180" i="24"/>
  <c r="AR179" i="24"/>
  <c r="AQ179" i="24"/>
  <c r="AP179" i="24"/>
  <c r="AO179" i="24"/>
  <c r="AN179" i="24"/>
  <c r="AM179" i="24"/>
  <c r="AL179" i="24"/>
  <c r="AK179" i="24"/>
  <c r="AJ179" i="24"/>
  <c r="AI179" i="24"/>
  <c r="AH179" i="24"/>
  <c r="AG179" i="24"/>
  <c r="AF179" i="24"/>
  <c r="AE179" i="24"/>
  <c r="AD179" i="24"/>
  <c r="AC179" i="24"/>
  <c r="AB179" i="24"/>
  <c r="AA179" i="24"/>
  <c r="Z179" i="24"/>
  <c r="Y179" i="24"/>
  <c r="AR178" i="24"/>
  <c r="AQ178" i="24"/>
  <c r="AP178" i="24"/>
  <c r="AO178" i="24"/>
  <c r="AN178" i="24"/>
  <c r="AM178" i="24"/>
  <c r="AL178" i="24"/>
  <c r="AK178" i="24"/>
  <c r="AJ178" i="24"/>
  <c r="AI178" i="24"/>
  <c r="AH178" i="24"/>
  <c r="AG178" i="24"/>
  <c r="AF178" i="24"/>
  <c r="AE178" i="24"/>
  <c r="AD178" i="24"/>
  <c r="AC178" i="24"/>
  <c r="AB178" i="24"/>
  <c r="AA178" i="24"/>
  <c r="Z178" i="24"/>
  <c r="Y178" i="24"/>
  <c r="A176" i="24"/>
  <c r="AR161" i="24"/>
  <c r="AR164" i="24"/>
  <c r="AR165" i="24"/>
  <c r="AR166" i="24"/>
  <c r="AR167" i="24"/>
  <c r="AR169" i="24"/>
  <c r="AR168" i="24"/>
  <c r="AQ161" i="24"/>
  <c r="AQ164" i="24"/>
  <c r="AQ165" i="24"/>
  <c r="AQ166" i="24"/>
  <c r="AQ167" i="24"/>
  <c r="AQ169" i="24"/>
  <c r="AQ168" i="24"/>
  <c r="AP161" i="24"/>
  <c r="AP164" i="24"/>
  <c r="AP165" i="24"/>
  <c r="AP166" i="24"/>
  <c r="AP167" i="24"/>
  <c r="AP169" i="24"/>
  <c r="AP168" i="24"/>
  <c r="AO161" i="24"/>
  <c r="AO164" i="24"/>
  <c r="AO165" i="24"/>
  <c r="AO166" i="24"/>
  <c r="AO167" i="24"/>
  <c r="AO169" i="24"/>
  <c r="AO168" i="24"/>
  <c r="AN161" i="24"/>
  <c r="AN164" i="24"/>
  <c r="AN165" i="24"/>
  <c r="AN166" i="24"/>
  <c r="AN167" i="24"/>
  <c r="AN169" i="24"/>
  <c r="AN168" i="24"/>
  <c r="AM161" i="24"/>
  <c r="AM164" i="24"/>
  <c r="AM165" i="24"/>
  <c r="AM166" i="24"/>
  <c r="AM167" i="24"/>
  <c r="AM169" i="24"/>
  <c r="AM168" i="24"/>
  <c r="AL161" i="24"/>
  <c r="AL164" i="24"/>
  <c r="AL165" i="24"/>
  <c r="AL166" i="24"/>
  <c r="AL167" i="24"/>
  <c r="AL169" i="24"/>
  <c r="AL168" i="24"/>
  <c r="AK161" i="24"/>
  <c r="AK164" i="24"/>
  <c r="AK165" i="24"/>
  <c r="AK166" i="24"/>
  <c r="AK167" i="24"/>
  <c r="AK169" i="24"/>
  <c r="AK168" i="24"/>
  <c r="AJ161" i="24"/>
  <c r="AJ164" i="24"/>
  <c r="AJ165" i="24"/>
  <c r="AJ166" i="24"/>
  <c r="AJ167" i="24"/>
  <c r="AJ169" i="24"/>
  <c r="AJ168" i="24"/>
  <c r="AI161" i="24"/>
  <c r="AI164" i="24"/>
  <c r="AI165" i="24"/>
  <c r="AI166" i="24"/>
  <c r="AI167" i="24"/>
  <c r="AI169" i="24"/>
  <c r="AI168" i="24"/>
  <c r="AH161" i="24"/>
  <c r="AH164" i="24"/>
  <c r="AH165" i="24"/>
  <c r="AH166" i="24"/>
  <c r="AH167" i="24"/>
  <c r="AH169" i="24"/>
  <c r="AH168" i="24"/>
  <c r="AG161" i="24"/>
  <c r="AG164" i="24"/>
  <c r="AG165" i="24"/>
  <c r="AG166" i="24"/>
  <c r="AG167" i="24"/>
  <c r="AG169" i="24"/>
  <c r="AG168" i="24"/>
  <c r="AF161" i="24"/>
  <c r="AF164" i="24"/>
  <c r="AF165" i="24"/>
  <c r="AF166" i="24"/>
  <c r="AF167" i="24"/>
  <c r="AF169" i="24"/>
  <c r="AF168" i="24"/>
  <c r="AE161" i="24"/>
  <c r="AE164" i="24"/>
  <c r="AE165" i="24"/>
  <c r="AE166" i="24"/>
  <c r="AE167" i="24"/>
  <c r="AE169" i="24"/>
  <c r="AE168" i="24"/>
  <c r="AD161" i="24"/>
  <c r="AD164" i="24"/>
  <c r="AD165" i="24"/>
  <c r="AD166" i="24"/>
  <c r="AD167" i="24"/>
  <c r="AD169" i="24"/>
  <c r="AD168" i="24"/>
  <c r="AC161" i="24"/>
  <c r="AC164" i="24"/>
  <c r="AC165" i="24"/>
  <c r="AC166" i="24"/>
  <c r="AC167" i="24"/>
  <c r="AC169" i="24"/>
  <c r="AC168" i="24"/>
  <c r="AB161" i="24"/>
  <c r="AB164" i="24"/>
  <c r="AB165" i="24"/>
  <c r="AB166" i="24"/>
  <c r="AB167" i="24"/>
  <c r="AB169" i="24"/>
  <c r="AB168" i="24"/>
  <c r="AA161" i="24"/>
  <c r="AA164" i="24"/>
  <c r="AA165" i="24"/>
  <c r="AA166" i="24"/>
  <c r="AA167" i="24"/>
  <c r="AA169" i="24"/>
  <c r="AA168" i="24"/>
  <c r="Z161" i="24"/>
  <c r="Z164" i="24"/>
  <c r="Z165" i="24"/>
  <c r="Z166" i="24"/>
  <c r="Z167" i="24"/>
  <c r="Z169" i="24"/>
  <c r="Z168" i="24"/>
  <c r="Y161" i="24"/>
  <c r="Y164" i="24"/>
  <c r="Y165" i="24"/>
  <c r="Y166" i="24"/>
  <c r="Y167" i="24"/>
  <c r="Y169" i="24"/>
  <c r="Y168" i="24"/>
  <c r="C173" i="24"/>
  <c r="AR160" i="24"/>
  <c r="AQ160" i="24"/>
  <c r="AP160" i="24"/>
  <c r="AO160" i="24"/>
  <c r="AN160" i="24"/>
  <c r="AM160" i="24"/>
  <c r="AL160" i="24"/>
  <c r="AK160" i="24"/>
  <c r="AJ160" i="24"/>
  <c r="AI160" i="24"/>
  <c r="AH160" i="24"/>
  <c r="AG160" i="24"/>
  <c r="AF160" i="24"/>
  <c r="AE160" i="24"/>
  <c r="AD160" i="24"/>
  <c r="AC160" i="24"/>
  <c r="AB160" i="24"/>
  <c r="AA160" i="24"/>
  <c r="Z160" i="24"/>
  <c r="Y160" i="24"/>
  <c r="C161" i="24"/>
  <c r="A158" i="24"/>
  <c r="AR155" i="24"/>
  <c r="AQ155" i="24"/>
  <c r="AP155" i="24"/>
  <c r="AO155" i="24"/>
  <c r="AN155" i="24"/>
  <c r="AM155" i="24"/>
  <c r="AL155" i="24"/>
  <c r="AK155" i="24"/>
  <c r="AJ155" i="24"/>
  <c r="AI155" i="24"/>
  <c r="AH155" i="24"/>
  <c r="AG155" i="24"/>
  <c r="AF155" i="24"/>
  <c r="AE155" i="24"/>
  <c r="AD155" i="24"/>
  <c r="AC155" i="24"/>
  <c r="AB155" i="24"/>
  <c r="AA155" i="24"/>
  <c r="Z155" i="24"/>
  <c r="Y155" i="24"/>
  <c r="AR154" i="24"/>
  <c r="AQ154" i="24"/>
  <c r="AP154" i="24"/>
  <c r="AO154" i="24"/>
  <c r="AN154" i="24"/>
  <c r="AM154" i="24"/>
  <c r="AL154" i="24"/>
  <c r="AK154" i="24"/>
  <c r="AJ154" i="24"/>
  <c r="AI154" i="24"/>
  <c r="AH154" i="24"/>
  <c r="AG154" i="24"/>
  <c r="AF154" i="24"/>
  <c r="AE154" i="24"/>
  <c r="AD154" i="24"/>
  <c r="AC154" i="24"/>
  <c r="AB154" i="24"/>
  <c r="AA154" i="24"/>
  <c r="Z154" i="24"/>
  <c r="Y154" i="24"/>
  <c r="B153" i="24"/>
  <c r="AR152" i="24"/>
  <c r="AQ152" i="24"/>
  <c r="AP152" i="24"/>
  <c r="AO152" i="24"/>
  <c r="AN152" i="24"/>
  <c r="AM152" i="24"/>
  <c r="AL152" i="24"/>
  <c r="AK152" i="24"/>
  <c r="AJ152" i="24"/>
  <c r="AI152" i="24"/>
  <c r="AH152" i="24"/>
  <c r="AG152" i="24"/>
  <c r="AF152" i="24"/>
  <c r="AE152" i="24"/>
  <c r="AD152" i="24"/>
  <c r="AC152" i="24"/>
  <c r="AB152" i="24"/>
  <c r="AA152" i="24"/>
  <c r="Z152" i="24"/>
  <c r="Y152" i="24"/>
  <c r="AR151" i="24"/>
  <c r="AQ151" i="24"/>
  <c r="AP151" i="24"/>
  <c r="AO151" i="24"/>
  <c r="AN151" i="24"/>
  <c r="AM151" i="24"/>
  <c r="AL151" i="24"/>
  <c r="AK151" i="24"/>
  <c r="AJ151" i="24"/>
  <c r="AI151" i="24"/>
  <c r="AH151" i="24"/>
  <c r="AG151" i="24"/>
  <c r="AF151" i="24"/>
  <c r="AE151" i="24"/>
  <c r="AD151" i="24"/>
  <c r="AC151" i="24"/>
  <c r="AB151" i="24"/>
  <c r="AA151" i="24"/>
  <c r="Z151" i="24"/>
  <c r="Y151" i="24"/>
  <c r="AR145" i="24"/>
  <c r="AQ145" i="24"/>
  <c r="AP145" i="24"/>
  <c r="AO145" i="24"/>
  <c r="AN145" i="24"/>
  <c r="AM145" i="24"/>
  <c r="AL145" i="24"/>
  <c r="AK145" i="24"/>
  <c r="AJ145" i="24"/>
  <c r="AI145" i="24"/>
  <c r="AH145" i="24"/>
  <c r="AG145" i="24"/>
  <c r="AF145" i="24"/>
  <c r="AE145" i="24"/>
  <c r="AD145" i="24"/>
  <c r="AC145" i="24"/>
  <c r="AB145" i="24"/>
  <c r="AA145" i="24"/>
  <c r="Z145" i="24"/>
  <c r="Y145" i="24"/>
  <c r="AR144" i="24"/>
  <c r="AQ144" i="24"/>
  <c r="AP144" i="24"/>
  <c r="AO144" i="24"/>
  <c r="AN144" i="24"/>
  <c r="AM144" i="24"/>
  <c r="AL144" i="24"/>
  <c r="AK144" i="24"/>
  <c r="AJ144" i="24"/>
  <c r="AI144" i="24"/>
  <c r="AH144" i="24"/>
  <c r="AG144" i="24"/>
  <c r="AF144" i="24"/>
  <c r="AE144" i="24"/>
  <c r="AD144" i="24"/>
  <c r="AC144" i="24"/>
  <c r="AB144" i="24"/>
  <c r="AA144" i="24"/>
  <c r="Z144" i="24"/>
  <c r="Y144" i="24"/>
  <c r="B143" i="24"/>
  <c r="AR142" i="24"/>
  <c r="AQ142" i="24"/>
  <c r="AP142" i="24"/>
  <c r="AO142" i="24"/>
  <c r="AN142" i="24"/>
  <c r="AM142" i="24"/>
  <c r="AL142" i="24"/>
  <c r="AK142" i="24"/>
  <c r="AJ142" i="24"/>
  <c r="AI142" i="24"/>
  <c r="AH142" i="24"/>
  <c r="AG142" i="24"/>
  <c r="AF142" i="24"/>
  <c r="AE142" i="24"/>
  <c r="AD142" i="24"/>
  <c r="AC142" i="24"/>
  <c r="AB142" i="24"/>
  <c r="AA142" i="24"/>
  <c r="Z142" i="24"/>
  <c r="Y142" i="24"/>
  <c r="AR141" i="24"/>
  <c r="AQ141" i="24"/>
  <c r="AP141" i="24"/>
  <c r="AO141" i="24"/>
  <c r="AN141" i="24"/>
  <c r="AM141" i="24"/>
  <c r="AL141" i="24"/>
  <c r="AK141" i="24"/>
  <c r="AJ141" i="24"/>
  <c r="AI141" i="24"/>
  <c r="AH141" i="24"/>
  <c r="AG141" i="24"/>
  <c r="AF141" i="24"/>
  <c r="AE141" i="24"/>
  <c r="AD141" i="24"/>
  <c r="AC141" i="24"/>
  <c r="AB141" i="24"/>
  <c r="AA141" i="24"/>
  <c r="Z141" i="24"/>
  <c r="Y141" i="24"/>
  <c r="AR137" i="24"/>
  <c r="AQ137" i="24"/>
  <c r="AP137" i="24"/>
  <c r="AO137" i="24"/>
  <c r="AN137" i="24"/>
  <c r="AM137" i="24"/>
  <c r="AL137" i="24"/>
  <c r="AK137" i="24"/>
  <c r="AJ137" i="24"/>
  <c r="AI137" i="24"/>
  <c r="AH137" i="24"/>
  <c r="AG137" i="24"/>
  <c r="AF137" i="24"/>
  <c r="AE137" i="24"/>
  <c r="AD137" i="24"/>
  <c r="AC137" i="24"/>
  <c r="AB137" i="24"/>
  <c r="AA137" i="24"/>
  <c r="Z137" i="24"/>
  <c r="Y137" i="24"/>
  <c r="AR136" i="24"/>
  <c r="AQ136" i="24"/>
  <c r="AP136" i="24"/>
  <c r="AO136" i="24"/>
  <c r="AN136" i="24"/>
  <c r="AM136" i="24"/>
  <c r="AL136" i="24"/>
  <c r="AK136" i="24"/>
  <c r="AJ136" i="24"/>
  <c r="AI136" i="24"/>
  <c r="AH136" i="24"/>
  <c r="AG136" i="24"/>
  <c r="AF136" i="24"/>
  <c r="AE136" i="24"/>
  <c r="AD136" i="24"/>
  <c r="AC136" i="24"/>
  <c r="AB136" i="24"/>
  <c r="AA136" i="24"/>
  <c r="Z136" i="24"/>
  <c r="Y136" i="24"/>
  <c r="AR133" i="24"/>
  <c r="AQ133" i="24"/>
  <c r="AP133" i="24"/>
  <c r="AO133" i="24"/>
  <c r="AN133" i="24"/>
  <c r="AM133" i="24"/>
  <c r="AL133" i="24"/>
  <c r="AK133" i="24"/>
  <c r="AJ133" i="24"/>
  <c r="AI133" i="24"/>
  <c r="AH133" i="24"/>
  <c r="AG133" i="24"/>
  <c r="AF133" i="24"/>
  <c r="AE133" i="24"/>
  <c r="AD133" i="24"/>
  <c r="AC133" i="24"/>
  <c r="AB133" i="24"/>
  <c r="AA133" i="24"/>
  <c r="Z133" i="24"/>
  <c r="Y133" i="24"/>
  <c r="AR131" i="24"/>
  <c r="AQ131" i="24"/>
  <c r="AP131" i="24"/>
  <c r="AO131" i="24"/>
  <c r="AN131" i="24"/>
  <c r="AM131" i="24"/>
  <c r="AL131" i="24"/>
  <c r="AK131" i="24"/>
  <c r="AJ131" i="24"/>
  <c r="AI131" i="24"/>
  <c r="AH131" i="24"/>
  <c r="AG131" i="24"/>
  <c r="AF131" i="24"/>
  <c r="AE131" i="24"/>
  <c r="AD131" i="24"/>
  <c r="AC131" i="24"/>
  <c r="AB131" i="24"/>
  <c r="AA131" i="24"/>
  <c r="Z131" i="24"/>
  <c r="Y131" i="24"/>
  <c r="AR129" i="24"/>
  <c r="AQ129" i="24"/>
  <c r="AP129" i="24"/>
  <c r="AO129" i="24"/>
  <c r="AN129" i="24"/>
  <c r="AM129" i="24"/>
  <c r="AL129" i="24"/>
  <c r="AK129" i="24"/>
  <c r="AJ129" i="24"/>
  <c r="AI129" i="24"/>
  <c r="AH129" i="24"/>
  <c r="AG129" i="24"/>
  <c r="AF129" i="24"/>
  <c r="AE129" i="24"/>
  <c r="AD129" i="24"/>
  <c r="AC129" i="24"/>
  <c r="AB129" i="24"/>
  <c r="AA129" i="24"/>
  <c r="Z129" i="24"/>
  <c r="Y129" i="24"/>
  <c r="AR127" i="24"/>
  <c r="AQ127" i="24"/>
  <c r="AP127" i="24"/>
  <c r="AO127" i="24"/>
  <c r="AN127" i="24"/>
  <c r="AM127" i="24"/>
  <c r="AL127" i="24"/>
  <c r="AK127" i="24"/>
  <c r="AJ127" i="24"/>
  <c r="AI127" i="24"/>
  <c r="AH127" i="24"/>
  <c r="AG127" i="24"/>
  <c r="AF127" i="24"/>
  <c r="AE127" i="24"/>
  <c r="AD127" i="24"/>
  <c r="AC127" i="24"/>
  <c r="AB127" i="24"/>
  <c r="AA127" i="24"/>
  <c r="Z127" i="24"/>
  <c r="Y127" i="24"/>
  <c r="AR123" i="24"/>
  <c r="AQ123" i="24"/>
  <c r="AP123" i="24"/>
  <c r="AO123" i="24"/>
  <c r="AN123" i="24"/>
  <c r="AM123" i="24"/>
  <c r="AL123" i="24"/>
  <c r="AK123" i="24"/>
  <c r="AJ123" i="24"/>
  <c r="AI123" i="24"/>
  <c r="AH123" i="24"/>
  <c r="AG123" i="24"/>
  <c r="AF123" i="24"/>
  <c r="AE123" i="24"/>
  <c r="AD123" i="24"/>
  <c r="AC123" i="24"/>
  <c r="AB123" i="24"/>
  <c r="AA123" i="24"/>
  <c r="Z123" i="24"/>
  <c r="Y123" i="24"/>
  <c r="AR122" i="24"/>
  <c r="AQ122" i="24"/>
  <c r="AP122" i="24"/>
  <c r="AO122" i="24"/>
  <c r="AN122" i="24"/>
  <c r="AM122" i="24"/>
  <c r="AL122" i="24"/>
  <c r="AK122" i="24"/>
  <c r="AJ122" i="24"/>
  <c r="AI122" i="24"/>
  <c r="AH122" i="24"/>
  <c r="AG122" i="24"/>
  <c r="AF122" i="24"/>
  <c r="AE122" i="24"/>
  <c r="AD122" i="24"/>
  <c r="AC122" i="24"/>
  <c r="AB122" i="24"/>
  <c r="AA122" i="24"/>
  <c r="Z122" i="24"/>
  <c r="Y122" i="24"/>
  <c r="C122" i="24"/>
  <c r="AR121" i="24"/>
  <c r="AQ121" i="24"/>
  <c r="AP121" i="24"/>
  <c r="AO121" i="24"/>
  <c r="AN121" i="24"/>
  <c r="AM121" i="24"/>
  <c r="AL121" i="24"/>
  <c r="AK121" i="24"/>
  <c r="AJ121" i="24"/>
  <c r="AI121" i="24"/>
  <c r="AH121" i="24"/>
  <c r="AG121" i="24"/>
  <c r="AF121" i="24"/>
  <c r="AE121" i="24"/>
  <c r="AD121" i="24"/>
  <c r="AC121" i="24"/>
  <c r="AB121" i="24"/>
  <c r="AA121" i="24"/>
  <c r="Z121" i="24"/>
  <c r="Y121" i="24"/>
  <c r="C121" i="24"/>
  <c r="AR119" i="24"/>
  <c r="AQ119" i="24"/>
  <c r="AP119" i="24"/>
  <c r="AO119" i="24"/>
  <c r="AN119" i="24"/>
  <c r="AM119" i="24"/>
  <c r="AL119" i="24"/>
  <c r="AK119" i="24"/>
  <c r="AJ119" i="24"/>
  <c r="AI119" i="24"/>
  <c r="AH119" i="24"/>
  <c r="AG119" i="24"/>
  <c r="AF119" i="24"/>
  <c r="AE119" i="24"/>
  <c r="AD119" i="24"/>
  <c r="AC119" i="24"/>
  <c r="AB119" i="24"/>
  <c r="AA119" i="24"/>
  <c r="Z119" i="24"/>
  <c r="Y119" i="24"/>
  <c r="AR118" i="24"/>
  <c r="AQ118" i="24"/>
  <c r="AP118" i="24"/>
  <c r="AO118" i="24"/>
  <c r="AN118" i="24"/>
  <c r="AM118" i="24"/>
  <c r="AL118" i="24"/>
  <c r="AK118" i="24"/>
  <c r="AJ118" i="24"/>
  <c r="AI118" i="24"/>
  <c r="AH118" i="24"/>
  <c r="AG118" i="24"/>
  <c r="AF118" i="24"/>
  <c r="AE118" i="24"/>
  <c r="AD118" i="24"/>
  <c r="AC118" i="24"/>
  <c r="AB118" i="24"/>
  <c r="AA118" i="24"/>
  <c r="Z118" i="24"/>
  <c r="Y118" i="24"/>
  <c r="AR117" i="24"/>
  <c r="AQ117" i="24"/>
  <c r="AP117" i="24"/>
  <c r="AO117" i="24"/>
  <c r="AN117" i="24"/>
  <c r="AM117" i="24"/>
  <c r="AL117" i="24"/>
  <c r="AK117" i="24"/>
  <c r="AJ117" i="24"/>
  <c r="AI117" i="24"/>
  <c r="AH117" i="24"/>
  <c r="AG117" i="24"/>
  <c r="AF117" i="24"/>
  <c r="AE117" i="24"/>
  <c r="AD117" i="24"/>
  <c r="AC117" i="24"/>
  <c r="AB117" i="24"/>
  <c r="AA117" i="24"/>
  <c r="Z117" i="24"/>
  <c r="Y117" i="24"/>
  <c r="AR115" i="24"/>
  <c r="AQ115" i="24"/>
  <c r="AP115" i="24"/>
  <c r="AO115" i="24"/>
  <c r="AN115" i="24"/>
  <c r="AM115" i="24"/>
  <c r="AL115" i="24"/>
  <c r="AK115" i="24"/>
  <c r="AJ115" i="24"/>
  <c r="AI115" i="24"/>
  <c r="AH115" i="24"/>
  <c r="AG115" i="24"/>
  <c r="AF115" i="24"/>
  <c r="AE115" i="24"/>
  <c r="AD115" i="24"/>
  <c r="AC115" i="24"/>
  <c r="AB115" i="24"/>
  <c r="AA115" i="24"/>
  <c r="Z115" i="24"/>
  <c r="Y115" i="24"/>
  <c r="AR114" i="24"/>
  <c r="AQ114" i="24"/>
  <c r="AP114" i="24"/>
  <c r="AO114" i="24"/>
  <c r="AN114" i="24"/>
  <c r="AM114" i="24"/>
  <c r="AL114" i="24"/>
  <c r="AK114" i="24"/>
  <c r="AJ114" i="24"/>
  <c r="AI114" i="24"/>
  <c r="AH114" i="24"/>
  <c r="AG114" i="24"/>
  <c r="AF114" i="24"/>
  <c r="AE114" i="24"/>
  <c r="AD114" i="24"/>
  <c r="AC114" i="24"/>
  <c r="AB114" i="24"/>
  <c r="AA114" i="24"/>
  <c r="Z114" i="24"/>
  <c r="Y114" i="24"/>
  <c r="AR111" i="24"/>
  <c r="AQ111" i="24"/>
  <c r="AP111" i="24"/>
  <c r="AO111" i="24"/>
  <c r="AN111" i="24"/>
  <c r="AM111" i="24"/>
  <c r="AL111" i="24"/>
  <c r="AK111" i="24"/>
  <c r="AJ111" i="24"/>
  <c r="AI111" i="24"/>
  <c r="AH111" i="24"/>
  <c r="AG111" i="24"/>
  <c r="AF111" i="24"/>
  <c r="AE111" i="24"/>
  <c r="AD111" i="24"/>
  <c r="AC111" i="24"/>
  <c r="AB111" i="24"/>
  <c r="AA111" i="24"/>
  <c r="Z111" i="24"/>
  <c r="Y111" i="24"/>
  <c r="C111" i="24"/>
  <c r="AR110" i="24"/>
  <c r="AQ110" i="24"/>
  <c r="AP110" i="24"/>
  <c r="AO110" i="24"/>
  <c r="AN110" i="24"/>
  <c r="AM110" i="24"/>
  <c r="AL110" i="24"/>
  <c r="AK110" i="24"/>
  <c r="AJ110" i="24"/>
  <c r="AI110" i="24"/>
  <c r="AH110" i="24"/>
  <c r="AG110" i="24"/>
  <c r="AF110" i="24"/>
  <c r="AE110" i="24"/>
  <c r="AD110" i="24"/>
  <c r="AC110" i="24"/>
  <c r="AB110" i="24"/>
  <c r="AA110" i="24"/>
  <c r="Z110" i="24"/>
  <c r="Y110" i="24"/>
  <c r="C107" i="24"/>
  <c r="C106" i="24"/>
  <c r="Y92" i="24"/>
  <c r="Z92" i="24"/>
  <c r="AA92" i="24"/>
  <c r="AB92" i="24"/>
  <c r="AC92" i="24"/>
  <c r="AD92" i="24"/>
  <c r="AE92" i="24"/>
  <c r="AF92" i="24"/>
  <c r="AG92" i="24"/>
  <c r="AH92" i="24"/>
  <c r="AI92" i="24"/>
  <c r="AJ92" i="24"/>
  <c r="AK92" i="24"/>
  <c r="AL92" i="24"/>
  <c r="AM92" i="24"/>
  <c r="AN92" i="24"/>
  <c r="AO92" i="24"/>
  <c r="AP92" i="24"/>
  <c r="AQ92" i="24"/>
  <c r="AR92" i="24"/>
  <c r="AR99" i="24"/>
  <c r="AQ99" i="24"/>
  <c r="AR96" i="24"/>
  <c r="AR97" i="24"/>
  <c r="AP99" i="24"/>
  <c r="AQ96" i="24"/>
  <c r="AO99" i="24"/>
  <c r="AN99" i="24"/>
  <c r="AO96" i="24"/>
  <c r="AO97" i="24"/>
  <c r="AO98" i="24"/>
  <c r="AM99" i="24"/>
  <c r="AN96" i="24"/>
  <c r="AL99" i="24"/>
  <c r="AK99" i="24"/>
  <c r="AL96" i="24"/>
  <c r="AJ99" i="24"/>
  <c r="AI99" i="24"/>
  <c r="AJ96" i="24"/>
  <c r="AJ97" i="24"/>
  <c r="AH99" i="24"/>
  <c r="AI96" i="24"/>
  <c r="AG99" i="24"/>
  <c r="AF99" i="24"/>
  <c r="AE99" i="24"/>
  <c r="AF96" i="24"/>
  <c r="AD99" i="24"/>
  <c r="AC99" i="24"/>
  <c r="AD96" i="24"/>
  <c r="AB99" i="24"/>
  <c r="AA99" i="24"/>
  <c r="AB96" i="24"/>
  <c r="AB97" i="24"/>
  <c r="Z99" i="24"/>
  <c r="AA96" i="24"/>
  <c r="Y99" i="24"/>
  <c r="AP96" i="24"/>
  <c r="AP97" i="24"/>
  <c r="AM96" i="24"/>
  <c r="AM97" i="24"/>
  <c r="AM98" i="24"/>
  <c r="AK96" i="24"/>
  <c r="AK97" i="24"/>
  <c r="AG96" i="24"/>
  <c r="AG97" i="24"/>
  <c r="AE96" i="24"/>
  <c r="AE97" i="24"/>
  <c r="AE98" i="24"/>
  <c r="AC96" i="24"/>
  <c r="AC97" i="24"/>
  <c r="AM75" i="24"/>
  <c r="AM77" i="24"/>
  <c r="AL75" i="24"/>
  <c r="AL77" i="24"/>
  <c r="AK75" i="24"/>
  <c r="AK77" i="24"/>
  <c r="AJ75" i="24"/>
  <c r="AJ77" i="24"/>
  <c r="AI75" i="24"/>
  <c r="AI77" i="24"/>
  <c r="AH75" i="24"/>
  <c r="AH77" i="24"/>
  <c r="AG75" i="24"/>
  <c r="AG77" i="24"/>
  <c r="AF75" i="24"/>
  <c r="AF77" i="24"/>
  <c r="AE75" i="24"/>
  <c r="AE77" i="24"/>
  <c r="AD75" i="24"/>
  <c r="AD77" i="24"/>
  <c r="AC75" i="24"/>
  <c r="AC77" i="24"/>
  <c r="AB75" i="24"/>
  <c r="AB77" i="24"/>
  <c r="AA75" i="24"/>
  <c r="AA77" i="24"/>
  <c r="Z75" i="24"/>
  <c r="Z77" i="24"/>
  <c r="Y75" i="24"/>
  <c r="Y77" i="24"/>
  <c r="AM33" i="24"/>
  <c r="AM34" i="24"/>
  <c r="AM35" i="24"/>
  <c r="AM36" i="24"/>
  <c r="AM73" i="24"/>
  <c r="AM76" i="24"/>
  <c r="AM37" i="24"/>
  <c r="AM38" i="24"/>
  <c r="AM39" i="24"/>
  <c r="AM40" i="24"/>
  <c r="AM41" i="24"/>
  <c r="AM42" i="24"/>
  <c r="AM43" i="24"/>
  <c r="AM44" i="24"/>
  <c r="AM45" i="24"/>
  <c r="AM46" i="24"/>
  <c r="AM47" i="24"/>
  <c r="AM48" i="24"/>
  <c r="AM49" i="24"/>
  <c r="AM50" i="24"/>
  <c r="AM51" i="24"/>
  <c r="AM52" i="24"/>
  <c r="AM53" i="24"/>
  <c r="AM54" i="24"/>
  <c r="AM55" i="24"/>
  <c r="AM56" i="24"/>
  <c r="AM57" i="24"/>
  <c r="AM58" i="24"/>
  <c r="AM59" i="24"/>
  <c r="AM60" i="24"/>
  <c r="AM61" i="24"/>
  <c r="AM62" i="24"/>
  <c r="AM63" i="24"/>
  <c r="AM64" i="24"/>
  <c r="AM65" i="24"/>
  <c r="AM66" i="24"/>
  <c r="AM67" i="24"/>
  <c r="AM68" i="24"/>
  <c r="AM69" i="24"/>
  <c r="AM70" i="24"/>
  <c r="AM71" i="24"/>
  <c r="AM72" i="24"/>
  <c r="AL33" i="24"/>
  <c r="AL73" i="24"/>
  <c r="AL76" i="24"/>
  <c r="AL34" i="24"/>
  <c r="AL35" i="24"/>
  <c r="AL36" i="24"/>
  <c r="AL37" i="24"/>
  <c r="AL38" i="24"/>
  <c r="AL39" i="24"/>
  <c r="AL40" i="24"/>
  <c r="AL41" i="24"/>
  <c r="AL42" i="24"/>
  <c r="AL43" i="24"/>
  <c r="AL44" i="24"/>
  <c r="AL45" i="24"/>
  <c r="AL46" i="24"/>
  <c r="AL47" i="24"/>
  <c r="AL48" i="24"/>
  <c r="AL49" i="24"/>
  <c r="AL50" i="24"/>
  <c r="AL51" i="24"/>
  <c r="AL52" i="24"/>
  <c r="AL53" i="24"/>
  <c r="AL54" i="24"/>
  <c r="AL55" i="24"/>
  <c r="AL56" i="24"/>
  <c r="AL57" i="24"/>
  <c r="AL58" i="24"/>
  <c r="AL59" i="24"/>
  <c r="AL60" i="24"/>
  <c r="AL61" i="24"/>
  <c r="AL62" i="24"/>
  <c r="AL63" i="24"/>
  <c r="AL64" i="24"/>
  <c r="AL65" i="24"/>
  <c r="AL66" i="24"/>
  <c r="AL67" i="24"/>
  <c r="AL68" i="24"/>
  <c r="AL69" i="24"/>
  <c r="AL70" i="24"/>
  <c r="AL71" i="24"/>
  <c r="AL72" i="24"/>
  <c r="AK33" i="24"/>
  <c r="AK34" i="24"/>
  <c r="AK35" i="24"/>
  <c r="AK36" i="24"/>
  <c r="AK37" i="24"/>
  <c r="AK38" i="24"/>
  <c r="AK73" i="24"/>
  <c r="AK76" i="24"/>
  <c r="AK39" i="24"/>
  <c r="AK40" i="24"/>
  <c r="AK41" i="24"/>
  <c r="AK42" i="24"/>
  <c r="AK43" i="24"/>
  <c r="AK44" i="24"/>
  <c r="AK45" i="24"/>
  <c r="AK46" i="24"/>
  <c r="AK47" i="24"/>
  <c r="AK48" i="24"/>
  <c r="AK49" i="24"/>
  <c r="AK50" i="24"/>
  <c r="AK51" i="24"/>
  <c r="AK52" i="24"/>
  <c r="AK53" i="24"/>
  <c r="AK54" i="24"/>
  <c r="AK55" i="24"/>
  <c r="AK56" i="24"/>
  <c r="AK57" i="24"/>
  <c r="AK58" i="24"/>
  <c r="AK59" i="24"/>
  <c r="AK60" i="24"/>
  <c r="AK61" i="24"/>
  <c r="AK62" i="24"/>
  <c r="AK63" i="24"/>
  <c r="AK64" i="24"/>
  <c r="AK65" i="24"/>
  <c r="AK66" i="24"/>
  <c r="AK67" i="24"/>
  <c r="AK68" i="24"/>
  <c r="AK69" i="24"/>
  <c r="AK70" i="24"/>
  <c r="AK71" i="24"/>
  <c r="AK72" i="24"/>
  <c r="AJ33" i="24"/>
  <c r="AJ34" i="24"/>
  <c r="AJ35" i="24"/>
  <c r="AJ73" i="24"/>
  <c r="AJ76" i="24"/>
  <c r="AJ36" i="24"/>
  <c r="AJ37" i="24"/>
  <c r="AJ38" i="24"/>
  <c r="AJ39" i="24"/>
  <c r="AJ40" i="24"/>
  <c r="AJ41" i="24"/>
  <c r="AJ42" i="24"/>
  <c r="AJ43" i="24"/>
  <c r="AJ44" i="24"/>
  <c r="AJ45" i="24"/>
  <c r="AJ46" i="24"/>
  <c r="AJ47" i="24"/>
  <c r="AJ48" i="24"/>
  <c r="AJ49" i="24"/>
  <c r="AJ50" i="24"/>
  <c r="AJ51" i="24"/>
  <c r="AJ52" i="24"/>
  <c r="AJ53" i="24"/>
  <c r="AJ54" i="24"/>
  <c r="AJ55" i="24"/>
  <c r="AJ56" i="24"/>
  <c r="AJ57" i="24"/>
  <c r="AJ58" i="24"/>
  <c r="AJ59" i="24"/>
  <c r="AJ60" i="24"/>
  <c r="AJ61" i="24"/>
  <c r="AJ62" i="24"/>
  <c r="AJ63" i="24"/>
  <c r="AJ64" i="24"/>
  <c r="AJ65" i="24"/>
  <c r="AJ66" i="24"/>
  <c r="AJ67" i="24"/>
  <c r="AJ68" i="24"/>
  <c r="AJ69" i="24"/>
  <c r="AJ70" i="24"/>
  <c r="AJ71" i="24"/>
  <c r="AJ72" i="24"/>
  <c r="AI33" i="24"/>
  <c r="AI34" i="24"/>
  <c r="AI35" i="24"/>
  <c r="AI73" i="24"/>
  <c r="AI76" i="24"/>
  <c r="AI36" i="24"/>
  <c r="AI37" i="24"/>
  <c r="AI38" i="24"/>
  <c r="AI39" i="24"/>
  <c r="AI40" i="24"/>
  <c r="AI41" i="24"/>
  <c r="AI42" i="24"/>
  <c r="AI43" i="24"/>
  <c r="AI44" i="24"/>
  <c r="AI45" i="24"/>
  <c r="AI46" i="24"/>
  <c r="AI47" i="24"/>
  <c r="AI48" i="24"/>
  <c r="AI49" i="24"/>
  <c r="AI50" i="24"/>
  <c r="AI51" i="24"/>
  <c r="AI52" i="24"/>
  <c r="AI53" i="24"/>
  <c r="AI54" i="24"/>
  <c r="AI55" i="24"/>
  <c r="AI56" i="24"/>
  <c r="AI57" i="24"/>
  <c r="AI58" i="24"/>
  <c r="AI59" i="24"/>
  <c r="AI60" i="24"/>
  <c r="AI61" i="24"/>
  <c r="AI62" i="24"/>
  <c r="AI63" i="24"/>
  <c r="AI64" i="24"/>
  <c r="AI65" i="24"/>
  <c r="AI66" i="24"/>
  <c r="AI67" i="24"/>
  <c r="AI68" i="24"/>
  <c r="AI69" i="24"/>
  <c r="AI70" i="24"/>
  <c r="AI71" i="24"/>
  <c r="AI72" i="24"/>
  <c r="AH33" i="24"/>
  <c r="AH34" i="24"/>
  <c r="AH35" i="24"/>
  <c r="AH36" i="24"/>
  <c r="AH37" i="24"/>
  <c r="AH73" i="24"/>
  <c r="AH76" i="24"/>
  <c r="AH38" i="24"/>
  <c r="AH39" i="24"/>
  <c r="AH40" i="24"/>
  <c r="AH41" i="24"/>
  <c r="AH42" i="24"/>
  <c r="AH43" i="24"/>
  <c r="AH44" i="24"/>
  <c r="AH45" i="24"/>
  <c r="AH46" i="24"/>
  <c r="AH47" i="24"/>
  <c r="AH48" i="24"/>
  <c r="AH49" i="24"/>
  <c r="AH50" i="24"/>
  <c r="AH51" i="24"/>
  <c r="AH52" i="24"/>
  <c r="AH53" i="24"/>
  <c r="AH54" i="24"/>
  <c r="AH55" i="24"/>
  <c r="AH56" i="24"/>
  <c r="AH57" i="24"/>
  <c r="AH58" i="24"/>
  <c r="AH59" i="24"/>
  <c r="AH60" i="24"/>
  <c r="AH61" i="24"/>
  <c r="AH62" i="24"/>
  <c r="AH63" i="24"/>
  <c r="AH64" i="24"/>
  <c r="AH65" i="24"/>
  <c r="AH66" i="24"/>
  <c r="AH67" i="24"/>
  <c r="AH68" i="24"/>
  <c r="AH69" i="24"/>
  <c r="AH70" i="24"/>
  <c r="AH71" i="24"/>
  <c r="AH72" i="24"/>
  <c r="AG33" i="24"/>
  <c r="AG34" i="24"/>
  <c r="AG73" i="24"/>
  <c r="AG76" i="24"/>
  <c r="AG35" i="24"/>
  <c r="AG36" i="24"/>
  <c r="AG37" i="24"/>
  <c r="AG38" i="24"/>
  <c r="AG39" i="24"/>
  <c r="AG40" i="24"/>
  <c r="AG41" i="24"/>
  <c r="AG42" i="24"/>
  <c r="AG43" i="24"/>
  <c r="AG44" i="24"/>
  <c r="AG45" i="24"/>
  <c r="AG46" i="24"/>
  <c r="AG47" i="24"/>
  <c r="AG48" i="24"/>
  <c r="AG49" i="24"/>
  <c r="AG50" i="24"/>
  <c r="AG51" i="24"/>
  <c r="AG52" i="24"/>
  <c r="AG53" i="24"/>
  <c r="AG54" i="24"/>
  <c r="AG55" i="24"/>
  <c r="AG56" i="24"/>
  <c r="AG57" i="24"/>
  <c r="AG58" i="24"/>
  <c r="AG59" i="24"/>
  <c r="AG60" i="24"/>
  <c r="AG61" i="24"/>
  <c r="AG62" i="24"/>
  <c r="AG63" i="24"/>
  <c r="AG64" i="24"/>
  <c r="AG65" i="24"/>
  <c r="AG66" i="24"/>
  <c r="AG67" i="24"/>
  <c r="AG68" i="24"/>
  <c r="AG69" i="24"/>
  <c r="AG70" i="24"/>
  <c r="AG71" i="24"/>
  <c r="AG72" i="24"/>
  <c r="AF33" i="24"/>
  <c r="AF34" i="24"/>
  <c r="AF73" i="24"/>
  <c r="AF76" i="24"/>
  <c r="AF35" i="24"/>
  <c r="AF36" i="24"/>
  <c r="AF37" i="24"/>
  <c r="AF38" i="24"/>
  <c r="AF39" i="24"/>
  <c r="AF40" i="24"/>
  <c r="AF41" i="24"/>
  <c r="AF42" i="24"/>
  <c r="AF43" i="24"/>
  <c r="AF44" i="24"/>
  <c r="AF45" i="24"/>
  <c r="AF46" i="24"/>
  <c r="AF47" i="24"/>
  <c r="AF48" i="24"/>
  <c r="AF49" i="24"/>
  <c r="AF50" i="24"/>
  <c r="AF51" i="24"/>
  <c r="AF52" i="24"/>
  <c r="AF53" i="24"/>
  <c r="AF54" i="24"/>
  <c r="AF55" i="24"/>
  <c r="AF56" i="24"/>
  <c r="AF57" i="24"/>
  <c r="AF58" i="24"/>
  <c r="AF59" i="24"/>
  <c r="AF60" i="24"/>
  <c r="AF61" i="24"/>
  <c r="AF62" i="24"/>
  <c r="AF63" i="24"/>
  <c r="AF64" i="24"/>
  <c r="AF65" i="24"/>
  <c r="AF66" i="24"/>
  <c r="AF67" i="24"/>
  <c r="AF68" i="24"/>
  <c r="AF69" i="24"/>
  <c r="AF70" i="24"/>
  <c r="AF71" i="24"/>
  <c r="AF72" i="24"/>
  <c r="AE33" i="24"/>
  <c r="AE34" i="24"/>
  <c r="AE73" i="24"/>
  <c r="AE76" i="24"/>
  <c r="AE35" i="24"/>
  <c r="AE36" i="24"/>
  <c r="AE37" i="24"/>
  <c r="AE38" i="24"/>
  <c r="AE39" i="24"/>
  <c r="AE40" i="24"/>
  <c r="AE41" i="24"/>
  <c r="AE42" i="24"/>
  <c r="AE43" i="24"/>
  <c r="AE44" i="24"/>
  <c r="AE45" i="24"/>
  <c r="AE46" i="24"/>
  <c r="AE47" i="24"/>
  <c r="AE48" i="24"/>
  <c r="AE49" i="24"/>
  <c r="AE50" i="24"/>
  <c r="AE51" i="24"/>
  <c r="AE52" i="24"/>
  <c r="AE53" i="24"/>
  <c r="AE54" i="24"/>
  <c r="AE55" i="24"/>
  <c r="AE56" i="24"/>
  <c r="AE57" i="24"/>
  <c r="AE58" i="24"/>
  <c r="AE59" i="24"/>
  <c r="AE60" i="24"/>
  <c r="AE61" i="24"/>
  <c r="AE62" i="24"/>
  <c r="AE63" i="24"/>
  <c r="AE64" i="24"/>
  <c r="AE65" i="24"/>
  <c r="AE66" i="24"/>
  <c r="AE67" i="24"/>
  <c r="AE68" i="24"/>
  <c r="AE69" i="24"/>
  <c r="AE70" i="24"/>
  <c r="AE71" i="24"/>
  <c r="AE72" i="24"/>
  <c r="AD33" i="24"/>
  <c r="AD34" i="24"/>
  <c r="AD35" i="24"/>
  <c r="AD36" i="24"/>
  <c r="AD37" i="24"/>
  <c r="AD38" i="24"/>
  <c r="AD39" i="24"/>
  <c r="AD40" i="24"/>
  <c r="AD41" i="24"/>
  <c r="AD42" i="24"/>
  <c r="AD43" i="24"/>
  <c r="AD44" i="24"/>
  <c r="AD45" i="24"/>
  <c r="AD46" i="24"/>
  <c r="AD47" i="24"/>
  <c r="AD48" i="24"/>
  <c r="AD49" i="24"/>
  <c r="AD73" i="24"/>
  <c r="AD76" i="24"/>
  <c r="AD50" i="24"/>
  <c r="AD51" i="24"/>
  <c r="AD52" i="24"/>
  <c r="AD53" i="24"/>
  <c r="AD54" i="24"/>
  <c r="AD55" i="24"/>
  <c r="AD56" i="24"/>
  <c r="AD57" i="24"/>
  <c r="AD58" i="24"/>
  <c r="AD59" i="24"/>
  <c r="AD60" i="24"/>
  <c r="AD61" i="24"/>
  <c r="AD62" i="24"/>
  <c r="AD63" i="24"/>
  <c r="AD64" i="24"/>
  <c r="AD65" i="24"/>
  <c r="AD66" i="24"/>
  <c r="AD67" i="24"/>
  <c r="AD68" i="24"/>
  <c r="AD69" i="24"/>
  <c r="AD70" i="24"/>
  <c r="AD71" i="24"/>
  <c r="AD72" i="24"/>
  <c r="AC33" i="24"/>
  <c r="AC34" i="24"/>
  <c r="AC73" i="24"/>
  <c r="AC76" i="24"/>
  <c r="AC35" i="24"/>
  <c r="AC36" i="24"/>
  <c r="AC37" i="24"/>
  <c r="AC38" i="24"/>
  <c r="AC39" i="24"/>
  <c r="AC40" i="24"/>
  <c r="AC41" i="24"/>
  <c r="AC42" i="24"/>
  <c r="AC43" i="24"/>
  <c r="AC44" i="24"/>
  <c r="AC45" i="24"/>
  <c r="AC46" i="24"/>
  <c r="AC47" i="24"/>
  <c r="AC48" i="24"/>
  <c r="AC49" i="24"/>
  <c r="AC50" i="24"/>
  <c r="AC51" i="24"/>
  <c r="AC52" i="24"/>
  <c r="AC53" i="24"/>
  <c r="AC54" i="24"/>
  <c r="AC55" i="24"/>
  <c r="AC56" i="24"/>
  <c r="AC57" i="24"/>
  <c r="AC58" i="24"/>
  <c r="AC59" i="24"/>
  <c r="AC60" i="24"/>
  <c r="AC61" i="24"/>
  <c r="AC62" i="24"/>
  <c r="AC63" i="24"/>
  <c r="AC64" i="24"/>
  <c r="AC65" i="24"/>
  <c r="AC66" i="24"/>
  <c r="AC67" i="24"/>
  <c r="AC68" i="24"/>
  <c r="AC69" i="24"/>
  <c r="AC70" i="24"/>
  <c r="AC71" i="24"/>
  <c r="AC72" i="24"/>
  <c r="AB33" i="24"/>
  <c r="AB34" i="24"/>
  <c r="AB35" i="24"/>
  <c r="AB73" i="24"/>
  <c r="AB76" i="24"/>
  <c r="AB36" i="24"/>
  <c r="AB37" i="24"/>
  <c r="AB38" i="24"/>
  <c r="AB39" i="24"/>
  <c r="AB40" i="24"/>
  <c r="AB41" i="24"/>
  <c r="AB42" i="24"/>
  <c r="AB43" i="24"/>
  <c r="AB44" i="24"/>
  <c r="AB45" i="24"/>
  <c r="AB46" i="24"/>
  <c r="AB47" i="24"/>
  <c r="AB48" i="24"/>
  <c r="AB49" i="24"/>
  <c r="AB50" i="24"/>
  <c r="AB51" i="24"/>
  <c r="AB52" i="24"/>
  <c r="AB53" i="24"/>
  <c r="AB54" i="24"/>
  <c r="AB55" i="24"/>
  <c r="AB56" i="24"/>
  <c r="AB57" i="24"/>
  <c r="AB58" i="24"/>
  <c r="AB59" i="24"/>
  <c r="AB60" i="24"/>
  <c r="AB61" i="24"/>
  <c r="AB62" i="24"/>
  <c r="AB63" i="24"/>
  <c r="AB64" i="24"/>
  <c r="AB65" i="24"/>
  <c r="AB66" i="24"/>
  <c r="AB67" i="24"/>
  <c r="AB68" i="24"/>
  <c r="AB69" i="24"/>
  <c r="AB70" i="24"/>
  <c r="AB71" i="24"/>
  <c r="AB72" i="24"/>
  <c r="AA33" i="24"/>
  <c r="AA34" i="24"/>
  <c r="AA35" i="24"/>
  <c r="AA73" i="24"/>
  <c r="AA76" i="24"/>
  <c r="AA36" i="24"/>
  <c r="AA37" i="24"/>
  <c r="AA38" i="24"/>
  <c r="AA39" i="24"/>
  <c r="AA40" i="24"/>
  <c r="AA41" i="24"/>
  <c r="AA42" i="24"/>
  <c r="AA43" i="24"/>
  <c r="AA44" i="24"/>
  <c r="AA45" i="24"/>
  <c r="AA46" i="24"/>
  <c r="AA47" i="24"/>
  <c r="AA48" i="24"/>
  <c r="AA49" i="24"/>
  <c r="AA50" i="24"/>
  <c r="AA51" i="24"/>
  <c r="AA52" i="24"/>
  <c r="AA53" i="24"/>
  <c r="AA54" i="24"/>
  <c r="AA55" i="24"/>
  <c r="AA56" i="24"/>
  <c r="AA57" i="24"/>
  <c r="AA58" i="24"/>
  <c r="AA59" i="24"/>
  <c r="AA60" i="24"/>
  <c r="AA61" i="24"/>
  <c r="AA62" i="24"/>
  <c r="AA63" i="24"/>
  <c r="AA64" i="24"/>
  <c r="AA65" i="24"/>
  <c r="AA66" i="24"/>
  <c r="AA67" i="24"/>
  <c r="AA68" i="24"/>
  <c r="AA69" i="24"/>
  <c r="AA70" i="24"/>
  <c r="AA71" i="24"/>
  <c r="AA72" i="24"/>
  <c r="Z33" i="24"/>
  <c r="Z34" i="24"/>
  <c r="Z35" i="24"/>
  <c r="Z36" i="24"/>
  <c r="Z37" i="24"/>
  <c r="Z73" i="24"/>
  <c r="Z76" i="24"/>
  <c r="Z38" i="24"/>
  <c r="Z39" i="24"/>
  <c r="Z40" i="24"/>
  <c r="Z41" i="24"/>
  <c r="Z42" i="24"/>
  <c r="Z43" i="24"/>
  <c r="Z44" i="24"/>
  <c r="Z45" i="24"/>
  <c r="Z46" i="24"/>
  <c r="Z47" i="24"/>
  <c r="Z48" i="24"/>
  <c r="Z49" i="24"/>
  <c r="Z50" i="24"/>
  <c r="Z51" i="24"/>
  <c r="Z52" i="24"/>
  <c r="Z53" i="24"/>
  <c r="Z54" i="24"/>
  <c r="Z55" i="24"/>
  <c r="Z56" i="24"/>
  <c r="Z57" i="24"/>
  <c r="Z58" i="24"/>
  <c r="Z59" i="24"/>
  <c r="Z60" i="24"/>
  <c r="Z61" i="24"/>
  <c r="Z62" i="24"/>
  <c r="Z63" i="24"/>
  <c r="Z64" i="24"/>
  <c r="Z65" i="24"/>
  <c r="Z66" i="24"/>
  <c r="Z67" i="24"/>
  <c r="Z68" i="24"/>
  <c r="Z69" i="24"/>
  <c r="Z70" i="24"/>
  <c r="Z71" i="24"/>
  <c r="Z72" i="24"/>
  <c r="Y33" i="24"/>
  <c r="Y34" i="24"/>
  <c r="Y73" i="24"/>
  <c r="Y76" i="24"/>
  <c r="Y35" i="24"/>
  <c r="Y36" i="24"/>
  <c r="Y37" i="24"/>
  <c r="Y38" i="24"/>
  <c r="Y39" i="24"/>
  <c r="Y40" i="24"/>
  <c r="Y41" i="24"/>
  <c r="Y42" i="24"/>
  <c r="Y43" i="24"/>
  <c r="Y44" i="24"/>
  <c r="Y45" i="24"/>
  <c r="Y46" i="24"/>
  <c r="Y47" i="24"/>
  <c r="Y48" i="24"/>
  <c r="Y49" i="24"/>
  <c r="Y50" i="24"/>
  <c r="Y51" i="24"/>
  <c r="Y52" i="24"/>
  <c r="Y53" i="24"/>
  <c r="Y54" i="24"/>
  <c r="Y55" i="24"/>
  <c r="Y56" i="24"/>
  <c r="Y57" i="24"/>
  <c r="Y58" i="24"/>
  <c r="Y59" i="24"/>
  <c r="Y60" i="24"/>
  <c r="Y61" i="24"/>
  <c r="Y62" i="24"/>
  <c r="Y63" i="24"/>
  <c r="Y64" i="24"/>
  <c r="Y65" i="24"/>
  <c r="Y66" i="24"/>
  <c r="Y67" i="24"/>
  <c r="Y68" i="24"/>
  <c r="Y69" i="24"/>
  <c r="Y70" i="24"/>
  <c r="Y71" i="24"/>
  <c r="Y72" i="24"/>
  <c r="AR75" i="24"/>
  <c r="AR77" i="24"/>
  <c r="AQ75" i="24"/>
  <c r="AQ77" i="24"/>
  <c r="AP75" i="24"/>
  <c r="AP77" i="24"/>
  <c r="AO75" i="24"/>
  <c r="AO77" i="24"/>
  <c r="AN75" i="24"/>
  <c r="AN77" i="24"/>
  <c r="AR33" i="24"/>
  <c r="AR34" i="24"/>
  <c r="AR35" i="24"/>
  <c r="AR73" i="24"/>
  <c r="AR76" i="24"/>
  <c r="AR36" i="24"/>
  <c r="AR37" i="24"/>
  <c r="AR38" i="24"/>
  <c r="AR39" i="24"/>
  <c r="AR40" i="24"/>
  <c r="AR41" i="24"/>
  <c r="AR42" i="24"/>
  <c r="AR43" i="24"/>
  <c r="AR44" i="24"/>
  <c r="AR45" i="24"/>
  <c r="AR46" i="24"/>
  <c r="AR47" i="24"/>
  <c r="AR48" i="24"/>
  <c r="AR49" i="24"/>
  <c r="AR50" i="24"/>
  <c r="AR51" i="24"/>
  <c r="AR52" i="24"/>
  <c r="AR53" i="24"/>
  <c r="AR54" i="24"/>
  <c r="AR55" i="24"/>
  <c r="AR56" i="24"/>
  <c r="AR57" i="24"/>
  <c r="AR58" i="24"/>
  <c r="AR59" i="24"/>
  <c r="AR60" i="24"/>
  <c r="AR61" i="24"/>
  <c r="AR62" i="24"/>
  <c r="AR63" i="24"/>
  <c r="AR64" i="24"/>
  <c r="AR65" i="24"/>
  <c r="AR66" i="24"/>
  <c r="AR67" i="24"/>
  <c r="AR68" i="24"/>
  <c r="AR69" i="24"/>
  <c r="AR70" i="24"/>
  <c r="AR71" i="24"/>
  <c r="AR72" i="24"/>
  <c r="AQ33" i="24"/>
  <c r="AQ34" i="24"/>
  <c r="AQ73" i="24"/>
  <c r="AQ76" i="24"/>
  <c r="AQ35" i="24"/>
  <c r="AQ36" i="24"/>
  <c r="AQ37" i="24"/>
  <c r="AQ38" i="24"/>
  <c r="AQ39" i="24"/>
  <c r="AQ40" i="24"/>
  <c r="AQ41" i="24"/>
  <c r="AQ42" i="24"/>
  <c r="AQ43" i="24"/>
  <c r="AQ44" i="24"/>
  <c r="AQ45" i="24"/>
  <c r="AQ46" i="24"/>
  <c r="AQ47" i="24"/>
  <c r="AQ48" i="24"/>
  <c r="AQ49" i="24"/>
  <c r="AQ50" i="24"/>
  <c r="AQ51" i="24"/>
  <c r="AQ52" i="24"/>
  <c r="AQ53" i="24"/>
  <c r="AQ54" i="24"/>
  <c r="AQ55" i="24"/>
  <c r="AQ56" i="24"/>
  <c r="AQ57" i="24"/>
  <c r="AQ58" i="24"/>
  <c r="AQ59" i="24"/>
  <c r="AQ60" i="24"/>
  <c r="AQ61" i="24"/>
  <c r="AQ62" i="24"/>
  <c r="AQ63" i="24"/>
  <c r="AQ64" i="24"/>
  <c r="AQ65" i="24"/>
  <c r="AQ66" i="24"/>
  <c r="AQ67" i="24"/>
  <c r="AQ68" i="24"/>
  <c r="AQ69" i="24"/>
  <c r="AQ70" i="24"/>
  <c r="AQ71" i="24"/>
  <c r="AQ72" i="24"/>
  <c r="AP33" i="24"/>
  <c r="AP34" i="24"/>
  <c r="AP35" i="24"/>
  <c r="AP36" i="24"/>
  <c r="AP73" i="24"/>
  <c r="AP76" i="24"/>
  <c r="AP37" i="24"/>
  <c r="AP38" i="24"/>
  <c r="AP39" i="24"/>
  <c r="AP40" i="24"/>
  <c r="AP41" i="24"/>
  <c r="AP42" i="24"/>
  <c r="AP43" i="24"/>
  <c r="AP44" i="24"/>
  <c r="AP45" i="24"/>
  <c r="AP46" i="24"/>
  <c r="AP47" i="24"/>
  <c r="AP48" i="24"/>
  <c r="AP49" i="24"/>
  <c r="AP50" i="24"/>
  <c r="AP51" i="24"/>
  <c r="AP52" i="24"/>
  <c r="AP53" i="24"/>
  <c r="AP54" i="24"/>
  <c r="AP55" i="24"/>
  <c r="AP56" i="24"/>
  <c r="AP57" i="24"/>
  <c r="AP58" i="24"/>
  <c r="AP59" i="24"/>
  <c r="AP60" i="24"/>
  <c r="AP61" i="24"/>
  <c r="AP62" i="24"/>
  <c r="AP63" i="24"/>
  <c r="AP64" i="24"/>
  <c r="AP65" i="24"/>
  <c r="AP66" i="24"/>
  <c r="AP67" i="24"/>
  <c r="AP68" i="24"/>
  <c r="AP69" i="24"/>
  <c r="AP70" i="24"/>
  <c r="AP71" i="24"/>
  <c r="AP72" i="24"/>
  <c r="AO33" i="24"/>
  <c r="AO34" i="24"/>
  <c r="AO73" i="24"/>
  <c r="AO76" i="24"/>
  <c r="AO35" i="24"/>
  <c r="AO36" i="24"/>
  <c r="AO37" i="24"/>
  <c r="AO38" i="24"/>
  <c r="AO39" i="24"/>
  <c r="AO40" i="24"/>
  <c r="AO41" i="24"/>
  <c r="AO42" i="24"/>
  <c r="AO43" i="24"/>
  <c r="AO44" i="24"/>
  <c r="AO45" i="24"/>
  <c r="AO46" i="24"/>
  <c r="AO47" i="24"/>
  <c r="AO48" i="24"/>
  <c r="AO49" i="24"/>
  <c r="AO50" i="24"/>
  <c r="AO51" i="24"/>
  <c r="AO52" i="24"/>
  <c r="AO53" i="24"/>
  <c r="AO54" i="24"/>
  <c r="AO55" i="24"/>
  <c r="AO56" i="24"/>
  <c r="AO57" i="24"/>
  <c r="AO58" i="24"/>
  <c r="AO59" i="24"/>
  <c r="AO60" i="24"/>
  <c r="AO61" i="24"/>
  <c r="AO62" i="24"/>
  <c r="AO63" i="24"/>
  <c r="AO64" i="24"/>
  <c r="AO65" i="24"/>
  <c r="AO66" i="24"/>
  <c r="AO67" i="24"/>
  <c r="AO68" i="24"/>
  <c r="AO69" i="24"/>
  <c r="AO70" i="24"/>
  <c r="AO71" i="24"/>
  <c r="AO72" i="24"/>
  <c r="AN33" i="24"/>
  <c r="AN34" i="24"/>
  <c r="AN35" i="24"/>
  <c r="AN73" i="24"/>
  <c r="AN76" i="24"/>
  <c r="AN36" i="24"/>
  <c r="AN37" i="24"/>
  <c r="AN38" i="24"/>
  <c r="AN39" i="24"/>
  <c r="AN40" i="24"/>
  <c r="AN41" i="24"/>
  <c r="AN42" i="24"/>
  <c r="AN43" i="24"/>
  <c r="AN44" i="24"/>
  <c r="AN45" i="24"/>
  <c r="AN46" i="24"/>
  <c r="AN47" i="24"/>
  <c r="AN48" i="24"/>
  <c r="AN49" i="24"/>
  <c r="AN50" i="24"/>
  <c r="AN51" i="24"/>
  <c r="AN52" i="24"/>
  <c r="AN53" i="24"/>
  <c r="AN54" i="24"/>
  <c r="AN55" i="24"/>
  <c r="AN56" i="24"/>
  <c r="AN57" i="24"/>
  <c r="AN58" i="24"/>
  <c r="AN59" i="24"/>
  <c r="AN60" i="24"/>
  <c r="AN61" i="24"/>
  <c r="AN62" i="24"/>
  <c r="AN63" i="24"/>
  <c r="AN64" i="24"/>
  <c r="AN65" i="24"/>
  <c r="AN66" i="24"/>
  <c r="AN67" i="24"/>
  <c r="AN68" i="24"/>
  <c r="AN69" i="24"/>
  <c r="AN70" i="24"/>
  <c r="AN71" i="24"/>
  <c r="AN72" i="24"/>
  <c r="B31" i="24"/>
  <c r="A28" i="24"/>
  <c r="Y25" i="24"/>
  <c r="Z25" i="24"/>
  <c r="AA25" i="24"/>
  <c r="AB25" i="24"/>
  <c r="AC25" i="24"/>
  <c r="AD25" i="24"/>
  <c r="AE25" i="24"/>
  <c r="AF25" i="24"/>
  <c r="AG25" i="24"/>
  <c r="AH25" i="24"/>
  <c r="AI25" i="24"/>
  <c r="AJ25" i="24"/>
  <c r="AK25" i="24"/>
  <c r="AL25" i="24"/>
  <c r="AM25" i="24"/>
  <c r="AN25" i="24"/>
  <c r="AO25" i="24"/>
  <c r="AP25" i="24"/>
  <c r="AQ25" i="24"/>
  <c r="AR25" i="24"/>
  <c r="Y22" i="24"/>
  <c r="Z22" i="24"/>
  <c r="AA22" i="24"/>
  <c r="AB22" i="24"/>
  <c r="AC22" i="24"/>
  <c r="AD22" i="24"/>
  <c r="AE22" i="24"/>
  <c r="AF22" i="24"/>
  <c r="AG22" i="24"/>
  <c r="AH22" i="24"/>
  <c r="AI22" i="24"/>
  <c r="AJ22" i="24"/>
  <c r="AK22" i="24"/>
  <c r="AL22" i="24"/>
  <c r="AM22" i="24"/>
  <c r="AN22" i="24"/>
  <c r="AO22" i="24"/>
  <c r="AP22" i="24"/>
  <c r="AQ22" i="24"/>
  <c r="AR22" i="24"/>
  <c r="Y21" i="24"/>
  <c r="Z21" i="24"/>
  <c r="AA21" i="24"/>
  <c r="AB21" i="24"/>
  <c r="AC21" i="24"/>
  <c r="AD21" i="24"/>
  <c r="AE21" i="24"/>
  <c r="AF21" i="24"/>
  <c r="AG21" i="24"/>
  <c r="AH21" i="24"/>
  <c r="AI21" i="24"/>
  <c r="AJ21" i="24"/>
  <c r="AK21" i="24"/>
  <c r="AL21" i="24"/>
  <c r="AM21" i="24"/>
  <c r="AN21" i="24"/>
  <c r="AO21" i="24"/>
  <c r="AP21" i="24"/>
  <c r="AQ21" i="24"/>
  <c r="AR21" i="24"/>
  <c r="A18" i="24"/>
  <c r="B15" i="24"/>
  <c r="AR11" i="24"/>
  <c r="AQ11" i="24"/>
  <c r="AP11" i="24"/>
  <c r="AO11" i="24"/>
  <c r="AN11" i="24"/>
  <c r="AM11" i="24"/>
  <c r="AL11" i="24"/>
  <c r="AK11" i="24"/>
  <c r="AJ11" i="24"/>
  <c r="AI11" i="24"/>
  <c r="AH11" i="24"/>
  <c r="AG11" i="24"/>
  <c r="AF11" i="24"/>
  <c r="AE11" i="24"/>
  <c r="AD11" i="24"/>
  <c r="AC11" i="24"/>
  <c r="AB11" i="24"/>
  <c r="AA11" i="24"/>
  <c r="Z11" i="24"/>
  <c r="Y11" i="24"/>
  <c r="AR2" i="24"/>
  <c r="AQ2" i="24"/>
  <c r="AP2" i="24"/>
  <c r="AO2" i="24"/>
  <c r="AN2" i="24"/>
  <c r="AM2" i="24"/>
  <c r="AL2" i="24"/>
  <c r="AK2" i="24"/>
  <c r="AJ2" i="24"/>
  <c r="AI2" i="24"/>
  <c r="AH2" i="24"/>
  <c r="AG2" i="24"/>
  <c r="AF2" i="24"/>
  <c r="AE2" i="24"/>
  <c r="AD2" i="24"/>
  <c r="AC2" i="24"/>
  <c r="AB2" i="24"/>
  <c r="AA2" i="24"/>
  <c r="Z2" i="24"/>
  <c r="Y2" i="24"/>
  <c r="F14" i="24"/>
  <c r="G14" i="24"/>
  <c r="F8" i="24"/>
  <c r="F205" i="24"/>
  <c r="E85" i="24"/>
  <c r="E86" i="24"/>
  <c r="E87" i="24"/>
  <c r="E81" i="24"/>
  <c r="E205" i="24"/>
  <c r="E82" i="24"/>
  <c r="E83" i="24"/>
  <c r="E190" i="24"/>
  <c r="E4" i="24"/>
  <c r="CV49" i="20"/>
  <c r="O49" i="20"/>
  <c r="CR48" i="20"/>
  <c r="BB48" i="20"/>
  <c r="K48" i="20"/>
  <c r="CY47" i="20"/>
  <c r="CO47" i="20"/>
  <c r="P47" i="20"/>
  <c r="CY46" i="20"/>
  <c r="CQ46" i="20"/>
  <c r="O46" i="20"/>
  <c r="CX45" i="20"/>
  <c r="CP45" i="20"/>
  <c r="BB45" i="20"/>
  <c r="CW44" i="20"/>
  <c r="CO44" i="20"/>
  <c r="BA44" i="20"/>
  <c r="CV43" i="20"/>
  <c r="L43" i="20"/>
  <c r="CU42" i="20"/>
  <c r="K42" i="20"/>
  <c r="CT41" i="20"/>
  <c r="J41" i="20"/>
  <c r="CS40" i="20"/>
  <c r="I40" i="20"/>
  <c r="CR39" i="20"/>
  <c r="P39" i="20"/>
  <c r="CY38" i="20"/>
  <c r="CQ38" i="20"/>
  <c r="CT49" i="20"/>
  <c r="CQ48" i="20"/>
  <c r="BA48" i="20"/>
  <c r="I48" i="20"/>
  <c r="CX47" i="20"/>
  <c r="O47" i="20"/>
  <c r="CX46" i="20"/>
  <c r="CP46" i="20"/>
  <c r="BB46" i="20"/>
  <c r="CW45" i="20"/>
  <c r="CO45" i="20"/>
  <c r="BA45" i="20"/>
  <c r="CV44" i="20"/>
  <c r="L44" i="20"/>
  <c r="CU43" i="20"/>
  <c r="K43" i="20"/>
  <c r="CT42" i="20"/>
  <c r="CS49" i="20"/>
  <c r="L49" i="20"/>
  <c r="CP48" i="20"/>
  <c r="CW47" i="20"/>
  <c r="CW46" i="20"/>
  <c r="CO46" i="20"/>
  <c r="BA46" i="20"/>
  <c r="CV45" i="20"/>
  <c r="L45" i="20"/>
  <c r="CU44" i="20"/>
  <c r="K44" i="20"/>
  <c r="CT43" i="20"/>
  <c r="CP47" i="20"/>
  <c r="CQ45" i="20"/>
  <c r="CQ44" i="20"/>
  <c r="CQ43" i="20"/>
  <c r="CW42" i="20"/>
  <c r="J42" i="20"/>
  <c r="CQ41" i="20"/>
  <c r="CT40" i="20"/>
  <c r="O40" i="20"/>
  <c r="CV39" i="20"/>
  <c r="BB39" i="20"/>
  <c r="I39" i="20"/>
  <c r="CX38" i="20"/>
  <c r="CO38" i="20"/>
  <c r="BA38" i="20"/>
  <c r="CV37" i="20"/>
  <c r="L37" i="20"/>
  <c r="CU36" i="20"/>
  <c r="K36" i="20"/>
  <c r="CT35" i="20"/>
  <c r="J35" i="20"/>
  <c r="CS34" i="20"/>
  <c r="I34" i="20"/>
  <c r="CR33" i="20"/>
  <c r="P33" i="20"/>
  <c r="CY32" i="20"/>
  <c r="CQ32" i="20"/>
  <c r="O32" i="20"/>
  <c r="CX31" i="20"/>
  <c r="CP31" i="20"/>
  <c r="BB31" i="20"/>
  <c r="BB49" i="20"/>
  <c r="P46" i="20"/>
  <c r="P45" i="20"/>
  <c r="CP44" i="20"/>
  <c r="P44" i="20"/>
  <c r="CP43" i="20"/>
  <c r="CV42" i="20"/>
  <c r="I42" i="20"/>
  <c r="CY41" i="20"/>
  <c r="CP41" i="20"/>
  <c r="L41" i="20"/>
  <c r="CR40" i="20"/>
  <c r="CU39" i="20"/>
  <c r="BA39" i="20"/>
  <c r="CW38" i="20"/>
  <c r="L38" i="20"/>
  <c r="CU37" i="20"/>
  <c r="K37" i="20"/>
  <c r="CT36" i="20"/>
  <c r="CY48" i="20"/>
  <c r="BB47" i="20"/>
  <c r="L47" i="20"/>
  <c r="L46" i="20"/>
  <c r="O45" i="20"/>
  <c r="BB44" i="20"/>
  <c r="O44" i="20"/>
  <c r="CO43" i="20"/>
  <c r="BB43" i="20"/>
  <c r="P43" i="20"/>
  <c r="CS42" i="20"/>
  <c r="CX41" i="20"/>
  <c r="CO41" i="20"/>
  <c r="K41" i="20"/>
  <c r="CQ40" i="20"/>
  <c r="CT39" i="20"/>
  <c r="O39" i="20"/>
  <c r="CV38" i="20"/>
  <c r="K38" i="20"/>
  <c r="CT37" i="20"/>
  <c r="J37" i="20"/>
  <c r="CS36" i="20"/>
  <c r="I36" i="20"/>
  <c r="CR35" i="20"/>
  <c r="P35" i="20"/>
  <c r="CY34" i="20"/>
  <c r="CQ34" i="20"/>
  <c r="CQ49" i="20"/>
  <c r="I49" i="20"/>
  <c r="CS48" i="20"/>
  <c r="P48" i="20"/>
  <c r="CQ47" i="20"/>
  <c r="CU46" i="20"/>
  <c r="CU45" i="20"/>
  <c r="CX44" i="20"/>
  <c r="CX43" i="20"/>
  <c r="BB42" i="20"/>
  <c r="L42" i="20"/>
  <c r="CU41" i="20"/>
  <c r="BB41" i="20"/>
  <c r="I41" i="20"/>
  <c r="CV40" i="20"/>
  <c r="K40" i="20"/>
  <c r="CW39" i="20"/>
  <c r="L39" i="20"/>
  <c r="CU38" i="20"/>
  <c r="I38" i="20"/>
  <c r="CW37" i="20"/>
  <c r="I37" i="20"/>
  <c r="CW36" i="20"/>
  <c r="O36" i="20"/>
  <c r="CS35" i="20"/>
  <c r="BB35" i="20"/>
  <c r="L35" i="20"/>
  <c r="CO34" i="20"/>
  <c r="K34" i="20"/>
  <c r="CQ33" i="20"/>
  <c r="CT32" i="20"/>
  <c r="P32" i="20"/>
  <c r="CV31" i="20"/>
  <c r="L31" i="20"/>
  <c r="CU30" i="20"/>
  <c r="K30" i="20"/>
  <c r="CT29" i="20"/>
  <c r="J29" i="20"/>
  <c r="P49" i="20"/>
  <c r="O48" i="20"/>
  <c r="CT46" i="20"/>
  <c r="CT45" i="20"/>
  <c r="CT44" i="20"/>
  <c r="CW43" i="20"/>
  <c r="BA42" i="20"/>
  <c r="CS41" i="20"/>
  <c r="BA41" i="20"/>
  <c r="CU40" i="20"/>
  <c r="BB40" i="20"/>
  <c r="J40" i="20"/>
  <c r="CS39" i="20"/>
  <c r="K39" i="20"/>
  <c r="CT38" i="20"/>
  <c r="CS37" i="20"/>
  <c r="CV36" i="20"/>
  <c r="CQ35" i="20"/>
  <c r="BA35" i="20"/>
  <c r="K35" i="20"/>
  <c r="CX34" i="20"/>
  <c r="J34" i="20"/>
  <c r="CY33" i="20"/>
  <c r="CP33" i="20"/>
  <c r="L33" i="20"/>
  <c r="CS32" i="20"/>
  <c r="CU31" i="20"/>
  <c r="BA31" i="20"/>
  <c r="K31" i="20"/>
  <c r="CT30" i="20"/>
  <c r="J30" i="20"/>
  <c r="CS29" i="20"/>
  <c r="I29" i="20"/>
  <c r="J49" i="20"/>
  <c r="K47" i="20"/>
  <c r="CS46" i="20"/>
  <c r="K46" i="20"/>
  <c r="CS45" i="20"/>
  <c r="K45" i="20"/>
  <c r="CS44" i="20"/>
  <c r="CS43" i="20"/>
  <c r="O43" i="20"/>
  <c r="CY42" i="20"/>
  <c r="CR41" i="20"/>
  <c r="CP40" i="20"/>
  <c r="BA40" i="20"/>
  <c r="CQ39" i="20"/>
  <c r="J39" i="20"/>
  <c r="CS38" i="20"/>
  <c r="CR37" i="20"/>
  <c r="CR36" i="20"/>
  <c r="CP35" i="20"/>
  <c r="I35" i="20"/>
  <c r="CW34" i="20"/>
  <c r="CX33" i="20"/>
  <c r="CO33" i="20"/>
  <c r="K33" i="20"/>
  <c r="CR32" i="20"/>
  <c r="CT31" i="20"/>
  <c r="J31" i="20"/>
  <c r="CS30" i="20"/>
  <c r="I30" i="20"/>
  <c r="CR29" i="20"/>
  <c r="P29" i="20"/>
  <c r="BA47" i="20"/>
  <c r="J47" i="20"/>
  <c r="CR46" i="20"/>
  <c r="J46" i="20"/>
  <c r="CR45" i="20"/>
  <c r="J45" i="20"/>
  <c r="CR44" i="20"/>
  <c r="J44" i="20"/>
  <c r="CR43" i="20"/>
  <c r="BA43" i="20"/>
  <c r="CX42" i="20"/>
  <c r="CO40" i="20"/>
  <c r="CP39" i="20"/>
  <c r="CR38" i="20"/>
  <c r="CQ37" i="20"/>
  <c r="CQ36" i="20"/>
  <c r="L36" i="20"/>
  <c r="CY35" i="20"/>
  <c r="CO35" i="20"/>
  <c r="CY49" i="20"/>
  <c r="CX48" i="20"/>
  <c r="I47" i="20"/>
  <c r="I46" i="20"/>
  <c r="I45" i="20"/>
  <c r="I44" i="20"/>
  <c r="CR42" i="20"/>
  <c r="P42" i="20"/>
  <c r="CO39" i="20"/>
  <c r="CP38" i="20"/>
  <c r="P38" i="20"/>
  <c r="CP37" i="20"/>
  <c r="P37" i="20"/>
  <c r="CP36" i="20"/>
  <c r="J36" i="20"/>
  <c r="CX35" i="20"/>
  <c r="CU34" i="20"/>
  <c r="O34" i="20"/>
  <c r="CV33" i="20"/>
  <c r="BB33" i="20"/>
  <c r="I33" i="20"/>
  <c r="CX32" i="20"/>
  <c r="CO32" i="20"/>
  <c r="K32" i="20"/>
  <c r="CR31" i="20"/>
  <c r="CX49" i="20"/>
  <c r="CW48" i="20"/>
  <c r="CV47" i="20"/>
  <c r="CR49" i="20"/>
  <c r="CU48" i="20"/>
  <c r="CT47" i="20"/>
  <c r="I43" i="20"/>
  <c r="CP42" i="20"/>
  <c r="CW41" i="20"/>
  <c r="O41" i="20"/>
  <c r="CX40" i="20"/>
  <c r="P40" i="20"/>
  <c r="CY39" i="20"/>
  <c r="CY37" i="20"/>
  <c r="BA37" i="20"/>
  <c r="CY36" i="20"/>
  <c r="BA36" i="20"/>
  <c r="CY45" i="20"/>
  <c r="CO42" i="20"/>
  <c r="CX39" i="20"/>
  <c r="O35" i="20"/>
  <c r="CT34" i="20"/>
  <c r="BB34" i="20"/>
  <c r="CU33" i="20"/>
  <c r="I31" i="20"/>
  <c r="CW30" i="20"/>
  <c r="L30" i="20"/>
  <c r="CW29" i="20"/>
  <c r="CR47" i="20"/>
  <c r="O42" i="20"/>
  <c r="CY40" i="20"/>
  <c r="CR34" i="20"/>
  <c r="BA34" i="20"/>
  <c r="CT33" i="20"/>
  <c r="BB32" i="20"/>
  <c r="CY31" i="20"/>
  <c r="CV30" i="20"/>
  <c r="CV29" i="20"/>
  <c r="K29" i="20"/>
  <c r="CY44" i="20"/>
  <c r="CW40" i="20"/>
  <c r="CW35" i="20"/>
  <c r="CP34" i="20"/>
  <c r="L34" i="20"/>
  <c r="CS33" i="20"/>
  <c r="BA32" i="20"/>
  <c r="CW31" i="20"/>
  <c r="CR30" i="20"/>
  <c r="E176" i="24"/>
  <c r="CU29" i="20"/>
  <c r="CP49" i="20"/>
  <c r="O38" i="20"/>
  <c r="O37" i="20"/>
  <c r="CV35" i="20"/>
  <c r="L32" i="20"/>
  <c r="CS31" i="20"/>
  <c r="CQ30" i="20"/>
  <c r="CQ29" i="20"/>
  <c r="CY43" i="20"/>
  <c r="CV41" i="20"/>
  <c r="J38" i="20"/>
  <c r="CU35" i="20"/>
  <c r="BA33" i="20"/>
  <c r="CW32" i="20"/>
  <c r="J32" i="20"/>
  <c r="CQ31" i="20"/>
  <c r="P31" i="20"/>
  <c r="CP30" i="20"/>
  <c r="P30" i="20"/>
  <c r="CP29" i="20"/>
  <c r="J43" i="20"/>
  <c r="BB38" i="20"/>
  <c r="BB37" i="20"/>
  <c r="BB36" i="20"/>
  <c r="O33" i="20"/>
  <c r="CV32" i="20"/>
  <c r="I32" i="20"/>
  <c r="CO31" i="20"/>
  <c r="O31" i="20"/>
  <c r="CO30" i="20"/>
  <c r="BB30" i="20"/>
  <c r="O30" i="20"/>
  <c r="CO29" i="20"/>
  <c r="BB29" i="20"/>
  <c r="O29" i="20"/>
  <c r="CO48" i="20"/>
  <c r="CV46" i="20"/>
  <c r="L40" i="20"/>
  <c r="CX37" i="20"/>
  <c r="CX36" i="20"/>
  <c r="P36" i="20"/>
  <c r="CU32" i="20"/>
  <c r="CY30" i="20"/>
  <c r="BA30" i="20"/>
  <c r="CY29" i="20"/>
  <c r="BA29" i="20"/>
  <c r="J33" i="20"/>
  <c r="CP32" i="20"/>
  <c r="P34" i="20"/>
  <c r="CW33" i="20"/>
  <c r="CQ42" i="20"/>
  <c r="CO37" i="20"/>
  <c r="CX30" i="20"/>
  <c r="CX29" i="20"/>
  <c r="CV34" i="20"/>
  <c r="P41" i="20"/>
  <c r="CO36" i="20"/>
  <c r="AH33" i="14"/>
  <c r="BD33" i="14"/>
  <c r="BC35" i="14"/>
  <c r="AG36" i="14"/>
  <c r="AQ30" i="14"/>
  <c r="BD35" i="14"/>
  <c r="AH30" i="14"/>
  <c r="AR30" i="14"/>
  <c r="BC30" i="14"/>
  <c r="AQ32" i="14"/>
  <c r="AG35" i="14"/>
  <c r="AQ36" i="14"/>
  <c r="BD30" i="14"/>
  <c r="AG32" i="14"/>
  <c r="AR32" i="14"/>
  <c r="BC32" i="14"/>
  <c r="AQ34" i="14"/>
  <c r="AQ29" i="14"/>
  <c r="BD34" i="14"/>
  <c r="AG33" i="14"/>
  <c r="AH36" i="14"/>
  <c r="BC37" i="14"/>
  <c r="AG38" i="14"/>
  <c r="AQ39" i="14"/>
  <c r="AR31" i="14"/>
  <c r="BD32" i="14"/>
  <c r="BD37" i="14"/>
  <c r="AH38" i="14"/>
  <c r="BC34" i="14"/>
  <c r="BC36" i="14"/>
  <c r="AG37" i="14"/>
  <c r="BD29" i="14"/>
  <c r="AQ33" i="14"/>
  <c r="BD36" i="14"/>
  <c r="AH37" i="14"/>
  <c r="AH34" i="14"/>
  <c r="AQ37" i="14"/>
  <c r="BC39" i="14"/>
  <c r="AQ38" i="14"/>
  <c r="BC38" i="14"/>
  <c r="BC40" i="14"/>
  <c r="AG41" i="14"/>
  <c r="AQ42" i="14"/>
  <c r="BC44" i="14"/>
  <c r="AG45" i="14"/>
  <c r="AQ46" i="14"/>
  <c r="AR38" i="14"/>
  <c r="BD38" i="14"/>
  <c r="AG31" i="14"/>
  <c r="AG39" i="14"/>
  <c r="AR39" i="14"/>
  <c r="AG40" i="14"/>
  <c r="AQ41" i="14"/>
  <c r="BC43" i="14"/>
  <c r="AH31" i="14"/>
  <c r="AH35" i="14"/>
  <c r="AR37" i="14"/>
  <c r="BC31" i="14"/>
  <c r="AR34" i="14"/>
  <c r="AQ35" i="14"/>
  <c r="AQ40" i="14"/>
  <c r="AR44" i="14"/>
  <c r="AH45" i="14"/>
  <c r="AQ45" i="14"/>
  <c r="BC48" i="14"/>
  <c r="AG49" i="14"/>
  <c r="BC41" i="14"/>
  <c r="AH39" i="14"/>
  <c r="AR40" i="14"/>
  <c r="BD40" i="14"/>
  <c r="AR41" i="14"/>
  <c r="BD41" i="14"/>
  <c r="AH43" i="14"/>
  <c r="AR43" i="14"/>
  <c r="BD43" i="14"/>
  <c r="BD44" i="14"/>
  <c r="AH46" i="14"/>
  <c r="AR46" i="14"/>
  <c r="AG47" i="14"/>
  <c r="AG48" i="14"/>
  <c r="AR35" i="14"/>
  <c r="BD39" i="14"/>
  <c r="AH40" i="14"/>
  <c r="AH41" i="14"/>
  <c r="BD45" i="14"/>
  <c r="BC46" i="14"/>
  <c r="AR42" i="14"/>
  <c r="AQ43" i="14"/>
  <c r="AG44" i="14"/>
  <c r="AG46" i="14"/>
  <c r="AH44" i="14"/>
  <c r="AR36" i="14"/>
  <c r="AQ47" i="14"/>
  <c r="BC47" i="14"/>
  <c r="AG42" i="14"/>
  <c r="AG43" i="14"/>
  <c r="AR47" i="14"/>
  <c r="BD47" i="14"/>
  <c r="AQ48" i="14"/>
  <c r="AH49" i="14"/>
  <c r="AQ49" i="14"/>
  <c r="AH42" i="14"/>
  <c r="BC45" i="14"/>
  <c r="BD46" i="14"/>
  <c r="AH47" i="14"/>
  <c r="AH48" i="14"/>
  <c r="AR48" i="14"/>
  <c r="AR49" i="14"/>
  <c r="BC42" i="14"/>
  <c r="BD48" i="14"/>
  <c r="BD42" i="14"/>
  <c r="AQ44" i="14"/>
  <c r="AR45" i="14"/>
  <c r="BC49" i="14"/>
  <c r="BD49" i="14"/>
  <c r="G8" i="24"/>
  <c r="F81" i="24"/>
  <c r="F82" i="24"/>
  <c r="F83" i="24"/>
  <c r="F85" i="24"/>
  <c r="F86" i="24"/>
  <c r="F87" i="24"/>
  <c r="AF97" i="24"/>
  <c r="AF98" i="24"/>
  <c r="AN97" i="24"/>
  <c r="AN98" i="24"/>
  <c r="AG98" i="24"/>
  <c r="AA97" i="24"/>
  <c r="AA98" i="24"/>
  <c r="AI97" i="24"/>
  <c r="AI98" i="24"/>
  <c r="AQ97" i="24"/>
  <c r="AQ98" i="24"/>
  <c r="AB98" i="24"/>
  <c r="AJ98" i="24"/>
  <c r="AR98" i="24"/>
  <c r="AD97" i="24"/>
  <c r="AD98" i="24"/>
  <c r="AL97" i="24"/>
  <c r="AL98" i="24"/>
  <c r="AP92" i="23"/>
  <c r="AP96" i="23"/>
  <c r="AP98" i="24"/>
  <c r="AE95" i="23"/>
  <c r="AE91" i="23"/>
  <c r="AP95" i="23"/>
  <c r="AP91" i="23"/>
  <c r="AR95" i="23"/>
  <c r="AR91" i="23"/>
  <c r="AQ96" i="23"/>
  <c r="AQ92" i="23"/>
  <c r="AC98" i="24"/>
  <c r="AK98" i="24"/>
  <c r="AM95" i="23"/>
  <c r="AM91" i="23"/>
  <c r="AG96" i="23"/>
  <c r="AG92" i="23"/>
  <c r="Z96" i="24"/>
  <c r="Z97" i="24"/>
  <c r="AH96" i="24"/>
  <c r="AH97" i="24"/>
  <c r="AG95" i="23"/>
  <c r="AG91" i="23"/>
  <c r="AH92" i="23"/>
  <c r="AH96" i="23"/>
  <c r="AH95" i="23"/>
  <c r="AH91" i="23"/>
  <c r="AD91" i="23"/>
  <c r="AD95" i="23"/>
  <c r="AO95" i="23"/>
  <c r="AO91" i="23"/>
  <c r="AI96" i="23"/>
  <c r="AI92" i="23"/>
  <c r="E222" i="24"/>
  <c r="F220" i="24"/>
  <c r="E221" i="24"/>
  <c r="AK91" i="23"/>
  <c r="AK95" i="23"/>
  <c r="AN95" i="23"/>
  <c r="AN91" i="23"/>
  <c r="AL91" i="23"/>
  <c r="AL95" i="23"/>
  <c r="AI91" i="23"/>
  <c r="AI95" i="23"/>
  <c r="AJ95" i="23"/>
  <c r="AJ91" i="23"/>
  <c r="AF95" i="23"/>
  <c r="AF91" i="23"/>
  <c r="AQ91" i="23"/>
  <c r="AQ95" i="23"/>
  <c r="AK96" i="23"/>
  <c r="AK92" i="23"/>
  <c r="AO96" i="23"/>
  <c r="AO92" i="23"/>
  <c r="E114" i="23"/>
  <c r="E107" i="23"/>
  <c r="E115" i="23"/>
  <c r="E115" i="24"/>
  <c r="E103" i="24"/>
  <c r="E102" i="24"/>
  <c r="E104" i="24"/>
  <c r="F101" i="24"/>
  <c r="F93" i="24"/>
  <c r="H21" i="23"/>
  <c r="I20" i="23"/>
  <c r="J17" i="23"/>
  <c r="J18" i="23"/>
  <c r="K15" i="23"/>
  <c r="E75" i="23"/>
  <c r="G75" i="23"/>
  <c r="M75" i="23"/>
  <c r="L75" i="23"/>
  <c r="I75" i="23"/>
  <c r="K75" i="23"/>
  <c r="H75" i="23"/>
  <c r="J75" i="23"/>
  <c r="E59" i="23"/>
  <c r="G59" i="23"/>
  <c r="M59" i="23"/>
  <c r="L59" i="23"/>
  <c r="I59" i="23"/>
  <c r="K59" i="23"/>
  <c r="H59" i="23"/>
  <c r="J59" i="23"/>
  <c r="E43" i="23"/>
  <c r="AL28" i="14"/>
  <c r="I194" i="23"/>
  <c r="E121" i="23"/>
  <c r="F31" i="23"/>
  <c r="F71" i="23"/>
  <c r="F55" i="23"/>
  <c r="E39" i="23"/>
  <c r="D42" i="23"/>
  <c r="H195" i="23"/>
  <c r="K28" i="14"/>
  <c r="E120" i="23"/>
  <c r="E162" i="23"/>
  <c r="F30" i="23"/>
  <c r="E103" i="23"/>
  <c r="E101" i="23"/>
  <c r="H189" i="23"/>
  <c r="BI28" i="14"/>
  <c r="AY28" i="14"/>
  <c r="E207" i="23"/>
  <c r="E148" i="23"/>
  <c r="E199" i="23"/>
  <c r="F6" i="23"/>
  <c r="T28" i="20"/>
  <c r="G92" i="24"/>
  <c r="H92" i="24"/>
  <c r="I92" i="24"/>
  <c r="F99" i="24"/>
  <c r="BM28" i="20"/>
  <c r="F122" i="24"/>
  <c r="G122" i="24"/>
  <c r="H122" i="24"/>
  <c r="I122" i="24"/>
  <c r="I24" i="24"/>
  <c r="E6" i="24"/>
  <c r="E9" i="24"/>
  <c r="E5" i="24"/>
  <c r="G107" i="24"/>
  <c r="F109" i="24"/>
  <c r="AU28" i="20"/>
  <c r="F110" i="24"/>
  <c r="E98" i="24"/>
  <c r="E119" i="24"/>
  <c r="CU47" i="20"/>
  <c r="L48" i="20"/>
  <c r="CV48" i="20"/>
  <c r="BA49" i="20"/>
  <c r="CO49" i="20"/>
  <c r="CW49" i="20"/>
  <c r="CS47" i="20"/>
  <c r="J48" i="20"/>
  <c r="CT48" i="20"/>
  <c r="K49" i="20"/>
  <c r="CU49" i="20"/>
  <c r="AG34" i="14"/>
  <c r="BC33" i="14"/>
  <c r="AQ31" i="14"/>
  <c r="AG30" i="14"/>
  <c r="BC29" i="14"/>
  <c r="AR33" i="14"/>
  <c r="AH32" i="14"/>
  <c r="BD31" i="14"/>
  <c r="AR29" i="14"/>
  <c r="H14" i="24"/>
  <c r="G15" i="24"/>
  <c r="G207" i="24"/>
  <c r="G198" i="24"/>
  <c r="F15" i="24"/>
  <c r="F207" i="24"/>
  <c r="F198" i="24"/>
  <c r="E191" i="24"/>
  <c r="E165" i="24"/>
  <c r="F4" i="24"/>
  <c r="F5" i="24"/>
  <c r="E206" i="24"/>
  <c r="F190" i="24"/>
  <c r="F191" i="24"/>
  <c r="H8" i="24"/>
  <c r="G81" i="24"/>
  <c r="G82" i="24"/>
  <c r="G83" i="24"/>
  <c r="G85" i="24"/>
  <c r="G86" i="24"/>
  <c r="G205" i="24"/>
  <c r="G87" i="24"/>
  <c r="I14" i="24"/>
  <c r="H15" i="24"/>
  <c r="H207" i="24"/>
  <c r="H198" i="24"/>
  <c r="E42" i="23"/>
  <c r="E82" i="23"/>
  <c r="E85" i="23"/>
  <c r="M42" i="23"/>
  <c r="F42" i="23"/>
  <c r="O42" i="23"/>
  <c r="I42" i="23"/>
  <c r="K42" i="23"/>
  <c r="H42" i="23"/>
  <c r="J42" i="23"/>
  <c r="N42" i="23"/>
  <c r="G42" i="23"/>
  <c r="T42" i="23"/>
  <c r="Q42" i="23"/>
  <c r="W42" i="23"/>
  <c r="L42" i="23"/>
  <c r="P42" i="23"/>
  <c r="V42" i="23"/>
  <c r="S42" i="23"/>
  <c r="U42" i="23"/>
  <c r="R42" i="23"/>
  <c r="X42" i="23"/>
  <c r="E102" i="23"/>
  <c r="E119" i="23"/>
  <c r="E163" i="23"/>
  <c r="F100" i="23"/>
  <c r="J194" i="23"/>
  <c r="AH98" i="24"/>
  <c r="L28" i="14"/>
  <c r="E118" i="23"/>
  <c r="E130" i="23"/>
  <c r="E131" i="23"/>
  <c r="E117" i="23"/>
  <c r="E165" i="23"/>
  <c r="F221" i="24"/>
  <c r="G220" i="24"/>
  <c r="F222" i="24"/>
  <c r="Z98" i="24"/>
  <c r="G93" i="24"/>
  <c r="F102" i="24"/>
  <c r="F103" i="24"/>
  <c r="E164" i="23"/>
  <c r="E126" i="23"/>
  <c r="E127" i="23"/>
  <c r="G6" i="23"/>
  <c r="F148" i="23"/>
  <c r="F199" i="23"/>
  <c r="F206" i="23"/>
  <c r="F207" i="23"/>
  <c r="F38" i="23"/>
  <c r="F200" i="23"/>
  <c r="F202" i="23"/>
  <c r="F204" i="23"/>
  <c r="F166" i="23"/>
  <c r="G30" i="23"/>
  <c r="F120" i="23"/>
  <c r="K17" i="23"/>
  <c r="K18" i="23"/>
  <c r="L15" i="23"/>
  <c r="E108" i="23"/>
  <c r="F105" i="23"/>
  <c r="E29" i="24"/>
  <c r="E30" i="24"/>
  <c r="D33" i="24"/>
  <c r="E149" i="24"/>
  <c r="E168" i="24"/>
  <c r="E164" i="24"/>
  <c r="J24" i="24"/>
  <c r="BN28" i="20"/>
  <c r="BJ28" i="14"/>
  <c r="E167" i="23"/>
  <c r="I195" i="23"/>
  <c r="E118" i="24"/>
  <c r="E131" i="24"/>
  <c r="E132" i="24"/>
  <c r="E133" i="24"/>
  <c r="E117" i="24"/>
  <c r="G99" i="24"/>
  <c r="G96" i="24"/>
  <c r="G97" i="24"/>
  <c r="F98" i="24"/>
  <c r="F119" i="24"/>
  <c r="F121" i="23"/>
  <c r="G31" i="23"/>
  <c r="AM28" i="14"/>
  <c r="I21" i="23"/>
  <c r="J20" i="23"/>
  <c r="E114" i="24"/>
  <c r="G109" i="24"/>
  <c r="H107" i="24"/>
  <c r="AZ28" i="14"/>
  <c r="F6" i="24"/>
  <c r="F165" i="24"/>
  <c r="F206" i="24"/>
  <c r="F9" i="24"/>
  <c r="G4" i="24"/>
  <c r="G191" i="24"/>
  <c r="G190" i="24"/>
  <c r="J14" i="24"/>
  <c r="I15" i="24"/>
  <c r="I207" i="24"/>
  <c r="I198" i="24"/>
  <c r="I8" i="24"/>
  <c r="H81" i="24"/>
  <c r="H86" i="24"/>
  <c r="H82" i="24"/>
  <c r="H83" i="24"/>
  <c r="H85" i="24"/>
  <c r="H87" i="24"/>
  <c r="H205" i="24"/>
  <c r="F118" i="24"/>
  <c r="F117" i="24"/>
  <c r="E132" i="23"/>
  <c r="BK28" i="14"/>
  <c r="K24" i="24"/>
  <c r="G38" i="23"/>
  <c r="G207" i="23"/>
  <c r="G202" i="23"/>
  <c r="H6" i="23"/>
  <c r="G148" i="23"/>
  <c r="G199" i="23"/>
  <c r="G166" i="23"/>
  <c r="G206" i="23"/>
  <c r="G200" i="23"/>
  <c r="G204" i="23"/>
  <c r="E128" i="23"/>
  <c r="E86" i="23"/>
  <c r="J94" i="23"/>
  <c r="J90" i="23"/>
  <c r="J89" i="23"/>
  <c r="K88" i="23"/>
  <c r="G121" i="23"/>
  <c r="H31" i="23"/>
  <c r="J21" i="23"/>
  <c r="K20" i="23"/>
  <c r="G102" i="24"/>
  <c r="H93" i="24"/>
  <c r="G110" i="24"/>
  <c r="F104" i="24"/>
  <c r="G101" i="24"/>
  <c r="E166" i="24"/>
  <c r="E127" i="24"/>
  <c r="E128" i="24"/>
  <c r="E129" i="24"/>
  <c r="J195" i="23"/>
  <c r="H96" i="24"/>
  <c r="H97" i="24"/>
  <c r="G98" i="24"/>
  <c r="G119" i="24"/>
  <c r="H99" i="24"/>
  <c r="L17" i="23"/>
  <c r="L18" i="23"/>
  <c r="M15" i="23"/>
  <c r="F39" i="23"/>
  <c r="D43" i="23"/>
  <c r="F106" i="23"/>
  <c r="F115" i="23"/>
  <c r="F115" i="24"/>
  <c r="F131" i="24"/>
  <c r="F132" i="24"/>
  <c r="F133" i="24"/>
  <c r="BO28" i="20"/>
  <c r="F29" i="24"/>
  <c r="F30" i="24"/>
  <c r="D34" i="24"/>
  <c r="F149" i="24"/>
  <c r="F164" i="24"/>
  <c r="F168" i="24"/>
  <c r="F114" i="24"/>
  <c r="BA28" i="14"/>
  <c r="H109" i="24"/>
  <c r="I107" i="24"/>
  <c r="E75" i="24"/>
  <c r="F33" i="24"/>
  <c r="G33" i="24"/>
  <c r="H33" i="24"/>
  <c r="I33" i="24"/>
  <c r="J33" i="24"/>
  <c r="K33" i="24"/>
  <c r="L33" i="24"/>
  <c r="M33" i="24"/>
  <c r="N33" i="24"/>
  <c r="O33" i="24"/>
  <c r="P33" i="24"/>
  <c r="Q33" i="24"/>
  <c r="S33" i="24"/>
  <c r="V33" i="24"/>
  <c r="W33" i="24"/>
  <c r="R33" i="24"/>
  <c r="T33" i="24"/>
  <c r="U33" i="24"/>
  <c r="X33" i="24"/>
  <c r="E33" i="24"/>
  <c r="E73" i="24"/>
  <c r="E76" i="24"/>
  <c r="F162" i="23"/>
  <c r="G221" i="24"/>
  <c r="G222" i="24"/>
  <c r="H220" i="24"/>
  <c r="M28" i="14"/>
  <c r="K194" i="23"/>
  <c r="J91" i="23"/>
  <c r="J95" i="23"/>
  <c r="AN28" i="14"/>
  <c r="E167" i="24"/>
  <c r="H30" i="23"/>
  <c r="G120" i="23"/>
  <c r="G162" i="23"/>
  <c r="F101" i="23"/>
  <c r="F103" i="23"/>
  <c r="G5" i="24"/>
  <c r="G206" i="24"/>
  <c r="H4" i="24"/>
  <c r="G9" i="24"/>
  <c r="E169" i="24"/>
  <c r="G6" i="24"/>
  <c r="G165" i="24"/>
  <c r="J8" i="24"/>
  <c r="J81" i="24"/>
  <c r="I81" i="24"/>
  <c r="I82" i="24"/>
  <c r="I83" i="24"/>
  <c r="I85" i="24"/>
  <c r="I86" i="24"/>
  <c r="I205" i="24"/>
  <c r="I87" i="24"/>
  <c r="K14" i="24"/>
  <c r="J15" i="24"/>
  <c r="H190" i="24"/>
  <c r="H191" i="24"/>
  <c r="F102" i="23"/>
  <c r="F119" i="23"/>
  <c r="F163" i="23"/>
  <c r="G100" i="23"/>
  <c r="N28" i="14"/>
  <c r="J82" i="24"/>
  <c r="K195" i="23"/>
  <c r="K21" i="23"/>
  <c r="L20" i="23"/>
  <c r="H110" i="24"/>
  <c r="H121" i="23"/>
  <c r="I31" i="23"/>
  <c r="L24" i="24"/>
  <c r="BP28" i="20"/>
  <c r="R43" i="23"/>
  <c r="T43" i="23"/>
  <c r="Q43" i="23"/>
  <c r="N43" i="23"/>
  <c r="P43" i="23"/>
  <c r="S43" i="23"/>
  <c r="O43" i="23"/>
  <c r="U43" i="23"/>
  <c r="X43" i="23"/>
  <c r="V43" i="23"/>
  <c r="W43" i="23"/>
  <c r="I43" i="23"/>
  <c r="K43" i="23"/>
  <c r="H43" i="23"/>
  <c r="J43" i="23"/>
  <c r="F43" i="23"/>
  <c r="F82" i="23"/>
  <c r="F85" i="23"/>
  <c r="G43" i="23"/>
  <c r="M43" i="23"/>
  <c r="L43" i="23"/>
  <c r="H98" i="24"/>
  <c r="H119" i="24"/>
  <c r="I96" i="24"/>
  <c r="I97" i="24"/>
  <c r="I99" i="24"/>
  <c r="I93" i="24"/>
  <c r="H102" i="24"/>
  <c r="L194" i="23"/>
  <c r="BB28" i="14"/>
  <c r="M17" i="23"/>
  <c r="M18" i="23"/>
  <c r="N15" i="23"/>
  <c r="G114" i="24"/>
  <c r="G103" i="24"/>
  <c r="G115" i="24"/>
  <c r="I220" i="24"/>
  <c r="H221" i="24"/>
  <c r="H222" i="24"/>
  <c r="F166" i="24"/>
  <c r="F127" i="24"/>
  <c r="F128" i="24"/>
  <c r="F129" i="24"/>
  <c r="F107" i="23"/>
  <c r="H202" i="23"/>
  <c r="I6" i="23"/>
  <c r="H148" i="23"/>
  <c r="H199" i="23"/>
  <c r="H38" i="23"/>
  <c r="H207" i="23"/>
  <c r="H166" i="23"/>
  <c r="H204" i="23"/>
  <c r="H200" i="23"/>
  <c r="H206" i="23"/>
  <c r="E77" i="24"/>
  <c r="F75" i="24"/>
  <c r="F114" i="23"/>
  <c r="F167" i="24"/>
  <c r="I30" i="23"/>
  <c r="H120" i="23"/>
  <c r="H162" i="23"/>
  <c r="I109" i="24"/>
  <c r="F34" i="24"/>
  <c r="F73" i="24"/>
  <c r="F76" i="24"/>
  <c r="G34" i="24"/>
  <c r="H34" i="24"/>
  <c r="I34" i="24"/>
  <c r="J34" i="24"/>
  <c r="K34" i="24"/>
  <c r="L34" i="24"/>
  <c r="M34" i="24"/>
  <c r="N34" i="24"/>
  <c r="P34" i="24"/>
  <c r="Q34" i="24"/>
  <c r="R34" i="24"/>
  <c r="O34" i="24"/>
  <c r="U34" i="24"/>
  <c r="S34" i="24"/>
  <c r="V34" i="24"/>
  <c r="T34" i="24"/>
  <c r="X34" i="24"/>
  <c r="W34" i="24"/>
  <c r="F108" i="23"/>
  <c r="G105" i="23"/>
  <c r="BL28" i="14"/>
  <c r="AO28" i="14"/>
  <c r="J92" i="23"/>
  <c r="J96" i="23"/>
  <c r="G106" i="23"/>
  <c r="G39" i="23"/>
  <c r="D44" i="23"/>
  <c r="J86" i="24"/>
  <c r="H6" i="24"/>
  <c r="G168" i="24"/>
  <c r="G149" i="24"/>
  <c r="G164" i="24"/>
  <c r="G29" i="24"/>
  <c r="G30" i="24"/>
  <c r="D35" i="24"/>
  <c r="N35" i="24"/>
  <c r="J85" i="24"/>
  <c r="H9" i="24"/>
  <c r="H206" i="24"/>
  <c r="I4" i="24"/>
  <c r="I6" i="24"/>
  <c r="H5" i="24"/>
  <c r="I190" i="24"/>
  <c r="I191" i="24"/>
  <c r="F169" i="24"/>
  <c r="J107" i="24"/>
  <c r="J207" i="24"/>
  <c r="J198" i="24"/>
  <c r="L14" i="24"/>
  <c r="K15" i="24"/>
  <c r="K207" i="24"/>
  <c r="K198" i="24"/>
  <c r="J205" i="24"/>
  <c r="J122" i="24"/>
  <c r="K122" i="24"/>
  <c r="L122" i="24"/>
  <c r="M122" i="24"/>
  <c r="N122" i="24"/>
  <c r="K8" i="24"/>
  <c r="K85" i="24"/>
  <c r="F164" i="23"/>
  <c r="F117" i="23"/>
  <c r="F118" i="23"/>
  <c r="F165" i="23"/>
  <c r="F167" i="23"/>
  <c r="F126" i="23"/>
  <c r="F127" i="23"/>
  <c r="F130" i="23"/>
  <c r="F131" i="23"/>
  <c r="N17" i="23"/>
  <c r="N18" i="23"/>
  <c r="O15" i="23"/>
  <c r="BQ28" i="20"/>
  <c r="I110" i="24"/>
  <c r="D111" i="24"/>
  <c r="M20" i="23"/>
  <c r="L21" i="23"/>
  <c r="M194" i="23"/>
  <c r="BM28" i="14"/>
  <c r="J220" i="24"/>
  <c r="I221" i="24"/>
  <c r="I222" i="24"/>
  <c r="F77" i="24"/>
  <c r="O28" i="14"/>
  <c r="AP28" i="14"/>
  <c r="G107" i="23"/>
  <c r="G108" i="23"/>
  <c r="H105" i="23"/>
  <c r="G114" i="23"/>
  <c r="G115" i="23"/>
  <c r="I120" i="23"/>
  <c r="J30" i="23"/>
  <c r="J83" i="24"/>
  <c r="J87" i="24"/>
  <c r="I102" i="24"/>
  <c r="L195" i="23"/>
  <c r="G101" i="23"/>
  <c r="G103" i="23"/>
  <c r="H39" i="23"/>
  <c r="D45" i="23"/>
  <c r="H106" i="23"/>
  <c r="G117" i="24"/>
  <c r="G118" i="24"/>
  <c r="G131" i="24"/>
  <c r="G132" i="24"/>
  <c r="G133" i="24"/>
  <c r="I98" i="24"/>
  <c r="I119" i="24"/>
  <c r="J96" i="24"/>
  <c r="J97" i="24"/>
  <c r="K91" i="23"/>
  <c r="K95" i="23"/>
  <c r="M24" i="24"/>
  <c r="J44" i="23"/>
  <c r="N44" i="23"/>
  <c r="G44" i="23"/>
  <c r="G82" i="23"/>
  <c r="G85" i="23"/>
  <c r="L44" i="23"/>
  <c r="I44" i="23"/>
  <c r="K44" i="23"/>
  <c r="H44" i="23"/>
  <c r="O44" i="23"/>
  <c r="U44" i="23"/>
  <c r="R44" i="23"/>
  <c r="T44" i="23"/>
  <c r="M44" i="23"/>
  <c r="Q44" i="23"/>
  <c r="W44" i="23"/>
  <c r="P44" i="23"/>
  <c r="V44" i="23"/>
  <c r="S44" i="23"/>
  <c r="X44" i="23"/>
  <c r="K90" i="23"/>
  <c r="K94" i="23"/>
  <c r="F86" i="23"/>
  <c r="G84" i="23"/>
  <c r="J35" i="24"/>
  <c r="K35" i="24"/>
  <c r="L35" i="24"/>
  <c r="M35" i="24"/>
  <c r="X35" i="24"/>
  <c r="G127" i="24"/>
  <c r="G128" i="24"/>
  <c r="G129" i="24"/>
  <c r="G166" i="24"/>
  <c r="H29" i="24"/>
  <c r="H30" i="24"/>
  <c r="D36" i="24"/>
  <c r="H149" i="24"/>
  <c r="H168" i="24"/>
  <c r="H164" i="24"/>
  <c r="I38" i="23"/>
  <c r="I148" i="23"/>
  <c r="I199" i="23"/>
  <c r="J6" i="23"/>
  <c r="I207" i="23"/>
  <c r="I202" i="23"/>
  <c r="I166" i="23"/>
  <c r="I204" i="23"/>
  <c r="I206" i="23"/>
  <c r="I200" i="23"/>
  <c r="G104" i="24"/>
  <c r="H101" i="24"/>
  <c r="H165" i="24"/>
  <c r="I121" i="23"/>
  <c r="J31" i="23"/>
  <c r="G75" i="24"/>
  <c r="I35" i="24"/>
  <c r="V35" i="24"/>
  <c r="R35" i="24"/>
  <c r="S35" i="24"/>
  <c r="U35" i="24"/>
  <c r="T35" i="24"/>
  <c r="H35" i="24"/>
  <c r="O35" i="24"/>
  <c r="P35" i="24"/>
  <c r="Q35" i="24"/>
  <c r="G35" i="24"/>
  <c r="G73" i="24"/>
  <c r="G76" i="24"/>
  <c r="W35" i="24"/>
  <c r="K82" i="24"/>
  <c r="K81" i="24"/>
  <c r="I5" i="24"/>
  <c r="K86" i="24"/>
  <c r="J4" i="24"/>
  <c r="J6" i="24"/>
  <c r="I9" i="24"/>
  <c r="I206" i="24"/>
  <c r="M14" i="24"/>
  <c r="L15" i="24"/>
  <c r="L207" i="24"/>
  <c r="L198" i="24"/>
  <c r="K107" i="24"/>
  <c r="J109" i="24"/>
  <c r="J110" i="24"/>
  <c r="L8" i="24"/>
  <c r="L81" i="24"/>
  <c r="K205" i="24"/>
  <c r="L91" i="23"/>
  <c r="L95" i="23"/>
  <c r="I106" i="23"/>
  <c r="I39" i="23"/>
  <c r="D46" i="23"/>
  <c r="G167" i="24"/>
  <c r="G169" i="24"/>
  <c r="H114" i="23"/>
  <c r="H107" i="23"/>
  <c r="H108" i="23"/>
  <c r="I105" i="23"/>
  <c r="H115" i="23"/>
  <c r="N20" i="23"/>
  <c r="M21" i="23"/>
  <c r="F128" i="23"/>
  <c r="H103" i="24"/>
  <c r="H115" i="24"/>
  <c r="H114" i="24"/>
  <c r="H104" i="24"/>
  <c r="I101" i="24"/>
  <c r="M195" i="23"/>
  <c r="BN28" i="14"/>
  <c r="O17" i="23"/>
  <c r="O18" i="23"/>
  <c r="P15" i="23"/>
  <c r="K31" i="23"/>
  <c r="J121" i="23"/>
  <c r="N194" i="23"/>
  <c r="G86" i="23"/>
  <c r="H84" i="23"/>
  <c r="L90" i="23"/>
  <c r="L94" i="23"/>
  <c r="J120" i="23"/>
  <c r="J162" i="23"/>
  <c r="K30" i="23"/>
  <c r="F132" i="23"/>
  <c r="K92" i="23"/>
  <c r="K96" i="23"/>
  <c r="H45" i="23"/>
  <c r="H82" i="23"/>
  <c r="H85" i="23"/>
  <c r="J45" i="23"/>
  <c r="N45" i="23"/>
  <c r="L45" i="23"/>
  <c r="I45" i="23"/>
  <c r="S45" i="23"/>
  <c r="O45" i="23"/>
  <c r="U45" i="23"/>
  <c r="K45" i="23"/>
  <c r="R45" i="23"/>
  <c r="M45" i="23"/>
  <c r="Q45" i="23"/>
  <c r="P45" i="23"/>
  <c r="V45" i="23"/>
  <c r="W45" i="23"/>
  <c r="X45" i="23"/>
  <c r="T45" i="23"/>
  <c r="I162" i="23"/>
  <c r="H75" i="24"/>
  <c r="G77" i="24"/>
  <c r="H36" i="24"/>
  <c r="I36" i="24"/>
  <c r="J36" i="24"/>
  <c r="K36" i="24"/>
  <c r="L36" i="24"/>
  <c r="O36" i="24"/>
  <c r="M36" i="24"/>
  <c r="N36" i="24"/>
  <c r="P36" i="24"/>
  <c r="Q36" i="24"/>
  <c r="R36" i="24"/>
  <c r="T36" i="24"/>
  <c r="U36" i="24"/>
  <c r="S36" i="24"/>
  <c r="V36" i="24"/>
  <c r="W36" i="24"/>
  <c r="X36" i="24"/>
  <c r="I29" i="24"/>
  <c r="I30" i="24"/>
  <c r="D37" i="24"/>
  <c r="I149" i="24"/>
  <c r="I168" i="24"/>
  <c r="I164" i="24"/>
  <c r="AS28" i="14"/>
  <c r="K83" i="24"/>
  <c r="K87" i="24"/>
  <c r="J221" i="24"/>
  <c r="K220" i="24"/>
  <c r="J222" i="24"/>
  <c r="J38" i="23"/>
  <c r="K6" i="23"/>
  <c r="J207" i="23"/>
  <c r="J148" i="23"/>
  <c r="J199" i="23"/>
  <c r="J166" i="23"/>
  <c r="J202" i="23"/>
  <c r="J204" i="23"/>
  <c r="J206" i="23"/>
  <c r="J200" i="23"/>
  <c r="I165" i="24"/>
  <c r="G102" i="23"/>
  <c r="G119" i="23"/>
  <c r="G163" i="23"/>
  <c r="H100" i="23"/>
  <c r="G117" i="23"/>
  <c r="G118" i="23"/>
  <c r="G165" i="23"/>
  <c r="G130" i="23"/>
  <c r="G131" i="23"/>
  <c r="BR28" i="20"/>
  <c r="N24" i="24"/>
  <c r="G164" i="23"/>
  <c r="H73" i="24"/>
  <c r="H76" i="24"/>
  <c r="L82" i="24"/>
  <c r="L86" i="24"/>
  <c r="L85" i="24"/>
  <c r="J9" i="24"/>
  <c r="J92" i="24"/>
  <c r="K4" i="24"/>
  <c r="K6" i="24"/>
  <c r="J99" i="24"/>
  <c r="J206" i="24"/>
  <c r="J5" i="24"/>
  <c r="M8" i="24"/>
  <c r="M86" i="24"/>
  <c r="L205" i="24"/>
  <c r="L107" i="24"/>
  <c r="K109" i="24"/>
  <c r="K110" i="24"/>
  <c r="N14" i="24"/>
  <c r="M15" i="24"/>
  <c r="M207" i="24"/>
  <c r="M198" i="24"/>
  <c r="I115" i="23"/>
  <c r="I114" i="23"/>
  <c r="I107" i="23"/>
  <c r="I108" i="23"/>
  <c r="J105" i="23"/>
  <c r="L220" i="24"/>
  <c r="K221" i="24"/>
  <c r="M90" i="23"/>
  <c r="M94" i="23"/>
  <c r="H86" i="23"/>
  <c r="I84" i="23"/>
  <c r="K46" i="23"/>
  <c r="M46" i="23"/>
  <c r="O46" i="23"/>
  <c r="L46" i="23"/>
  <c r="I46" i="23"/>
  <c r="I82" i="23"/>
  <c r="I85" i="23"/>
  <c r="V46" i="23"/>
  <c r="S46" i="23"/>
  <c r="U46" i="23"/>
  <c r="R46" i="23"/>
  <c r="N46" i="23"/>
  <c r="T46" i="23"/>
  <c r="J46" i="23"/>
  <c r="Q46" i="23"/>
  <c r="W46" i="23"/>
  <c r="P46" i="23"/>
  <c r="X46" i="23"/>
  <c r="BS28" i="20"/>
  <c r="O24" i="24"/>
  <c r="AT28" i="14"/>
  <c r="G132" i="23"/>
  <c r="L92" i="23"/>
  <c r="L96" i="23"/>
  <c r="I114" i="24"/>
  <c r="I103" i="24"/>
  <c r="I115" i="24"/>
  <c r="I104" i="24"/>
  <c r="J101" i="24"/>
  <c r="H101" i="23"/>
  <c r="H103" i="23"/>
  <c r="L87" i="24"/>
  <c r="L83" i="24"/>
  <c r="L31" i="23"/>
  <c r="K121" i="23"/>
  <c r="H166" i="24"/>
  <c r="G167" i="23"/>
  <c r="H77" i="24"/>
  <c r="I75" i="24"/>
  <c r="M85" i="24"/>
  <c r="O194" i="23"/>
  <c r="P17" i="23"/>
  <c r="P18" i="23"/>
  <c r="Q15" i="23"/>
  <c r="H118" i="24"/>
  <c r="H131" i="24"/>
  <c r="H132" i="24"/>
  <c r="H133" i="24"/>
  <c r="N21" i="23"/>
  <c r="O20" i="23"/>
  <c r="L6" i="23"/>
  <c r="K202" i="23"/>
  <c r="K38" i="23"/>
  <c r="K148" i="23"/>
  <c r="K199" i="23"/>
  <c r="K166" i="23"/>
  <c r="K207" i="23"/>
  <c r="K204" i="23"/>
  <c r="K200" i="23"/>
  <c r="K206" i="23"/>
  <c r="J29" i="24"/>
  <c r="J30" i="24"/>
  <c r="D38" i="24"/>
  <c r="J168" i="24"/>
  <c r="J149" i="24"/>
  <c r="J164" i="24"/>
  <c r="K120" i="23"/>
  <c r="K162" i="23"/>
  <c r="L30" i="23"/>
  <c r="BO28" i="14"/>
  <c r="H117" i="24"/>
  <c r="H167" i="24"/>
  <c r="N195" i="23"/>
  <c r="G126" i="23"/>
  <c r="G127" i="23"/>
  <c r="J106" i="23"/>
  <c r="J39" i="23"/>
  <c r="D47" i="23"/>
  <c r="J37" i="24"/>
  <c r="K37" i="24"/>
  <c r="L37" i="24"/>
  <c r="I37" i="24"/>
  <c r="I73" i="24"/>
  <c r="I76" i="24"/>
  <c r="O37" i="24"/>
  <c r="M37" i="24"/>
  <c r="N37" i="24"/>
  <c r="P37" i="24"/>
  <c r="Q37" i="24"/>
  <c r="R37" i="24"/>
  <c r="T37" i="24"/>
  <c r="U37" i="24"/>
  <c r="S37" i="24"/>
  <c r="V37" i="24"/>
  <c r="W37" i="24"/>
  <c r="X37" i="24"/>
  <c r="M95" i="23"/>
  <c r="M91" i="23"/>
  <c r="G128" i="23"/>
  <c r="H117" i="23"/>
  <c r="H118" i="23"/>
  <c r="H165" i="23"/>
  <c r="H164" i="23"/>
  <c r="K5" i="24"/>
  <c r="M81" i="24"/>
  <c r="K96" i="24"/>
  <c r="K97" i="24"/>
  <c r="J98" i="24"/>
  <c r="J93" i="24"/>
  <c r="J119" i="24"/>
  <c r="J165" i="24"/>
  <c r="L4" i="24"/>
  <c r="L6" i="24"/>
  <c r="K206" i="24"/>
  <c r="K9" i="24"/>
  <c r="K92" i="24"/>
  <c r="L92" i="24"/>
  <c r="M92" i="24"/>
  <c r="N92" i="24"/>
  <c r="O14" i="24"/>
  <c r="N15" i="24"/>
  <c r="N207" i="24"/>
  <c r="N198" i="24"/>
  <c r="M107" i="24"/>
  <c r="L109" i="24"/>
  <c r="L110" i="24"/>
  <c r="N8" i="24"/>
  <c r="M205" i="24"/>
  <c r="M82" i="24"/>
  <c r="K47" i="23"/>
  <c r="J47" i="23"/>
  <c r="J82" i="23"/>
  <c r="J85" i="23"/>
  <c r="M47" i="23"/>
  <c r="P47" i="23"/>
  <c r="V47" i="23"/>
  <c r="O47" i="23"/>
  <c r="S47" i="23"/>
  <c r="L47" i="23"/>
  <c r="R47" i="23"/>
  <c r="N47" i="23"/>
  <c r="T47" i="23"/>
  <c r="Q47" i="23"/>
  <c r="W47" i="23"/>
  <c r="U47" i="23"/>
  <c r="X47" i="23"/>
  <c r="BP28" i="14"/>
  <c r="K29" i="24"/>
  <c r="K30" i="24"/>
  <c r="D39" i="24"/>
  <c r="K168" i="24"/>
  <c r="K149" i="24"/>
  <c r="K164" i="24"/>
  <c r="K39" i="23"/>
  <c r="D48" i="23"/>
  <c r="K106" i="23"/>
  <c r="H102" i="23"/>
  <c r="H119" i="23"/>
  <c r="H163" i="23"/>
  <c r="H167" i="23"/>
  <c r="I100" i="23"/>
  <c r="J38" i="24"/>
  <c r="J73" i="24"/>
  <c r="J76" i="24"/>
  <c r="K38" i="24"/>
  <c r="L38" i="24"/>
  <c r="M38" i="24"/>
  <c r="N38" i="24"/>
  <c r="P38" i="24"/>
  <c r="Q38" i="24"/>
  <c r="R38" i="24"/>
  <c r="O38" i="24"/>
  <c r="T38" i="24"/>
  <c r="U38" i="24"/>
  <c r="S38" i="24"/>
  <c r="V38" i="24"/>
  <c r="W38" i="24"/>
  <c r="X38" i="24"/>
  <c r="H127" i="24"/>
  <c r="H128" i="24"/>
  <c r="H129" i="24"/>
  <c r="J84" i="23"/>
  <c r="I86" i="23"/>
  <c r="N94" i="23"/>
  <c r="N90" i="23"/>
  <c r="M220" i="24"/>
  <c r="L221" i="24"/>
  <c r="L222" i="24"/>
  <c r="M83" i="24"/>
  <c r="M87" i="24"/>
  <c r="O195" i="23"/>
  <c r="L120" i="23"/>
  <c r="M30" i="23"/>
  <c r="N82" i="24"/>
  <c r="N86" i="24"/>
  <c r="L38" i="23"/>
  <c r="L148" i="23"/>
  <c r="L199" i="23"/>
  <c r="L207" i="23"/>
  <c r="M6" i="23"/>
  <c r="L202" i="23"/>
  <c r="L166" i="23"/>
  <c r="L204" i="23"/>
  <c r="L206" i="23"/>
  <c r="L200" i="23"/>
  <c r="P194" i="23"/>
  <c r="H169" i="24"/>
  <c r="N91" i="23"/>
  <c r="N95" i="23"/>
  <c r="M92" i="23"/>
  <c r="M96" i="23"/>
  <c r="K222" i="24"/>
  <c r="I117" i="24"/>
  <c r="I118" i="24"/>
  <c r="I131" i="24"/>
  <c r="I132" i="24"/>
  <c r="I133" i="24"/>
  <c r="D137" i="24"/>
  <c r="E145" i="24"/>
  <c r="J115" i="23"/>
  <c r="J107" i="23"/>
  <c r="J108" i="23"/>
  <c r="K105" i="23"/>
  <c r="J114" i="23"/>
  <c r="H126" i="23"/>
  <c r="H127" i="23"/>
  <c r="P20" i="23"/>
  <c r="O21" i="23"/>
  <c r="M31" i="23"/>
  <c r="L121" i="23"/>
  <c r="I127" i="24"/>
  <c r="I128" i="24"/>
  <c r="I166" i="24"/>
  <c r="AU28" i="14"/>
  <c r="I118" i="23"/>
  <c r="I117" i="23"/>
  <c r="I165" i="23"/>
  <c r="I77" i="24"/>
  <c r="J75" i="24"/>
  <c r="N81" i="24"/>
  <c r="N85" i="24"/>
  <c r="BT28" i="20"/>
  <c r="I164" i="23"/>
  <c r="Q17" i="23"/>
  <c r="Q18" i="23"/>
  <c r="R15" i="23"/>
  <c r="P24" i="24"/>
  <c r="M4" i="24"/>
  <c r="L206" i="24"/>
  <c r="L9" i="24"/>
  <c r="K99" i="24"/>
  <c r="K93" i="24"/>
  <c r="J102" i="24"/>
  <c r="L5" i="24"/>
  <c r="M5" i="24"/>
  <c r="O8" i="24"/>
  <c r="O81" i="24"/>
  <c r="N205" i="24"/>
  <c r="M109" i="24"/>
  <c r="M110" i="24"/>
  <c r="N107" i="24"/>
  <c r="N109" i="24"/>
  <c r="O15" i="24"/>
  <c r="P14" i="24"/>
  <c r="E155" i="24"/>
  <c r="F145" i="24"/>
  <c r="J77" i="24"/>
  <c r="K75" i="24"/>
  <c r="Q194" i="23"/>
  <c r="P195" i="23"/>
  <c r="I129" i="24"/>
  <c r="D136" i="24"/>
  <c r="E144" i="24"/>
  <c r="N83" i="24"/>
  <c r="N87" i="24"/>
  <c r="J118" i="23"/>
  <c r="J117" i="23"/>
  <c r="J165" i="23"/>
  <c r="J164" i="23"/>
  <c r="L106" i="23"/>
  <c r="L39" i="23"/>
  <c r="D49" i="23"/>
  <c r="N96" i="23"/>
  <c r="N92" i="23"/>
  <c r="H128" i="23"/>
  <c r="O95" i="23"/>
  <c r="O91" i="23"/>
  <c r="Q24" i="24"/>
  <c r="BU28" i="20"/>
  <c r="Q20" i="23"/>
  <c r="P21" i="23"/>
  <c r="K107" i="23"/>
  <c r="K108" i="23"/>
  <c r="L105" i="23"/>
  <c r="K115" i="23"/>
  <c r="K114" i="23"/>
  <c r="J86" i="23"/>
  <c r="K84" i="23"/>
  <c r="O90" i="23"/>
  <c r="O94" i="23"/>
  <c r="K39" i="24"/>
  <c r="K73" i="24"/>
  <c r="K76" i="24"/>
  <c r="L39" i="24"/>
  <c r="M39" i="24"/>
  <c r="N39" i="24"/>
  <c r="O39" i="24"/>
  <c r="P39" i="24"/>
  <c r="Q39" i="24"/>
  <c r="R39" i="24"/>
  <c r="T39" i="24"/>
  <c r="U39" i="24"/>
  <c r="S39" i="24"/>
  <c r="V39" i="24"/>
  <c r="W39" i="24"/>
  <c r="X39" i="24"/>
  <c r="I101" i="23"/>
  <c r="I103" i="23"/>
  <c r="M6" i="24"/>
  <c r="L29" i="24"/>
  <c r="L30" i="24"/>
  <c r="D40" i="24"/>
  <c r="L149" i="24"/>
  <c r="L168" i="24"/>
  <c r="L164" i="24"/>
  <c r="I126" i="23"/>
  <c r="I127" i="23"/>
  <c r="R17" i="23"/>
  <c r="R18" i="23"/>
  <c r="S15" i="23"/>
  <c r="N31" i="23"/>
  <c r="M121" i="23"/>
  <c r="I167" i="24"/>
  <c r="I169" i="24"/>
  <c r="M120" i="23"/>
  <c r="M162" i="23"/>
  <c r="N30" i="23"/>
  <c r="N220" i="24"/>
  <c r="M221" i="24"/>
  <c r="M222" i="24"/>
  <c r="BQ28" i="14"/>
  <c r="M148" i="23"/>
  <c r="M199" i="23"/>
  <c r="N6" i="23"/>
  <c r="M207" i="23"/>
  <c r="M202" i="23"/>
  <c r="M166" i="23"/>
  <c r="M38" i="23"/>
  <c r="M204" i="23"/>
  <c r="M206" i="23"/>
  <c r="M200" i="23"/>
  <c r="L162" i="23"/>
  <c r="L48" i="23"/>
  <c r="M48" i="23"/>
  <c r="W48" i="23"/>
  <c r="P48" i="23"/>
  <c r="V48" i="23"/>
  <c r="K48" i="23"/>
  <c r="K82" i="23"/>
  <c r="K85" i="23"/>
  <c r="O48" i="23"/>
  <c r="S48" i="23"/>
  <c r="U48" i="23"/>
  <c r="R48" i="23"/>
  <c r="N48" i="23"/>
  <c r="T48" i="23"/>
  <c r="Q48" i="23"/>
  <c r="X48" i="23"/>
  <c r="H130" i="23"/>
  <c r="H131" i="23"/>
  <c r="N110" i="24"/>
  <c r="I111" i="24"/>
  <c r="O82" i="24"/>
  <c r="J115" i="24"/>
  <c r="J114" i="24"/>
  <c r="J103" i="24"/>
  <c r="J104" i="24"/>
  <c r="K101" i="24"/>
  <c r="K102" i="24"/>
  <c r="L93" i="24"/>
  <c r="L96" i="24"/>
  <c r="L97" i="24"/>
  <c r="K98" i="24"/>
  <c r="K119" i="24"/>
  <c r="K165" i="24"/>
  <c r="L99" i="24"/>
  <c r="O85" i="24"/>
  <c r="O86" i="24"/>
  <c r="N4" i="24"/>
  <c r="M206" i="24"/>
  <c r="M9" i="24"/>
  <c r="Q14" i="24"/>
  <c r="P15" i="24"/>
  <c r="P207" i="24"/>
  <c r="P198" i="24"/>
  <c r="O107" i="24"/>
  <c r="O207" i="24"/>
  <c r="O198" i="24"/>
  <c r="P8" i="24"/>
  <c r="P82" i="24"/>
  <c r="O122" i="24"/>
  <c r="P122" i="24"/>
  <c r="Q122" i="24"/>
  <c r="R122" i="24"/>
  <c r="S122" i="24"/>
  <c r="O205" i="24"/>
  <c r="L115" i="23"/>
  <c r="L114" i="23"/>
  <c r="L107" i="23"/>
  <c r="N121" i="23"/>
  <c r="O31" i="23"/>
  <c r="O92" i="23"/>
  <c r="O96" i="23"/>
  <c r="BV28" i="20"/>
  <c r="R194" i="23"/>
  <c r="N120" i="23"/>
  <c r="N162" i="23"/>
  <c r="O30" i="23"/>
  <c r="L49" i="23"/>
  <c r="L82" i="23"/>
  <c r="L85" i="23"/>
  <c r="N49" i="23"/>
  <c r="Q49" i="23"/>
  <c r="W49" i="23"/>
  <c r="P49" i="23"/>
  <c r="O49" i="23"/>
  <c r="S49" i="23"/>
  <c r="M49" i="23"/>
  <c r="U49" i="23"/>
  <c r="R49" i="23"/>
  <c r="T49" i="23"/>
  <c r="V49" i="23"/>
  <c r="X49" i="23"/>
  <c r="M40" i="24"/>
  <c r="N40" i="24"/>
  <c r="L40" i="24"/>
  <c r="L73" i="24"/>
  <c r="L76" i="24"/>
  <c r="O40" i="24"/>
  <c r="P40" i="24"/>
  <c r="Q40" i="24"/>
  <c r="R40" i="24"/>
  <c r="W40" i="24"/>
  <c r="T40" i="24"/>
  <c r="U40" i="24"/>
  <c r="S40" i="24"/>
  <c r="V40" i="24"/>
  <c r="X40" i="24"/>
  <c r="Q21" i="23"/>
  <c r="R20" i="23"/>
  <c r="R24" i="24"/>
  <c r="M106" i="23"/>
  <c r="M39" i="23"/>
  <c r="D50" i="23"/>
  <c r="T15" i="23"/>
  <c r="S17" i="23"/>
  <c r="S18" i="23"/>
  <c r="M29" i="24"/>
  <c r="M30" i="24"/>
  <c r="D41" i="24"/>
  <c r="N6" i="24"/>
  <c r="M149" i="24"/>
  <c r="M168" i="24"/>
  <c r="M164" i="24"/>
  <c r="K164" i="23"/>
  <c r="E154" i="24"/>
  <c r="F144" i="24"/>
  <c r="E213" i="24"/>
  <c r="K77" i="24"/>
  <c r="L75" i="24"/>
  <c r="P81" i="24"/>
  <c r="P85" i="24"/>
  <c r="BR28" i="14"/>
  <c r="I102" i="23"/>
  <c r="I119" i="23"/>
  <c r="J100" i="23"/>
  <c r="J126" i="23"/>
  <c r="J127" i="23"/>
  <c r="O87" i="24"/>
  <c r="O83" i="24"/>
  <c r="H132" i="23"/>
  <c r="P91" i="23"/>
  <c r="P95" i="23"/>
  <c r="Q195" i="23"/>
  <c r="K117" i="23"/>
  <c r="K118" i="23"/>
  <c r="K165" i="23"/>
  <c r="I128" i="23"/>
  <c r="D135" i="23"/>
  <c r="E143" i="23"/>
  <c r="F155" i="24"/>
  <c r="G145" i="24"/>
  <c r="N207" i="23"/>
  <c r="N202" i="23"/>
  <c r="N38" i="23"/>
  <c r="O6" i="23"/>
  <c r="N148" i="23"/>
  <c r="N199" i="23"/>
  <c r="N166" i="23"/>
  <c r="N204" i="23"/>
  <c r="N206" i="23"/>
  <c r="N200" i="23"/>
  <c r="N221" i="24"/>
  <c r="N222" i="24"/>
  <c r="O220" i="24"/>
  <c r="K86" i="23"/>
  <c r="L84" i="23"/>
  <c r="P94" i="23"/>
  <c r="P90" i="23"/>
  <c r="E188" i="24"/>
  <c r="E182" i="24"/>
  <c r="P86" i="24"/>
  <c r="J166" i="24"/>
  <c r="L102" i="24"/>
  <c r="M93" i="24"/>
  <c r="N206" i="24"/>
  <c r="O4" i="24"/>
  <c r="N9" i="24"/>
  <c r="J118" i="24"/>
  <c r="J131" i="24"/>
  <c r="J132" i="24"/>
  <c r="J133" i="24"/>
  <c r="J117" i="24"/>
  <c r="K115" i="24"/>
  <c r="K114" i="24"/>
  <c r="K103" i="24"/>
  <c r="L98" i="24"/>
  <c r="L119" i="24"/>
  <c r="L165" i="24"/>
  <c r="M99" i="24"/>
  <c r="M96" i="24"/>
  <c r="M97" i="24"/>
  <c r="N5" i="24"/>
  <c r="Q8" i="24"/>
  <c r="Q82" i="24"/>
  <c r="P205" i="24"/>
  <c r="P107" i="24"/>
  <c r="O109" i="24"/>
  <c r="O110" i="24"/>
  <c r="R14" i="24"/>
  <c r="Q15" i="24"/>
  <c r="Q207" i="24"/>
  <c r="Q198" i="24"/>
  <c r="O221" i="24"/>
  <c r="O222" i="24"/>
  <c r="P220" i="24"/>
  <c r="J128" i="23"/>
  <c r="S194" i="23"/>
  <c r="G155" i="24"/>
  <c r="H145" i="24"/>
  <c r="L86" i="23"/>
  <c r="M84" i="23"/>
  <c r="Q90" i="23"/>
  <c r="Q94" i="23"/>
  <c r="L118" i="23"/>
  <c r="L117" i="23"/>
  <c r="P83" i="24"/>
  <c r="P87" i="24"/>
  <c r="F188" i="24"/>
  <c r="F182" i="24"/>
  <c r="P92" i="23"/>
  <c r="P96" i="23"/>
  <c r="F154" i="24"/>
  <c r="G144" i="24"/>
  <c r="F213" i="24"/>
  <c r="N29" i="24"/>
  <c r="N30" i="24"/>
  <c r="D42" i="24"/>
  <c r="O6" i="24"/>
  <c r="N149" i="24"/>
  <c r="N168" i="24"/>
  <c r="N164" i="24"/>
  <c r="S24" i="24"/>
  <c r="P6" i="23"/>
  <c r="O207" i="23"/>
  <c r="O148" i="23"/>
  <c r="O199" i="23"/>
  <c r="O202" i="23"/>
  <c r="O38" i="23"/>
  <c r="O166" i="23"/>
  <c r="O204" i="23"/>
  <c r="O206" i="23"/>
  <c r="O200" i="23"/>
  <c r="E161" i="24"/>
  <c r="E173" i="24"/>
  <c r="E181" i="24"/>
  <c r="M41" i="24"/>
  <c r="M73" i="24"/>
  <c r="M76" i="24"/>
  <c r="N41" i="24"/>
  <c r="O41" i="24"/>
  <c r="P41" i="24"/>
  <c r="Q41" i="24"/>
  <c r="S41" i="24"/>
  <c r="V41" i="24"/>
  <c r="W41" i="24"/>
  <c r="R41" i="24"/>
  <c r="T41" i="24"/>
  <c r="U41" i="24"/>
  <c r="X41" i="24"/>
  <c r="R21" i="23"/>
  <c r="S20" i="23"/>
  <c r="Q91" i="23"/>
  <c r="Q95" i="23"/>
  <c r="L164" i="23"/>
  <c r="L126" i="23"/>
  <c r="L127" i="23"/>
  <c r="N39" i="23"/>
  <c r="D51" i="23"/>
  <c r="N106" i="23"/>
  <c r="J103" i="23"/>
  <c r="J101" i="23"/>
  <c r="BS28" i="14"/>
  <c r="P30" i="23"/>
  <c r="O120" i="23"/>
  <c r="L108" i="23"/>
  <c r="M105" i="23"/>
  <c r="I163" i="23"/>
  <c r="I167" i="23"/>
  <c r="I130" i="23"/>
  <c r="I131" i="23"/>
  <c r="K126" i="23"/>
  <c r="K127" i="23"/>
  <c r="T17" i="23"/>
  <c r="T18" i="23"/>
  <c r="U15" i="23"/>
  <c r="F143" i="23"/>
  <c r="E153" i="23"/>
  <c r="R195" i="23"/>
  <c r="M50" i="23"/>
  <c r="M82" i="23"/>
  <c r="M85" i="23"/>
  <c r="O50" i="23"/>
  <c r="N50" i="23"/>
  <c r="T50" i="23"/>
  <c r="Q50" i="23"/>
  <c r="W50" i="23"/>
  <c r="P50" i="23"/>
  <c r="V50" i="23"/>
  <c r="S50" i="23"/>
  <c r="U50" i="23"/>
  <c r="R50" i="23"/>
  <c r="X50" i="23"/>
  <c r="O121" i="23"/>
  <c r="P31" i="23"/>
  <c r="L77" i="24"/>
  <c r="M75" i="24"/>
  <c r="Q81" i="24"/>
  <c r="Q85" i="24"/>
  <c r="Q86" i="24"/>
  <c r="J167" i="24"/>
  <c r="J169" i="24"/>
  <c r="J127" i="24"/>
  <c r="J128" i="24"/>
  <c r="J129" i="24"/>
  <c r="M98" i="24"/>
  <c r="M119" i="24"/>
  <c r="M165" i="24"/>
  <c r="N99" i="24"/>
  <c r="N96" i="24"/>
  <c r="N97" i="24"/>
  <c r="O5" i="24"/>
  <c r="P4" i="24"/>
  <c r="O92" i="24"/>
  <c r="P92" i="24"/>
  <c r="Q92" i="24"/>
  <c r="R92" i="24"/>
  <c r="S92" i="24"/>
  <c r="O206" i="24"/>
  <c r="O9" i="24"/>
  <c r="K104" i="24"/>
  <c r="L101" i="24"/>
  <c r="K118" i="24"/>
  <c r="K131" i="24"/>
  <c r="K132" i="24"/>
  <c r="K133" i="24"/>
  <c r="K117" i="24"/>
  <c r="N93" i="24"/>
  <c r="M102" i="24"/>
  <c r="K166" i="24"/>
  <c r="S14" i="24"/>
  <c r="R15" i="24"/>
  <c r="R207" i="24"/>
  <c r="R198" i="24"/>
  <c r="Q107" i="24"/>
  <c r="P109" i="24"/>
  <c r="P110" i="24"/>
  <c r="R8" i="24"/>
  <c r="R81" i="24"/>
  <c r="Q205" i="24"/>
  <c r="R91" i="23"/>
  <c r="R95" i="23"/>
  <c r="F153" i="23"/>
  <c r="G143" i="23"/>
  <c r="T24" i="24"/>
  <c r="G154" i="24"/>
  <c r="H144" i="24"/>
  <c r="G213" i="24"/>
  <c r="K128" i="23"/>
  <c r="L128" i="23"/>
  <c r="O162" i="23"/>
  <c r="K100" i="23"/>
  <c r="J102" i="23"/>
  <c r="J119" i="23"/>
  <c r="P38" i="23"/>
  <c r="P148" i="23"/>
  <c r="P199" i="23"/>
  <c r="P207" i="23"/>
  <c r="Q6" i="23"/>
  <c r="P202" i="23"/>
  <c r="P166" i="23"/>
  <c r="P204" i="23"/>
  <c r="P200" i="23"/>
  <c r="P206" i="23"/>
  <c r="F181" i="24"/>
  <c r="F161" i="24"/>
  <c r="F173" i="24"/>
  <c r="T194" i="23"/>
  <c r="Q30" i="23"/>
  <c r="P120" i="23"/>
  <c r="I132" i="23"/>
  <c r="D136" i="23"/>
  <c r="E144" i="23"/>
  <c r="L165" i="23"/>
  <c r="M86" i="23"/>
  <c r="N84" i="23"/>
  <c r="R90" i="23"/>
  <c r="R94" i="23"/>
  <c r="Q220" i="24"/>
  <c r="P221" i="24"/>
  <c r="P222" i="24"/>
  <c r="Q92" i="23"/>
  <c r="Q96" i="23"/>
  <c r="M77" i="24"/>
  <c r="N75" i="24"/>
  <c r="S195" i="23"/>
  <c r="R86" i="24"/>
  <c r="H155" i="24"/>
  <c r="I145" i="24"/>
  <c r="I155" i="24"/>
  <c r="Q83" i="24"/>
  <c r="Q87" i="24"/>
  <c r="O39" i="23"/>
  <c r="D52" i="23"/>
  <c r="O106" i="23"/>
  <c r="O29" i="24"/>
  <c r="O30" i="24"/>
  <c r="D43" i="24"/>
  <c r="O168" i="24"/>
  <c r="O149" i="24"/>
  <c r="O164" i="24"/>
  <c r="G188" i="24"/>
  <c r="G182" i="24"/>
  <c r="U17" i="23"/>
  <c r="U18" i="23"/>
  <c r="V15" i="23"/>
  <c r="P121" i="23"/>
  <c r="Q31" i="23"/>
  <c r="M115" i="23"/>
  <c r="M114" i="23"/>
  <c r="M107" i="23"/>
  <c r="N42" i="24"/>
  <c r="N73" i="24"/>
  <c r="N76" i="24"/>
  <c r="P42" i="24"/>
  <c r="Q42" i="24"/>
  <c r="R42" i="24"/>
  <c r="O42" i="24"/>
  <c r="U42" i="24"/>
  <c r="S42" i="24"/>
  <c r="V42" i="24"/>
  <c r="T42" i="24"/>
  <c r="W42" i="24"/>
  <c r="X42" i="24"/>
  <c r="E179" i="23"/>
  <c r="BT28" i="14"/>
  <c r="R51" i="23"/>
  <c r="T51" i="23"/>
  <c r="Q51" i="23"/>
  <c r="P51" i="23"/>
  <c r="O51" i="23"/>
  <c r="S51" i="23"/>
  <c r="N51" i="23"/>
  <c r="N82" i="23"/>
  <c r="N85" i="23"/>
  <c r="U51" i="23"/>
  <c r="V51" i="23"/>
  <c r="X51" i="23"/>
  <c r="W51" i="23"/>
  <c r="S21" i="23"/>
  <c r="T20" i="23"/>
  <c r="R82" i="24"/>
  <c r="P5" i="24"/>
  <c r="P206" i="24"/>
  <c r="P9" i="24"/>
  <c r="Q4" i="24"/>
  <c r="N102" i="24"/>
  <c r="O93" i="24"/>
  <c r="P6" i="24"/>
  <c r="P149" i="24"/>
  <c r="K167" i="24"/>
  <c r="K169" i="24"/>
  <c r="K127" i="24"/>
  <c r="K128" i="24"/>
  <c r="K129" i="24"/>
  <c r="N98" i="24"/>
  <c r="N119" i="24"/>
  <c r="N165" i="24"/>
  <c r="O99" i="24"/>
  <c r="O96" i="24"/>
  <c r="O97" i="24"/>
  <c r="R85" i="24"/>
  <c r="L114" i="24"/>
  <c r="L103" i="24"/>
  <c r="L115" i="24"/>
  <c r="S8" i="24"/>
  <c r="R205" i="24"/>
  <c r="Q109" i="24"/>
  <c r="Q110" i="24"/>
  <c r="R107" i="24"/>
  <c r="T14" i="24"/>
  <c r="S15" i="24"/>
  <c r="S207" i="24"/>
  <c r="S198" i="24"/>
  <c r="K103" i="23"/>
  <c r="K101" i="23"/>
  <c r="G153" i="23"/>
  <c r="H143" i="23"/>
  <c r="S90" i="23"/>
  <c r="N86" i="23"/>
  <c r="S94" i="23"/>
  <c r="O84" i="23"/>
  <c r="S91" i="23"/>
  <c r="S95" i="23"/>
  <c r="I188" i="24"/>
  <c r="I182" i="24"/>
  <c r="R92" i="23"/>
  <c r="R96" i="23"/>
  <c r="U194" i="23"/>
  <c r="F179" i="23"/>
  <c r="M118" i="23"/>
  <c r="M117" i="23"/>
  <c r="M165" i="23"/>
  <c r="H188" i="24"/>
  <c r="H182" i="24"/>
  <c r="F144" i="23"/>
  <c r="E154" i="23"/>
  <c r="Q207" i="23"/>
  <c r="R6" i="23"/>
  <c r="Q202" i="23"/>
  <c r="Q38" i="23"/>
  <c r="Q148" i="23"/>
  <c r="Q199" i="23"/>
  <c r="Q166" i="23"/>
  <c r="Q204" i="23"/>
  <c r="Q206" i="23"/>
  <c r="Q200" i="23"/>
  <c r="U20" i="23"/>
  <c r="T21" i="23"/>
  <c r="M126" i="23"/>
  <c r="M127" i="23"/>
  <c r="M128" i="23"/>
  <c r="M164" i="23"/>
  <c r="P43" i="24"/>
  <c r="Q43" i="24"/>
  <c r="O43" i="24"/>
  <c r="O73" i="24"/>
  <c r="O76" i="24"/>
  <c r="T43" i="24"/>
  <c r="U43" i="24"/>
  <c r="S43" i="24"/>
  <c r="V43" i="24"/>
  <c r="R43" i="24"/>
  <c r="W43" i="24"/>
  <c r="X43" i="24"/>
  <c r="BU28" i="14"/>
  <c r="S86" i="24"/>
  <c r="S82" i="24"/>
  <c r="Q6" i="24"/>
  <c r="P164" i="24"/>
  <c r="H154" i="24"/>
  <c r="I144" i="24"/>
  <c r="H213" i="24"/>
  <c r="M108" i="23"/>
  <c r="N105" i="23"/>
  <c r="N77" i="24"/>
  <c r="O75" i="24"/>
  <c r="S81" i="24"/>
  <c r="S85" i="24"/>
  <c r="R220" i="24"/>
  <c r="Q221" i="24"/>
  <c r="Q222" i="24"/>
  <c r="P162" i="23"/>
  <c r="G181" i="24"/>
  <c r="G161" i="24"/>
  <c r="G173" i="24"/>
  <c r="V17" i="23"/>
  <c r="V18" i="23"/>
  <c r="W15" i="23"/>
  <c r="Q121" i="23"/>
  <c r="R31" i="23"/>
  <c r="U52" i="23"/>
  <c r="R52" i="23"/>
  <c r="T52" i="23"/>
  <c r="Q52" i="23"/>
  <c r="W52" i="23"/>
  <c r="P52" i="23"/>
  <c r="O52" i="23"/>
  <c r="O82" i="23"/>
  <c r="O85" i="23"/>
  <c r="V52" i="23"/>
  <c r="S52" i="23"/>
  <c r="X52" i="23"/>
  <c r="R83" i="24"/>
  <c r="R87" i="24"/>
  <c r="R30" i="23"/>
  <c r="Q120" i="23"/>
  <c r="Q162" i="23"/>
  <c r="P106" i="23"/>
  <c r="P39" i="23"/>
  <c r="D53" i="23"/>
  <c r="T195" i="23"/>
  <c r="J163" i="23"/>
  <c r="J167" i="23"/>
  <c r="J130" i="23"/>
  <c r="J131" i="23"/>
  <c r="J132" i="23"/>
  <c r="U24" i="24"/>
  <c r="P168" i="24"/>
  <c r="P29" i="24"/>
  <c r="P30" i="24"/>
  <c r="D44" i="24"/>
  <c r="Q44" i="24"/>
  <c r="L166" i="24"/>
  <c r="L117" i="24"/>
  <c r="L118" i="24"/>
  <c r="L131" i="24"/>
  <c r="L132" i="24"/>
  <c r="L133" i="24"/>
  <c r="O102" i="24"/>
  <c r="P93" i="24"/>
  <c r="P99" i="24"/>
  <c r="P96" i="24"/>
  <c r="P97" i="24"/>
  <c r="O98" i="24"/>
  <c r="O119" i="24"/>
  <c r="O165" i="24"/>
  <c r="Q206" i="24"/>
  <c r="Q9" i="24"/>
  <c r="R4" i="24"/>
  <c r="L104" i="24"/>
  <c r="M101" i="24"/>
  <c r="Q5" i="24"/>
  <c r="S107" i="24"/>
  <c r="S109" i="24"/>
  <c r="R109" i="24"/>
  <c r="R110" i="24"/>
  <c r="T15" i="24"/>
  <c r="U14" i="24"/>
  <c r="S205" i="24"/>
  <c r="T8" i="24"/>
  <c r="U195" i="23"/>
  <c r="V24" i="24"/>
  <c r="N115" i="23"/>
  <c r="N114" i="23"/>
  <c r="N107" i="23"/>
  <c r="P44" i="24"/>
  <c r="P73" i="24"/>
  <c r="P76" i="24"/>
  <c r="T44" i="24"/>
  <c r="U44" i="24"/>
  <c r="S44" i="24"/>
  <c r="V44" i="24"/>
  <c r="R44" i="24"/>
  <c r="W44" i="24"/>
  <c r="X44" i="24"/>
  <c r="I143" i="23"/>
  <c r="I153" i="23"/>
  <c r="H153" i="23"/>
  <c r="S30" i="23"/>
  <c r="R120" i="23"/>
  <c r="R162" i="23"/>
  <c r="R121" i="23"/>
  <c r="S31" i="23"/>
  <c r="Q29" i="24"/>
  <c r="Q30" i="24"/>
  <c r="D45" i="24"/>
  <c r="R6" i="24"/>
  <c r="Q149" i="24"/>
  <c r="Q168" i="24"/>
  <c r="Q164" i="24"/>
  <c r="BV28" i="14"/>
  <c r="T82" i="24"/>
  <c r="T86" i="24"/>
  <c r="R202" i="23"/>
  <c r="R38" i="23"/>
  <c r="R148" i="23"/>
  <c r="R199" i="23"/>
  <c r="S6" i="23"/>
  <c r="R207" i="23"/>
  <c r="R166" i="23"/>
  <c r="R204" i="23"/>
  <c r="R206" i="23"/>
  <c r="R200" i="23"/>
  <c r="G179" i="23"/>
  <c r="T95" i="23"/>
  <c r="T91" i="23"/>
  <c r="W17" i="23"/>
  <c r="W18" i="23"/>
  <c r="X15" i="23"/>
  <c r="R221" i="24"/>
  <c r="R222" i="24"/>
  <c r="S220" i="24"/>
  <c r="I154" i="24"/>
  <c r="I213" i="24"/>
  <c r="E180" i="23"/>
  <c r="E186" i="23"/>
  <c r="E198" i="23"/>
  <c r="E159" i="23"/>
  <c r="E171" i="23"/>
  <c r="L100" i="23"/>
  <c r="K102" i="23"/>
  <c r="K119" i="23"/>
  <c r="H181" i="24"/>
  <c r="H161" i="24"/>
  <c r="H173" i="24"/>
  <c r="G144" i="23"/>
  <c r="F154" i="23"/>
  <c r="V194" i="23"/>
  <c r="O86" i="23"/>
  <c r="T90" i="23"/>
  <c r="T94" i="23"/>
  <c r="P84" i="23"/>
  <c r="S53" i="23"/>
  <c r="U53" i="23"/>
  <c r="R53" i="23"/>
  <c r="Q53" i="23"/>
  <c r="P53" i="23"/>
  <c r="P82" i="23"/>
  <c r="P85" i="23"/>
  <c r="V53" i="23"/>
  <c r="T53" i="23"/>
  <c r="W53" i="23"/>
  <c r="X53" i="23"/>
  <c r="O77" i="24"/>
  <c r="P75" i="24"/>
  <c r="T81" i="24"/>
  <c r="T85" i="24"/>
  <c r="S96" i="23"/>
  <c r="S92" i="23"/>
  <c r="S83" i="24"/>
  <c r="S87" i="24"/>
  <c r="U21" i="23"/>
  <c r="V20" i="23"/>
  <c r="Q106" i="23"/>
  <c r="Q39" i="23"/>
  <c r="D54" i="23"/>
  <c r="S110" i="24"/>
  <c r="N111" i="24"/>
  <c r="R5" i="24"/>
  <c r="Q99" i="24"/>
  <c r="Q96" i="24"/>
  <c r="Q97" i="24"/>
  <c r="P98" i="24"/>
  <c r="P119" i="24"/>
  <c r="P165" i="24"/>
  <c r="P102" i="24"/>
  <c r="Q93" i="24"/>
  <c r="M103" i="24"/>
  <c r="M104" i="24"/>
  <c r="N101" i="24"/>
  <c r="M115" i="24"/>
  <c r="M114" i="24"/>
  <c r="R9" i="24"/>
  <c r="S4" i="24"/>
  <c r="S6" i="24"/>
  <c r="R206" i="24"/>
  <c r="L167" i="24"/>
  <c r="L169" i="24"/>
  <c r="L127" i="24"/>
  <c r="L128" i="24"/>
  <c r="L129" i="24"/>
  <c r="U8" i="24"/>
  <c r="U86" i="24"/>
  <c r="T205" i="24"/>
  <c r="T122" i="24"/>
  <c r="U122" i="24"/>
  <c r="V122" i="24"/>
  <c r="W122" i="24"/>
  <c r="X122" i="24"/>
  <c r="V14" i="24"/>
  <c r="U15" i="24"/>
  <c r="U207" i="24"/>
  <c r="U198" i="24"/>
  <c r="T207" i="24"/>
  <c r="T198" i="24"/>
  <c r="T107" i="24"/>
  <c r="F186" i="23"/>
  <c r="F180" i="23"/>
  <c r="F198" i="23"/>
  <c r="F209" i="23"/>
  <c r="F159" i="23"/>
  <c r="F171" i="23"/>
  <c r="S222" i="24"/>
  <c r="T220" i="24"/>
  <c r="S221" i="24"/>
  <c r="G154" i="23"/>
  <c r="H144" i="23"/>
  <c r="V54" i="23"/>
  <c r="S54" i="23"/>
  <c r="U54" i="23"/>
  <c r="R54" i="23"/>
  <c r="T54" i="23"/>
  <c r="Q54" i="23"/>
  <c r="Q82" i="23"/>
  <c r="Q85" i="23"/>
  <c r="W54" i="23"/>
  <c r="X54" i="23"/>
  <c r="U90" i="23"/>
  <c r="P86" i="23"/>
  <c r="Q84" i="23"/>
  <c r="U94" i="23"/>
  <c r="W20" i="23"/>
  <c r="V21" i="23"/>
  <c r="E210" i="23"/>
  <c r="F210" i="23"/>
  <c r="E209" i="23"/>
  <c r="X17" i="23"/>
  <c r="X18" i="23"/>
  <c r="Y15" i="23"/>
  <c r="S38" i="23"/>
  <c r="S148" i="23"/>
  <c r="S199" i="23"/>
  <c r="T6" i="23"/>
  <c r="S207" i="23"/>
  <c r="S202" i="23"/>
  <c r="S166" i="23"/>
  <c r="S204" i="23"/>
  <c r="S206" i="23"/>
  <c r="S200" i="23"/>
  <c r="R29" i="24"/>
  <c r="R30" i="24"/>
  <c r="D46" i="24"/>
  <c r="R168" i="24"/>
  <c r="R149" i="24"/>
  <c r="R164" i="24"/>
  <c r="H179" i="23"/>
  <c r="U82" i="24"/>
  <c r="W24" i="24"/>
  <c r="Q45" i="24"/>
  <c r="Q73" i="24"/>
  <c r="Q76" i="24"/>
  <c r="T45" i="24"/>
  <c r="U45" i="24"/>
  <c r="S45" i="24"/>
  <c r="V45" i="24"/>
  <c r="R45" i="24"/>
  <c r="W45" i="24"/>
  <c r="X45" i="24"/>
  <c r="I179" i="23"/>
  <c r="N117" i="23"/>
  <c r="N118" i="23"/>
  <c r="T92" i="23"/>
  <c r="T96" i="23"/>
  <c r="R39" i="23"/>
  <c r="D55" i="23"/>
  <c r="R106" i="23"/>
  <c r="S121" i="23"/>
  <c r="T31" i="23"/>
  <c r="N164" i="23"/>
  <c r="N126" i="23"/>
  <c r="N127" i="23"/>
  <c r="N128" i="23"/>
  <c r="I135" i="23"/>
  <c r="J143" i="23"/>
  <c r="V195" i="23"/>
  <c r="P77" i="24"/>
  <c r="Q75" i="24"/>
  <c r="U81" i="24"/>
  <c r="U85" i="24"/>
  <c r="N108" i="23"/>
  <c r="O105" i="23"/>
  <c r="T83" i="24"/>
  <c r="T87" i="24"/>
  <c r="K163" i="23"/>
  <c r="K167" i="23"/>
  <c r="K130" i="23"/>
  <c r="K131" i="23"/>
  <c r="K132" i="23"/>
  <c r="I181" i="24"/>
  <c r="I161" i="24"/>
  <c r="I173" i="24"/>
  <c r="BW28" i="14"/>
  <c r="U91" i="23"/>
  <c r="U95" i="23"/>
  <c r="W194" i="23"/>
  <c r="L103" i="23"/>
  <c r="L101" i="23"/>
  <c r="S120" i="23"/>
  <c r="S162" i="23"/>
  <c r="T30" i="23"/>
  <c r="M117" i="24"/>
  <c r="M118" i="24"/>
  <c r="M131" i="24"/>
  <c r="M132" i="24"/>
  <c r="M133" i="24"/>
  <c r="Q102" i="24"/>
  <c r="R93" i="24"/>
  <c r="S5" i="24"/>
  <c r="S9" i="24"/>
  <c r="S206" i="24"/>
  <c r="T4" i="24"/>
  <c r="T6" i="24"/>
  <c r="N114" i="24"/>
  <c r="N103" i="24"/>
  <c r="N104" i="24"/>
  <c r="O101" i="24"/>
  <c r="N115" i="24"/>
  <c r="R96" i="24"/>
  <c r="R97" i="24"/>
  <c r="Q98" i="24"/>
  <c r="Q119" i="24"/>
  <c r="Q165" i="24"/>
  <c r="R99" i="24"/>
  <c r="M166" i="24"/>
  <c r="M127" i="24"/>
  <c r="M128" i="24"/>
  <c r="M129" i="24"/>
  <c r="U107" i="24"/>
  <c r="T109" i="24"/>
  <c r="T110" i="24"/>
  <c r="V15" i="24"/>
  <c r="V207" i="24"/>
  <c r="V198" i="24"/>
  <c r="W14" i="24"/>
  <c r="V8" i="24"/>
  <c r="V86" i="24"/>
  <c r="U205" i="24"/>
  <c r="BX28" i="14"/>
  <c r="Z15" i="23"/>
  <c r="Y17" i="23"/>
  <c r="Y18" i="23"/>
  <c r="U92" i="23"/>
  <c r="U96" i="23"/>
  <c r="W195" i="23"/>
  <c r="U31" i="23"/>
  <c r="T121" i="23"/>
  <c r="V95" i="23"/>
  <c r="V91" i="23"/>
  <c r="H154" i="23"/>
  <c r="I144" i="23"/>
  <c r="I154" i="23"/>
  <c r="M100" i="23"/>
  <c r="L102" i="23"/>
  <c r="L119" i="23"/>
  <c r="G180" i="23"/>
  <c r="G186" i="23"/>
  <c r="G198" i="23"/>
  <c r="G209" i="23"/>
  <c r="G159" i="23"/>
  <c r="G171" i="23"/>
  <c r="X194" i="23"/>
  <c r="Q77" i="24"/>
  <c r="R75" i="24"/>
  <c r="K143" i="23"/>
  <c r="J153" i="23"/>
  <c r="X24" i="24"/>
  <c r="G210" i="23"/>
  <c r="U83" i="24"/>
  <c r="U87" i="24"/>
  <c r="V55" i="23"/>
  <c r="S55" i="23"/>
  <c r="R55" i="23"/>
  <c r="R82" i="23"/>
  <c r="R85" i="23"/>
  <c r="T55" i="23"/>
  <c r="W55" i="23"/>
  <c r="X55" i="23"/>
  <c r="U55" i="23"/>
  <c r="T222" i="24"/>
  <c r="U220" i="24"/>
  <c r="T221" i="24"/>
  <c r="N165" i="23"/>
  <c r="S29" i="24"/>
  <c r="S30" i="24"/>
  <c r="D47" i="24"/>
  <c r="S149" i="24"/>
  <c r="S168" i="24"/>
  <c r="S164" i="24"/>
  <c r="T38" i="23"/>
  <c r="U6" i="23"/>
  <c r="T207" i="23"/>
  <c r="T148" i="23"/>
  <c r="T199" i="23"/>
  <c r="T202" i="23"/>
  <c r="T166" i="23"/>
  <c r="T204" i="23"/>
  <c r="T206" i="23"/>
  <c r="T200" i="23"/>
  <c r="X20" i="23"/>
  <c r="W21" i="23"/>
  <c r="T120" i="23"/>
  <c r="T162" i="23"/>
  <c r="U30" i="23"/>
  <c r="O115" i="23"/>
  <c r="O114" i="23"/>
  <c r="O107" i="23"/>
  <c r="O108" i="23"/>
  <c r="P105" i="23"/>
  <c r="T46" i="24"/>
  <c r="U46" i="24"/>
  <c r="S46" i="24"/>
  <c r="V46" i="24"/>
  <c r="R46" i="24"/>
  <c r="R73" i="24"/>
  <c r="R76" i="24"/>
  <c r="W46" i="24"/>
  <c r="X46" i="24"/>
  <c r="S106" i="23"/>
  <c r="S39" i="23"/>
  <c r="D56" i="23"/>
  <c r="V90" i="23"/>
  <c r="V94" i="23"/>
  <c r="Q86" i="23"/>
  <c r="R84" i="23"/>
  <c r="M167" i="24"/>
  <c r="V85" i="24"/>
  <c r="T5" i="24"/>
  <c r="V81" i="24"/>
  <c r="V82" i="24"/>
  <c r="R102" i="24"/>
  <c r="S93" i="24"/>
  <c r="N117" i="24"/>
  <c r="N118" i="24"/>
  <c r="N131" i="24"/>
  <c r="N132" i="24"/>
  <c r="N133" i="24"/>
  <c r="I137" i="24"/>
  <c r="J145" i="24"/>
  <c r="N166" i="24"/>
  <c r="O103" i="24"/>
  <c r="O104" i="24"/>
  <c r="P101" i="24"/>
  <c r="O114" i="24"/>
  <c r="O115" i="24"/>
  <c r="S99" i="24"/>
  <c r="S96" i="24"/>
  <c r="S97" i="24"/>
  <c r="R98" i="24"/>
  <c r="R119" i="24"/>
  <c r="R165" i="24"/>
  <c r="M169" i="24"/>
  <c r="T206" i="24"/>
  <c r="T9" i="24"/>
  <c r="T92" i="24"/>
  <c r="U92" i="24"/>
  <c r="V92" i="24"/>
  <c r="W92" i="24"/>
  <c r="X92" i="24"/>
  <c r="U4" i="24"/>
  <c r="U6" i="24"/>
  <c r="W8" i="24"/>
  <c r="W82" i="24"/>
  <c r="V205" i="24"/>
  <c r="W15" i="24"/>
  <c r="W207" i="24"/>
  <c r="W198" i="24"/>
  <c r="X14" i="24"/>
  <c r="V107" i="24"/>
  <c r="U109" i="24"/>
  <c r="U110" i="24"/>
  <c r="P114" i="23"/>
  <c r="P107" i="23"/>
  <c r="P108" i="23"/>
  <c r="Q105" i="23"/>
  <c r="P115" i="23"/>
  <c r="R86" i="23"/>
  <c r="S84" i="23"/>
  <c r="W94" i="23"/>
  <c r="W90" i="23"/>
  <c r="X21" i="23"/>
  <c r="Y20" i="23"/>
  <c r="V6" i="23"/>
  <c r="U202" i="23"/>
  <c r="U38" i="23"/>
  <c r="U148" i="23"/>
  <c r="U199" i="23"/>
  <c r="U207" i="23"/>
  <c r="U166" i="23"/>
  <c r="U204" i="23"/>
  <c r="U200" i="23"/>
  <c r="U206" i="23"/>
  <c r="M103" i="23"/>
  <c r="M101" i="23"/>
  <c r="Z17" i="23"/>
  <c r="Z18" i="23"/>
  <c r="AA15" i="23"/>
  <c r="W56" i="23"/>
  <c r="V56" i="23"/>
  <c r="S56" i="23"/>
  <c r="S82" i="23"/>
  <c r="S85" i="23"/>
  <c r="U56" i="23"/>
  <c r="T56" i="23"/>
  <c r="X56" i="23"/>
  <c r="T106" i="23"/>
  <c r="T39" i="23"/>
  <c r="D57" i="23"/>
  <c r="U222" i="24"/>
  <c r="V220" i="24"/>
  <c r="U221" i="24"/>
  <c r="U120" i="23"/>
  <c r="V30" i="23"/>
  <c r="J179" i="23"/>
  <c r="I186" i="23"/>
  <c r="I180" i="23"/>
  <c r="I159" i="23"/>
  <c r="I171" i="23"/>
  <c r="I198" i="23"/>
  <c r="I209" i="23"/>
  <c r="X195" i="23"/>
  <c r="L143" i="23"/>
  <c r="K153" i="23"/>
  <c r="H186" i="23"/>
  <c r="H180" i="23"/>
  <c r="H198" i="23"/>
  <c r="H209" i="23"/>
  <c r="H159" i="23"/>
  <c r="H171" i="23"/>
  <c r="T47" i="24"/>
  <c r="U47" i="24"/>
  <c r="S47" i="24"/>
  <c r="S73" i="24"/>
  <c r="S76" i="24"/>
  <c r="V47" i="24"/>
  <c r="W47" i="24"/>
  <c r="X47" i="24"/>
  <c r="V92" i="23"/>
  <c r="V96" i="23"/>
  <c r="O117" i="23"/>
  <c r="O118" i="23"/>
  <c r="T29" i="24"/>
  <c r="T30" i="24"/>
  <c r="D48" i="24"/>
  <c r="T149" i="24"/>
  <c r="T168" i="24"/>
  <c r="T164" i="24"/>
  <c r="Y24" i="24"/>
  <c r="Z24" i="24"/>
  <c r="AA24" i="24"/>
  <c r="AB24" i="24"/>
  <c r="AC24" i="24"/>
  <c r="AD24" i="24"/>
  <c r="AE24" i="24"/>
  <c r="AF24" i="24"/>
  <c r="AG24" i="24"/>
  <c r="AH24" i="24"/>
  <c r="AI24" i="24"/>
  <c r="AJ24" i="24"/>
  <c r="AK24" i="24"/>
  <c r="AL24" i="24"/>
  <c r="AM24" i="24"/>
  <c r="AN24" i="24"/>
  <c r="AO24" i="24"/>
  <c r="AP24" i="24"/>
  <c r="AQ24" i="24"/>
  <c r="AR24" i="24"/>
  <c r="R77" i="24"/>
  <c r="S75" i="24"/>
  <c r="O126" i="23"/>
  <c r="O127" i="23"/>
  <c r="O128" i="23"/>
  <c r="O164" i="23"/>
  <c r="W95" i="23"/>
  <c r="W91" i="23"/>
  <c r="V83" i="24"/>
  <c r="V87" i="24"/>
  <c r="L163" i="23"/>
  <c r="L167" i="23"/>
  <c r="L130" i="23"/>
  <c r="L131" i="23"/>
  <c r="L132" i="23"/>
  <c r="V31" i="23"/>
  <c r="U121" i="23"/>
  <c r="BY28" i="14"/>
  <c r="W85" i="24"/>
  <c r="W81" i="24"/>
  <c r="N167" i="24"/>
  <c r="W86" i="24"/>
  <c r="N127" i="24"/>
  <c r="N128" i="24"/>
  <c r="N129" i="24"/>
  <c r="I136" i="24"/>
  <c r="J144" i="24"/>
  <c r="J154" i="24"/>
  <c r="J155" i="24"/>
  <c r="K145" i="24"/>
  <c r="S98" i="24"/>
  <c r="S119" i="24"/>
  <c r="S165" i="24"/>
  <c r="T96" i="24"/>
  <c r="T97" i="24"/>
  <c r="T99" i="24"/>
  <c r="U206" i="24"/>
  <c r="U9" i="24"/>
  <c r="V4" i="24"/>
  <c r="S102" i="24"/>
  <c r="T93" i="24"/>
  <c r="O166" i="24"/>
  <c r="P114" i="24"/>
  <c r="P103" i="24"/>
  <c r="P115" i="24"/>
  <c r="U5" i="24"/>
  <c r="O118" i="24"/>
  <c r="O131" i="24"/>
  <c r="O132" i="24"/>
  <c r="O133" i="24"/>
  <c r="O117" i="24"/>
  <c r="N169" i="24"/>
  <c r="W107" i="24"/>
  <c r="V109" i="24"/>
  <c r="V110" i="24"/>
  <c r="X15" i="24"/>
  <c r="X207" i="24"/>
  <c r="X198" i="24"/>
  <c r="Y14" i="24"/>
  <c r="X8" i="24"/>
  <c r="X85" i="24"/>
  <c r="W205" i="24"/>
  <c r="Q114" i="23"/>
  <c r="Q107" i="23"/>
  <c r="Q108" i="23"/>
  <c r="R105" i="23"/>
  <c r="Q115" i="23"/>
  <c r="V120" i="23"/>
  <c r="W30" i="23"/>
  <c r="P164" i="23"/>
  <c r="U162" i="23"/>
  <c r="AB15" i="23"/>
  <c r="AA17" i="23"/>
  <c r="AA18" i="23"/>
  <c r="M143" i="23"/>
  <c r="L153" i="23"/>
  <c r="P117" i="23"/>
  <c r="P118" i="23"/>
  <c r="W31" i="23"/>
  <c r="V121" i="23"/>
  <c r="O165" i="23"/>
  <c r="X86" i="24"/>
  <c r="X82" i="24"/>
  <c r="S77" i="24"/>
  <c r="T75" i="24"/>
  <c r="X81" i="24"/>
  <c r="V221" i="24"/>
  <c r="V222" i="24"/>
  <c r="W220" i="24"/>
  <c r="U106" i="23"/>
  <c r="U39" i="23"/>
  <c r="D58" i="23"/>
  <c r="W48" i="24"/>
  <c r="T48" i="24"/>
  <c r="T73" i="24"/>
  <c r="T76" i="24"/>
  <c r="U48" i="24"/>
  <c r="V48" i="24"/>
  <c r="X48" i="24"/>
  <c r="W83" i="24"/>
  <c r="W87" i="24"/>
  <c r="U29" i="24"/>
  <c r="U30" i="24"/>
  <c r="D49" i="24"/>
  <c r="U149" i="24"/>
  <c r="U168" i="24"/>
  <c r="U164" i="24"/>
  <c r="N100" i="23"/>
  <c r="M102" i="23"/>
  <c r="M119" i="23"/>
  <c r="S86" i="23"/>
  <c r="T84" i="23"/>
  <c r="X90" i="23"/>
  <c r="X94" i="23"/>
  <c r="W57" i="23"/>
  <c r="U57" i="23"/>
  <c r="T57" i="23"/>
  <c r="T82" i="23"/>
  <c r="T85" i="23"/>
  <c r="V57" i="23"/>
  <c r="X57" i="23"/>
  <c r="X95" i="23"/>
  <c r="X91" i="23"/>
  <c r="V38" i="23"/>
  <c r="V148" i="23"/>
  <c r="V199" i="23"/>
  <c r="V207" i="23"/>
  <c r="W6" i="23"/>
  <c r="V202" i="23"/>
  <c r="V166" i="23"/>
  <c r="V204" i="23"/>
  <c r="V206" i="23"/>
  <c r="V200" i="23"/>
  <c r="W92" i="23"/>
  <c r="W96" i="23"/>
  <c r="BZ28" i="14"/>
  <c r="K179" i="23"/>
  <c r="H210" i="23"/>
  <c r="I210" i="23"/>
  <c r="Y21" i="23"/>
  <c r="Z20" i="23"/>
  <c r="O167" i="24"/>
  <c r="O169" i="24"/>
  <c r="J213" i="24"/>
  <c r="K144" i="24"/>
  <c r="K213" i="24"/>
  <c r="P104" i="24"/>
  <c r="Q101" i="24"/>
  <c r="P118" i="24"/>
  <c r="P131" i="24"/>
  <c r="P132" i="24"/>
  <c r="P133" i="24"/>
  <c r="P117" i="24"/>
  <c r="P166" i="24"/>
  <c r="T98" i="24"/>
  <c r="T119" i="24"/>
  <c r="T165" i="24"/>
  <c r="U99" i="24"/>
  <c r="U96" i="24"/>
  <c r="U97" i="24"/>
  <c r="W4" i="24"/>
  <c r="V206" i="24"/>
  <c r="V9" i="24"/>
  <c r="V6" i="24"/>
  <c r="O127" i="24"/>
  <c r="O128" i="24"/>
  <c r="O129" i="24"/>
  <c r="K154" i="24"/>
  <c r="T102" i="24"/>
  <c r="U93" i="24"/>
  <c r="J161" i="24"/>
  <c r="J173" i="24"/>
  <c r="J181" i="24"/>
  <c r="K155" i="24"/>
  <c r="L145" i="24"/>
  <c r="V5" i="24"/>
  <c r="J182" i="24"/>
  <c r="J188" i="24"/>
  <c r="J191" i="24"/>
  <c r="Y8" i="24"/>
  <c r="Y85" i="24"/>
  <c r="X205" i="24"/>
  <c r="Z14" i="24"/>
  <c r="Y15" i="24"/>
  <c r="Y207" i="24"/>
  <c r="X107" i="24"/>
  <c r="X109" i="24"/>
  <c r="W109" i="24"/>
  <c r="W110" i="24"/>
  <c r="R115" i="23"/>
  <c r="R114" i="23"/>
  <c r="R107" i="23"/>
  <c r="W58" i="23"/>
  <c r="V58" i="23"/>
  <c r="U58" i="23"/>
  <c r="U82" i="23"/>
  <c r="U85" i="23"/>
  <c r="X58" i="23"/>
  <c r="X31" i="23"/>
  <c r="W121" i="23"/>
  <c r="AB17" i="23"/>
  <c r="AB18" i="23"/>
  <c r="AC15" i="23"/>
  <c r="AA20" i="23"/>
  <c r="Z21" i="23"/>
  <c r="V39" i="23"/>
  <c r="D59" i="23"/>
  <c r="V106" i="23"/>
  <c r="T86" i="23"/>
  <c r="U84" i="23"/>
  <c r="Y90" i="23"/>
  <c r="Y94" i="23"/>
  <c r="X92" i="23"/>
  <c r="X96" i="23"/>
  <c r="U75" i="24"/>
  <c r="T77" i="24"/>
  <c r="Y81" i="24"/>
  <c r="P165" i="23"/>
  <c r="W120" i="23"/>
  <c r="W162" i="23"/>
  <c r="X30" i="23"/>
  <c r="M163" i="23"/>
  <c r="M167" i="23"/>
  <c r="M130" i="23"/>
  <c r="M131" i="23"/>
  <c r="M132" i="23"/>
  <c r="V29" i="24"/>
  <c r="V30" i="24"/>
  <c r="D50" i="24"/>
  <c r="V168" i="24"/>
  <c r="V149" i="24"/>
  <c r="W221" i="24"/>
  <c r="W222" i="24"/>
  <c r="X220" i="24"/>
  <c r="X83" i="24"/>
  <c r="X87" i="24"/>
  <c r="V162" i="23"/>
  <c r="N103" i="23"/>
  <c r="N101" i="23"/>
  <c r="V49" i="24"/>
  <c r="W49" i="24"/>
  <c r="U49" i="24"/>
  <c r="U73" i="24"/>
  <c r="U76" i="24"/>
  <c r="X49" i="24"/>
  <c r="CA28" i="14"/>
  <c r="W148" i="23"/>
  <c r="W199" i="23"/>
  <c r="X6" i="23"/>
  <c r="W207" i="23"/>
  <c r="W202" i="23"/>
  <c r="W38" i="23"/>
  <c r="W166" i="23"/>
  <c r="W204" i="23"/>
  <c r="W206" i="23"/>
  <c r="W200" i="23"/>
  <c r="Y95" i="23"/>
  <c r="Y91" i="23"/>
  <c r="L179" i="23"/>
  <c r="P126" i="23"/>
  <c r="P127" i="23"/>
  <c r="P128" i="23"/>
  <c r="Q117" i="23"/>
  <c r="Q126" i="23"/>
  <c r="Q127" i="23"/>
  <c r="Q118" i="23"/>
  <c r="M153" i="23"/>
  <c r="N143" i="23"/>
  <c r="N153" i="23"/>
  <c r="Q164" i="23"/>
  <c r="W6" i="24"/>
  <c r="Y86" i="24"/>
  <c r="Y82" i="24"/>
  <c r="L144" i="24"/>
  <c r="L154" i="24"/>
  <c r="V164" i="24"/>
  <c r="X4" i="24"/>
  <c r="X6" i="24"/>
  <c r="W206" i="24"/>
  <c r="W9" i="24"/>
  <c r="W5" i="24"/>
  <c r="V99" i="24"/>
  <c r="U98" i="24"/>
  <c r="U119" i="24"/>
  <c r="U165" i="24"/>
  <c r="V96" i="24"/>
  <c r="V97" i="24"/>
  <c r="L155" i="24"/>
  <c r="M145" i="24"/>
  <c r="K161" i="24"/>
  <c r="K173" i="24"/>
  <c r="K181" i="24"/>
  <c r="K188" i="24"/>
  <c r="K191" i="24"/>
  <c r="K182" i="24"/>
  <c r="P127" i="24"/>
  <c r="P128" i="24"/>
  <c r="P129" i="24"/>
  <c r="P167" i="24"/>
  <c r="P169" i="24"/>
  <c r="U102" i="24"/>
  <c r="V93" i="24"/>
  <c r="Q103" i="24"/>
  <c r="Q115" i="24"/>
  <c r="Q114" i="24"/>
  <c r="X110" i="24"/>
  <c r="Z15" i="24"/>
  <c r="Z207" i="24"/>
  <c r="AA14" i="24"/>
  <c r="Z8" i="24"/>
  <c r="Z85" i="24"/>
  <c r="Y205" i="24"/>
  <c r="R118" i="23"/>
  <c r="R117" i="23"/>
  <c r="R164" i="23"/>
  <c r="R126" i="23"/>
  <c r="R127" i="23"/>
  <c r="W29" i="24"/>
  <c r="W30" i="24"/>
  <c r="D51" i="24"/>
  <c r="W149" i="24"/>
  <c r="W168" i="24"/>
  <c r="W164" i="24"/>
  <c r="X120" i="23"/>
  <c r="Y30" i="23"/>
  <c r="Z30" i="23"/>
  <c r="AA30" i="23"/>
  <c r="AB30" i="23"/>
  <c r="AC30" i="23"/>
  <c r="AD30" i="23"/>
  <c r="AE30" i="23"/>
  <c r="AF30" i="23"/>
  <c r="AG30" i="23"/>
  <c r="AH30" i="23"/>
  <c r="AI30" i="23"/>
  <c r="AJ30" i="23"/>
  <c r="AK30" i="23"/>
  <c r="AL30" i="23"/>
  <c r="AM30" i="23"/>
  <c r="AN30" i="23"/>
  <c r="AO30" i="23"/>
  <c r="AP30" i="23"/>
  <c r="AQ30" i="23"/>
  <c r="AR30" i="23"/>
  <c r="Y87" i="24"/>
  <c r="Y83" i="24"/>
  <c r="AB20" i="23"/>
  <c r="AA21" i="23"/>
  <c r="Z95" i="23"/>
  <c r="Z91" i="23"/>
  <c r="X121" i="23"/>
  <c r="Y31" i="23"/>
  <c r="Z31" i="23"/>
  <c r="AA31" i="23"/>
  <c r="AB31" i="23"/>
  <c r="AC31" i="23"/>
  <c r="AD31" i="23"/>
  <c r="AE31" i="23"/>
  <c r="AF31" i="23"/>
  <c r="AG31" i="23"/>
  <c r="AH31" i="23"/>
  <c r="AI31" i="23"/>
  <c r="AJ31" i="23"/>
  <c r="AK31" i="23"/>
  <c r="AL31" i="23"/>
  <c r="AM31" i="23"/>
  <c r="AN31" i="23"/>
  <c r="AO31" i="23"/>
  <c r="AP31" i="23"/>
  <c r="AQ31" i="23"/>
  <c r="AR31" i="23"/>
  <c r="W106" i="23"/>
  <c r="W39" i="23"/>
  <c r="D60" i="23"/>
  <c r="V50" i="24"/>
  <c r="V73" i="24"/>
  <c r="V76" i="24"/>
  <c r="X50" i="24"/>
  <c r="W50" i="24"/>
  <c r="U77" i="24"/>
  <c r="V75" i="24"/>
  <c r="R108" i="23"/>
  <c r="S105" i="23"/>
  <c r="Q128" i="23"/>
  <c r="R128" i="23"/>
  <c r="N179" i="23"/>
  <c r="CB28" i="14"/>
  <c r="Y220" i="24"/>
  <c r="X221" i="24"/>
  <c r="X222" i="24"/>
  <c r="Y222" i="24"/>
  <c r="U86" i="23"/>
  <c r="V84" i="23"/>
  <c r="Z90" i="23"/>
  <c r="Z94" i="23"/>
  <c r="M179" i="23"/>
  <c r="N102" i="23"/>
  <c r="N119" i="23"/>
  <c r="O100" i="23"/>
  <c r="Y92" i="23"/>
  <c r="Y96" i="23"/>
  <c r="AC17" i="23"/>
  <c r="AC18" i="23"/>
  <c r="AD15" i="23"/>
  <c r="Y6" i="23"/>
  <c r="X207" i="23"/>
  <c r="X202" i="23"/>
  <c r="X38" i="23"/>
  <c r="X148" i="23"/>
  <c r="X199" i="23"/>
  <c r="X166" i="23"/>
  <c r="X204" i="23"/>
  <c r="X206" i="23"/>
  <c r="X200" i="23"/>
  <c r="Q165" i="23"/>
  <c r="X59" i="23"/>
  <c r="V59" i="23"/>
  <c r="V82" i="23"/>
  <c r="V85" i="23"/>
  <c r="W59" i="23"/>
  <c r="M144" i="24"/>
  <c r="N144" i="24"/>
  <c r="Z82" i="24"/>
  <c r="L213" i="24"/>
  <c r="Q166" i="24"/>
  <c r="X5" i="24"/>
  <c r="L161" i="24"/>
  <c r="L173" i="24"/>
  <c r="L181" i="24"/>
  <c r="Q104" i="24"/>
  <c r="R101" i="24"/>
  <c r="Q118" i="24"/>
  <c r="Q131" i="24"/>
  <c r="Q132" i="24"/>
  <c r="Q133" i="24"/>
  <c r="Q117" i="24"/>
  <c r="V98" i="24"/>
  <c r="V119" i="24"/>
  <c r="V165" i="24"/>
  <c r="W99" i="24"/>
  <c r="W96" i="24"/>
  <c r="W97" i="24"/>
  <c r="V102" i="24"/>
  <c r="W93" i="24"/>
  <c r="M155" i="24"/>
  <c r="N145" i="24"/>
  <c r="N155" i="24"/>
  <c r="L182" i="24"/>
  <c r="L188" i="24"/>
  <c r="L191" i="24"/>
  <c r="Y4" i="24"/>
  <c r="Y6" i="24"/>
  <c r="X206" i="24"/>
  <c r="X9" i="24"/>
  <c r="AA8" i="24"/>
  <c r="AA86" i="24"/>
  <c r="Z205" i="24"/>
  <c r="AA15" i="24"/>
  <c r="AA207" i="24"/>
  <c r="AB14" i="24"/>
  <c r="Z81" i="24"/>
  <c r="Z86" i="24"/>
  <c r="X111" i="24"/>
  <c r="S111" i="24"/>
  <c r="AA91" i="23"/>
  <c r="AA95" i="23"/>
  <c r="Z92" i="23"/>
  <c r="Z96" i="23"/>
  <c r="X162" i="23"/>
  <c r="N163" i="23"/>
  <c r="N167" i="23"/>
  <c r="N130" i="23"/>
  <c r="N131" i="23"/>
  <c r="N132" i="23"/>
  <c r="I136" i="23"/>
  <c r="J144" i="23"/>
  <c r="V86" i="23"/>
  <c r="W84" i="23"/>
  <c r="AA94" i="23"/>
  <c r="AA90" i="23"/>
  <c r="X106" i="23"/>
  <c r="X39" i="23"/>
  <c r="D61" i="23"/>
  <c r="X61" i="23"/>
  <c r="X60" i="23"/>
  <c r="X82" i="23"/>
  <c r="X85" i="23"/>
  <c r="AE15" i="23"/>
  <c r="AD17" i="23"/>
  <c r="AD18" i="23"/>
  <c r="CC28" i="14"/>
  <c r="V77" i="24"/>
  <c r="W75" i="24"/>
  <c r="Y38" i="23"/>
  <c r="Z6" i="23"/>
  <c r="Y148" i="23"/>
  <c r="Y171" i="23"/>
  <c r="Y170" i="23"/>
  <c r="Z87" i="24"/>
  <c r="Z83" i="24"/>
  <c r="O101" i="23"/>
  <c r="O103" i="23"/>
  <c r="AC20" i="23"/>
  <c r="AB21" i="23"/>
  <c r="X51" i="24"/>
  <c r="W51" i="24"/>
  <c r="W73" i="24"/>
  <c r="W76" i="24"/>
  <c r="W60" i="23"/>
  <c r="W82" i="23"/>
  <c r="W85" i="23"/>
  <c r="X29" i="24"/>
  <c r="X30" i="24"/>
  <c r="D52" i="24"/>
  <c r="X52" i="24"/>
  <c r="X168" i="24"/>
  <c r="X149" i="24"/>
  <c r="X164" i="24"/>
  <c r="R165" i="23"/>
  <c r="Z220" i="24"/>
  <c r="Y221" i="24"/>
  <c r="S114" i="23"/>
  <c r="S107" i="23"/>
  <c r="S115" i="23"/>
  <c r="S108" i="23"/>
  <c r="T105" i="23"/>
  <c r="M154" i="24"/>
  <c r="M213" i="24"/>
  <c r="AA82" i="24"/>
  <c r="AA85" i="24"/>
  <c r="AA81" i="24"/>
  <c r="N188" i="24"/>
  <c r="N191" i="24"/>
  <c r="N182" i="24"/>
  <c r="M188" i="24"/>
  <c r="M191" i="24"/>
  <c r="M182" i="24"/>
  <c r="N154" i="24"/>
  <c r="N213" i="24"/>
  <c r="W102" i="24"/>
  <c r="X93" i="24"/>
  <c r="Q127" i="24"/>
  <c r="Q128" i="24"/>
  <c r="Q129" i="24"/>
  <c r="Q167" i="24"/>
  <c r="Q169" i="24"/>
  <c r="Y5" i="24"/>
  <c r="Y206" i="24"/>
  <c r="Y9" i="24"/>
  <c r="Z4" i="24"/>
  <c r="R114" i="24"/>
  <c r="R115" i="24"/>
  <c r="R103" i="24"/>
  <c r="R104" i="24"/>
  <c r="S101" i="24"/>
  <c r="X96" i="24"/>
  <c r="X97" i="24"/>
  <c r="X99" i="24"/>
  <c r="W98" i="24"/>
  <c r="W119" i="24"/>
  <c r="W165" i="24"/>
  <c r="M181" i="24"/>
  <c r="M161" i="24"/>
  <c r="M173" i="24"/>
  <c r="AC14" i="24"/>
  <c r="AB15" i="24"/>
  <c r="AB207" i="24"/>
  <c r="AA205" i="24"/>
  <c r="AB8" i="24"/>
  <c r="AB81" i="24"/>
  <c r="W86" i="23"/>
  <c r="X84" i="23"/>
  <c r="AB94" i="23"/>
  <c r="AB90" i="23"/>
  <c r="O102" i="23"/>
  <c r="O119" i="23"/>
  <c r="P100" i="23"/>
  <c r="AA96" i="23"/>
  <c r="AA92" i="23"/>
  <c r="AC91" i="23"/>
  <c r="AC95" i="23"/>
  <c r="J154" i="23"/>
  <c r="K144" i="23"/>
  <c r="X73" i="24"/>
  <c r="X76" i="24"/>
  <c r="AB91" i="23"/>
  <c r="AB95" i="23"/>
  <c r="AF15" i="23"/>
  <c r="AE17" i="23"/>
  <c r="AE18" i="23"/>
  <c r="CD28" i="14"/>
  <c r="T115" i="23"/>
  <c r="T107" i="23"/>
  <c r="T108" i="23"/>
  <c r="U105" i="23"/>
  <c r="T114" i="23"/>
  <c r="Y29" i="24"/>
  <c r="Y30" i="24"/>
  <c r="D53" i="24"/>
  <c r="Y149" i="24"/>
  <c r="Y172" i="24"/>
  <c r="Y173" i="24"/>
  <c r="S117" i="23"/>
  <c r="S118" i="23"/>
  <c r="S165" i="23"/>
  <c r="X75" i="24"/>
  <c r="W77" i="24"/>
  <c r="Z221" i="24"/>
  <c r="AA220" i="24"/>
  <c r="AC21" i="23"/>
  <c r="AD20" i="23"/>
  <c r="AA6" i="23"/>
  <c r="Z38" i="23"/>
  <c r="Z148" i="23"/>
  <c r="Z171" i="23"/>
  <c r="Z170" i="23"/>
  <c r="S164" i="23"/>
  <c r="Y39" i="23"/>
  <c r="D62" i="23"/>
  <c r="Y106" i="23"/>
  <c r="AA87" i="24"/>
  <c r="AA83" i="24"/>
  <c r="Z5" i="24"/>
  <c r="AB82" i="24"/>
  <c r="AB86" i="24"/>
  <c r="AA4" i="24"/>
  <c r="AA5" i="24"/>
  <c r="Z206" i="24"/>
  <c r="Z9" i="24"/>
  <c r="R166" i="24"/>
  <c r="X102" i="24"/>
  <c r="Y93" i="24"/>
  <c r="Y96" i="24"/>
  <c r="Y97" i="24"/>
  <c r="Y98" i="24"/>
  <c r="X98" i="24"/>
  <c r="X119" i="24"/>
  <c r="X165" i="24"/>
  <c r="N181" i="24"/>
  <c r="N161" i="24"/>
  <c r="N173" i="24"/>
  <c r="AB85" i="24"/>
  <c r="S103" i="24"/>
  <c r="S114" i="24"/>
  <c r="S115" i="24"/>
  <c r="Z6" i="24"/>
  <c r="Z173" i="24"/>
  <c r="R118" i="24"/>
  <c r="R131" i="24"/>
  <c r="R132" i="24"/>
  <c r="R133" i="24"/>
  <c r="R117" i="24"/>
  <c r="AC8" i="24"/>
  <c r="AC82" i="24"/>
  <c r="AB205" i="24"/>
  <c r="AD14" i="24"/>
  <c r="AC15" i="24"/>
  <c r="AC207" i="24"/>
  <c r="U107" i="23"/>
  <c r="U115" i="23"/>
  <c r="U108" i="23"/>
  <c r="V105" i="23"/>
  <c r="U114" i="23"/>
  <c r="AC86" i="24"/>
  <c r="CE28" i="14"/>
  <c r="K154" i="23"/>
  <c r="L144" i="23"/>
  <c r="Z39" i="23"/>
  <c r="D63" i="23"/>
  <c r="Z106" i="23"/>
  <c r="J180" i="23"/>
  <c r="J186" i="23"/>
  <c r="J189" i="23"/>
  <c r="J198" i="23"/>
  <c r="J159" i="23"/>
  <c r="J171" i="23"/>
  <c r="X86" i="23"/>
  <c r="AC94" i="23"/>
  <c r="AC90" i="23"/>
  <c r="AA38" i="23"/>
  <c r="AB6" i="23"/>
  <c r="AA148" i="23"/>
  <c r="AA170" i="23"/>
  <c r="AA171" i="23"/>
  <c r="AB96" i="23"/>
  <c r="AB92" i="23"/>
  <c r="AD21" i="23"/>
  <c r="AE20" i="23"/>
  <c r="AB87" i="24"/>
  <c r="AB83" i="24"/>
  <c r="P101" i="23"/>
  <c r="P103" i="23"/>
  <c r="S126" i="23"/>
  <c r="S127" i="23"/>
  <c r="S128" i="23"/>
  <c r="N135" i="23"/>
  <c r="O143" i="23"/>
  <c r="X77" i="24"/>
  <c r="T118" i="23"/>
  <c r="T117" i="23"/>
  <c r="T165" i="23"/>
  <c r="AG15" i="23"/>
  <c r="AF17" i="23"/>
  <c r="AF18" i="23"/>
  <c r="O163" i="23"/>
  <c r="O167" i="23"/>
  <c r="O130" i="23"/>
  <c r="O131" i="23"/>
  <c r="O132" i="23"/>
  <c r="AB220" i="24"/>
  <c r="AA221" i="24"/>
  <c r="T164" i="23"/>
  <c r="AC85" i="24"/>
  <c r="R167" i="24"/>
  <c r="R169" i="24"/>
  <c r="AC81" i="24"/>
  <c r="Z172" i="24"/>
  <c r="Z29" i="24"/>
  <c r="Z30" i="24"/>
  <c r="D54" i="24"/>
  <c r="Z149" i="24"/>
  <c r="AA6" i="24"/>
  <c r="AA29" i="24"/>
  <c r="AA30" i="24"/>
  <c r="D55" i="24"/>
  <c r="S166" i="24"/>
  <c r="Z93" i="24"/>
  <c r="Y102" i="24"/>
  <c r="S118" i="24"/>
  <c r="S131" i="24"/>
  <c r="S132" i="24"/>
  <c r="S133" i="24"/>
  <c r="N137" i="24"/>
  <c r="O145" i="24"/>
  <c r="S117" i="24"/>
  <c r="R127" i="24"/>
  <c r="R128" i="24"/>
  <c r="R129" i="24"/>
  <c r="S104" i="24"/>
  <c r="T101" i="24"/>
  <c r="AA9" i="24"/>
  <c r="AB4" i="24"/>
  <c r="AA206" i="24"/>
  <c r="AE14" i="24"/>
  <c r="AD15" i="24"/>
  <c r="AD207" i="24"/>
  <c r="AC205" i="24"/>
  <c r="AD8" i="24"/>
  <c r="K186" i="23"/>
  <c r="K189" i="23"/>
  <c r="K180" i="23"/>
  <c r="K159" i="23"/>
  <c r="K171" i="23"/>
  <c r="K198" i="23"/>
  <c r="K209" i="23"/>
  <c r="AC220" i="24"/>
  <c r="AB221" i="24"/>
  <c r="U164" i="23"/>
  <c r="AC96" i="23"/>
  <c r="AC92" i="23"/>
  <c r="J209" i="23"/>
  <c r="J210" i="23"/>
  <c r="AF20" i="23"/>
  <c r="AE21" i="23"/>
  <c r="V115" i="23"/>
  <c r="V107" i="23"/>
  <c r="V108" i="23"/>
  <c r="W105" i="23"/>
  <c r="V114" i="23"/>
  <c r="AH15" i="23"/>
  <c r="AG17" i="23"/>
  <c r="AG18" i="23"/>
  <c r="AB38" i="23"/>
  <c r="AC6" i="23"/>
  <c r="AB148" i="23"/>
  <c r="AB171" i="23"/>
  <c r="AB170" i="23"/>
  <c r="AC83" i="24"/>
  <c r="AC87" i="24"/>
  <c r="P102" i="23"/>
  <c r="P119" i="23"/>
  <c r="Q100" i="23"/>
  <c r="AA39" i="23"/>
  <c r="D64" i="23"/>
  <c r="AA106" i="23"/>
  <c r="U117" i="23"/>
  <c r="U126" i="23"/>
  <c r="U127" i="23"/>
  <c r="U118" i="23"/>
  <c r="P143" i="23"/>
  <c r="O153" i="23"/>
  <c r="T126" i="23"/>
  <c r="T127" i="23"/>
  <c r="T128" i="23"/>
  <c r="CF28" i="14"/>
  <c r="M144" i="23"/>
  <c r="L154" i="23"/>
  <c r="AA173" i="24"/>
  <c r="AA149" i="24"/>
  <c r="AA172" i="24"/>
  <c r="P145" i="24"/>
  <c r="O155" i="24"/>
  <c r="S167" i="24"/>
  <c r="S169" i="24"/>
  <c r="AC4" i="24"/>
  <c r="AB5" i="24"/>
  <c r="AB206" i="24"/>
  <c r="AB9" i="24"/>
  <c r="AA93" i="24"/>
  <c r="Z102" i="24"/>
  <c r="T114" i="24"/>
  <c r="T103" i="24"/>
  <c r="T104" i="24"/>
  <c r="U101" i="24"/>
  <c r="T115" i="24"/>
  <c r="AB6" i="24"/>
  <c r="AB149" i="24"/>
  <c r="S127" i="24"/>
  <c r="S128" i="24"/>
  <c r="S129" i="24"/>
  <c r="N136" i="24"/>
  <c r="O144" i="24"/>
  <c r="AD85" i="24"/>
  <c r="AD87" i="24"/>
  <c r="AD86" i="24"/>
  <c r="AD82" i="24"/>
  <c r="AE8" i="24"/>
  <c r="AD205" i="24"/>
  <c r="AD83" i="24"/>
  <c r="AD81" i="24"/>
  <c r="AE15" i="24"/>
  <c r="AE207" i="24"/>
  <c r="AF14" i="24"/>
  <c r="Q101" i="23"/>
  <c r="Q103" i="23"/>
  <c r="AH17" i="23"/>
  <c r="AH18" i="23"/>
  <c r="AI15" i="23"/>
  <c r="U128" i="23"/>
  <c r="P163" i="23"/>
  <c r="P167" i="23"/>
  <c r="P130" i="23"/>
  <c r="P131" i="23"/>
  <c r="P132" i="23"/>
  <c r="L180" i="23"/>
  <c r="L186" i="23"/>
  <c r="L189" i="23"/>
  <c r="L159" i="23"/>
  <c r="L171" i="23"/>
  <c r="L198" i="23"/>
  <c r="L209" i="23"/>
  <c r="O179" i="23"/>
  <c r="V118" i="23"/>
  <c r="V117" i="23"/>
  <c r="P153" i="23"/>
  <c r="Q143" i="23"/>
  <c r="AD6" i="23"/>
  <c r="AC38" i="23"/>
  <c r="AC148" i="23"/>
  <c r="AC171" i="23"/>
  <c r="AC170" i="23"/>
  <c r="V126" i="23"/>
  <c r="V127" i="23"/>
  <c r="V164" i="23"/>
  <c r="AD220" i="24"/>
  <c r="AC221" i="24"/>
  <c r="N144" i="23"/>
  <c r="N154" i="23"/>
  <c r="M154" i="23"/>
  <c r="CG28" i="14"/>
  <c r="AB39" i="23"/>
  <c r="D65" i="23"/>
  <c r="AB106" i="23"/>
  <c r="W115" i="23"/>
  <c r="W114" i="23"/>
  <c r="W107" i="23"/>
  <c r="W108" i="23"/>
  <c r="X105" i="23"/>
  <c r="AG20" i="23"/>
  <c r="AF21" i="23"/>
  <c r="U165" i="23"/>
  <c r="K210" i="23"/>
  <c r="L210" i="23"/>
  <c r="AC6" i="24"/>
  <c r="AB173" i="24"/>
  <c r="AB29" i="24"/>
  <c r="AB30" i="24"/>
  <c r="D56" i="24"/>
  <c r="U114" i="24"/>
  <c r="U103" i="24"/>
  <c r="U115" i="24"/>
  <c r="AB172" i="24"/>
  <c r="AC5" i="24"/>
  <c r="AC9" i="24"/>
  <c r="AD4" i="24"/>
  <c r="AC206" i="24"/>
  <c r="T117" i="24"/>
  <c r="T127" i="24"/>
  <c r="T128" i="24"/>
  <c r="T129" i="24"/>
  <c r="T118" i="24"/>
  <c r="T131" i="24"/>
  <c r="T132" i="24"/>
  <c r="T133" i="24"/>
  <c r="T166" i="24"/>
  <c r="P144" i="24"/>
  <c r="O154" i="24"/>
  <c r="O213" i="24"/>
  <c r="O188" i="24"/>
  <c r="O191" i="24"/>
  <c r="O182" i="24"/>
  <c r="AA102" i="24"/>
  <c r="AB93" i="24"/>
  <c r="P155" i="24"/>
  <c r="Q145" i="24"/>
  <c r="AE86" i="24"/>
  <c r="AF8" i="24"/>
  <c r="AE205" i="24"/>
  <c r="AE83" i="24"/>
  <c r="AE87" i="24"/>
  <c r="AE85" i="24"/>
  <c r="AE81" i="24"/>
  <c r="AE82" i="24"/>
  <c r="AF15" i="24"/>
  <c r="AF207" i="24"/>
  <c r="AG14" i="24"/>
  <c r="X115" i="23"/>
  <c r="X114" i="23"/>
  <c r="X107" i="23"/>
  <c r="X108" i="23"/>
  <c r="Y105" i="23"/>
  <c r="AD221" i="24"/>
  <c r="AE220" i="24"/>
  <c r="AJ15" i="23"/>
  <c r="AI17" i="23"/>
  <c r="AI18" i="23"/>
  <c r="Q153" i="23"/>
  <c r="R143" i="23"/>
  <c r="P179" i="23"/>
  <c r="Q102" i="23"/>
  <c r="Q119" i="23"/>
  <c r="R100" i="23"/>
  <c r="AG21" i="23"/>
  <c r="AH20" i="23"/>
  <c r="CH28" i="14"/>
  <c r="V128" i="23"/>
  <c r="M186" i="23"/>
  <c r="M189" i="23"/>
  <c r="M180" i="23"/>
  <c r="M198" i="23"/>
  <c r="M209" i="23"/>
  <c r="M159" i="23"/>
  <c r="M171" i="23"/>
  <c r="AC29" i="24"/>
  <c r="AC30" i="24"/>
  <c r="D57" i="24"/>
  <c r="AC149" i="24"/>
  <c r="AC172" i="24"/>
  <c r="AC173" i="24"/>
  <c r="AD38" i="23"/>
  <c r="AE6" i="23"/>
  <c r="AD148" i="23"/>
  <c r="AD171" i="23"/>
  <c r="AD170" i="23"/>
  <c r="W118" i="23"/>
  <c r="W117" i="23"/>
  <c r="W165" i="23"/>
  <c r="W126" i="23"/>
  <c r="W127" i="23"/>
  <c r="W164" i="23"/>
  <c r="N180" i="23"/>
  <c r="N186" i="23"/>
  <c r="N189" i="23"/>
  <c r="N159" i="23"/>
  <c r="N171" i="23"/>
  <c r="N198" i="23"/>
  <c r="N209" i="23"/>
  <c r="AC39" i="23"/>
  <c r="D66" i="23"/>
  <c r="AC106" i="23"/>
  <c r="V165" i="23"/>
  <c r="AD6" i="24"/>
  <c r="T167" i="24"/>
  <c r="AD206" i="24"/>
  <c r="AE4" i="24"/>
  <c r="AE6" i="24"/>
  <c r="AD9" i="24"/>
  <c r="O181" i="24"/>
  <c r="O161" i="24"/>
  <c r="O173" i="24"/>
  <c r="R145" i="24"/>
  <c r="Q155" i="24"/>
  <c r="Q144" i="24"/>
  <c r="P154" i="24"/>
  <c r="P213" i="24"/>
  <c r="AD5" i="24"/>
  <c r="P182" i="24"/>
  <c r="P188" i="24"/>
  <c r="P191" i="24"/>
  <c r="AC93" i="24"/>
  <c r="AB102" i="24"/>
  <c r="U104" i="24"/>
  <c r="V101" i="24"/>
  <c r="U117" i="24"/>
  <c r="U118" i="24"/>
  <c r="U131" i="24"/>
  <c r="U132" i="24"/>
  <c r="U133" i="24"/>
  <c r="T169" i="24"/>
  <c r="U127" i="24"/>
  <c r="U128" i="24"/>
  <c r="U129" i="24"/>
  <c r="U166" i="24"/>
  <c r="AH14" i="24"/>
  <c r="AG15" i="24"/>
  <c r="AG207" i="24"/>
  <c r="AF86" i="24"/>
  <c r="AF81" i="24"/>
  <c r="AF87" i="24"/>
  <c r="AF82" i="24"/>
  <c r="AF83" i="24"/>
  <c r="AG8" i="24"/>
  <c r="AF205" i="24"/>
  <c r="AF85" i="24"/>
  <c r="Q179" i="23"/>
  <c r="AE221" i="24"/>
  <c r="AF220" i="24"/>
  <c r="AF6" i="23"/>
  <c r="AE38" i="23"/>
  <c r="AE148" i="23"/>
  <c r="AE171" i="23"/>
  <c r="AE170" i="23"/>
  <c r="M210" i="23"/>
  <c r="N210" i="23"/>
  <c r="AJ17" i="23"/>
  <c r="AJ18" i="23"/>
  <c r="AK15" i="23"/>
  <c r="AD39" i="23"/>
  <c r="D67" i="23"/>
  <c r="AD106" i="23"/>
  <c r="CI28" i="14"/>
  <c r="AI20" i="23"/>
  <c r="AH21" i="23"/>
  <c r="Y107" i="23"/>
  <c r="Y108" i="23"/>
  <c r="Z105" i="23"/>
  <c r="W128" i="23"/>
  <c r="X117" i="23"/>
  <c r="X118" i="23"/>
  <c r="X165" i="23"/>
  <c r="R101" i="23"/>
  <c r="R103" i="23"/>
  <c r="X164" i="23"/>
  <c r="AD29" i="24"/>
  <c r="AD30" i="24"/>
  <c r="D58" i="24"/>
  <c r="AD149" i="24"/>
  <c r="AD172" i="24"/>
  <c r="AD173" i="24"/>
  <c r="Q163" i="23"/>
  <c r="Q167" i="23"/>
  <c r="Q130" i="23"/>
  <c r="Q131" i="23"/>
  <c r="Q132" i="23"/>
  <c r="S143" i="23"/>
  <c r="S153" i="23"/>
  <c r="R153" i="23"/>
  <c r="AE5" i="24"/>
  <c r="Q188" i="24"/>
  <c r="Q191" i="24"/>
  <c r="Q182" i="24"/>
  <c r="AD93" i="24"/>
  <c r="AC102" i="24"/>
  <c r="R155" i="24"/>
  <c r="S145" i="24"/>
  <c r="S155" i="24"/>
  <c r="U167" i="24"/>
  <c r="U169" i="24"/>
  <c r="V103" i="24"/>
  <c r="V104" i="24"/>
  <c r="W101" i="24"/>
  <c r="V114" i="24"/>
  <c r="V115" i="24"/>
  <c r="AE9" i="24"/>
  <c r="AF4" i="24"/>
  <c r="AF5" i="24"/>
  <c r="AE206" i="24"/>
  <c r="Q213" i="24"/>
  <c r="R144" i="24"/>
  <c r="Q154" i="24"/>
  <c r="P161" i="24"/>
  <c r="P173" i="24"/>
  <c r="P181" i="24"/>
  <c r="AI14" i="24"/>
  <c r="AH15" i="24"/>
  <c r="AH207" i="24"/>
  <c r="AG85" i="24"/>
  <c r="AG81" i="24"/>
  <c r="AG83" i="24"/>
  <c r="AG82" i="24"/>
  <c r="AH8" i="24"/>
  <c r="AG87" i="24"/>
  <c r="AG205" i="24"/>
  <c r="AG86" i="24"/>
  <c r="Z107" i="23"/>
  <c r="Z108" i="23"/>
  <c r="AA105" i="23"/>
  <c r="CJ28" i="14"/>
  <c r="X126" i="23"/>
  <c r="X127" i="23"/>
  <c r="S179" i="23"/>
  <c r="AE39" i="23"/>
  <c r="D68" i="23"/>
  <c r="AE106" i="23"/>
  <c r="AJ20" i="23"/>
  <c r="AI21" i="23"/>
  <c r="AE29" i="24"/>
  <c r="AE30" i="24"/>
  <c r="D59" i="24"/>
  <c r="AE149" i="24"/>
  <c r="AE172" i="24"/>
  <c r="AE173" i="24"/>
  <c r="AK17" i="23"/>
  <c r="AK18" i="23"/>
  <c r="AL15" i="23"/>
  <c r="AG6" i="23"/>
  <c r="AF38" i="23"/>
  <c r="AF148" i="23"/>
  <c r="AF171" i="23"/>
  <c r="AF170" i="23"/>
  <c r="R102" i="23"/>
  <c r="R119" i="23"/>
  <c r="S100" i="23"/>
  <c r="R179" i="23"/>
  <c r="AG220" i="24"/>
  <c r="AF221" i="24"/>
  <c r="AF6" i="24"/>
  <c r="W115" i="24"/>
  <c r="W114" i="24"/>
  <c r="W103" i="24"/>
  <c r="W104" i="24"/>
  <c r="X101" i="24"/>
  <c r="S188" i="24"/>
  <c r="S191" i="24"/>
  <c r="S182" i="24"/>
  <c r="R188" i="24"/>
  <c r="R191" i="24"/>
  <c r="R182" i="24"/>
  <c r="Q161" i="24"/>
  <c r="Q173" i="24"/>
  <c r="Q181" i="24"/>
  <c r="V166" i="24"/>
  <c r="AE93" i="24"/>
  <c r="AD102" i="24"/>
  <c r="R154" i="24"/>
  <c r="S144" i="24"/>
  <c r="R213" i="24"/>
  <c r="V118" i="24"/>
  <c r="V131" i="24"/>
  <c r="V132" i="24"/>
  <c r="V117" i="24"/>
  <c r="AG4" i="24"/>
  <c r="AG6" i="24"/>
  <c r="AF206" i="24"/>
  <c r="AF9" i="24"/>
  <c r="AH86" i="24"/>
  <c r="AI8" i="24"/>
  <c r="AH85" i="24"/>
  <c r="AH205" i="24"/>
  <c r="AH81" i="24"/>
  <c r="AH83" i="24"/>
  <c r="AH87" i="24"/>
  <c r="AH82" i="24"/>
  <c r="AJ14" i="24"/>
  <c r="AI15" i="24"/>
  <c r="AI207" i="24"/>
  <c r="AA107" i="23"/>
  <c r="AA108" i="23"/>
  <c r="AB105" i="23"/>
  <c r="AF39" i="23"/>
  <c r="D69" i="23"/>
  <c r="AF106" i="23"/>
  <c r="G140" i="23"/>
  <c r="G150" i="23"/>
  <c r="I140" i="23"/>
  <c r="I150" i="23"/>
  <c r="X140" i="23"/>
  <c r="X150" i="23"/>
  <c r="E140" i="23"/>
  <c r="E150" i="23"/>
  <c r="V140" i="23"/>
  <c r="V150" i="23"/>
  <c r="F140" i="23"/>
  <c r="F150" i="23"/>
  <c r="P140" i="23"/>
  <c r="P150" i="23"/>
  <c r="K140" i="23"/>
  <c r="K150" i="23"/>
  <c r="M140" i="23"/>
  <c r="M150" i="23"/>
  <c r="N140" i="23"/>
  <c r="N150" i="23"/>
  <c r="R140" i="23"/>
  <c r="R150" i="23"/>
  <c r="H140" i="23"/>
  <c r="H150" i="23"/>
  <c r="T140" i="23"/>
  <c r="T150" i="23"/>
  <c r="Q140" i="23"/>
  <c r="Q150" i="23"/>
  <c r="W140" i="23"/>
  <c r="W150" i="23"/>
  <c r="S140" i="23"/>
  <c r="S150" i="23"/>
  <c r="O140" i="23"/>
  <c r="O150" i="23"/>
  <c r="J140" i="23"/>
  <c r="J150" i="23"/>
  <c r="U140" i="23"/>
  <c r="U150" i="23"/>
  <c r="L140" i="23"/>
  <c r="L150" i="23"/>
  <c r="AG38" i="23"/>
  <c r="AH6" i="23"/>
  <c r="AG148" i="23"/>
  <c r="AG171" i="23"/>
  <c r="AG170" i="23"/>
  <c r="AM15" i="23"/>
  <c r="AL17" i="23"/>
  <c r="AL18" i="23"/>
  <c r="S101" i="23"/>
  <c r="S103" i="23"/>
  <c r="R163" i="23"/>
  <c r="R167" i="23"/>
  <c r="R130" i="23"/>
  <c r="R131" i="23"/>
  <c r="R132" i="23"/>
  <c r="AF29" i="24"/>
  <c r="AF30" i="24"/>
  <c r="D60" i="24"/>
  <c r="AF149" i="24"/>
  <c r="AF172" i="24"/>
  <c r="AF173" i="24"/>
  <c r="AK20" i="23"/>
  <c r="AJ21" i="23"/>
  <c r="AH220" i="24"/>
  <c r="AG221" i="24"/>
  <c r="CK28" i="14"/>
  <c r="X128" i="23"/>
  <c r="V167" i="24"/>
  <c r="AE102" i="24"/>
  <c r="AF93" i="24"/>
  <c r="AG206" i="24"/>
  <c r="AG9" i="24"/>
  <c r="AH4" i="24"/>
  <c r="AH6" i="24"/>
  <c r="V127" i="24"/>
  <c r="V128" i="24"/>
  <c r="AG5" i="24"/>
  <c r="V169" i="24"/>
  <c r="X114" i="24"/>
  <c r="X115" i="24"/>
  <c r="X103" i="24"/>
  <c r="V133" i="24"/>
  <c r="W118" i="24"/>
  <c r="W131" i="24"/>
  <c r="W132" i="24"/>
  <c r="W117" i="24"/>
  <c r="W167" i="24"/>
  <c r="W166" i="24"/>
  <c r="R161" i="24"/>
  <c r="R173" i="24"/>
  <c r="R181" i="24"/>
  <c r="S213" i="24"/>
  <c r="S154" i="24"/>
  <c r="AI85" i="24"/>
  <c r="AI83" i="24"/>
  <c r="AI86" i="24"/>
  <c r="AI87" i="24"/>
  <c r="AJ8" i="24"/>
  <c r="AI81" i="24"/>
  <c r="AI82" i="24"/>
  <c r="AI205" i="24"/>
  <c r="AK14" i="24"/>
  <c r="AJ15" i="24"/>
  <c r="AJ207" i="24"/>
  <c r="AB107" i="23"/>
  <c r="AB108" i="23"/>
  <c r="AC105" i="23"/>
  <c r="AH221" i="24"/>
  <c r="AI220" i="24"/>
  <c r="O176" i="23"/>
  <c r="M176" i="23"/>
  <c r="G176" i="23"/>
  <c r="I176" i="23"/>
  <c r="S176" i="23"/>
  <c r="K176" i="23"/>
  <c r="N176" i="23"/>
  <c r="AK21" i="23"/>
  <c r="AL20" i="23"/>
  <c r="AG29" i="24"/>
  <c r="AG30" i="24"/>
  <c r="D61" i="24"/>
  <c r="AG149" i="24"/>
  <c r="AG172" i="24"/>
  <c r="AG173" i="24"/>
  <c r="W176" i="23"/>
  <c r="P176" i="23"/>
  <c r="J176" i="23"/>
  <c r="S135" i="23"/>
  <c r="T143" i="23"/>
  <c r="X135" i="23"/>
  <c r="CL28" i="14"/>
  <c r="AI6" i="23"/>
  <c r="AH38" i="23"/>
  <c r="AH148" i="23"/>
  <c r="AH170" i="23"/>
  <c r="AH171" i="23"/>
  <c r="Q176" i="23"/>
  <c r="F176" i="23"/>
  <c r="AN15" i="23"/>
  <c r="AM17" i="23"/>
  <c r="AM18" i="23"/>
  <c r="AG39" i="23"/>
  <c r="D70" i="23"/>
  <c r="AG106" i="23"/>
  <c r="T176" i="23"/>
  <c r="V176" i="23"/>
  <c r="S102" i="23"/>
  <c r="S119" i="23"/>
  <c r="T100" i="23"/>
  <c r="L176" i="23"/>
  <c r="H176" i="23"/>
  <c r="E176" i="23"/>
  <c r="U176" i="23"/>
  <c r="R176" i="23"/>
  <c r="X176" i="23"/>
  <c r="W127" i="24"/>
  <c r="W128" i="24"/>
  <c r="W169" i="24"/>
  <c r="W133" i="24"/>
  <c r="AH5" i="24"/>
  <c r="V129" i="24"/>
  <c r="W129" i="24"/>
  <c r="AH206" i="24"/>
  <c r="AI4" i="24"/>
  <c r="AI6" i="24"/>
  <c r="AH9" i="24"/>
  <c r="X104" i="24"/>
  <c r="Y101" i="24"/>
  <c r="X117" i="24"/>
  <c r="X127" i="24"/>
  <c r="X128" i="24"/>
  <c r="O141" i="24"/>
  <c r="O151" i="24"/>
  <c r="X118" i="24"/>
  <c r="X131" i="24"/>
  <c r="X132" i="24"/>
  <c r="AG93" i="24"/>
  <c r="AF102" i="24"/>
  <c r="S161" i="24"/>
  <c r="S173" i="24"/>
  <c r="S181" i="24"/>
  <c r="X166" i="24"/>
  <c r="AJ86" i="24"/>
  <c r="AJ82" i="24"/>
  <c r="AK8" i="24"/>
  <c r="AJ205" i="24"/>
  <c r="AJ83" i="24"/>
  <c r="AJ87" i="24"/>
  <c r="AJ81" i="24"/>
  <c r="AJ85" i="24"/>
  <c r="AL14" i="24"/>
  <c r="AK15" i="24"/>
  <c r="AK207" i="24"/>
  <c r="AI38" i="23"/>
  <c r="AJ6" i="23"/>
  <c r="AI148" i="23"/>
  <c r="AI170" i="23"/>
  <c r="AI171" i="23"/>
  <c r="U143" i="23"/>
  <c r="T153" i="23"/>
  <c r="AJ220" i="24"/>
  <c r="AI221" i="24"/>
  <c r="AO15" i="23"/>
  <c r="AN17" i="23"/>
  <c r="AN18" i="23"/>
  <c r="AH29" i="24"/>
  <c r="AH30" i="24"/>
  <c r="D62" i="24"/>
  <c r="AH149" i="24"/>
  <c r="AH172" i="24"/>
  <c r="AH173" i="24"/>
  <c r="T103" i="23"/>
  <c r="T101" i="23"/>
  <c r="AC107" i="23"/>
  <c r="AC108" i="23"/>
  <c r="AD105" i="23"/>
  <c r="S163" i="23"/>
  <c r="S167" i="23"/>
  <c r="S130" i="23"/>
  <c r="S131" i="23"/>
  <c r="S132" i="23"/>
  <c r="N136" i="23"/>
  <c r="O144" i="23"/>
  <c r="AH39" i="23"/>
  <c r="D71" i="23"/>
  <c r="AH106" i="23"/>
  <c r="CM28" i="14"/>
  <c r="AL21" i="23"/>
  <c r="AM20" i="23"/>
  <c r="O178" i="24"/>
  <c r="X133" i="24"/>
  <c r="R142" i="24"/>
  <c r="R152" i="24"/>
  <c r="S142" i="24"/>
  <c r="S152" i="24"/>
  <c r="N142" i="24"/>
  <c r="N152" i="24"/>
  <c r="Q142" i="24"/>
  <c r="Q152" i="24"/>
  <c r="P142" i="24"/>
  <c r="P152" i="24"/>
  <c r="E142" i="24"/>
  <c r="E152" i="24"/>
  <c r="J142" i="24"/>
  <c r="J152" i="24"/>
  <c r="W142" i="24"/>
  <c r="W152" i="24"/>
  <c r="U142" i="24"/>
  <c r="U152" i="24"/>
  <c r="K142" i="24"/>
  <c r="K152" i="24"/>
  <c r="O142" i="24"/>
  <c r="O152" i="24"/>
  <c r="V142" i="24"/>
  <c r="V152" i="24"/>
  <c r="I142" i="24"/>
  <c r="I152" i="24"/>
  <c r="F142" i="24"/>
  <c r="F152" i="24"/>
  <c r="X129" i="24"/>
  <c r="H141" i="24"/>
  <c r="H151" i="24"/>
  <c r="S141" i="24"/>
  <c r="S151" i="24"/>
  <c r="K141" i="24"/>
  <c r="K151" i="24"/>
  <c r="G142" i="24"/>
  <c r="G152" i="24"/>
  <c r="X167" i="24"/>
  <c r="X169" i="24"/>
  <c r="G141" i="24"/>
  <c r="G151" i="24"/>
  <c r="F141" i="24"/>
  <c r="F151" i="24"/>
  <c r="J141" i="24"/>
  <c r="J151" i="24"/>
  <c r="Y103" i="24"/>
  <c r="Y104" i="24"/>
  <c r="Z101" i="24"/>
  <c r="L141" i="24"/>
  <c r="L151" i="24"/>
  <c r="P141" i="24"/>
  <c r="P151" i="24"/>
  <c r="X141" i="24"/>
  <c r="X151" i="24"/>
  <c r="R141" i="24"/>
  <c r="R151" i="24"/>
  <c r="M142" i="24"/>
  <c r="M152" i="24"/>
  <c r="T141" i="24"/>
  <c r="T151" i="24"/>
  <c r="E141" i="24"/>
  <c r="E151" i="24"/>
  <c r="Q141" i="24"/>
  <c r="Q151" i="24"/>
  <c r="H142" i="24"/>
  <c r="H152" i="24"/>
  <c r="M141" i="24"/>
  <c r="M151" i="24"/>
  <c r="I141" i="24"/>
  <c r="I151" i="24"/>
  <c r="V141" i="24"/>
  <c r="V151" i="24"/>
  <c r="L142" i="24"/>
  <c r="L152" i="24"/>
  <c r="AH93" i="24"/>
  <c r="AG102" i="24"/>
  <c r="N141" i="24"/>
  <c r="N151" i="24"/>
  <c r="W141" i="24"/>
  <c r="W151" i="24"/>
  <c r="AI5" i="24"/>
  <c r="X142" i="24"/>
  <c r="X152" i="24"/>
  <c r="AJ4" i="24"/>
  <c r="AJ6" i="24"/>
  <c r="AI206" i="24"/>
  <c r="AI9" i="24"/>
  <c r="U141" i="24"/>
  <c r="U151" i="24"/>
  <c r="T142" i="24"/>
  <c r="T152" i="24"/>
  <c r="AK82" i="24"/>
  <c r="AL8" i="24"/>
  <c r="AK205" i="24"/>
  <c r="AK87" i="24"/>
  <c r="AK85" i="24"/>
  <c r="AK81" i="24"/>
  <c r="AK83" i="24"/>
  <c r="AK86" i="24"/>
  <c r="AM14" i="24"/>
  <c r="AL15" i="24"/>
  <c r="AL207" i="24"/>
  <c r="AI29" i="24"/>
  <c r="AI30" i="24"/>
  <c r="D63" i="24"/>
  <c r="AI149" i="24"/>
  <c r="AI173" i="24"/>
  <c r="AI172" i="24"/>
  <c r="U100" i="23"/>
  <c r="T102" i="23"/>
  <c r="T119" i="23"/>
  <c r="AJ38" i="23"/>
  <c r="AK6" i="23"/>
  <c r="AJ148" i="23"/>
  <c r="AJ171" i="23"/>
  <c r="AJ170" i="23"/>
  <c r="AK220" i="24"/>
  <c r="AJ221" i="24"/>
  <c r="AP15" i="23"/>
  <c r="AO17" i="23"/>
  <c r="AO18" i="23"/>
  <c r="T179" i="23"/>
  <c r="AI39" i="23"/>
  <c r="D72" i="23"/>
  <c r="AI106" i="23"/>
  <c r="CN28" i="14"/>
  <c r="V143" i="23"/>
  <c r="U153" i="23"/>
  <c r="P144" i="23"/>
  <c r="O154" i="23"/>
  <c r="AD107" i="23"/>
  <c r="AD108" i="23"/>
  <c r="AE105" i="23"/>
  <c r="AN20" i="23"/>
  <c r="AM21" i="23"/>
  <c r="AJ5" i="24"/>
  <c r="Z103" i="24"/>
  <c r="Z104" i="24"/>
  <c r="AA101" i="24"/>
  <c r="AA103" i="24"/>
  <c r="AA104" i="24"/>
  <c r="AB101" i="24"/>
  <c r="I160" i="24"/>
  <c r="I172" i="24"/>
  <c r="I178" i="24"/>
  <c r="M160" i="24"/>
  <c r="M172" i="24"/>
  <c r="M178" i="24"/>
  <c r="P178" i="24"/>
  <c r="P160" i="24"/>
  <c r="P172" i="24"/>
  <c r="V187" i="24"/>
  <c r="V190" i="24"/>
  <c r="V179" i="24"/>
  <c r="Q179" i="24"/>
  <c r="Q187" i="24"/>
  <c r="Q190" i="24"/>
  <c r="X187" i="24"/>
  <c r="X190" i="24"/>
  <c r="X179" i="24"/>
  <c r="W160" i="24"/>
  <c r="W172" i="24"/>
  <c r="W178" i="24"/>
  <c r="H179" i="24"/>
  <c r="H187" i="24"/>
  <c r="L178" i="24"/>
  <c r="L160" i="24"/>
  <c r="L172" i="24"/>
  <c r="G179" i="24"/>
  <c r="G187" i="24"/>
  <c r="O187" i="24"/>
  <c r="O190" i="24"/>
  <c r="O179" i="24"/>
  <c r="N179" i="24"/>
  <c r="N187" i="24"/>
  <c r="N190" i="24"/>
  <c r="X178" i="24"/>
  <c r="X160" i="24"/>
  <c r="X172" i="24"/>
  <c r="T179" i="24"/>
  <c r="T187" i="24"/>
  <c r="T190" i="24"/>
  <c r="N178" i="24"/>
  <c r="N160" i="24"/>
  <c r="N172" i="24"/>
  <c r="Q178" i="24"/>
  <c r="Q160" i="24"/>
  <c r="Q172" i="24"/>
  <c r="K178" i="24"/>
  <c r="K160" i="24"/>
  <c r="K172" i="24"/>
  <c r="K187" i="24"/>
  <c r="K190" i="24"/>
  <c r="K179" i="24"/>
  <c r="S187" i="24"/>
  <c r="S190" i="24"/>
  <c r="S179" i="24"/>
  <c r="G178" i="24"/>
  <c r="G160" i="24"/>
  <c r="G172" i="24"/>
  <c r="U178" i="24"/>
  <c r="U160" i="24"/>
  <c r="U172" i="24"/>
  <c r="E178" i="24"/>
  <c r="E160" i="24"/>
  <c r="E172" i="24"/>
  <c r="S178" i="24"/>
  <c r="S160" i="24"/>
  <c r="S172" i="24"/>
  <c r="U179" i="24"/>
  <c r="U187" i="24"/>
  <c r="U190" i="24"/>
  <c r="R187" i="24"/>
  <c r="R190" i="24"/>
  <c r="R179" i="24"/>
  <c r="I179" i="24"/>
  <c r="I187" i="24"/>
  <c r="AI93" i="24"/>
  <c r="AH102" i="24"/>
  <c r="T160" i="24"/>
  <c r="T172" i="24"/>
  <c r="T178" i="24"/>
  <c r="H160" i="24"/>
  <c r="H172" i="24"/>
  <c r="H178" i="24"/>
  <c r="W179" i="24"/>
  <c r="W187" i="24"/>
  <c r="W190" i="24"/>
  <c r="S137" i="24"/>
  <c r="T145" i="24"/>
  <c r="X137" i="24"/>
  <c r="P179" i="24"/>
  <c r="P187" i="24"/>
  <c r="P190" i="24"/>
  <c r="L179" i="24"/>
  <c r="L187" i="24"/>
  <c r="L190" i="24"/>
  <c r="M187" i="24"/>
  <c r="M190" i="24"/>
  <c r="M179" i="24"/>
  <c r="J178" i="24"/>
  <c r="J160" i="24"/>
  <c r="J172" i="24"/>
  <c r="S136" i="24"/>
  <c r="T144" i="24"/>
  <c r="X136" i="24"/>
  <c r="J187" i="24"/>
  <c r="J190" i="24"/>
  <c r="J179" i="24"/>
  <c r="O160" i="24"/>
  <c r="O172" i="24"/>
  <c r="AJ9" i="24"/>
  <c r="AK4" i="24"/>
  <c r="AJ206" i="24"/>
  <c r="V178" i="24"/>
  <c r="V160" i="24"/>
  <c r="V172" i="24"/>
  <c r="R178" i="24"/>
  <c r="R160" i="24"/>
  <c r="R172" i="24"/>
  <c r="F178" i="24"/>
  <c r="F160" i="24"/>
  <c r="F172" i="24"/>
  <c r="F179" i="24"/>
  <c r="F187" i="24"/>
  <c r="E179" i="24"/>
  <c r="E187" i="24"/>
  <c r="AL87" i="24"/>
  <c r="AL82" i="24"/>
  <c r="AM8" i="24"/>
  <c r="AL205" i="24"/>
  <c r="AL81" i="24"/>
  <c r="AL83" i="24"/>
  <c r="AL86" i="24"/>
  <c r="AL85" i="24"/>
  <c r="AM15" i="24"/>
  <c r="AM207" i="24"/>
  <c r="AN14" i="24"/>
  <c r="U103" i="23"/>
  <c r="U101" i="23"/>
  <c r="AP17" i="23"/>
  <c r="AP18" i="23"/>
  <c r="AQ15" i="23"/>
  <c r="AO20" i="23"/>
  <c r="AN21" i="23"/>
  <c r="CO28" i="14"/>
  <c r="AL6" i="23"/>
  <c r="AK38" i="23"/>
  <c r="AK148" i="23"/>
  <c r="AK170" i="23"/>
  <c r="AK171" i="23"/>
  <c r="W143" i="23"/>
  <c r="V153" i="23"/>
  <c r="AE107" i="23"/>
  <c r="AE108" i="23"/>
  <c r="AF105" i="23"/>
  <c r="AL220" i="24"/>
  <c r="AK221" i="24"/>
  <c r="AJ39" i="23"/>
  <c r="D73" i="23"/>
  <c r="AJ106" i="23"/>
  <c r="O186" i="23"/>
  <c r="O189" i="23"/>
  <c r="O180" i="23"/>
  <c r="O198" i="23"/>
  <c r="O159" i="23"/>
  <c r="O171" i="23"/>
  <c r="Q144" i="23"/>
  <c r="P154" i="23"/>
  <c r="U179" i="23"/>
  <c r="T163" i="23"/>
  <c r="T167" i="23"/>
  <c r="T130" i="23"/>
  <c r="T131" i="23"/>
  <c r="T132" i="23"/>
  <c r="AJ29" i="24"/>
  <c r="AJ30" i="24"/>
  <c r="D64" i="24"/>
  <c r="AJ149" i="24"/>
  <c r="AJ172" i="24"/>
  <c r="AJ173" i="24"/>
  <c r="U145" i="24"/>
  <c r="T155" i="24"/>
  <c r="AI102" i="24"/>
  <c r="AJ93" i="24"/>
  <c r="AK206" i="24"/>
  <c r="AL4" i="24"/>
  <c r="AK5" i="24"/>
  <c r="AK9" i="24"/>
  <c r="AK6" i="24"/>
  <c r="AB103" i="24"/>
  <c r="AB104" i="24"/>
  <c r="AC101" i="24"/>
  <c r="AC103" i="24"/>
  <c r="AC104" i="24"/>
  <c r="AD101" i="24"/>
  <c r="T154" i="24"/>
  <c r="U144" i="24"/>
  <c r="T213" i="24"/>
  <c r="AM87" i="24"/>
  <c r="AM205" i="24"/>
  <c r="AM85" i="24"/>
  <c r="AM83" i="24"/>
  <c r="AM81" i="24"/>
  <c r="AM82" i="24"/>
  <c r="AM86" i="24"/>
  <c r="AN8" i="24"/>
  <c r="AN15" i="24"/>
  <c r="AN207" i="24"/>
  <c r="AO14" i="24"/>
  <c r="AO21" i="23"/>
  <c r="AP20" i="23"/>
  <c r="AK29" i="24"/>
  <c r="AK30" i="24"/>
  <c r="D65" i="24"/>
  <c r="AK149" i="24"/>
  <c r="AK172" i="24"/>
  <c r="AK173" i="24"/>
  <c r="W153" i="23"/>
  <c r="X143" i="23"/>
  <c r="X153" i="23"/>
  <c r="P186" i="23"/>
  <c r="P189" i="23"/>
  <c r="P180" i="23"/>
  <c r="P198" i="23"/>
  <c r="P209" i="23"/>
  <c r="P159" i="23"/>
  <c r="P171" i="23"/>
  <c r="Q154" i="23"/>
  <c r="R144" i="23"/>
  <c r="AL221" i="24"/>
  <c r="AM220" i="24"/>
  <c r="AR15" i="23"/>
  <c r="AR17" i="23"/>
  <c r="AQ17" i="23"/>
  <c r="AQ18" i="23"/>
  <c r="AK39" i="23"/>
  <c r="D74" i="23"/>
  <c r="AK106" i="23"/>
  <c r="AF107" i="23"/>
  <c r="AF108" i="23"/>
  <c r="AG105" i="23"/>
  <c r="AL38" i="23"/>
  <c r="AM6" i="23"/>
  <c r="AL148" i="23"/>
  <c r="AL170" i="23"/>
  <c r="AL171" i="23"/>
  <c r="O209" i="23"/>
  <c r="O210" i="23"/>
  <c r="P210" i="23"/>
  <c r="CP28" i="14"/>
  <c r="V179" i="23"/>
  <c r="V100" i="23"/>
  <c r="U102" i="23"/>
  <c r="U119" i="23"/>
  <c r="AL5" i="24"/>
  <c r="AM4" i="24"/>
  <c r="AL206" i="24"/>
  <c r="AL9" i="24"/>
  <c r="U213" i="24"/>
  <c r="V144" i="24"/>
  <c r="U154" i="24"/>
  <c r="T181" i="24"/>
  <c r="T161" i="24"/>
  <c r="T173" i="24"/>
  <c r="AJ102" i="24"/>
  <c r="AK93" i="24"/>
  <c r="AD103" i="24"/>
  <c r="AD104" i="24"/>
  <c r="AE101" i="24"/>
  <c r="AL6" i="24"/>
  <c r="AL29" i="24"/>
  <c r="AL30" i="24"/>
  <c r="D66" i="24"/>
  <c r="T188" i="24"/>
  <c r="T191" i="24"/>
  <c r="T182" i="24"/>
  <c r="U155" i="24"/>
  <c r="V145" i="24"/>
  <c r="AN81" i="24"/>
  <c r="AN87" i="24"/>
  <c r="AN85" i="24"/>
  <c r="AN86" i="24"/>
  <c r="AN83" i="24"/>
  <c r="AN82" i="24"/>
  <c r="AO8" i="24"/>
  <c r="AN205" i="24"/>
  <c r="AO15" i="24"/>
  <c r="AO207" i="24"/>
  <c r="AP14" i="24"/>
  <c r="AG107" i="23"/>
  <c r="AG108" i="23"/>
  <c r="AH105" i="23"/>
  <c r="AM221" i="24"/>
  <c r="AN220" i="24"/>
  <c r="X179" i="23"/>
  <c r="U163" i="23"/>
  <c r="U167" i="23"/>
  <c r="U130" i="23"/>
  <c r="U131" i="23"/>
  <c r="U132" i="23"/>
  <c r="W179" i="23"/>
  <c r="R154" i="23"/>
  <c r="S144" i="23"/>
  <c r="S154" i="23"/>
  <c r="V103" i="23"/>
  <c r="V101" i="23"/>
  <c r="Q186" i="23"/>
  <c r="Q189" i="23"/>
  <c r="Q180" i="23"/>
  <c r="Q198" i="23"/>
  <c r="Q209" i="23"/>
  <c r="Q159" i="23"/>
  <c r="Q171" i="23"/>
  <c r="AL172" i="24"/>
  <c r="AL173" i="24"/>
  <c r="Q210" i="23"/>
  <c r="AN6" i="23"/>
  <c r="AM38" i="23"/>
  <c r="AM148" i="23"/>
  <c r="AM171" i="23"/>
  <c r="AM170" i="23"/>
  <c r="AL39" i="23"/>
  <c r="D75" i="23"/>
  <c r="AL106" i="23"/>
  <c r="AR18" i="23"/>
  <c r="AQ20" i="23"/>
  <c r="AP21" i="23"/>
  <c r="U161" i="24"/>
  <c r="U173" i="24"/>
  <c r="U181" i="24"/>
  <c r="V154" i="24"/>
  <c r="W144" i="24"/>
  <c r="V213" i="24"/>
  <c r="AE103" i="24"/>
  <c r="AE104" i="24"/>
  <c r="AF101" i="24"/>
  <c r="AF103" i="24"/>
  <c r="AF104" i="24"/>
  <c r="AG101" i="24"/>
  <c r="AG103" i="24"/>
  <c r="AG104" i="24"/>
  <c r="AH101" i="24"/>
  <c r="AM6" i="24"/>
  <c r="AM173" i="24"/>
  <c r="AL93" i="24"/>
  <c r="AK102" i="24"/>
  <c r="V155" i="24"/>
  <c r="W145" i="24"/>
  <c r="AN4" i="24"/>
  <c r="AM206" i="24"/>
  <c r="AM9" i="24"/>
  <c r="AL149" i="24"/>
  <c r="U188" i="24"/>
  <c r="U191" i="24"/>
  <c r="U182" i="24"/>
  <c r="AM5" i="24"/>
  <c r="AP15" i="24"/>
  <c r="AP207" i="24"/>
  <c r="AQ14" i="24"/>
  <c r="AO81" i="24"/>
  <c r="AO87" i="24"/>
  <c r="AP8" i="24"/>
  <c r="AO83" i="24"/>
  <c r="AO82" i="24"/>
  <c r="AO86" i="24"/>
  <c r="AO205" i="24"/>
  <c r="AO85" i="24"/>
  <c r="R180" i="23"/>
  <c r="R186" i="23"/>
  <c r="R189" i="23"/>
  <c r="R198" i="23"/>
  <c r="R209" i="23"/>
  <c r="R159" i="23"/>
  <c r="R171" i="23"/>
  <c r="AO220" i="24"/>
  <c r="AN221" i="24"/>
  <c r="R210" i="23"/>
  <c r="S198" i="23"/>
  <c r="S210" i="23"/>
  <c r="AH107" i="23"/>
  <c r="AH108" i="23"/>
  <c r="AI105" i="23"/>
  <c r="AM39" i="23"/>
  <c r="D76" i="23"/>
  <c r="AM106" i="23"/>
  <c r="W100" i="23"/>
  <c r="V102" i="23"/>
  <c r="V119" i="23"/>
  <c r="AR20" i="23"/>
  <c r="AR21" i="23"/>
  <c r="AQ21" i="23"/>
  <c r="AO6" i="23"/>
  <c r="AN38" i="23"/>
  <c r="AN148" i="23"/>
  <c r="AN171" i="23"/>
  <c r="AN170" i="23"/>
  <c r="S186" i="23"/>
  <c r="S189" i="23"/>
  <c r="S180" i="23"/>
  <c r="S159" i="23"/>
  <c r="S171" i="23"/>
  <c r="S209" i="23"/>
  <c r="AN6" i="24"/>
  <c r="AH103" i="24"/>
  <c r="AH104" i="24"/>
  <c r="AI101" i="24"/>
  <c r="AM172" i="24"/>
  <c r="AN9" i="24"/>
  <c r="AN206" i="24"/>
  <c r="AO4" i="24"/>
  <c r="AO6" i="24"/>
  <c r="W213" i="24"/>
  <c r="X144" i="24"/>
  <c r="W154" i="24"/>
  <c r="AM149" i="24"/>
  <c r="X145" i="24"/>
  <c r="X155" i="24"/>
  <c r="W155" i="24"/>
  <c r="AM29" i="24"/>
  <c r="AM30" i="24"/>
  <c r="D67" i="24"/>
  <c r="AN5" i="24"/>
  <c r="V182" i="24"/>
  <c r="V188" i="24"/>
  <c r="V191" i="24"/>
  <c r="V181" i="24"/>
  <c r="V161" i="24"/>
  <c r="V173" i="24"/>
  <c r="AL102" i="24"/>
  <c r="AM93" i="24"/>
  <c r="AP205" i="24"/>
  <c r="AP85" i="24"/>
  <c r="AP81" i="24"/>
  <c r="AP87" i="24"/>
  <c r="AP83" i="24"/>
  <c r="AQ8" i="24"/>
  <c r="AP86" i="24"/>
  <c r="AP82" i="24"/>
  <c r="AR14" i="24"/>
  <c r="AR15" i="24"/>
  <c r="AR207" i="24"/>
  <c r="AQ15" i="24"/>
  <c r="AQ207" i="24"/>
  <c r="AN29" i="24"/>
  <c r="AN30" i="24"/>
  <c r="D68" i="24"/>
  <c r="AN149" i="24"/>
  <c r="AN172" i="24"/>
  <c r="AN173" i="24"/>
  <c r="AI107" i="23"/>
  <c r="AI108" i="23"/>
  <c r="AJ105" i="23"/>
  <c r="V163" i="23"/>
  <c r="V167" i="23"/>
  <c r="V130" i="23"/>
  <c r="V131" i="23"/>
  <c r="V132" i="23"/>
  <c r="W103" i="23"/>
  <c r="W101" i="23"/>
  <c r="AN39" i="23"/>
  <c r="D77" i="23"/>
  <c r="AN106" i="23"/>
  <c r="AO38" i="23"/>
  <c r="AP6" i="23"/>
  <c r="AO148" i="23"/>
  <c r="AO171" i="23"/>
  <c r="AO170" i="23"/>
  <c r="AP220" i="24"/>
  <c r="AO221" i="24"/>
  <c r="AO5" i="24"/>
  <c r="AP4" i="24"/>
  <c r="AO206" i="24"/>
  <c r="AO9" i="24"/>
  <c r="X213" i="24"/>
  <c r="X154" i="24"/>
  <c r="W188" i="24"/>
  <c r="W191" i="24"/>
  <c r="W182" i="24"/>
  <c r="X188" i="24"/>
  <c r="X191" i="24"/>
  <c r="X182" i="24"/>
  <c r="AM102" i="24"/>
  <c r="AN93" i="24"/>
  <c r="AI103" i="24"/>
  <c r="AI104" i="24"/>
  <c r="AJ101" i="24"/>
  <c r="AJ103" i="24"/>
  <c r="AJ104" i="24"/>
  <c r="AK101" i="24"/>
  <c r="AK103" i="24"/>
  <c r="AK104" i="24"/>
  <c r="AL101" i="24"/>
  <c r="W161" i="24"/>
  <c r="W173" i="24"/>
  <c r="W181" i="24"/>
  <c r="AQ205" i="24"/>
  <c r="AQ85" i="24"/>
  <c r="AQ81" i="24"/>
  <c r="AQ82" i="24"/>
  <c r="AQ87" i="24"/>
  <c r="AQ83" i="24"/>
  <c r="AR8" i="24"/>
  <c r="AQ86" i="24"/>
  <c r="X100" i="23"/>
  <c r="W102" i="23"/>
  <c r="W119" i="23"/>
  <c r="AQ6" i="23"/>
  <c r="AP38" i="23"/>
  <c r="AP148" i="23"/>
  <c r="AP170" i="23"/>
  <c r="AP171" i="23"/>
  <c r="AO39" i="23"/>
  <c r="D78" i="23"/>
  <c r="AO106" i="23"/>
  <c r="AJ107" i="23"/>
  <c r="AJ108" i="23"/>
  <c r="AK105" i="23"/>
  <c r="AP221" i="24"/>
  <c r="AQ220" i="24"/>
  <c r="AO29" i="24"/>
  <c r="AO30" i="24"/>
  <c r="D69" i="24"/>
  <c r="AP6" i="24"/>
  <c r="AO149" i="24"/>
  <c r="AO172" i="24"/>
  <c r="AO173" i="24"/>
  <c r="X161" i="24"/>
  <c r="X173" i="24"/>
  <c r="X181" i="24"/>
  <c r="AN102" i="24"/>
  <c r="AO93" i="24"/>
  <c r="AP9" i="24"/>
  <c r="AP5" i="24"/>
  <c r="AQ4" i="24"/>
  <c r="AP206" i="24"/>
  <c r="AR86" i="24"/>
  <c r="AR82" i="24"/>
  <c r="AR85" i="24"/>
  <c r="AR83" i="24"/>
  <c r="AR205" i="24"/>
  <c r="AR81" i="24"/>
  <c r="AR87" i="24"/>
  <c r="AL103" i="24"/>
  <c r="AL104" i="24"/>
  <c r="AM101" i="24"/>
  <c r="W163" i="23"/>
  <c r="W167" i="23"/>
  <c r="W130" i="23"/>
  <c r="W131" i="23"/>
  <c r="W132" i="23"/>
  <c r="AR220" i="24"/>
  <c r="AQ221" i="24"/>
  <c r="X103" i="23"/>
  <c r="X101" i="23"/>
  <c r="AP39" i="23"/>
  <c r="D79" i="23"/>
  <c r="AP106" i="23"/>
  <c r="AQ38" i="23"/>
  <c r="AR6" i="23"/>
  <c r="AQ148" i="23"/>
  <c r="AQ170" i="23"/>
  <c r="AQ171" i="23"/>
  <c r="AP29" i="24"/>
  <c r="AP30" i="24"/>
  <c r="D70" i="24"/>
  <c r="AP149" i="24"/>
  <c r="AP172" i="24"/>
  <c r="AP173" i="24"/>
  <c r="AK107" i="23"/>
  <c r="AK108" i="23"/>
  <c r="AL105" i="23"/>
  <c r="AQ206" i="24"/>
  <c r="AR4" i="24"/>
  <c r="AQ9" i="24"/>
  <c r="AQ5" i="24"/>
  <c r="AP93" i="24"/>
  <c r="AO102" i="24"/>
  <c r="AQ6" i="24"/>
  <c r="AR6" i="24"/>
  <c r="AS220" i="24"/>
  <c r="AS221" i="24"/>
  <c r="AR221" i="24"/>
  <c r="AR38" i="23"/>
  <c r="AR148" i="23"/>
  <c r="AR171" i="23"/>
  <c r="AR170" i="23"/>
  <c r="AQ39" i="23"/>
  <c r="D80" i="23"/>
  <c r="AQ106" i="23"/>
  <c r="AM103" i="24"/>
  <c r="AM104" i="24"/>
  <c r="AN101" i="24"/>
  <c r="AL107" i="23"/>
  <c r="AL108" i="23"/>
  <c r="AM105" i="23"/>
  <c r="X102" i="23"/>
  <c r="X119" i="23"/>
  <c r="Y100" i="23"/>
  <c r="AR5" i="24"/>
  <c r="AQ29" i="24"/>
  <c r="AQ30" i="24"/>
  <c r="D71" i="24"/>
  <c r="AQ173" i="24"/>
  <c r="AQ172" i="24"/>
  <c r="AQ149" i="24"/>
  <c r="AR206" i="24"/>
  <c r="AR9" i="24"/>
  <c r="AP102" i="24"/>
  <c r="AQ93" i="24"/>
  <c r="AM107" i="23"/>
  <c r="AM108" i="23"/>
  <c r="AN105" i="23"/>
  <c r="Y101" i="23"/>
  <c r="Y103" i="23"/>
  <c r="AN103" i="24"/>
  <c r="AN104" i="24"/>
  <c r="AO101" i="24"/>
  <c r="X163" i="23"/>
  <c r="X167" i="23"/>
  <c r="X130" i="23"/>
  <c r="X131" i="23"/>
  <c r="AR39" i="23"/>
  <c r="D81" i="23"/>
  <c r="D82" i="23"/>
  <c r="AR106" i="23"/>
  <c r="AR29" i="24"/>
  <c r="AR30" i="24"/>
  <c r="D72" i="24"/>
  <c r="AR149" i="24"/>
  <c r="AR173" i="24"/>
  <c r="AR172" i="24"/>
  <c r="D224" i="24" a="1"/>
  <c r="D73" i="24"/>
  <c r="A54" i="20" a="1"/>
  <c r="EF54" i="20"/>
  <c r="BM29" i="20"/>
  <c r="AR93" i="24"/>
  <c r="AR102" i="24"/>
  <c r="AQ102" i="24"/>
  <c r="I141" i="23"/>
  <c r="I151" i="23"/>
  <c r="F141" i="23"/>
  <c r="F151" i="23"/>
  <c r="H141" i="23"/>
  <c r="H151" i="23"/>
  <c r="J141" i="23"/>
  <c r="J151" i="23"/>
  <c r="E141" i="23"/>
  <c r="E151" i="23"/>
  <c r="O141" i="23"/>
  <c r="O151" i="23"/>
  <c r="T141" i="23"/>
  <c r="T151" i="23"/>
  <c r="V141" i="23"/>
  <c r="V151" i="23"/>
  <c r="P141" i="23"/>
  <c r="P151" i="23"/>
  <c r="U141" i="23"/>
  <c r="U151" i="23"/>
  <c r="K141" i="23"/>
  <c r="K151" i="23"/>
  <c r="Q141" i="23"/>
  <c r="Q151" i="23"/>
  <c r="L141" i="23"/>
  <c r="L151" i="23"/>
  <c r="M141" i="23"/>
  <c r="M151" i="23"/>
  <c r="S141" i="23"/>
  <c r="S151" i="23"/>
  <c r="X141" i="23"/>
  <c r="X151" i="23"/>
  <c r="R141" i="23"/>
  <c r="R151" i="23"/>
  <c r="N141" i="23"/>
  <c r="N151" i="23"/>
  <c r="G141" i="23"/>
  <c r="G151" i="23"/>
  <c r="W141" i="23"/>
  <c r="W151" i="23"/>
  <c r="X132" i="23"/>
  <c r="AO103" i="24"/>
  <c r="AO104" i="24"/>
  <c r="AP101" i="24"/>
  <c r="E224" i="24"/>
  <c r="M224" i="24"/>
  <c r="U224" i="24"/>
  <c r="AC224" i="24"/>
  <c r="AK224" i="24"/>
  <c r="AS224" i="24"/>
  <c r="F224" i="24"/>
  <c r="N224" i="24"/>
  <c r="AD224" i="24"/>
  <c r="AL224" i="24"/>
  <c r="G224" i="24"/>
  <c r="W224" i="24"/>
  <c r="AE224" i="24"/>
  <c r="AB224" i="24"/>
  <c r="V224" i="24"/>
  <c r="AF224" i="24"/>
  <c r="AR224" i="24"/>
  <c r="O224" i="24"/>
  <c r="AM224" i="24"/>
  <c r="H224" i="24"/>
  <c r="P224" i="24"/>
  <c r="X224" i="24"/>
  <c r="AN224" i="24"/>
  <c r="T224" i="24"/>
  <c r="I224" i="24"/>
  <c r="Q224" i="24"/>
  <c r="Y224" i="24"/>
  <c r="AG224" i="24"/>
  <c r="AO224" i="24"/>
  <c r="Z224" i="24"/>
  <c r="AH224" i="24"/>
  <c r="L224" i="24"/>
  <c r="J224" i="24"/>
  <c r="R224" i="24"/>
  <c r="AP224" i="24"/>
  <c r="K224" i="24"/>
  <c r="S224" i="24"/>
  <c r="AA224" i="24"/>
  <c r="AI224" i="24"/>
  <c r="AQ224" i="24"/>
  <c r="D224" i="24"/>
  <c r="AJ224" i="24"/>
  <c r="Z100" i="23"/>
  <c r="Y102" i="23"/>
  <c r="AN107" i="23"/>
  <c r="AN108" i="23"/>
  <c r="AO105" i="23"/>
  <c r="N54" i="20"/>
  <c r="N29" i="20"/>
  <c r="U54" i="20"/>
  <c r="R29" i="20"/>
  <c r="CM54" i="20"/>
  <c r="AG29" i="20"/>
  <c r="DV55" i="20"/>
  <c r="BF30" i="20"/>
  <c r="EA55" i="20"/>
  <c r="BJ30" i="20"/>
  <c r="EF55" i="20"/>
  <c r="BM30" i="20"/>
  <c r="C54" i="20"/>
  <c r="C29" i="20"/>
  <c r="CN54" i="20"/>
  <c r="AH29" i="20"/>
  <c r="EE54" i="20"/>
  <c r="BL29" i="20"/>
  <c r="EB55" i="20"/>
  <c r="BK30" i="20"/>
  <c r="W54" i="20"/>
  <c r="S29" i="20"/>
  <c r="BV54" i="20"/>
  <c r="X29" i="20"/>
  <c r="H54" i="20"/>
  <c r="G29" i="20"/>
  <c r="M55" i="20"/>
  <c r="M30" i="20"/>
  <c r="CB55" i="20"/>
  <c r="AA30" i="20"/>
  <c r="BW54" i="20"/>
  <c r="Y29" i="20"/>
  <c r="CT54" i="20"/>
  <c r="AL29" i="20"/>
  <c r="E55" i="20"/>
  <c r="E30" i="20"/>
  <c r="CS55" i="20"/>
  <c r="AK30" i="20"/>
  <c r="CX55" i="20"/>
  <c r="AO30" i="20"/>
  <c r="DI55" i="20"/>
  <c r="AV30" i="20"/>
  <c r="G55" i="20"/>
  <c r="F30" i="20"/>
  <c r="N55" i="20"/>
  <c r="N30" i="20"/>
  <c r="W55" i="20"/>
  <c r="S30" i="20"/>
  <c r="EK55" i="20"/>
  <c r="BO30" i="20"/>
  <c r="FC55" i="20"/>
  <c r="BW30" i="20"/>
  <c r="FO55" i="20"/>
  <c r="CE30" i="20"/>
  <c r="DR56" i="20"/>
  <c r="BE31" i="20"/>
  <c r="DZ56" i="20"/>
  <c r="BI31" i="20"/>
  <c r="EK56" i="20"/>
  <c r="BO31" i="20"/>
  <c r="FH55" i="20"/>
  <c r="BZ30" i="20"/>
  <c r="FV55" i="20"/>
  <c r="CH30" i="20"/>
  <c r="A56" i="20"/>
  <c r="B31" i="20"/>
  <c r="FK55" i="20"/>
  <c r="CC30" i="20"/>
  <c r="GD55" i="20"/>
  <c r="CK30" i="20"/>
  <c r="G56" i="20"/>
  <c r="F31" i="20"/>
  <c r="EF56" i="20"/>
  <c r="BM31" i="20"/>
  <c r="E54" i="20"/>
  <c r="E29" i="20"/>
  <c r="X54" i="20"/>
  <c r="T29" i="20"/>
  <c r="GH55" i="20"/>
  <c r="CN30" i="20"/>
  <c r="C56" i="20"/>
  <c r="C31" i="20"/>
  <c r="X56" i="20"/>
  <c r="T31" i="20"/>
  <c r="ET55" i="20"/>
  <c r="BS30" i="20"/>
  <c r="FI55" i="20"/>
  <c r="CA30" i="20"/>
  <c r="FX55" i="20"/>
  <c r="CI30" i="20"/>
  <c r="EX55" i="20"/>
  <c r="BV30" i="20"/>
  <c r="FL55" i="20"/>
  <c r="CD30" i="20"/>
  <c r="GE55" i="20"/>
  <c r="CL30" i="20"/>
  <c r="DL55" i="20"/>
  <c r="AX30" i="20"/>
  <c r="EN55" i="20"/>
  <c r="BQ30" i="20"/>
  <c r="FG55" i="20"/>
  <c r="BY30" i="20"/>
  <c r="EJ55" i="20"/>
  <c r="BN30" i="20"/>
  <c r="EU55" i="20"/>
  <c r="BT30" i="20"/>
  <c r="FJ55" i="20"/>
  <c r="CB30" i="20"/>
  <c r="ER56" i="20"/>
  <c r="BR31" i="20"/>
  <c r="EW56" i="20"/>
  <c r="BU31" i="20"/>
  <c r="FD56" i="20"/>
  <c r="BX31" i="20"/>
  <c r="CQ57" i="20"/>
  <c r="AI32" i="20"/>
  <c r="CV57" i="20"/>
  <c r="AM32" i="20"/>
  <c r="DL57" i="20"/>
  <c r="AX32" i="20"/>
  <c r="X58" i="20"/>
  <c r="T33" i="20"/>
  <c r="BX58" i="20"/>
  <c r="Z33" i="20"/>
  <c r="CQ58" i="20"/>
  <c r="AI33" i="20"/>
  <c r="GH58" i="20"/>
  <c r="CN33" i="20"/>
  <c r="C59" i="20"/>
  <c r="C34" i="20"/>
  <c r="X59" i="20"/>
  <c r="T34" i="20"/>
  <c r="DF56" i="20"/>
  <c r="AU31" i="20"/>
  <c r="FI56" i="20"/>
  <c r="CA31" i="20"/>
  <c r="FX56" i="20"/>
  <c r="CI31" i="20"/>
  <c r="ET57" i="20"/>
  <c r="BS32" i="20"/>
  <c r="FI57" i="20"/>
  <c r="CA32" i="20"/>
  <c r="FX57" i="20"/>
  <c r="CI32" i="20"/>
  <c r="ET58" i="20"/>
  <c r="BS33" i="20"/>
  <c r="FI58" i="20"/>
  <c r="CA33" i="20"/>
  <c r="FX58" i="20"/>
  <c r="CI33" i="20"/>
  <c r="H57" i="20"/>
  <c r="G32" i="20"/>
  <c r="T57" i="20"/>
  <c r="Q32" i="20"/>
  <c r="AB57" i="20"/>
  <c r="U32" i="20"/>
  <c r="DM57" i="20"/>
  <c r="AY32" i="20"/>
  <c r="EJ57" i="20"/>
  <c r="BN32" i="20"/>
  <c r="EX57" i="20"/>
  <c r="BV32" i="20"/>
  <c r="DI56" i="20"/>
  <c r="AV31" i="20"/>
  <c r="EE56" i="20"/>
  <c r="BL31" i="20"/>
  <c r="EM56" i="20"/>
  <c r="BP31" i="20"/>
  <c r="M57" i="20"/>
  <c r="M32" i="20"/>
  <c r="CB57" i="20"/>
  <c r="AA32" i="20"/>
  <c r="DB57" i="20"/>
  <c r="AR32" i="20"/>
  <c r="D58" i="20"/>
  <c r="D33" i="20"/>
  <c r="M58" i="20"/>
  <c r="M33" i="20"/>
  <c r="CB58" i="20"/>
  <c r="AA33" i="20"/>
  <c r="FU58" i="20"/>
  <c r="CG33" i="20"/>
  <c r="D59" i="20"/>
  <c r="D34" i="20"/>
  <c r="M59" i="20"/>
  <c r="M34" i="20"/>
  <c r="DP56" i="20"/>
  <c r="BC31" i="20"/>
  <c r="DX56" i="20"/>
  <c r="BH31" i="20"/>
  <c r="FJ56" i="20"/>
  <c r="CB31" i="20"/>
  <c r="CS57" i="20"/>
  <c r="AK32" i="20"/>
  <c r="CX57" i="20"/>
  <c r="AO32" i="20"/>
  <c r="DI57" i="20"/>
  <c r="AV32" i="20"/>
  <c r="U58" i="20"/>
  <c r="R33" i="20"/>
  <c r="AC58" i="20"/>
  <c r="V33" i="20"/>
  <c r="CF58" i="20"/>
  <c r="AD33" i="20"/>
  <c r="EE58" i="20"/>
  <c r="BL33" i="20"/>
  <c r="EU58" i="20"/>
  <c r="BT33" i="20"/>
  <c r="FJ58" i="20"/>
  <c r="CB33" i="20"/>
  <c r="CS59" i="20"/>
  <c r="AK34" i="20"/>
  <c r="CX59" i="20"/>
  <c r="AO34" i="20"/>
  <c r="DV59" i="20"/>
  <c r="BF34" i="20"/>
  <c r="DB56" i="20"/>
  <c r="AR31" i="20"/>
  <c r="FO56" i="20"/>
  <c r="CE31" i="20"/>
  <c r="GG56" i="20"/>
  <c r="CM31" i="20"/>
  <c r="DZ57" i="20"/>
  <c r="BI32" i="20"/>
  <c r="EK57" i="20"/>
  <c r="BO32" i="20"/>
  <c r="FC57" i="20"/>
  <c r="BW32" i="20"/>
  <c r="DD58" i="20"/>
  <c r="AS33" i="20"/>
  <c r="DR58" i="20"/>
  <c r="BE33" i="20"/>
  <c r="DZ58" i="20"/>
  <c r="BI33" i="20"/>
  <c r="J59" i="20"/>
  <c r="H34" i="20"/>
  <c r="BW59" i="20"/>
  <c r="Y34" i="20"/>
  <c r="CB56" i="20"/>
  <c r="AA31" i="20"/>
  <c r="FH56" i="20"/>
  <c r="BZ31" i="20"/>
  <c r="FV56" i="20"/>
  <c r="CH31" i="20"/>
  <c r="A57" i="20"/>
  <c r="B32" i="20"/>
  <c r="CY57" i="20"/>
  <c r="AP32" i="20"/>
  <c r="DJ57" i="20"/>
  <c r="AW32" i="20"/>
  <c r="ER57" i="20"/>
  <c r="BR32" i="20"/>
  <c r="CC58" i="20"/>
  <c r="AB33" i="20"/>
  <c r="CN58" i="20"/>
  <c r="AH33" i="20"/>
  <c r="CT58" i="20"/>
  <c r="AL33" i="20"/>
  <c r="A59" i="20"/>
  <c r="B34" i="20"/>
  <c r="N59" i="20"/>
  <c r="N34" i="20"/>
  <c r="W59" i="20"/>
  <c r="S34" i="20"/>
  <c r="GD56" i="20"/>
  <c r="CK31" i="20"/>
  <c r="G57" i="20"/>
  <c r="F32" i="20"/>
  <c r="BT57" i="20"/>
  <c r="W32" i="20"/>
  <c r="EW57" i="20"/>
  <c r="BU32" i="20"/>
  <c r="FK57" i="20"/>
  <c r="CC32" i="20"/>
  <c r="GD57" i="20"/>
  <c r="CK32" i="20"/>
  <c r="EA58" i="20"/>
  <c r="BJ33" i="20"/>
  <c r="EF58" i="20"/>
  <c r="BM33" i="20"/>
  <c r="EW58" i="20"/>
  <c r="BU33" i="20"/>
  <c r="DE59" i="20"/>
  <c r="AT34" i="20"/>
  <c r="DF59" i="20"/>
  <c r="AU34" i="20"/>
  <c r="DM59" i="20"/>
  <c r="AY34" i="20"/>
  <c r="FU59" i="20"/>
  <c r="CG34" i="20"/>
  <c r="FY59" i="20"/>
  <c r="CJ34" i="20"/>
  <c r="GG59" i="20"/>
  <c r="CM34" i="20"/>
  <c r="CN60" i="20"/>
  <c r="AH35" i="20"/>
  <c r="CT60" i="20"/>
  <c r="AL35" i="20"/>
  <c r="CY60" i="20"/>
  <c r="AP35" i="20"/>
  <c r="N61" i="20"/>
  <c r="N36" i="20"/>
  <c r="W61" i="20"/>
  <c r="S36" i="20"/>
  <c r="CC61" i="20"/>
  <c r="AB36" i="20"/>
  <c r="FH61" i="20"/>
  <c r="BZ36" i="20"/>
  <c r="FV61" i="20"/>
  <c r="CH36" i="20"/>
  <c r="A62" i="20"/>
  <c r="B37" i="20"/>
  <c r="CD59" i="20"/>
  <c r="AC34" i="20"/>
  <c r="CN59" i="20"/>
  <c r="AH34" i="20"/>
  <c r="CY59" i="20"/>
  <c r="AP34" i="20"/>
  <c r="DV60" i="20"/>
  <c r="BF35" i="20"/>
  <c r="EA60" i="20"/>
  <c r="BJ35" i="20"/>
  <c r="EF60" i="20"/>
  <c r="BM35" i="20"/>
  <c r="CG61" i="20"/>
  <c r="AE36" i="20"/>
  <c r="DE61" i="20"/>
  <c r="AT36" i="20"/>
  <c r="DV61" i="20"/>
  <c r="BF36" i="20"/>
  <c r="G62" i="20"/>
  <c r="F37" i="20"/>
  <c r="BT62" i="20"/>
  <c r="W37" i="20"/>
  <c r="CG62" i="20"/>
  <c r="AE37" i="20"/>
  <c r="X60" i="20"/>
  <c r="T35" i="20"/>
  <c r="BX60" i="20"/>
  <c r="Z35" i="20"/>
  <c r="CQ60" i="20"/>
  <c r="AI35" i="20"/>
  <c r="GH60" i="20"/>
  <c r="CN35" i="20"/>
  <c r="C61" i="20"/>
  <c r="C36" i="20"/>
  <c r="X61" i="20"/>
  <c r="T36" i="20"/>
  <c r="DA59" i="20"/>
  <c r="AQ34" i="20"/>
  <c r="DI59" i="20"/>
  <c r="AV34" i="20"/>
  <c r="EF59" i="20"/>
  <c r="BM34" i="20"/>
  <c r="GH59" i="20"/>
  <c r="CN34" i="20"/>
  <c r="C60" i="20"/>
  <c r="C35" i="20"/>
  <c r="CD60" i="20"/>
  <c r="AC35" i="20"/>
  <c r="FI60" i="20"/>
  <c r="CA35" i="20"/>
  <c r="FX60" i="20"/>
  <c r="CI35" i="20"/>
  <c r="CD61" i="20"/>
  <c r="AC36" i="20"/>
  <c r="FI61" i="20"/>
  <c r="CA36" i="20"/>
  <c r="FX61" i="20"/>
  <c r="CI36" i="20"/>
  <c r="CR58" i="20"/>
  <c r="AJ33" i="20"/>
  <c r="EE59" i="20"/>
  <c r="BL34" i="20"/>
  <c r="T60" i="20"/>
  <c r="Q35" i="20"/>
  <c r="AB60" i="20"/>
  <c r="U35" i="20"/>
  <c r="DM60" i="20"/>
  <c r="AY35" i="20"/>
  <c r="EJ60" i="20"/>
  <c r="BN35" i="20"/>
  <c r="EX60" i="20"/>
  <c r="BV35" i="20"/>
  <c r="BV61" i="20"/>
  <c r="X36" i="20"/>
  <c r="CH61" i="20"/>
  <c r="AF36" i="20"/>
  <c r="CR61" i="20"/>
  <c r="AJ36" i="20"/>
  <c r="FL61" i="20"/>
  <c r="CD36" i="20"/>
  <c r="GE61" i="20"/>
  <c r="CL36" i="20"/>
  <c r="H62" i="20"/>
  <c r="G37" i="20"/>
  <c r="CW62" i="20"/>
  <c r="AN37" i="20"/>
  <c r="CW58" i="20"/>
  <c r="AN33" i="20"/>
  <c r="T59" i="20"/>
  <c r="Q34" i="20"/>
  <c r="FK59" i="20"/>
  <c r="CC34" i="20"/>
  <c r="FP59" i="20"/>
  <c r="CF34" i="20"/>
  <c r="FX59" i="20"/>
  <c r="CI34" i="20"/>
  <c r="DX60" i="20"/>
  <c r="BH35" i="20"/>
  <c r="EN60" i="20"/>
  <c r="BQ35" i="20"/>
  <c r="FG60" i="20"/>
  <c r="BY35" i="20"/>
  <c r="DQ61" i="20"/>
  <c r="BD36" i="20"/>
  <c r="DX61" i="20"/>
  <c r="BH36" i="20"/>
  <c r="EN61" i="20"/>
  <c r="BQ36" i="20"/>
  <c r="EX58" i="20"/>
  <c r="BV33" i="20"/>
  <c r="AB59" i="20"/>
  <c r="U34" i="20"/>
  <c r="EB59" i="20"/>
  <c r="BK34" i="20"/>
  <c r="U60" i="20"/>
  <c r="R35" i="20"/>
  <c r="AC60" i="20"/>
  <c r="V35" i="20"/>
  <c r="CF60" i="20"/>
  <c r="AD35" i="20"/>
  <c r="EE60" i="20"/>
  <c r="BL35" i="20"/>
  <c r="EU60" i="20"/>
  <c r="BT35" i="20"/>
  <c r="FJ60" i="20"/>
  <c r="CB35" i="20"/>
  <c r="CS61" i="20"/>
  <c r="AK36" i="20"/>
  <c r="CX61" i="20"/>
  <c r="AO36" i="20"/>
  <c r="DI61" i="20"/>
  <c r="AV36" i="20"/>
  <c r="U62" i="20"/>
  <c r="R37" i="20"/>
  <c r="AC62" i="20"/>
  <c r="V37" i="20"/>
  <c r="CF62" i="20"/>
  <c r="AD37" i="20"/>
  <c r="DN59" i="20"/>
  <c r="AZ34" i="20"/>
  <c r="DR59" i="20"/>
  <c r="BE34" i="20"/>
  <c r="BW60" i="20"/>
  <c r="Y35" i="20"/>
  <c r="FO60" i="20"/>
  <c r="CE35" i="20"/>
  <c r="J61" i="20"/>
  <c r="H36" i="20"/>
  <c r="CQ61" i="20"/>
  <c r="AI36" i="20"/>
  <c r="DI62" i="20"/>
  <c r="AV37" i="20"/>
  <c r="DN62" i="20"/>
  <c r="AZ37" i="20"/>
  <c r="EE62" i="20"/>
  <c r="BL37" i="20"/>
  <c r="CF63" i="20"/>
  <c r="AD38" i="20"/>
  <c r="CM63" i="20"/>
  <c r="AG38" i="20"/>
  <c r="CS63" i="20"/>
  <c r="AK38" i="20"/>
  <c r="FJ63" i="20"/>
  <c r="CB38" i="20"/>
  <c r="FY63" i="20"/>
  <c r="CJ38" i="20"/>
  <c r="U64" i="20"/>
  <c r="R39" i="20"/>
  <c r="DV64" i="20"/>
  <c r="BF39" i="20"/>
  <c r="EA64" i="20"/>
  <c r="BJ39" i="20"/>
  <c r="EK64" i="20"/>
  <c r="BO39" i="20"/>
  <c r="CB62" i="20"/>
  <c r="AA37" i="20"/>
  <c r="CV62" i="20"/>
  <c r="AM37" i="20"/>
  <c r="DD62" i="20"/>
  <c r="AS37" i="20"/>
  <c r="GG62" i="20"/>
  <c r="CM37" i="20"/>
  <c r="E63" i="20"/>
  <c r="E38" i="20"/>
  <c r="J63" i="20"/>
  <c r="H38" i="20"/>
  <c r="FC63" i="20"/>
  <c r="BW38" i="20"/>
  <c r="FO63" i="20"/>
  <c r="CE38" i="20"/>
  <c r="GG63" i="20"/>
  <c r="CM38" i="20"/>
  <c r="ER64" i="20"/>
  <c r="BR39" i="20"/>
  <c r="FH64" i="20"/>
  <c r="BZ39" i="20"/>
  <c r="CV61" i="20"/>
  <c r="AM36" i="20"/>
  <c r="A63" i="20"/>
  <c r="B38" i="20"/>
  <c r="N63" i="20"/>
  <c r="N38" i="20"/>
  <c r="W63" i="20"/>
  <c r="S38" i="20"/>
  <c r="CC63" i="20"/>
  <c r="AB38" i="20"/>
  <c r="CN63" i="20"/>
  <c r="AH38" i="20"/>
  <c r="CT63" i="20"/>
  <c r="AL38" i="20"/>
  <c r="CY63" i="20"/>
  <c r="AP38" i="20"/>
  <c r="DJ63" i="20"/>
  <c r="AW38" i="20"/>
  <c r="ER63" i="20"/>
  <c r="BR38" i="20"/>
  <c r="FH63" i="20"/>
  <c r="BZ38" i="20"/>
  <c r="FV63" i="20"/>
  <c r="CH38" i="20"/>
  <c r="A64" i="20"/>
  <c r="B39" i="20"/>
  <c r="N64" i="20"/>
  <c r="N39" i="20"/>
  <c r="W64" i="20"/>
  <c r="S39" i="20"/>
  <c r="CC64" i="20"/>
  <c r="AB39" i="20"/>
  <c r="CN64" i="20"/>
  <c r="AH39" i="20"/>
  <c r="CT64" i="20"/>
  <c r="AL39" i="20"/>
  <c r="CY64" i="20"/>
  <c r="AP39" i="20"/>
  <c r="DP64" i="20"/>
  <c r="BC39" i="20"/>
  <c r="DW64" i="20"/>
  <c r="BG39" i="20"/>
  <c r="EB64" i="20"/>
  <c r="BK39" i="20"/>
  <c r="EE64" i="20"/>
  <c r="BL39" i="20"/>
  <c r="EF64" i="20"/>
  <c r="BM39" i="20"/>
  <c r="EW64" i="20"/>
  <c r="BU39" i="20"/>
  <c r="BW61" i="20"/>
  <c r="Y36" i="20"/>
  <c r="FP61" i="20"/>
  <c r="CF36" i="20"/>
  <c r="CN62" i="20"/>
  <c r="AH37" i="20"/>
  <c r="DE62" i="20"/>
  <c r="AT37" i="20"/>
  <c r="DV62" i="20"/>
  <c r="BF37" i="20"/>
  <c r="EA62" i="20"/>
  <c r="BJ37" i="20"/>
  <c r="EF62" i="20"/>
  <c r="BM37" i="20"/>
  <c r="EW62" i="20"/>
  <c r="BU37" i="20"/>
  <c r="FK62" i="20"/>
  <c r="CC37" i="20"/>
  <c r="GD62" i="20"/>
  <c r="CK37" i="20"/>
  <c r="G63" i="20"/>
  <c r="F38" i="20"/>
  <c r="BT63" i="20"/>
  <c r="W38" i="20"/>
  <c r="CG63" i="20"/>
  <c r="AE38" i="20"/>
  <c r="DE63" i="20"/>
  <c r="AT38" i="20"/>
  <c r="DV63" i="20"/>
  <c r="BF38" i="20"/>
  <c r="EA63" i="20"/>
  <c r="BJ38" i="20"/>
  <c r="EF63" i="20"/>
  <c r="BM38" i="20"/>
  <c r="EW63" i="20"/>
  <c r="BU38" i="20"/>
  <c r="FK63" i="20"/>
  <c r="CC38" i="20"/>
  <c r="GD63" i="20"/>
  <c r="CK38" i="20"/>
  <c r="G64" i="20"/>
  <c r="F39" i="20"/>
  <c r="BT64" i="20"/>
  <c r="W39" i="20"/>
  <c r="CG64" i="20"/>
  <c r="AE39" i="20"/>
  <c r="DE64" i="20"/>
  <c r="AT39" i="20"/>
  <c r="DF64" i="20"/>
  <c r="AU39" i="20"/>
  <c r="DM64" i="20"/>
  <c r="AY39" i="20"/>
  <c r="EM64" i="20"/>
  <c r="BP39" i="20"/>
  <c r="FD64" i="20"/>
  <c r="BX39" i="20"/>
  <c r="FP64" i="20"/>
  <c r="CF39" i="20"/>
  <c r="GH64" i="20"/>
  <c r="CN39" i="20"/>
  <c r="C65" i="20"/>
  <c r="C40" i="20"/>
  <c r="CD65" i="20"/>
  <c r="AC40" i="20"/>
  <c r="DA65" i="20"/>
  <c r="AQ40" i="20"/>
  <c r="DP65" i="20"/>
  <c r="BC40" i="20"/>
  <c r="DW65" i="20"/>
  <c r="BG40" i="20"/>
  <c r="EB65" i="20"/>
  <c r="BK40" i="20"/>
  <c r="FC61" i="20"/>
  <c r="BW36" i="20"/>
  <c r="J62" i="20"/>
  <c r="H37" i="20"/>
  <c r="CD62" i="20"/>
  <c r="AC37" i="20"/>
  <c r="CQ62" i="20"/>
  <c r="AI37" i="20"/>
  <c r="DL62" i="20"/>
  <c r="AX37" i="20"/>
  <c r="EM62" i="20"/>
  <c r="BP37" i="20"/>
  <c r="FD62" i="20"/>
  <c r="BX37" i="20"/>
  <c r="FP62" i="20"/>
  <c r="CF37" i="20"/>
  <c r="GH62" i="20"/>
  <c r="CN37" i="20"/>
  <c r="C63" i="20"/>
  <c r="C38" i="20"/>
  <c r="X63" i="20"/>
  <c r="T38" i="20"/>
  <c r="BX63" i="20"/>
  <c r="Z38" i="20"/>
  <c r="CQ63" i="20"/>
  <c r="AI38" i="20"/>
  <c r="CV63" i="20"/>
  <c r="AM38" i="20"/>
  <c r="DL63" i="20"/>
  <c r="AX38" i="20"/>
  <c r="EM63" i="20"/>
  <c r="BP38" i="20"/>
  <c r="FD63" i="20"/>
  <c r="BX38" i="20"/>
  <c r="FP63" i="20"/>
  <c r="CF38" i="20"/>
  <c r="GH63" i="20"/>
  <c r="CN38" i="20"/>
  <c r="C64" i="20"/>
  <c r="C39" i="20"/>
  <c r="X64" i="20"/>
  <c r="T39" i="20"/>
  <c r="BX64" i="20"/>
  <c r="Z39" i="20"/>
  <c r="CQ64" i="20"/>
  <c r="AI39" i="20"/>
  <c r="CV64" i="20"/>
  <c r="AM39" i="20"/>
  <c r="DQ64" i="20"/>
  <c r="BD39" i="20"/>
  <c r="DX64" i="20"/>
  <c r="BH39" i="20"/>
  <c r="ET64" i="20"/>
  <c r="BS39" i="20"/>
  <c r="FI64" i="20"/>
  <c r="CA39" i="20"/>
  <c r="FX64" i="20"/>
  <c r="CI39" i="20"/>
  <c r="T65" i="20"/>
  <c r="Q40" i="20"/>
  <c r="AB65" i="20"/>
  <c r="U40" i="20"/>
  <c r="BV65" i="20"/>
  <c r="X40" i="20"/>
  <c r="CH65" i="20"/>
  <c r="AF40" i="20"/>
  <c r="CR65" i="20"/>
  <c r="AJ40" i="20"/>
  <c r="CW65" i="20"/>
  <c r="AN40" i="20"/>
  <c r="DF65" i="20"/>
  <c r="AU40" i="20"/>
  <c r="DM65" i="20"/>
  <c r="AY40" i="20"/>
  <c r="EJ65" i="20"/>
  <c r="BN40" i="20"/>
  <c r="EX65" i="20"/>
  <c r="BV40" i="20"/>
  <c r="FL65" i="20"/>
  <c r="CD40" i="20"/>
  <c r="GE65" i="20"/>
  <c r="CL40" i="20"/>
  <c r="DD61" i="20"/>
  <c r="AS36" i="20"/>
  <c r="FD61" i="20"/>
  <c r="BX36" i="20"/>
  <c r="X62" i="20"/>
  <c r="T37" i="20"/>
  <c r="CY62" i="20"/>
  <c r="AP37" i="20"/>
  <c r="DP62" i="20"/>
  <c r="BC37" i="20"/>
  <c r="DW62" i="20"/>
  <c r="BG37" i="20"/>
  <c r="EB62" i="20"/>
  <c r="BK37" i="20"/>
  <c r="ET62" i="20"/>
  <c r="BS37" i="20"/>
  <c r="FI62" i="20"/>
  <c r="CA37" i="20"/>
  <c r="FX62" i="20"/>
  <c r="CI37" i="20"/>
  <c r="CD63" i="20"/>
  <c r="AC38" i="20"/>
  <c r="DA63" i="20"/>
  <c r="AQ38" i="20"/>
  <c r="DP63" i="20"/>
  <c r="BC38" i="20"/>
  <c r="DW63" i="20"/>
  <c r="BG38" i="20"/>
  <c r="EB63" i="20"/>
  <c r="BK38" i="20"/>
  <c r="ET63" i="20"/>
  <c r="BS38" i="20"/>
  <c r="FI63" i="20"/>
  <c r="CA38" i="20"/>
  <c r="FX63" i="20"/>
  <c r="CI38" i="20"/>
  <c r="CD64" i="20"/>
  <c r="AC39" i="20"/>
  <c r="DA64" i="20"/>
  <c r="AQ39" i="20"/>
  <c r="DI64" i="20"/>
  <c r="AV39" i="20"/>
  <c r="DN64" i="20"/>
  <c r="AZ39" i="20"/>
  <c r="EJ64" i="20"/>
  <c r="BN39" i="20"/>
  <c r="E61" i="20"/>
  <c r="E36" i="20"/>
  <c r="DR61" i="20"/>
  <c r="BE36" i="20"/>
  <c r="EK61" i="20"/>
  <c r="BO36" i="20"/>
  <c r="C62" i="20"/>
  <c r="C37" i="20"/>
  <c r="BW62" i="20"/>
  <c r="Y37" i="20"/>
  <c r="DF62" i="20"/>
  <c r="AU37" i="20"/>
  <c r="DM62" i="20"/>
  <c r="AY37" i="20"/>
  <c r="EJ62" i="20"/>
  <c r="BN37" i="20"/>
  <c r="EX62" i="20"/>
  <c r="BV37" i="20"/>
  <c r="FL62" i="20"/>
  <c r="CD37" i="20"/>
  <c r="GE62" i="20"/>
  <c r="CL37" i="20"/>
  <c r="H63" i="20"/>
  <c r="G38" i="20"/>
  <c r="T63" i="20"/>
  <c r="Q38" i="20"/>
  <c r="AB63" i="20"/>
  <c r="U38" i="20"/>
  <c r="BV63" i="20"/>
  <c r="X38" i="20"/>
  <c r="CH63" i="20"/>
  <c r="AF38" i="20"/>
  <c r="CR63" i="20"/>
  <c r="AJ38" i="20"/>
  <c r="CW63" i="20"/>
  <c r="AN38" i="20"/>
  <c r="DF63" i="20"/>
  <c r="AU38" i="20"/>
  <c r="DM63" i="20"/>
  <c r="AY38" i="20"/>
  <c r="EJ63" i="20"/>
  <c r="BN38" i="20"/>
  <c r="EX63" i="20"/>
  <c r="BV38" i="20"/>
  <c r="FL63" i="20"/>
  <c r="CD38" i="20"/>
  <c r="GE63" i="20"/>
  <c r="CL38" i="20"/>
  <c r="H64" i="20"/>
  <c r="G39" i="20"/>
  <c r="T64" i="20"/>
  <c r="Q39" i="20"/>
  <c r="AB64" i="20"/>
  <c r="U39" i="20"/>
  <c r="BV64" i="20"/>
  <c r="X39" i="20"/>
  <c r="CH64" i="20"/>
  <c r="AF39" i="20"/>
  <c r="CR64" i="20"/>
  <c r="AJ39" i="20"/>
  <c r="CW64" i="20"/>
  <c r="AN39" i="20"/>
  <c r="DR64" i="20"/>
  <c r="BE39" i="20"/>
  <c r="DZ64" i="20"/>
  <c r="BI39" i="20"/>
  <c r="EN64" i="20"/>
  <c r="BQ39" i="20"/>
  <c r="FG64" i="20"/>
  <c r="BY39" i="20"/>
  <c r="FU64" i="20"/>
  <c r="CG39" i="20"/>
  <c r="D65" i="20"/>
  <c r="D40" i="20"/>
  <c r="EM61" i="20"/>
  <c r="BP36" i="20"/>
  <c r="BX62" i="20"/>
  <c r="Z37" i="20"/>
  <c r="DA62" i="20"/>
  <c r="AQ37" i="20"/>
  <c r="DQ62" i="20"/>
  <c r="BD37" i="20"/>
  <c r="DX62" i="20"/>
  <c r="BH37" i="20"/>
  <c r="EN62" i="20"/>
  <c r="BQ37" i="20"/>
  <c r="FG62" i="20"/>
  <c r="BY37" i="20"/>
  <c r="FU62" i="20"/>
  <c r="CG37" i="20"/>
  <c r="D63" i="20"/>
  <c r="D38" i="20"/>
  <c r="M63" i="20"/>
  <c r="M38" i="20"/>
  <c r="CB63" i="20"/>
  <c r="AA38" i="20"/>
  <c r="DB63" i="20"/>
  <c r="AR38" i="20"/>
  <c r="DQ63" i="20"/>
  <c r="BD38" i="20"/>
  <c r="DX63" i="20"/>
  <c r="BH38" i="20"/>
  <c r="EN63" i="20"/>
  <c r="BQ38" i="20"/>
  <c r="FG63" i="20"/>
  <c r="BY38" i="20"/>
  <c r="FU63" i="20"/>
  <c r="CG38" i="20"/>
  <c r="D64" i="20"/>
  <c r="D39" i="20"/>
  <c r="M64" i="20"/>
  <c r="M39" i="20"/>
  <c r="CB64" i="20"/>
  <c r="AA39" i="20"/>
  <c r="DB64" i="20"/>
  <c r="AR39" i="20"/>
  <c r="DJ64" i="20"/>
  <c r="AW39" i="20"/>
  <c r="FJ64" i="20"/>
  <c r="CB39" i="20"/>
  <c r="X65" i="20"/>
  <c r="T40" i="20"/>
  <c r="CM65" i="20"/>
  <c r="AG40" i="20"/>
  <c r="CT65" i="20"/>
  <c r="AL40" i="20"/>
  <c r="DV65" i="20"/>
  <c r="BF40" i="20"/>
  <c r="EK65" i="20"/>
  <c r="BO40" i="20"/>
  <c r="G66" i="20"/>
  <c r="F41" i="20"/>
  <c r="BT66" i="20"/>
  <c r="W41" i="20"/>
  <c r="CG66" i="20"/>
  <c r="AE41" i="20"/>
  <c r="DE66" i="20"/>
  <c r="AT41" i="20"/>
  <c r="DV66" i="20"/>
  <c r="BF41" i="20"/>
  <c r="EA66" i="20"/>
  <c r="BJ41" i="20"/>
  <c r="EF66" i="20"/>
  <c r="BM41" i="20"/>
  <c r="EW66" i="20"/>
  <c r="BU41" i="20"/>
  <c r="FK66" i="20"/>
  <c r="CC41" i="20"/>
  <c r="GD66" i="20"/>
  <c r="CK41" i="20"/>
  <c r="G67" i="20"/>
  <c r="F42" i="20"/>
  <c r="BT67" i="20"/>
  <c r="W42" i="20"/>
  <c r="CG67" i="20"/>
  <c r="AE42" i="20"/>
  <c r="DE67" i="20"/>
  <c r="AT42" i="20"/>
  <c r="DV67" i="20"/>
  <c r="BF42" i="20"/>
  <c r="EA67" i="20"/>
  <c r="BJ42" i="20"/>
  <c r="EF67" i="20"/>
  <c r="BM42" i="20"/>
  <c r="EW67" i="20"/>
  <c r="BU42" i="20"/>
  <c r="FK67" i="20"/>
  <c r="CC42" i="20"/>
  <c r="GD67" i="20"/>
  <c r="CK42" i="20"/>
  <c r="G68" i="20"/>
  <c r="F43" i="20"/>
  <c r="EU64" i="20"/>
  <c r="BT39" i="20"/>
  <c r="FK64" i="20"/>
  <c r="CC39" i="20"/>
  <c r="DB65" i="20"/>
  <c r="AR40" i="20"/>
  <c r="DI65" i="20"/>
  <c r="AV40" i="20"/>
  <c r="EE65" i="20"/>
  <c r="BL40" i="20"/>
  <c r="FG65" i="20"/>
  <c r="BY40" i="20"/>
  <c r="FJ65" i="20"/>
  <c r="CB40" i="20"/>
  <c r="FO65" i="20"/>
  <c r="CE40" i="20"/>
  <c r="FV65" i="20"/>
  <c r="CH40" i="20"/>
  <c r="GD65" i="20"/>
  <c r="CK40" i="20"/>
  <c r="GH65" i="20"/>
  <c r="CN40" i="20"/>
  <c r="C66" i="20"/>
  <c r="C41" i="20"/>
  <c r="X66" i="20"/>
  <c r="T41" i="20"/>
  <c r="BX66" i="20"/>
  <c r="Z41" i="20"/>
  <c r="CQ66" i="20"/>
  <c r="AI41" i="20"/>
  <c r="CV66" i="20"/>
  <c r="AM41" i="20"/>
  <c r="DL66" i="20"/>
  <c r="AX41" i="20"/>
  <c r="EM66" i="20"/>
  <c r="BP41" i="20"/>
  <c r="FD66" i="20"/>
  <c r="BX41" i="20"/>
  <c r="FP66" i="20"/>
  <c r="CF41" i="20"/>
  <c r="GH66" i="20"/>
  <c r="CN41" i="20"/>
  <c r="C67" i="20"/>
  <c r="C42" i="20"/>
  <c r="X67" i="20"/>
  <c r="T42" i="20"/>
  <c r="BX67" i="20"/>
  <c r="Z42" i="20"/>
  <c r="CQ67" i="20"/>
  <c r="AI42" i="20"/>
  <c r="CV67" i="20"/>
  <c r="AM42" i="20"/>
  <c r="DL67" i="20"/>
  <c r="AX42" i="20"/>
  <c r="EM67" i="20"/>
  <c r="BP42" i="20"/>
  <c r="FD67" i="20"/>
  <c r="BX42" i="20"/>
  <c r="EX64" i="20"/>
  <c r="BV39" i="20"/>
  <c r="FL64" i="20"/>
  <c r="CD39" i="20"/>
  <c r="FY64" i="20"/>
  <c r="CJ39" i="20"/>
  <c r="E65" i="20"/>
  <c r="E40" i="20"/>
  <c r="AC65" i="20"/>
  <c r="V40" i="20"/>
  <c r="BX65" i="20"/>
  <c r="Z40" i="20"/>
  <c r="CF65" i="20"/>
  <c r="AD40" i="20"/>
  <c r="CN65" i="20"/>
  <c r="AH40" i="20"/>
  <c r="CV65" i="20"/>
  <c r="AM40" i="20"/>
  <c r="DX65" i="20"/>
  <c r="BH40" i="20"/>
  <c r="ET65" i="20"/>
  <c r="BS40" i="20"/>
  <c r="CD66" i="20"/>
  <c r="AC41" i="20"/>
  <c r="DA66" i="20"/>
  <c r="AQ41" i="20"/>
  <c r="DP66" i="20"/>
  <c r="BC41" i="20"/>
  <c r="DW66" i="20"/>
  <c r="BG41" i="20"/>
  <c r="EB66" i="20"/>
  <c r="BK41" i="20"/>
  <c r="ET66" i="20"/>
  <c r="BS41" i="20"/>
  <c r="FI66" i="20"/>
  <c r="CA41" i="20"/>
  <c r="FX66" i="20"/>
  <c r="CI41" i="20"/>
  <c r="CD67" i="20"/>
  <c r="AC42" i="20"/>
  <c r="DA67" i="20"/>
  <c r="AQ42" i="20"/>
  <c r="DP67" i="20"/>
  <c r="BC42" i="20"/>
  <c r="DW67" i="20"/>
  <c r="BG42" i="20"/>
  <c r="EB67" i="20"/>
  <c r="BK42" i="20"/>
  <c r="BT65" i="20"/>
  <c r="W40" i="20"/>
  <c r="CB65" i="20"/>
  <c r="AA40" i="20"/>
  <c r="DD65" i="20"/>
  <c r="AS40" i="20"/>
  <c r="DJ65" i="20"/>
  <c r="AW40" i="20"/>
  <c r="EM65" i="20"/>
  <c r="BP40" i="20"/>
  <c r="H66" i="20"/>
  <c r="G41" i="20"/>
  <c r="T66" i="20"/>
  <c r="Q41" i="20"/>
  <c r="AB66" i="20"/>
  <c r="U41" i="20"/>
  <c r="BV66" i="20"/>
  <c r="X41" i="20"/>
  <c r="CH66" i="20"/>
  <c r="AF41" i="20"/>
  <c r="CR66" i="20"/>
  <c r="AJ41" i="20"/>
  <c r="CW66" i="20"/>
  <c r="AN41" i="20"/>
  <c r="DF66" i="20"/>
  <c r="AU41" i="20"/>
  <c r="DM66" i="20"/>
  <c r="AY41" i="20"/>
  <c r="EJ66" i="20"/>
  <c r="BN41" i="20"/>
  <c r="EX66" i="20"/>
  <c r="BV41" i="20"/>
  <c r="FL66" i="20"/>
  <c r="CD41" i="20"/>
  <c r="GE66" i="20"/>
  <c r="CL41" i="20"/>
  <c r="H67" i="20"/>
  <c r="G42" i="20"/>
  <c r="T67" i="20"/>
  <c r="Q42" i="20"/>
  <c r="AB67" i="20"/>
  <c r="U42" i="20"/>
  <c r="BV67" i="20"/>
  <c r="X42" i="20"/>
  <c r="CH67" i="20"/>
  <c r="AF42" i="20"/>
  <c r="CR67" i="20"/>
  <c r="AJ42" i="20"/>
  <c r="CW67" i="20"/>
  <c r="AN42" i="20"/>
  <c r="DF67" i="20"/>
  <c r="AU42" i="20"/>
  <c r="DM67" i="20"/>
  <c r="AY42" i="20"/>
  <c r="EJ67" i="20"/>
  <c r="BN42" i="20"/>
  <c r="GD64" i="20"/>
  <c r="CK39" i="20"/>
  <c r="G65" i="20"/>
  <c r="F40" i="20"/>
  <c r="U65" i="20"/>
  <c r="R40" i="20"/>
  <c r="CQ65" i="20"/>
  <c r="AI40" i="20"/>
  <c r="CX65" i="20"/>
  <c r="AO40" i="20"/>
  <c r="DQ65" i="20"/>
  <c r="BD40" i="20"/>
  <c r="DZ65" i="20"/>
  <c r="BI40" i="20"/>
  <c r="EF65" i="20"/>
  <c r="BM40" i="20"/>
  <c r="EN65" i="20"/>
  <c r="BQ40" i="20"/>
  <c r="EU65" i="20"/>
  <c r="BT40" i="20"/>
  <c r="FC65" i="20"/>
  <c r="BW40" i="20"/>
  <c r="FH65" i="20"/>
  <c r="BZ40" i="20"/>
  <c r="FK65" i="20"/>
  <c r="CC40" i="20"/>
  <c r="FP65" i="20"/>
  <c r="CF40" i="20"/>
  <c r="FX65" i="20"/>
  <c r="CI40" i="20"/>
  <c r="D66" i="20"/>
  <c r="D41" i="20"/>
  <c r="M66" i="20"/>
  <c r="M41" i="20"/>
  <c r="CB66" i="20"/>
  <c r="AA41" i="20"/>
  <c r="DB66" i="20"/>
  <c r="AR41" i="20"/>
  <c r="DQ66" i="20"/>
  <c r="BD41" i="20"/>
  <c r="DX66" i="20"/>
  <c r="BH41" i="20"/>
  <c r="EN66" i="20"/>
  <c r="BQ41" i="20"/>
  <c r="FG66" i="20"/>
  <c r="BY41" i="20"/>
  <c r="FU66" i="20"/>
  <c r="CG41" i="20"/>
  <c r="D67" i="20"/>
  <c r="D42" i="20"/>
  <c r="M67" i="20"/>
  <c r="M42" i="20"/>
  <c r="CB67" i="20"/>
  <c r="AA42" i="20"/>
  <c r="DB67" i="20"/>
  <c r="AR42" i="20"/>
  <c r="DQ67" i="20"/>
  <c r="BD42" i="20"/>
  <c r="DX67" i="20"/>
  <c r="BH42" i="20"/>
  <c r="EN67" i="20"/>
  <c r="BQ42" i="20"/>
  <c r="FG67" i="20"/>
  <c r="BY42" i="20"/>
  <c r="FU67" i="20"/>
  <c r="CG42" i="20"/>
  <c r="D68" i="20"/>
  <c r="D43" i="20"/>
  <c r="M68" i="20"/>
  <c r="M43" i="20"/>
  <c r="GE64" i="20"/>
  <c r="CL39" i="20"/>
  <c r="H65" i="20"/>
  <c r="G40" i="20"/>
  <c r="M65" i="20"/>
  <c r="M40" i="20"/>
  <c r="CG65" i="20"/>
  <c r="AE40" i="20"/>
  <c r="DE65" i="20"/>
  <c r="AT40" i="20"/>
  <c r="DL65" i="20"/>
  <c r="AX40" i="20"/>
  <c r="U66" i="20"/>
  <c r="R41" i="20"/>
  <c r="AC66" i="20"/>
  <c r="V41" i="20"/>
  <c r="CF66" i="20"/>
  <c r="AD41" i="20"/>
  <c r="CM66" i="20"/>
  <c r="AG41" i="20"/>
  <c r="CS66" i="20"/>
  <c r="AK41" i="20"/>
  <c r="CX66" i="20"/>
  <c r="AO41" i="20"/>
  <c r="DI66" i="20"/>
  <c r="AV41" i="20"/>
  <c r="DN66" i="20"/>
  <c r="AZ41" i="20"/>
  <c r="EE66" i="20"/>
  <c r="BL41" i="20"/>
  <c r="EU66" i="20"/>
  <c r="BT41" i="20"/>
  <c r="FJ66" i="20"/>
  <c r="CB41" i="20"/>
  <c r="FY66" i="20"/>
  <c r="CJ41" i="20"/>
  <c r="U67" i="20"/>
  <c r="R42" i="20"/>
  <c r="AC67" i="20"/>
  <c r="V42" i="20"/>
  <c r="CF67" i="20"/>
  <c r="AD42" i="20"/>
  <c r="CM67" i="20"/>
  <c r="AG42" i="20"/>
  <c r="CS67" i="20"/>
  <c r="AK42" i="20"/>
  <c r="CX67" i="20"/>
  <c r="AO42" i="20"/>
  <c r="DI67" i="20"/>
  <c r="AV42" i="20"/>
  <c r="DN67" i="20"/>
  <c r="AZ42" i="20"/>
  <c r="EE67" i="20"/>
  <c r="BL42" i="20"/>
  <c r="EU67" i="20"/>
  <c r="BT42" i="20"/>
  <c r="FJ67" i="20"/>
  <c r="CB42" i="20"/>
  <c r="FY67" i="20"/>
  <c r="CJ42" i="20"/>
  <c r="U68" i="20"/>
  <c r="R43" i="20"/>
  <c r="AC68" i="20"/>
  <c r="V43" i="20"/>
  <c r="A65" i="20"/>
  <c r="B40" i="20"/>
  <c r="W65" i="20"/>
  <c r="S40" i="20"/>
  <c r="CC65" i="20"/>
  <c r="AB40" i="20"/>
  <c r="CS65" i="20"/>
  <c r="AK40" i="20"/>
  <c r="CY65" i="20"/>
  <c r="AP40" i="20"/>
  <c r="DR65" i="20"/>
  <c r="BE40" i="20"/>
  <c r="EA65" i="20"/>
  <c r="BJ40" i="20"/>
  <c r="FU65" i="20"/>
  <c r="CG40" i="20"/>
  <c r="FY65" i="20"/>
  <c r="CJ40" i="20"/>
  <c r="GG65" i="20"/>
  <c r="CM40" i="20"/>
  <c r="E66" i="20"/>
  <c r="E41" i="20"/>
  <c r="J66" i="20"/>
  <c r="H41" i="20"/>
  <c r="BW66" i="20"/>
  <c r="Y41" i="20"/>
  <c r="DD66" i="20"/>
  <c r="AS41" i="20"/>
  <c r="DR66" i="20"/>
  <c r="BE41" i="20"/>
  <c r="DZ66" i="20"/>
  <c r="BI41" i="20"/>
  <c r="EK66" i="20"/>
  <c r="BO41" i="20"/>
  <c r="FC66" i="20"/>
  <c r="BW41" i="20"/>
  <c r="FO66" i="20"/>
  <c r="CE41" i="20"/>
  <c r="GG66" i="20"/>
  <c r="CM41" i="20"/>
  <c r="E67" i="20"/>
  <c r="E42" i="20"/>
  <c r="J67" i="20"/>
  <c r="H42" i="20"/>
  <c r="BW67" i="20"/>
  <c r="Y42" i="20"/>
  <c r="DD67" i="20"/>
  <c r="AS42" i="20"/>
  <c r="DR67" i="20"/>
  <c r="BE42" i="20"/>
  <c r="DZ67" i="20"/>
  <c r="BI42" i="20"/>
  <c r="EK67" i="20"/>
  <c r="BO42" i="20"/>
  <c r="FC67" i="20"/>
  <c r="BW42" i="20"/>
  <c r="FO67" i="20"/>
  <c r="CE42" i="20"/>
  <c r="GG67" i="20"/>
  <c r="CM42" i="20"/>
  <c r="E68" i="20"/>
  <c r="E43" i="20"/>
  <c r="J68" i="20"/>
  <c r="H43" i="20"/>
  <c r="FV64" i="20"/>
  <c r="CH39" i="20"/>
  <c r="GG64" i="20"/>
  <c r="CM39" i="20"/>
  <c r="J65" i="20"/>
  <c r="H40" i="20"/>
  <c r="N65" i="20"/>
  <c r="N40" i="20"/>
  <c r="BW65" i="20"/>
  <c r="Y40" i="20"/>
  <c r="DN65" i="20"/>
  <c r="AZ40" i="20"/>
  <c r="ER65" i="20"/>
  <c r="BR40" i="20"/>
  <c r="EW65" i="20"/>
  <c r="BU40" i="20"/>
  <c r="FD65" i="20"/>
  <c r="BX40" i="20"/>
  <c r="FI65" i="20"/>
  <c r="CA40" i="20"/>
  <c r="A66" i="20"/>
  <c r="B41" i="20"/>
  <c r="N66" i="20"/>
  <c r="N41" i="20"/>
  <c r="W66" i="20"/>
  <c r="S41" i="20"/>
  <c r="CC66" i="20"/>
  <c r="AB41" i="20"/>
  <c r="CN66" i="20"/>
  <c r="AH41" i="20"/>
  <c r="CT66" i="20"/>
  <c r="AL41" i="20"/>
  <c r="CY66" i="20"/>
  <c r="AP41" i="20"/>
  <c r="DJ66" i="20"/>
  <c r="AW41" i="20"/>
  <c r="ER66" i="20"/>
  <c r="BR41" i="20"/>
  <c r="FH66" i="20"/>
  <c r="BZ41" i="20"/>
  <c r="FV66" i="20"/>
  <c r="CH41" i="20"/>
  <c r="A67" i="20"/>
  <c r="B42" i="20"/>
  <c r="N67" i="20"/>
  <c r="N42" i="20"/>
  <c r="W67" i="20"/>
  <c r="S42" i="20"/>
  <c r="CC67" i="20"/>
  <c r="AB42" i="20"/>
  <c r="CN67" i="20"/>
  <c r="AH42" i="20"/>
  <c r="CT67" i="20"/>
  <c r="AL42" i="20"/>
  <c r="CY67" i="20"/>
  <c r="AP42" i="20"/>
  <c r="DJ67" i="20"/>
  <c r="AW42" i="20"/>
  <c r="ER67" i="20"/>
  <c r="BR42" i="20"/>
  <c r="FH67" i="20"/>
  <c r="BZ42" i="20"/>
  <c r="GE67" i="20"/>
  <c r="CL42" i="20"/>
  <c r="A68" i="20"/>
  <c r="B43" i="20"/>
  <c r="CC68" i="20"/>
  <c r="AB43" i="20"/>
  <c r="CN68" i="20"/>
  <c r="AH43" i="20"/>
  <c r="CT68" i="20"/>
  <c r="AL43" i="20"/>
  <c r="CY68" i="20"/>
  <c r="AP43" i="20"/>
  <c r="DJ68" i="20"/>
  <c r="AW43" i="20"/>
  <c r="ER68" i="20"/>
  <c r="BR43" i="20"/>
  <c r="FH68" i="20"/>
  <c r="BZ43" i="20"/>
  <c r="FV68" i="20"/>
  <c r="CH43" i="20"/>
  <c r="A69" i="20"/>
  <c r="B44" i="20"/>
  <c r="N69" i="20"/>
  <c r="N44" i="20"/>
  <c r="W69" i="20"/>
  <c r="S44" i="20"/>
  <c r="CC69" i="20"/>
  <c r="AB44" i="20"/>
  <c r="CN69" i="20"/>
  <c r="AH44" i="20"/>
  <c r="CT69" i="20"/>
  <c r="AL44" i="20"/>
  <c r="CY69" i="20"/>
  <c r="AP44" i="20"/>
  <c r="DP69" i="20"/>
  <c r="BC44" i="20"/>
  <c r="DW69" i="20"/>
  <c r="BG44" i="20"/>
  <c r="EB69" i="20"/>
  <c r="BK44" i="20"/>
  <c r="EE69" i="20"/>
  <c r="BL44" i="20"/>
  <c r="EF69" i="20"/>
  <c r="BM44" i="20"/>
  <c r="EW69" i="20"/>
  <c r="BU44" i="20"/>
  <c r="FK69" i="20"/>
  <c r="CC44" i="20"/>
  <c r="GD69" i="20"/>
  <c r="CK44" i="20"/>
  <c r="G70" i="20"/>
  <c r="F45" i="20"/>
  <c r="X70" i="20"/>
  <c r="T45" i="20"/>
  <c r="BX70" i="20"/>
  <c r="Z45" i="20"/>
  <c r="CQ70" i="20"/>
  <c r="AI45" i="20"/>
  <c r="CV70" i="20"/>
  <c r="AM45" i="20"/>
  <c r="DL70" i="20"/>
  <c r="AX45" i="20"/>
  <c r="EM70" i="20"/>
  <c r="BP45" i="20"/>
  <c r="FD70" i="20"/>
  <c r="BX45" i="20"/>
  <c r="FP70" i="20"/>
  <c r="CF45" i="20"/>
  <c r="GH70" i="20"/>
  <c r="CN45" i="20"/>
  <c r="C71" i="20"/>
  <c r="C46" i="20"/>
  <c r="BT71" i="20"/>
  <c r="W46" i="20"/>
  <c r="CG71" i="20"/>
  <c r="AE46" i="20"/>
  <c r="DE71" i="20"/>
  <c r="AT46" i="20"/>
  <c r="DV71" i="20"/>
  <c r="BF46" i="20"/>
  <c r="EA71" i="20"/>
  <c r="BJ46" i="20"/>
  <c r="EF71" i="20"/>
  <c r="BM46" i="20"/>
  <c r="EW71" i="20"/>
  <c r="BU46" i="20"/>
  <c r="FK71" i="20"/>
  <c r="CC46" i="20"/>
  <c r="GD71" i="20"/>
  <c r="CK46" i="20"/>
  <c r="G72" i="20"/>
  <c r="F47" i="20"/>
  <c r="N72" i="20"/>
  <c r="N47" i="20"/>
  <c r="W72" i="20"/>
  <c r="S47" i="20"/>
  <c r="CC72" i="20"/>
  <c r="AB47" i="20"/>
  <c r="CN72" i="20"/>
  <c r="AH47" i="20"/>
  <c r="CT72" i="20"/>
  <c r="AL47" i="20"/>
  <c r="CY72" i="20"/>
  <c r="AP47" i="20"/>
  <c r="DJ72" i="20"/>
  <c r="AW47" i="20"/>
  <c r="ER72" i="20"/>
  <c r="BR47" i="20"/>
  <c r="FH72" i="20"/>
  <c r="BZ47" i="20"/>
  <c r="FV72" i="20"/>
  <c r="CH47" i="20"/>
  <c r="A73" i="20"/>
  <c r="B48" i="20"/>
  <c r="BW73" i="20"/>
  <c r="Y48" i="20"/>
  <c r="DD73" i="20"/>
  <c r="AS48" i="20"/>
  <c r="DR73" i="20"/>
  <c r="BE48" i="20"/>
  <c r="DZ73" i="20"/>
  <c r="BI48" i="20"/>
  <c r="EK73" i="20"/>
  <c r="BO48" i="20"/>
  <c r="FC73" i="20"/>
  <c r="BW48" i="20"/>
  <c r="FO73" i="20"/>
  <c r="CE48" i="20"/>
  <c r="FI67" i="20"/>
  <c r="CA42" i="20"/>
  <c r="FV67" i="20"/>
  <c r="CH42" i="20"/>
  <c r="C68" i="20"/>
  <c r="C43" i="20"/>
  <c r="T68" i="20"/>
  <c r="Q43" i="20"/>
  <c r="CG68" i="20"/>
  <c r="AE43" i="20"/>
  <c r="DE68" i="20"/>
  <c r="AT43" i="20"/>
  <c r="DV68" i="20"/>
  <c r="BF43" i="20"/>
  <c r="EA68" i="20"/>
  <c r="BJ43" i="20"/>
  <c r="EF68" i="20"/>
  <c r="BM43" i="20"/>
  <c r="EW68" i="20"/>
  <c r="BU43" i="20"/>
  <c r="FK68" i="20"/>
  <c r="CC43" i="20"/>
  <c r="GD68" i="20"/>
  <c r="CK43" i="20"/>
  <c r="G69" i="20"/>
  <c r="F44" i="20"/>
  <c r="BT69" i="20"/>
  <c r="W44" i="20"/>
  <c r="CG69" i="20"/>
  <c r="AE44" i="20"/>
  <c r="DE69" i="20"/>
  <c r="AT44" i="20"/>
  <c r="DF69" i="20"/>
  <c r="AU44" i="20"/>
  <c r="DM69" i="20"/>
  <c r="AY44" i="20"/>
  <c r="EM69" i="20"/>
  <c r="BP44" i="20"/>
  <c r="FD69" i="20"/>
  <c r="BX44" i="20"/>
  <c r="FP69" i="20"/>
  <c r="CF44" i="20"/>
  <c r="GH69" i="20"/>
  <c r="CN44" i="20"/>
  <c r="C70" i="20"/>
  <c r="C45" i="20"/>
  <c r="CD70" i="20"/>
  <c r="AC45" i="20"/>
  <c r="DA70" i="20"/>
  <c r="AQ45" i="20"/>
  <c r="DP70" i="20"/>
  <c r="BC45" i="20"/>
  <c r="DW70" i="20"/>
  <c r="BG45" i="20"/>
  <c r="EB70" i="20"/>
  <c r="BK45" i="20"/>
  <c r="ET70" i="20"/>
  <c r="BS45" i="20"/>
  <c r="FI70" i="20"/>
  <c r="CA45" i="20"/>
  <c r="FX70" i="20"/>
  <c r="CI45" i="20"/>
  <c r="X71" i="20"/>
  <c r="T46" i="20"/>
  <c r="BX71" i="20"/>
  <c r="Z46" i="20"/>
  <c r="CQ71" i="20"/>
  <c r="AI46" i="20"/>
  <c r="CV71" i="20"/>
  <c r="AM46" i="20"/>
  <c r="DL71" i="20"/>
  <c r="AX46" i="20"/>
  <c r="EM71" i="20"/>
  <c r="BP46" i="20"/>
  <c r="FD71" i="20"/>
  <c r="BX46" i="20"/>
  <c r="FP71" i="20"/>
  <c r="CF46" i="20"/>
  <c r="GH71" i="20"/>
  <c r="CN46" i="20"/>
  <c r="C72" i="20"/>
  <c r="C47" i="20"/>
  <c r="BT72" i="20"/>
  <c r="W47" i="20"/>
  <c r="CG72" i="20"/>
  <c r="AE47" i="20"/>
  <c r="DE72" i="20"/>
  <c r="AT47" i="20"/>
  <c r="DV72" i="20"/>
  <c r="BF47" i="20"/>
  <c r="EA72" i="20"/>
  <c r="BJ47" i="20"/>
  <c r="EF72" i="20"/>
  <c r="BM47" i="20"/>
  <c r="EW72" i="20"/>
  <c r="BU47" i="20"/>
  <c r="FK72" i="20"/>
  <c r="CC47" i="20"/>
  <c r="GD72" i="20"/>
  <c r="CK47" i="20"/>
  <c r="G73" i="20"/>
  <c r="F48" i="20"/>
  <c r="N73" i="20"/>
  <c r="N48" i="20"/>
  <c r="W73" i="20"/>
  <c r="S48" i="20"/>
  <c r="CC73" i="20"/>
  <c r="AB48" i="20"/>
  <c r="CN73" i="20"/>
  <c r="AH48" i="20"/>
  <c r="CT73" i="20"/>
  <c r="AL48" i="20"/>
  <c r="CY73" i="20"/>
  <c r="AP48" i="20"/>
  <c r="DJ73" i="20"/>
  <c r="AW48" i="20"/>
  <c r="GH67" i="20"/>
  <c r="CN42" i="20"/>
  <c r="W68" i="20"/>
  <c r="S43" i="20"/>
  <c r="BT68" i="20"/>
  <c r="W43" i="20"/>
  <c r="BX68" i="20"/>
  <c r="Z43" i="20"/>
  <c r="CQ68" i="20"/>
  <c r="AI43" i="20"/>
  <c r="CV68" i="20"/>
  <c r="AM43" i="20"/>
  <c r="DL68" i="20"/>
  <c r="AX43" i="20"/>
  <c r="EM68" i="20"/>
  <c r="BP43" i="20"/>
  <c r="FD68" i="20"/>
  <c r="BX43" i="20"/>
  <c r="FP68" i="20"/>
  <c r="CF43" i="20"/>
  <c r="GH68" i="20"/>
  <c r="CN43" i="20"/>
  <c r="C69" i="20"/>
  <c r="C44" i="20"/>
  <c r="X69" i="20"/>
  <c r="T44" i="20"/>
  <c r="BX69" i="20"/>
  <c r="Z44" i="20"/>
  <c r="CQ69" i="20"/>
  <c r="AI44" i="20"/>
  <c r="CV69" i="20"/>
  <c r="AM44" i="20"/>
  <c r="DQ69" i="20"/>
  <c r="BD44" i="20"/>
  <c r="DX69" i="20"/>
  <c r="BH44" i="20"/>
  <c r="ET69" i="20"/>
  <c r="BS44" i="20"/>
  <c r="FI69" i="20"/>
  <c r="CA44" i="20"/>
  <c r="FX69" i="20"/>
  <c r="CI44" i="20"/>
  <c r="T70" i="20"/>
  <c r="Q45" i="20"/>
  <c r="AB70" i="20"/>
  <c r="U45" i="20"/>
  <c r="BV70" i="20"/>
  <c r="X45" i="20"/>
  <c r="CH70" i="20"/>
  <c r="AF45" i="20"/>
  <c r="CR70" i="20"/>
  <c r="AJ45" i="20"/>
  <c r="CW70" i="20"/>
  <c r="AN45" i="20"/>
  <c r="DF70" i="20"/>
  <c r="AU45" i="20"/>
  <c r="DM70" i="20"/>
  <c r="AY45" i="20"/>
  <c r="EJ70" i="20"/>
  <c r="BN45" i="20"/>
  <c r="EX70" i="20"/>
  <c r="BV45" i="20"/>
  <c r="FL70" i="20"/>
  <c r="CD45" i="20"/>
  <c r="GE70" i="20"/>
  <c r="CL45" i="20"/>
  <c r="H71" i="20"/>
  <c r="G46" i="20"/>
  <c r="CD71" i="20"/>
  <c r="AC46" i="20"/>
  <c r="DA71" i="20"/>
  <c r="AQ46" i="20"/>
  <c r="DP71" i="20"/>
  <c r="BC46" i="20"/>
  <c r="DW71" i="20"/>
  <c r="BG46" i="20"/>
  <c r="EB71" i="20"/>
  <c r="BK46" i="20"/>
  <c r="ET71" i="20"/>
  <c r="BS46" i="20"/>
  <c r="FI71" i="20"/>
  <c r="CA46" i="20"/>
  <c r="FX71" i="20"/>
  <c r="CI46" i="20"/>
  <c r="X72" i="20"/>
  <c r="T47" i="20"/>
  <c r="BX72" i="20"/>
  <c r="Z47" i="20"/>
  <c r="CQ72" i="20"/>
  <c r="AI47" i="20"/>
  <c r="CV72" i="20"/>
  <c r="AM47" i="20"/>
  <c r="DL72" i="20"/>
  <c r="AX47" i="20"/>
  <c r="EM72" i="20"/>
  <c r="BP47" i="20"/>
  <c r="FD72" i="20"/>
  <c r="BX47" i="20"/>
  <c r="FP72" i="20"/>
  <c r="CF47" i="20"/>
  <c r="ET67" i="20"/>
  <c r="BS42" i="20"/>
  <c r="FX67" i="20"/>
  <c r="CI42" i="20"/>
  <c r="X68" i="20"/>
  <c r="T43" i="20"/>
  <c r="CD68" i="20"/>
  <c r="AC43" i="20"/>
  <c r="DA68" i="20"/>
  <c r="AQ43" i="20"/>
  <c r="DP68" i="20"/>
  <c r="BC43" i="20"/>
  <c r="DW68" i="20"/>
  <c r="BG43" i="20"/>
  <c r="EB68" i="20"/>
  <c r="BK43" i="20"/>
  <c r="ET68" i="20"/>
  <c r="BS43" i="20"/>
  <c r="FI68" i="20"/>
  <c r="CA43" i="20"/>
  <c r="FX68" i="20"/>
  <c r="CI43" i="20"/>
  <c r="CD69" i="20"/>
  <c r="AC44" i="20"/>
  <c r="DA69" i="20"/>
  <c r="AQ44" i="20"/>
  <c r="DI69" i="20"/>
  <c r="AV44" i="20"/>
  <c r="DN69" i="20"/>
  <c r="AZ44" i="20"/>
  <c r="EJ69" i="20"/>
  <c r="BN44" i="20"/>
  <c r="EX69" i="20"/>
  <c r="BV44" i="20"/>
  <c r="FL69" i="20"/>
  <c r="CD44" i="20"/>
  <c r="GE69" i="20"/>
  <c r="CL44" i="20"/>
  <c r="H70" i="20"/>
  <c r="G45" i="20"/>
  <c r="CB70" i="20"/>
  <c r="AA45" i="20"/>
  <c r="DB70" i="20"/>
  <c r="AR45" i="20"/>
  <c r="DQ70" i="20"/>
  <c r="BD45" i="20"/>
  <c r="DX70" i="20"/>
  <c r="BH45" i="20"/>
  <c r="EN70" i="20"/>
  <c r="BQ45" i="20"/>
  <c r="FG70" i="20"/>
  <c r="BY45" i="20"/>
  <c r="FU70" i="20"/>
  <c r="CG45" i="20"/>
  <c r="D71" i="20"/>
  <c r="D46" i="20"/>
  <c r="T71" i="20"/>
  <c r="Q46" i="20"/>
  <c r="AB71" i="20"/>
  <c r="U46" i="20"/>
  <c r="BV71" i="20"/>
  <c r="X46" i="20"/>
  <c r="CH71" i="20"/>
  <c r="AF46" i="20"/>
  <c r="CR71" i="20"/>
  <c r="AJ46" i="20"/>
  <c r="CW71" i="20"/>
  <c r="AN46" i="20"/>
  <c r="DF71" i="20"/>
  <c r="AU46" i="20"/>
  <c r="DM71" i="20"/>
  <c r="AY46" i="20"/>
  <c r="EJ71" i="20"/>
  <c r="BN46" i="20"/>
  <c r="EX71" i="20"/>
  <c r="BV46" i="20"/>
  <c r="FL71" i="20"/>
  <c r="CD46" i="20"/>
  <c r="GE71" i="20"/>
  <c r="CL46" i="20"/>
  <c r="H72" i="20"/>
  <c r="G47" i="20"/>
  <c r="CD72" i="20"/>
  <c r="AC47" i="20"/>
  <c r="DA72" i="20"/>
  <c r="AQ47" i="20"/>
  <c r="DP72" i="20"/>
  <c r="BC47" i="20"/>
  <c r="DW72" i="20"/>
  <c r="BG47" i="20"/>
  <c r="EB72" i="20"/>
  <c r="BK47" i="20"/>
  <c r="ET72" i="20"/>
  <c r="BS47" i="20"/>
  <c r="FI72" i="20"/>
  <c r="CA47" i="20"/>
  <c r="FX72" i="20"/>
  <c r="CI47" i="20"/>
  <c r="X73" i="20"/>
  <c r="T48" i="20"/>
  <c r="CH68" i="20"/>
  <c r="AF43" i="20"/>
  <c r="CR68" i="20"/>
  <c r="AJ43" i="20"/>
  <c r="CW68" i="20"/>
  <c r="AN43" i="20"/>
  <c r="DF68" i="20"/>
  <c r="AU43" i="20"/>
  <c r="DM68" i="20"/>
  <c r="AY43" i="20"/>
  <c r="EJ68" i="20"/>
  <c r="BN43" i="20"/>
  <c r="EX68" i="20"/>
  <c r="BV43" i="20"/>
  <c r="FL68" i="20"/>
  <c r="CD43" i="20"/>
  <c r="GE68" i="20"/>
  <c r="CL43" i="20"/>
  <c r="H69" i="20"/>
  <c r="G44" i="20"/>
  <c r="T69" i="20"/>
  <c r="Q44" i="20"/>
  <c r="AB69" i="20"/>
  <c r="U44" i="20"/>
  <c r="BV69" i="20"/>
  <c r="X44" i="20"/>
  <c r="CH69" i="20"/>
  <c r="AF44" i="20"/>
  <c r="CR69" i="20"/>
  <c r="AJ44" i="20"/>
  <c r="CW69" i="20"/>
  <c r="AN44" i="20"/>
  <c r="DR69" i="20"/>
  <c r="BE44" i="20"/>
  <c r="DZ69" i="20"/>
  <c r="BI44" i="20"/>
  <c r="EN69" i="20"/>
  <c r="BQ44" i="20"/>
  <c r="FG69" i="20"/>
  <c r="BY44" i="20"/>
  <c r="FU69" i="20"/>
  <c r="CG44" i="20"/>
  <c r="D70" i="20"/>
  <c r="D45" i="20"/>
  <c r="M70" i="20"/>
  <c r="M45" i="20"/>
  <c r="U70" i="20"/>
  <c r="R45" i="20"/>
  <c r="AC70" i="20"/>
  <c r="V45" i="20"/>
  <c r="CF70" i="20"/>
  <c r="AD45" i="20"/>
  <c r="CM70" i="20"/>
  <c r="AG45" i="20"/>
  <c r="CS70" i="20"/>
  <c r="AK45" i="20"/>
  <c r="CX70" i="20"/>
  <c r="AO45" i="20"/>
  <c r="DI70" i="20"/>
  <c r="AV45" i="20"/>
  <c r="DN70" i="20"/>
  <c r="AZ45" i="20"/>
  <c r="EE70" i="20"/>
  <c r="BL45" i="20"/>
  <c r="EU70" i="20"/>
  <c r="BT45" i="20"/>
  <c r="FJ70" i="20"/>
  <c r="CB45" i="20"/>
  <c r="FY70" i="20"/>
  <c r="CJ45" i="20"/>
  <c r="M71" i="20"/>
  <c r="M46" i="20"/>
  <c r="CB71" i="20"/>
  <c r="AA46" i="20"/>
  <c r="DB71" i="20"/>
  <c r="AR46" i="20"/>
  <c r="DQ71" i="20"/>
  <c r="BD46" i="20"/>
  <c r="DX71" i="20"/>
  <c r="BH46" i="20"/>
  <c r="EN71" i="20"/>
  <c r="BQ46" i="20"/>
  <c r="FG71" i="20"/>
  <c r="BY46" i="20"/>
  <c r="FU71" i="20"/>
  <c r="CG46" i="20"/>
  <c r="D72" i="20"/>
  <c r="D47" i="20"/>
  <c r="T72" i="20"/>
  <c r="Q47" i="20"/>
  <c r="AB72" i="20"/>
  <c r="U47" i="20"/>
  <c r="BV72" i="20"/>
  <c r="X47" i="20"/>
  <c r="CH72" i="20"/>
  <c r="AF47" i="20"/>
  <c r="CR72" i="20"/>
  <c r="AJ47" i="20"/>
  <c r="CW72" i="20"/>
  <c r="AN47" i="20"/>
  <c r="DF72" i="20"/>
  <c r="AU47" i="20"/>
  <c r="DM72" i="20"/>
  <c r="AY47" i="20"/>
  <c r="EJ72" i="20"/>
  <c r="BN47" i="20"/>
  <c r="EX72" i="20"/>
  <c r="BV47" i="20"/>
  <c r="FL72" i="20"/>
  <c r="CD47" i="20"/>
  <c r="GE72" i="20"/>
  <c r="CL47" i="20"/>
  <c r="H73" i="20"/>
  <c r="G48" i="20"/>
  <c r="FL67" i="20"/>
  <c r="CD42" i="20"/>
  <c r="AB68" i="20"/>
  <c r="U43" i="20"/>
  <c r="BV68" i="20"/>
  <c r="X43" i="20"/>
  <c r="CB68" i="20"/>
  <c r="AA43" i="20"/>
  <c r="DB68" i="20"/>
  <c r="AR43" i="20"/>
  <c r="DQ68" i="20"/>
  <c r="BD43" i="20"/>
  <c r="DX68" i="20"/>
  <c r="BH43" i="20"/>
  <c r="EN68" i="20"/>
  <c r="BQ43" i="20"/>
  <c r="FG68" i="20"/>
  <c r="BY43" i="20"/>
  <c r="FU68" i="20"/>
  <c r="CG43" i="20"/>
  <c r="D69" i="20"/>
  <c r="D44" i="20"/>
  <c r="M69" i="20"/>
  <c r="M44" i="20"/>
  <c r="CB69" i="20"/>
  <c r="AA44" i="20"/>
  <c r="DB69" i="20"/>
  <c r="AR44" i="20"/>
  <c r="DJ69" i="20"/>
  <c r="AW44" i="20"/>
  <c r="EU69" i="20"/>
  <c r="BT44" i="20"/>
  <c r="FJ69" i="20"/>
  <c r="CB44" i="20"/>
  <c r="FY69" i="20"/>
  <c r="CJ44" i="20"/>
  <c r="BW70" i="20"/>
  <c r="Y45" i="20"/>
  <c r="DD70" i="20"/>
  <c r="AS45" i="20"/>
  <c r="DR70" i="20"/>
  <c r="BE45" i="20"/>
  <c r="DZ70" i="20"/>
  <c r="BI45" i="20"/>
  <c r="EK70" i="20"/>
  <c r="BO45" i="20"/>
  <c r="FC70" i="20"/>
  <c r="BW45" i="20"/>
  <c r="FO70" i="20"/>
  <c r="CE45" i="20"/>
  <c r="GG70" i="20"/>
  <c r="CM45" i="20"/>
  <c r="E71" i="20"/>
  <c r="E46" i="20"/>
  <c r="J71" i="20"/>
  <c r="H46" i="20"/>
  <c r="U71" i="20"/>
  <c r="R46" i="20"/>
  <c r="AC71" i="20"/>
  <c r="V46" i="20"/>
  <c r="CF71" i="20"/>
  <c r="AD46" i="20"/>
  <c r="CM71" i="20"/>
  <c r="AG46" i="20"/>
  <c r="CS71" i="20"/>
  <c r="AK46" i="20"/>
  <c r="CX71" i="20"/>
  <c r="AO46" i="20"/>
  <c r="DI71" i="20"/>
  <c r="AV46" i="20"/>
  <c r="DN71" i="20"/>
  <c r="AZ46" i="20"/>
  <c r="EE71" i="20"/>
  <c r="BL46" i="20"/>
  <c r="EU71" i="20"/>
  <c r="BT46" i="20"/>
  <c r="FJ71" i="20"/>
  <c r="CB46" i="20"/>
  <c r="FY71" i="20"/>
  <c r="CJ46" i="20"/>
  <c r="M72" i="20"/>
  <c r="M47" i="20"/>
  <c r="CB72" i="20"/>
  <c r="AA47" i="20"/>
  <c r="DB72" i="20"/>
  <c r="AR47" i="20"/>
  <c r="DQ72" i="20"/>
  <c r="BD47" i="20"/>
  <c r="DX72" i="20"/>
  <c r="BH47" i="20"/>
  <c r="EN72" i="20"/>
  <c r="BQ47" i="20"/>
  <c r="FG72" i="20"/>
  <c r="BY47" i="20"/>
  <c r="FU72" i="20"/>
  <c r="CG47" i="20"/>
  <c r="D73" i="20"/>
  <c r="D48" i="20"/>
  <c r="T73" i="20"/>
  <c r="Q48" i="20"/>
  <c r="AB73" i="20"/>
  <c r="U48" i="20"/>
  <c r="BV73" i="20"/>
  <c r="X48" i="20"/>
  <c r="CH73" i="20"/>
  <c r="AF48" i="20"/>
  <c r="CR73" i="20"/>
  <c r="AJ48" i="20"/>
  <c r="CW73" i="20"/>
  <c r="AN48" i="20"/>
  <c r="DF73" i="20"/>
  <c r="AU48" i="20"/>
  <c r="DM73" i="20"/>
  <c r="AY48" i="20"/>
  <c r="EJ73" i="20"/>
  <c r="BN48" i="20"/>
  <c r="EX73" i="20"/>
  <c r="BV48" i="20"/>
  <c r="FL73" i="20"/>
  <c r="CD48" i="20"/>
  <c r="GE73" i="20"/>
  <c r="CL48" i="20"/>
  <c r="EX67" i="20"/>
  <c r="BV42" i="20"/>
  <c r="FP67" i="20"/>
  <c r="CF42" i="20"/>
  <c r="N68" i="20"/>
  <c r="N43" i="20"/>
  <c r="CF68" i="20"/>
  <c r="AD43" i="20"/>
  <c r="CM68" i="20"/>
  <c r="AG43" i="20"/>
  <c r="CS68" i="20"/>
  <c r="AK43" i="20"/>
  <c r="CX68" i="20"/>
  <c r="AO43" i="20"/>
  <c r="DI68" i="20"/>
  <c r="AV43" i="20"/>
  <c r="DN68" i="20"/>
  <c r="AZ43" i="20"/>
  <c r="EE68" i="20"/>
  <c r="BL43" i="20"/>
  <c r="EU68" i="20"/>
  <c r="BT43" i="20"/>
  <c r="FJ68" i="20"/>
  <c r="CB43" i="20"/>
  <c r="FY68" i="20"/>
  <c r="CJ43" i="20"/>
  <c r="U69" i="20"/>
  <c r="R44" i="20"/>
  <c r="AC69" i="20"/>
  <c r="V44" i="20"/>
  <c r="CF69" i="20"/>
  <c r="AD44" i="20"/>
  <c r="CM69" i="20"/>
  <c r="AG44" i="20"/>
  <c r="CS69" i="20"/>
  <c r="AK44" i="20"/>
  <c r="CX69" i="20"/>
  <c r="AO44" i="20"/>
  <c r="DV69" i="20"/>
  <c r="BF44" i="20"/>
  <c r="EA69" i="20"/>
  <c r="BJ44" i="20"/>
  <c r="EK69" i="20"/>
  <c r="BO44" i="20"/>
  <c r="FC69" i="20"/>
  <c r="BW44" i="20"/>
  <c r="FO69" i="20"/>
  <c r="CE44" i="20"/>
  <c r="GG69" i="20"/>
  <c r="CM44" i="20"/>
  <c r="E70" i="20"/>
  <c r="E45" i="20"/>
  <c r="J70" i="20"/>
  <c r="H45" i="20"/>
  <c r="N70" i="20"/>
  <c r="N45" i="20"/>
  <c r="W70" i="20"/>
  <c r="S45" i="20"/>
  <c r="CC70" i="20"/>
  <c r="AB45" i="20"/>
  <c r="CN70" i="20"/>
  <c r="AH45" i="20"/>
  <c r="CT70" i="20"/>
  <c r="AL45" i="20"/>
  <c r="CY70" i="20"/>
  <c r="AP45" i="20"/>
  <c r="DJ70" i="20"/>
  <c r="AW45" i="20"/>
  <c r="ER70" i="20"/>
  <c r="BR45" i="20"/>
  <c r="FH70" i="20"/>
  <c r="BZ45" i="20"/>
  <c r="FV70" i="20"/>
  <c r="CH45" i="20"/>
  <c r="A71" i="20"/>
  <c r="B46" i="20"/>
  <c r="BW71" i="20"/>
  <c r="Y46" i="20"/>
  <c r="DD71" i="20"/>
  <c r="AS46" i="20"/>
  <c r="DR71" i="20"/>
  <c r="BE46" i="20"/>
  <c r="DZ71" i="20"/>
  <c r="BI46" i="20"/>
  <c r="EK71" i="20"/>
  <c r="BO46" i="20"/>
  <c r="FC71" i="20"/>
  <c r="BW46" i="20"/>
  <c r="FO71" i="20"/>
  <c r="CE46" i="20"/>
  <c r="GG71" i="20"/>
  <c r="CM46" i="20"/>
  <c r="E72" i="20"/>
  <c r="E47" i="20"/>
  <c r="J72" i="20"/>
  <c r="H47" i="20"/>
  <c r="U72" i="20"/>
  <c r="R47" i="20"/>
  <c r="AC72" i="20"/>
  <c r="V47" i="20"/>
  <c r="CF72" i="20"/>
  <c r="AD47" i="20"/>
  <c r="CM72" i="20"/>
  <c r="AG47" i="20"/>
  <c r="CS72" i="20"/>
  <c r="AK47" i="20"/>
  <c r="CX72" i="20"/>
  <c r="AO47" i="20"/>
  <c r="DI72" i="20"/>
  <c r="AV47" i="20"/>
  <c r="DN72" i="20"/>
  <c r="AZ47" i="20"/>
  <c r="EE72" i="20"/>
  <c r="BL47" i="20"/>
  <c r="EU72" i="20"/>
  <c r="BT47" i="20"/>
  <c r="FJ72" i="20"/>
  <c r="CB47" i="20"/>
  <c r="FY72" i="20"/>
  <c r="CJ47" i="20"/>
  <c r="M73" i="20"/>
  <c r="M48" i="20"/>
  <c r="CB73" i="20"/>
  <c r="AA48" i="20"/>
  <c r="H68" i="20"/>
  <c r="G43" i="20"/>
  <c r="BW68" i="20"/>
  <c r="Y43" i="20"/>
  <c r="DD68" i="20"/>
  <c r="AS43" i="20"/>
  <c r="DR68" i="20"/>
  <c r="BE43" i="20"/>
  <c r="DZ68" i="20"/>
  <c r="BI43" i="20"/>
  <c r="EK68" i="20"/>
  <c r="BO43" i="20"/>
  <c r="FC68" i="20"/>
  <c r="BW43" i="20"/>
  <c r="FO68" i="20"/>
  <c r="CE43" i="20"/>
  <c r="GG68" i="20"/>
  <c r="CM43" i="20"/>
  <c r="E69" i="20"/>
  <c r="E44" i="20"/>
  <c r="J69" i="20"/>
  <c r="H44" i="20"/>
  <c r="BW69" i="20"/>
  <c r="Y44" i="20"/>
  <c r="DD69" i="20"/>
  <c r="AS44" i="20"/>
  <c r="DL69" i="20"/>
  <c r="AX44" i="20"/>
  <c r="ER69" i="20"/>
  <c r="BR44" i="20"/>
  <c r="FH69" i="20"/>
  <c r="BZ44" i="20"/>
  <c r="FV69" i="20"/>
  <c r="CH44" i="20"/>
  <c r="A70" i="20"/>
  <c r="B45" i="20"/>
  <c r="BT70" i="20"/>
  <c r="W45" i="20"/>
  <c r="CG70" i="20"/>
  <c r="AE45" i="20"/>
  <c r="DE70" i="20"/>
  <c r="AT45" i="20"/>
  <c r="DV70" i="20"/>
  <c r="BF45" i="20"/>
  <c r="EA70" i="20"/>
  <c r="BJ45" i="20"/>
  <c r="EF70" i="20"/>
  <c r="BM45" i="20"/>
  <c r="EW70" i="20"/>
  <c r="BU45" i="20"/>
  <c r="FK70" i="20"/>
  <c r="CC45" i="20"/>
  <c r="GD70" i="20"/>
  <c r="CK45" i="20"/>
  <c r="G71" i="20"/>
  <c r="F46" i="20"/>
  <c r="N71" i="20"/>
  <c r="N46" i="20"/>
  <c r="W71" i="20"/>
  <c r="S46" i="20"/>
  <c r="CC71" i="20"/>
  <c r="AB46" i="20"/>
  <c r="CN71" i="20"/>
  <c r="AH46" i="20"/>
  <c r="CT71" i="20"/>
  <c r="AL46" i="20"/>
  <c r="CY71" i="20"/>
  <c r="AP46" i="20"/>
  <c r="DJ71" i="20"/>
  <c r="AW46" i="20"/>
  <c r="ER71" i="20"/>
  <c r="BR46" i="20"/>
  <c r="FH71" i="20"/>
  <c r="BZ46" i="20"/>
  <c r="FV71" i="20"/>
  <c r="CH46" i="20"/>
  <c r="A72" i="20"/>
  <c r="B47" i="20"/>
  <c r="BW72" i="20"/>
  <c r="Y47" i="20"/>
  <c r="DD72" i="20"/>
  <c r="AS47" i="20"/>
  <c r="DR72" i="20"/>
  <c r="BE47" i="20"/>
  <c r="DZ72" i="20"/>
  <c r="BI47" i="20"/>
  <c r="EK72" i="20"/>
  <c r="BO47" i="20"/>
  <c r="FC72" i="20"/>
  <c r="BW47" i="20"/>
  <c r="FO72" i="20"/>
  <c r="CE47" i="20"/>
  <c r="GG72" i="20"/>
  <c r="CM47" i="20"/>
  <c r="E73" i="20"/>
  <c r="E48" i="20"/>
  <c r="J73" i="20"/>
  <c r="H48" i="20"/>
  <c r="U73" i="20"/>
  <c r="R48" i="20"/>
  <c r="AC73" i="20"/>
  <c r="V48" i="20"/>
  <c r="DN73" i="20"/>
  <c r="AZ48" i="20"/>
  <c r="EE73" i="20"/>
  <c r="BL48" i="20"/>
  <c r="ET73" i="20"/>
  <c r="BS48" i="20"/>
  <c r="GD73" i="20"/>
  <c r="CK48" i="20"/>
  <c r="GH73" i="20"/>
  <c r="CN48" i="20"/>
  <c r="C74" i="20"/>
  <c r="C49" i="20"/>
  <c r="BT74" i="20"/>
  <c r="W49" i="20"/>
  <c r="CG74" i="20"/>
  <c r="AE49" i="20"/>
  <c r="CY74" i="20"/>
  <c r="AP49" i="20"/>
  <c r="DJ74" i="20"/>
  <c r="AW49" i="20"/>
  <c r="ER74" i="20"/>
  <c r="BR49" i="20"/>
  <c r="FH74" i="20"/>
  <c r="BZ49" i="20"/>
  <c r="FV74" i="20"/>
  <c r="CH49" i="20"/>
  <c r="GH72" i="20"/>
  <c r="CN47" i="20"/>
  <c r="BT73" i="20"/>
  <c r="W48" i="20"/>
  <c r="CD73" i="20"/>
  <c r="AC48" i="20"/>
  <c r="CQ73" i="20"/>
  <c r="AI48" i="20"/>
  <c r="CX73" i="20"/>
  <c r="AO48" i="20"/>
  <c r="DW73" i="20"/>
  <c r="BG48" i="20"/>
  <c r="EM73" i="20"/>
  <c r="BP48" i="20"/>
  <c r="FV73" i="20"/>
  <c r="CH48" i="20"/>
  <c r="X74" i="20"/>
  <c r="T49" i="20"/>
  <c r="BX74" i="20"/>
  <c r="Z49" i="20"/>
  <c r="CQ74" i="20"/>
  <c r="AI49" i="20"/>
  <c r="CV74" i="20"/>
  <c r="AM49" i="20"/>
  <c r="DE74" i="20"/>
  <c r="AT49" i="20"/>
  <c r="DV74" i="20"/>
  <c r="BF49" i="20"/>
  <c r="EA74" i="20"/>
  <c r="BJ49" i="20"/>
  <c r="EF74" i="20"/>
  <c r="BM49" i="20"/>
  <c r="EW74" i="20"/>
  <c r="BU49" i="20"/>
  <c r="FK74" i="20"/>
  <c r="CC49" i="20"/>
  <c r="GD74" i="20"/>
  <c r="CK49" i="20"/>
  <c r="Y54" i="20"/>
  <c r="AG54" i="20"/>
  <c r="AO54" i="20"/>
  <c r="AW54" i="20"/>
  <c r="BE54" i="20"/>
  <c r="BM54" i="20"/>
  <c r="BX54" i="20"/>
  <c r="CF54" i="20"/>
  <c r="CP54" i="20"/>
  <c r="CZ54" i="20"/>
  <c r="DJ54" i="20"/>
  <c r="DR54" i="20"/>
  <c r="DZ54" i="20"/>
  <c r="EJ54" i="20"/>
  <c r="ER54" i="20"/>
  <c r="EZ54" i="20"/>
  <c r="FH54" i="20"/>
  <c r="FP54" i="20"/>
  <c r="FX54" i="20"/>
  <c r="GF54" i="20"/>
  <c r="HD54" i="20"/>
  <c r="HL54" i="20"/>
  <c r="HT54" i="20"/>
  <c r="IB54" i="20"/>
  <c r="IJ54" i="20"/>
  <c r="IR54" i="20"/>
  <c r="IZ54" i="20"/>
  <c r="JH54" i="20"/>
  <c r="JP54" i="20"/>
  <c r="JX54" i="20"/>
  <c r="KF54" i="20"/>
  <c r="KN54" i="20"/>
  <c r="Q55" i="20"/>
  <c r="AE55" i="20"/>
  <c r="AM55" i="20"/>
  <c r="AU55" i="20"/>
  <c r="BC55" i="20"/>
  <c r="BK55" i="20"/>
  <c r="BS55" i="20"/>
  <c r="CK55" i="20"/>
  <c r="DH55" i="20"/>
  <c r="ED55" i="20"/>
  <c r="ES55" i="20"/>
  <c r="FM55" i="20"/>
  <c r="FZ55" i="20"/>
  <c r="GL55" i="20"/>
  <c r="GP55" i="20"/>
  <c r="HB55" i="20"/>
  <c r="HJ55" i="20"/>
  <c r="HR55" i="20"/>
  <c r="HZ55" i="20"/>
  <c r="IH55" i="20"/>
  <c r="IP55" i="20"/>
  <c r="IX55" i="20"/>
  <c r="JF55" i="20"/>
  <c r="JN55" i="20"/>
  <c r="JV55" i="20"/>
  <c r="KD55" i="20"/>
  <c r="KL55" i="20"/>
  <c r="O56" i="20"/>
  <c r="AA56" i="20"/>
  <c r="AK56" i="20"/>
  <c r="AS56" i="20"/>
  <c r="BA56" i="20"/>
  <c r="BI56" i="20"/>
  <c r="BQ56" i="20"/>
  <c r="CI56" i="20"/>
  <c r="DC56" i="20"/>
  <c r="DY56" i="20"/>
  <c r="EP56" i="20"/>
  <c r="FE56" i="20"/>
  <c r="FW56" i="20"/>
  <c r="GK56" i="20"/>
  <c r="GO56" i="20"/>
  <c r="GU56" i="20"/>
  <c r="HA56" i="20"/>
  <c r="HI56" i="20"/>
  <c r="HQ56" i="20"/>
  <c r="HY56" i="20"/>
  <c r="IG56" i="20"/>
  <c r="IO56" i="20"/>
  <c r="IW56" i="20"/>
  <c r="JE56" i="20"/>
  <c r="JM56" i="20"/>
  <c r="JU56" i="20"/>
  <c r="KC56" i="20"/>
  <c r="CF73" i="20"/>
  <c r="AD48" i="20"/>
  <c r="DX73" i="20"/>
  <c r="BH48" i="20"/>
  <c r="EF73" i="20"/>
  <c r="BM48" i="20"/>
  <c r="EU73" i="20"/>
  <c r="BT48" i="20"/>
  <c r="FI73" i="20"/>
  <c r="CA48" i="20"/>
  <c r="H74" i="20"/>
  <c r="G49" i="20"/>
  <c r="CD74" i="20"/>
  <c r="AC49" i="20"/>
  <c r="DL74" i="20"/>
  <c r="AX49" i="20"/>
  <c r="EM74" i="20"/>
  <c r="BP49" i="20"/>
  <c r="FD74" i="20"/>
  <c r="BX49" i="20"/>
  <c r="CG73" i="20"/>
  <c r="AE48" i="20"/>
  <c r="DI73" i="20"/>
  <c r="AV48" i="20"/>
  <c r="EN73" i="20"/>
  <c r="BQ48" i="20"/>
  <c r="FD73" i="20"/>
  <c r="BX48" i="20"/>
  <c r="D74" i="20"/>
  <c r="D49" i="20"/>
  <c r="T74" i="20"/>
  <c r="Q49" i="20"/>
  <c r="AB74" i="20"/>
  <c r="U49" i="20"/>
  <c r="BV74" i="20"/>
  <c r="X49" i="20"/>
  <c r="CH74" i="20"/>
  <c r="AF49" i="20"/>
  <c r="CR74" i="20"/>
  <c r="AJ49" i="20"/>
  <c r="CW74" i="20"/>
  <c r="AN49" i="20"/>
  <c r="DA74" i="20"/>
  <c r="AQ49" i="20"/>
  <c r="CS73" i="20"/>
  <c r="AK48" i="20"/>
  <c r="DA73" i="20"/>
  <c r="AQ48" i="20"/>
  <c r="DP73" i="20"/>
  <c r="BC48" i="20"/>
  <c r="EA73" i="20"/>
  <c r="BJ48" i="20"/>
  <c r="EW73" i="20"/>
  <c r="BU48" i="20"/>
  <c r="FJ73" i="20"/>
  <c r="CB48" i="20"/>
  <c r="FX73" i="20"/>
  <c r="CI48" i="20"/>
  <c r="M74" i="20"/>
  <c r="M49" i="20"/>
  <c r="CB74" i="20"/>
  <c r="AA49" i="20"/>
  <c r="DF74" i="20"/>
  <c r="AU49" i="20"/>
  <c r="DM74" i="20"/>
  <c r="AY49" i="20"/>
  <c r="EJ74" i="20"/>
  <c r="BN49" i="20"/>
  <c r="EX74" i="20"/>
  <c r="BV49" i="20"/>
  <c r="FL74" i="20"/>
  <c r="CD49" i="20"/>
  <c r="DL73" i="20"/>
  <c r="AX48" i="20"/>
  <c r="DV73" i="20"/>
  <c r="BF48" i="20"/>
  <c r="ER73" i="20"/>
  <c r="BR48" i="20"/>
  <c r="FH73" i="20"/>
  <c r="BZ48" i="20"/>
  <c r="FY73" i="20"/>
  <c r="CJ48" i="20"/>
  <c r="A74" i="20"/>
  <c r="B49" i="20"/>
  <c r="U74" i="20"/>
  <c r="R49" i="20"/>
  <c r="CX74" i="20"/>
  <c r="AO49" i="20"/>
  <c r="DI74" i="20"/>
  <c r="AV49" i="20"/>
  <c r="DP74" i="20"/>
  <c r="BC49" i="20"/>
  <c r="EB74" i="20"/>
  <c r="BK49" i="20"/>
  <c r="FI74" i="20"/>
  <c r="CA49" i="20"/>
  <c r="FP74" i="20"/>
  <c r="CF49" i="20"/>
  <c r="GG74" i="20"/>
  <c r="CM49" i="20"/>
  <c r="Z54" i="20"/>
  <c r="AI54" i="20"/>
  <c r="AR54" i="20"/>
  <c r="BA54" i="20"/>
  <c r="BJ54" i="20"/>
  <c r="BS54" i="20"/>
  <c r="CE54" i="20"/>
  <c r="CQ54" i="20"/>
  <c r="DB54" i="20"/>
  <c r="DM54" i="20"/>
  <c r="DV54" i="20"/>
  <c r="EG54" i="20"/>
  <c r="EP54" i="20"/>
  <c r="EY54" i="20"/>
  <c r="FI54" i="20"/>
  <c r="FR54" i="20"/>
  <c r="GA54" i="20"/>
  <c r="GJ54" i="20"/>
  <c r="GT54" i="20"/>
  <c r="GZ54" i="20"/>
  <c r="HI54" i="20"/>
  <c r="HR54" i="20"/>
  <c r="IA54" i="20"/>
  <c r="IK54" i="20"/>
  <c r="IT54" i="20"/>
  <c r="JC54" i="20"/>
  <c r="JL54" i="20"/>
  <c r="JU54" i="20"/>
  <c r="KD54" i="20"/>
  <c r="KM54" i="20"/>
  <c r="R55" i="20"/>
  <c r="AG55" i="20"/>
  <c r="AP55" i="20"/>
  <c r="AY55" i="20"/>
  <c r="BH55" i="20"/>
  <c r="BQ55" i="20"/>
  <c r="CJ55" i="20"/>
  <c r="DK55" i="20"/>
  <c r="EH55" i="20"/>
  <c r="EZ55" i="20"/>
  <c r="GI55" i="20"/>
  <c r="CV73" i="20"/>
  <c r="AM48" i="20"/>
  <c r="DQ74" i="20"/>
  <c r="BD49" i="20"/>
  <c r="EN74" i="20"/>
  <c r="BQ49" i="20"/>
  <c r="FY74" i="20"/>
  <c r="CJ49" i="20"/>
  <c r="GH74" i="20"/>
  <c r="CN49" i="20"/>
  <c r="L54" i="20"/>
  <c r="AA54" i="20"/>
  <c r="AJ54" i="20"/>
  <c r="AS54" i="20"/>
  <c r="BB54" i="20"/>
  <c r="BK54" i="20"/>
  <c r="BU54" i="20"/>
  <c r="CG54" i="20"/>
  <c r="CR54" i="20"/>
  <c r="DC54" i="20"/>
  <c r="DN54" i="20"/>
  <c r="DW54" i="20"/>
  <c r="EH54" i="20"/>
  <c r="EQ54" i="20"/>
  <c r="FA54" i="20"/>
  <c r="FJ54" i="20"/>
  <c r="FS54" i="20"/>
  <c r="GB54" i="20"/>
  <c r="GK54" i="20"/>
  <c r="GO54" i="20"/>
  <c r="GU54" i="20"/>
  <c r="HA54" i="20"/>
  <c r="HJ54" i="20"/>
  <c r="HS54" i="20"/>
  <c r="IC54" i="20"/>
  <c r="IL54" i="20"/>
  <c r="IU54" i="20"/>
  <c r="JD54" i="20"/>
  <c r="JM54" i="20"/>
  <c r="JV54" i="20"/>
  <c r="KE54" i="20"/>
  <c r="B55" i="20"/>
  <c r="S55" i="20"/>
  <c r="AH55" i="20"/>
  <c r="AQ55" i="20"/>
  <c r="AZ55" i="20"/>
  <c r="BI55" i="20"/>
  <c r="BR55" i="20"/>
  <c r="CL55" i="20"/>
  <c r="DO55" i="20"/>
  <c r="EI55" i="20"/>
  <c r="FA55" i="20"/>
  <c r="FS55" i="20"/>
  <c r="GJ55" i="20"/>
  <c r="GO55" i="20"/>
  <c r="HC55" i="20"/>
  <c r="HL55" i="20"/>
  <c r="HU55" i="20"/>
  <c r="ID55" i="20"/>
  <c r="IM55" i="20"/>
  <c r="IV55" i="20"/>
  <c r="JE55" i="20"/>
  <c r="JO55" i="20"/>
  <c r="JX55" i="20"/>
  <c r="KG55" i="20"/>
  <c r="F56" i="20"/>
  <c r="V56" i="20"/>
  <c r="AI56" i="20"/>
  <c r="AR56" i="20"/>
  <c r="BB56" i="20"/>
  <c r="BK56" i="20"/>
  <c r="BU56" i="20"/>
  <c r="CO56" i="20"/>
  <c r="DS56" i="20"/>
  <c r="EL56" i="20"/>
  <c r="FB56" i="20"/>
  <c r="FZ56" i="20"/>
  <c r="GM56" i="20"/>
  <c r="BX73" i="20"/>
  <c r="Z48" i="20"/>
  <c r="EB73" i="20"/>
  <c r="BK48" i="20"/>
  <c r="FK73" i="20"/>
  <c r="CC48" i="20"/>
  <c r="GG73" i="20"/>
  <c r="CM48" i="20"/>
  <c r="E74" i="20"/>
  <c r="E49" i="20"/>
  <c r="W74" i="20"/>
  <c r="S49" i="20"/>
  <c r="BW74" i="20"/>
  <c r="Y49" i="20"/>
  <c r="CM74" i="20"/>
  <c r="AG49" i="20"/>
  <c r="EE74" i="20"/>
  <c r="BL49" i="20"/>
  <c r="FJ74" i="20"/>
  <c r="CB49" i="20"/>
  <c r="FU74" i="20"/>
  <c r="CG49" i="20"/>
  <c r="AC74" i="20"/>
  <c r="V49" i="20"/>
  <c r="DR74" i="20"/>
  <c r="BE49" i="20"/>
  <c r="FC74" i="20"/>
  <c r="BW49" i="20"/>
  <c r="B54" i="20"/>
  <c r="P54" i="20"/>
  <c r="AC54" i="20"/>
  <c r="AL54" i="20"/>
  <c r="AU54" i="20"/>
  <c r="BD54" i="20"/>
  <c r="BN54" i="20"/>
  <c r="BZ54" i="20"/>
  <c r="CI54" i="20"/>
  <c r="CU54" i="20"/>
  <c r="DG54" i="20"/>
  <c r="DP54" i="20"/>
  <c r="DY54" i="20"/>
  <c r="EK54" i="20"/>
  <c r="ET54" i="20"/>
  <c r="FC54" i="20"/>
  <c r="FL54" i="20"/>
  <c r="FU54" i="20"/>
  <c r="GD54" i="20"/>
  <c r="GM54" i="20"/>
  <c r="GQ54" i="20"/>
  <c r="GV54" i="20"/>
  <c r="HC54" i="20"/>
  <c r="HM54" i="20"/>
  <c r="HV54" i="20"/>
  <c r="IE54" i="20"/>
  <c r="IN54" i="20"/>
  <c r="IW54" i="20"/>
  <c r="JF54" i="20"/>
  <c r="JO54" i="20"/>
  <c r="JY54" i="20"/>
  <c r="KH54" i="20"/>
  <c r="I55" i="20"/>
  <c r="Y55" i="20"/>
  <c r="AJ55" i="20"/>
  <c r="AS55" i="20"/>
  <c r="BB55" i="20"/>
  <c r="BL55" i="20"/>
  <c r="BY55" i="20"/>
  <c r="CP55" i="20"/>
  <c r="DT55" i="20"/>
  <c r="EO55" i="20"/>
  <c r="FE55" i="20"/>
  <c r="FW55" i="20"/>
  <c r="GM55" i="20"/>
  <c r="HE55" i="20"/>
  <c r="HN55" i="20"/>
  <c r="HW55" i="20"/>
  <c r="IF55" i="20"/>
  <c r="IO55" i="20"/>
  <c r="IY55" i="20"/>
  <c r="JH55" i="20"/>
  <c r="JQ55" i="20"/>
  <c r="JZ55" i="20"/>
  <c r="KI55" i="20"/>
  <c r="K56" i="20"/>
  <c r="Z56" i="20"/>
  <c r="AL56" i="20"/>
  <c r="AU56" i="20"/>
  <c r="BD56" i="20"/>
  <c r="BM56" i="20"/>
  <c r="BZ56" i="20"/>
  <c r="CU56" i="20"/>
  <c r="DU56" i="20"/>
  <c r="EQ56" i="20"/>
  <c r="FM56" i="20"/>
  <c r="GB56" i="20"/>
  <c r="C73" i="20"/>
  <c r="C48" i="20"/>
  <c r="DB73" i="20"/>
  <c r="AR48" i="20"/>
  <c r="FP73" i="20"/>
  <c r="CF48" i="20"/>
  <c r="G74" i="20"/>
  <c r="F49" i="20"/>
  <c r="CN74" i="20"/>
  <c r="AH49" i="20"/>
  <c r="DB74" i="20"/>
  <c r="AR49" i="20"/>
  <c r="DN74" i="20"/>
  <c r="AZ49" i="20"/>
  <c r="DW74" i="20"/>
  <c r="BG49" i="20"/>
  <c r="ET74" i="20"/>
  <c r="BS49" i="20"/>
  <c r="Q54" i="20"/>
  <c r="AD54" i="20"/>
  <c r="AM54" i="20"/>
  <c r="AV54" i="20"/>
  <c r="BF54" i="20"/>
  <c r="BO54" i="20"/>
  <c r="CA54" i="20"/>
  <c r="CJ54" i="20"/>
  <c r="CV54" i="20"/>
  <c r="DH54" i="20"/>
  <c r="DQ54" i="20"/>
  <c r="EA54" i="20"/>
  <c r="EL54" i="20"/>
  <c r="EU54" i="20"/>
  <c r="FD54" i="20"/>
  <c r="FM54" i="20"/>
  <c r="FV54" i="20"/>
  <c r="GE54" i="20"/>
  <c r="HE54" i="20"/>
  <c r="HN54" i="20"/>
  <c r="HW54" i="20"/>
  <c r="IF54" i="20"/>
  <c r="IO54" i="20"/>
  <c r="IX54" i="20"/>
  <c r="JG54" i="20"/>
  <c r="JQ54" i="20"/>
  <c r="JZ54" i="20"/>
  <c r="KI54" i="20"/>
  <c r="K55" i="20"/>
  <c r="Z55" i="20"/>
  <c r="AK55" i="20"/>
  <c r="AT55" i="20"/>
  <c r="BD55" i="20"/>
  <c r="BM55" i="20"/>
  <c r="BZ55" i="20"/>
  <c r="CU55" i="20"/>
  <c r="DU55" i="20"/>
  <c r="EP55" i="20"/>
  <c r="FF55" i="20"/>
  <c r="GA55" i="20"/>
  <c r="GR55" i="20"/>
  <c r="GW55" i="20"/>
  <c r="HF55" i="20"/>
  <c r="HO55" i="20"/>
  <c r="HX55" i="20"/>
  <c r="IG55" i="20"/>
  <c r="IQ55" i="20"/>
  <c r="IZ55" i="20"/>
  <c r="JI55" i="20"/>
  <c r="JR55" i="20"/>
  <c r="KA55" i="20"/>
  <c r="KJ55" i="20"/>
  <c r="L56" i="20"/>
  <c r="AD56" i="20"/>
  <c r="AM56" i="20"/>
  <c r="AV56" i="20"/>
  <c r="BE56" i="20"/>
  <c r="BN56" i="20"/>
  <c r="CA56" i="20"/>
  <c r="CZ56" i="20"/>
  <c r="EC56" i="20"/>
  <c r="ES56" i="20"/>
  <c r="FN56" i="20"/>
  <c r="GC56" i="20"/>
  <c r="GN56" i="20"/>
  <c r="GS56" i="20"/>
  <c r="GZ56" i="20"/>
  <c r="HJ56" i="20"/>
  <c r="HS56" i="20"/>
  <c r="IB56" i="20"/>
  <c r="IK56" i="20"/>
  <c r="IT56" i="20"/>
  <c r="JC56" i="20"/>
  <c r="JL56" i="20"/>
  <c r="JV56" i="20"/>
  <c r="KE56" i="20"/>
  <c r="KM56" i="20"/>
  <c r="P57" i="20"/>
  <c r="AD57" i="20"/>
  <c r="AL57" i="20"/>
  <c r="AT57" i="20"/>
  <c r="BB57" i="20"/>
  <c r="BJ57" i="20"/>
  <c r="BR57" i="20"/>
  <c r="CJ57" i="20"/>
  <c r="DG57" i="20"/>
  <c r="EC57" i="20"/>
  <c r="EQ57" i="20"/>
  <c r="FF57" i="20"/>
  <c r="FZ57" i="20"/>
  <c r="GL57" i="20"/>
  <c r="GP57" i="20"/>
  <c r="HB57" i="20"/>
  <c r="HJ57" i="20"/>
  <c r="HR57" i="20"/>
  <c r="HZ57" i="20"/>
  <c r="IH57" i="20"/>
  <c r="IP57" i="20"/>
  <c r="IX57" i="20"/>
  <c r="JF57" i="20"/>
  <c r="JN57" i="20"/>
  <c r="JV57" i="20"/>
  <c r="KD57" i="20"/>
  <c r="KL57" i="20"/>
  <c r="O58" i="20"/>
  <c r="AA58" i="20"/>
  <c r="AK58" i="20"/>
  <c r="AS58" i="20"/>
  <c r="BA58" i="20"/>
  <c r="BI58" i="20"/>
  <c r="BQ58" i="20"/>
  <c r="CI58" i="20"/>
  <c r="DC58" i="20"/>
  <c r="DY58" i="20"/>
  <c r="EP58" i="20"/>
  <c r="FE58" i="20"/>
  <c r="FW58" i="20"/>
  <c r="GK58" i="20"/>
  <c r="DD74" i="20"/>
  <c r="AS49" i="20"/>
  <c r="R54" i="20"/>
  <c r="AN54" i="20"/>
  <c r="BG54" i="20"/>
  <c r="CB54" i="20"/>
  <c r="CW54" i="20"/>
  <c r="DS54" i="20"/>
  <c r="EM54" i="20"/>
  <c r="FE54" i="20"/>
  <c r="FW54" i="20"/>
  <c r="GS54" i="20"/>
  <c r="HG54" i="20"/>
  <c r="HY54" i="20"/>
  <c r="IQ54" i="20"/>
  <c r="JJ54" i="20"/>
  <c r="KB54" i="20"/>
  <c r="O55" i="20"/>
  <c r="AN55" i="20"/>
  <c r="BF55" i="20"/>
  <c r="CE55" i="20"/>
  <c r="EC55" i="20"/>
  <c r="FQ55" i="20"/>
  <c r="GT55" i="20"/>
  <c r="HA55" i="20"/>
  <c r="HQ55" i="20"/>
  <c r="IE55" i="20"/>
  <c r="IT55" i="20"/>
  <c r="JJ55" i="20"/>
  <c r="JW55" i="20"/>
  <c r="KM55" i="20"/>
  <c r="Y56" i="20"/>
  <c r="AP56" i="20"/>
  <c r="BF56" i="20"/>
  <c r="BS56" i="20"/>
  <c r="DH56" i="20"/>
  <c r="EO56" i="20"/>
  <c r="FS56" i="20"/>
  <c r="HD56" i="20"/>
  <c r="HN56" i="20"/>
  <c r="HX56" i="20"/>
  <c r="II56" i="20"/>
  <c r="IS56" i="20"/>
  <c r="JD56" i="20"/>
  <c r="JO56" i="20"/>
  <c r="JY56" i="20"/>
  <c r="KI56" i="20"/>
  <c r="K57" i="20"/>
  <c r="Z57" i="20"/>
  <c r="AK57" i="20"/>
  <c r="AU57" i="20"/>
  <c r="BD57" i="20"/>
  <c r="BM57" i="20"/>
  <c r="BZ57" i="20"/>
  <c r="CU57" i="20"/>
  <c r="DU57" i="20"/>
  <c r="EP57" i="20"/>
  <c r="FM57" i="20"/>
  <c r="GB57" i="20"/>
  <c r="GX57" i="20"/>
  <c r="HG57" i="20"/>
  <c r="HP57" i="20"/>
  <c r="HY57" i="20"/>
  <c r="II57" i="20"/>
  <c r="IR57" i="20"/>
  <c r="JA57" i="20"/>
  <c r="JJ57" i="20"/>
  <c r="JS57" i="20"/>
  <c r="KB57" i="20"/>
  <c r="KK57" i="20"/>
  <c r="P58" i="20"/>
  <c r="AE58" i="20"/>
  <c r="AN58" i="20"/>
  <c r="AW58" i="20"/>
  <c r="BF58" i="20"/>
  <c r="BO58" i="20"/>
  <c r="CE58" i="20"/>
  <c r="DG58" i="20"/>
  <c r="ED58" i="20"/>
  <c r="EV58" i="20"/>
  <c r="FQ58" i="20"/>
  <c r="GF58" i="20"/>
  <c r="GS58" i="20"/>
  <c r="GY58" i="20"/>
  <c r="HG58" i="20"/>
  <c r="HO58" i="20"/>
  <c r="HW58" i="20"/>
  <c r="IE58" i="20"/>
  <c r="IM58" i="20"/>
  <c r="IU58" i="20"/>
  <c r="JC58" i="20"/>
  <c r="JK58" i="20"/>
  <c r="JS58" i="20"/>
  <c r="KA58" i="20"/>
  <c r="KI58" i="20"/>
  <c r="I59" i="20"/>
  <c r="V59" i="20"/>
  <c r="AH59" i="20"/>
  <c r="AP59" i="20"/>
  <c r="AX59" i="20"/>
  <c r="BF59" i="20"/>
  <c r="BN59" i="20"/>
  <c r="BZ59" i="20"/>
  <c r="CP59" i="20"/>
  <c r="DS59" i="20"/>
  <c r="EI59" i="20"/>
  <c r="EZ59" i="20"/>
  <c r="FR59" i="20"/>
  <c r="GF59" i="20"/>
  <c r="GN59" i="20"/>
  <c r="GX59" i="20"/>
  <c r="HF59" i="20"/>
  <c r="HN59" i="20"/>
  <c r="HV59" i="20"/>
  <c r="ID59" i="20"/>
  <c r="IL59" i="20"/>
  <c r="IT59" i="20"/>
  <c r="JB59" i="20"/>
  <c r="JJ59" i="20"/>
  <c r="JR59" i="20"/>
  <c r="JZ59" i="20"/>
  <c r="KH59" i="20"/>
  <c r="F60" i="20"/>
  <c r="S60" i="20"/>
  <c r="AG60" i="20"/>
  <c r="AO60" i="20"/>
  <c r="AW60" i="20"/>
  <c r="BE60" i="20"/>
  <c r="BM60" i="20"/>
  <c r="BY60" i="20"/>
  <c r="CO60" i="20"/>
  <c r="DO60" i="20"/>
  <c r="EH60" i="20"/>
  <c r="EY60" i="20"/>
  <c r="FQ60" i="20"/>
  <c r="GC60" i="20"/>
  <c r="GR60" i="20"/>
  <c r="GW60" i="20"/>
  <c r="HE60" i="20"/>
  <c r="HM60" i="20"/>
  <c r="HU60" i="20"/>
  <c r="IC60" i="20"/>
  <c r="IK60" i="20"/>
  <c r="IS60" i="20"/>
  <c r="JA60" i="20"/>
  <c r="JI60" i="20"/>
  <c r="JQ60" i="20"/>
  <c r="JY60" i="20"/>
  <c r="KG60" i="20"/>
  <c r="B61" i="20"/>
  <c r="R61" i="20"/>
  <c r="CM73" i="20"/>
  <c r="AG48" i="20"/>
  <c r="DQ73" i="20"/>
  <c r="BD48" i="20"/>
  <c r="FG73" i="20"/>
  <c r="BY48" i="20"/>
  <c r="J74" i="20"/>
  <c r="H49" i="20"/>
  <c r="CC74" i="20"/>
  <c r="AB49" i="20"/>
  <c r="S54" i="20"/>
  <c r="AP54" i="20"/>
  <c r="BH54" i="20"/>
  <c r="CC54" i="20"/>
  <c r="CX54" i="20"/>
  <c r="DT54" i="20"/>
  <c r="EN54" i="20"/>
  <c r="FF54" i="20"/>
  <c r="FY54" i="20"/>
  <c r="HH54" i="20"/>
  <c r="HZ54" i="20"/>
  <c r="IS54" i="20"/>
  <c r="JK54" i="20"/>
  <c r="KC54" i="20"/>
  <c r="P55" i="20"/>
  <c r="AO55" i="20"/>
  <c r="BG55" i="20"/>
  <c r="CI55" i="20"/>
  <c r="EG55" i="20"/>
  <c r="FR55" i="20"/>
  <c r="GU55" i="20"/>
  <c r="HD55" i="20"/>
  <c r="HS55" i="20"/>
  <c r="II55" i="20"/>
  <c r="IU55" i="20"/>
  <c r="JK55" i="20"/>
  <c r="JY55" i="20"/>
  <c r="KN55" i="20"/>
  <c r="AE56" i="20"/>
  <c r="AQ56" i="20"/>
  <c r="BG56" i="20"/>
  <c r="BY56" i="20"/>
  <c r="DK56" i="20"/>
  <c r="EV56" i="20"/>
  <c r="FT56" i="20"/>
  <c r="GV56" i="20"/>
  <c r="HE56" i="20"/>
  <c r="HO56" i="20"/>
  <c r="HZ56" i="20"/>
  <c r="IJ56" i="20"/>
  <c r="IU56" i="20"/>
  <c r="JF56" i="20"/>
  <c r="JP56" i="20"/>
  <c r="JZ56" i="20"/>
  <c r="KJ56" i="20"/>
  <c r="L57" i="20"/>
  <c r="AA57" i="20"/>
  <c r="AM57" i="20"/>
  <c r="AV57" i="20"/>
  <c r="BE57" i="20"/>
  <c r="BN57" i="20"/>
  <c r="CA57" i="20"/>
  <c r="CZ57" i="20"/>
  <c r="DY57" i="20"/>
  <c r="ES57" i="20"/>
  <c r="FN57" i="20"/>
  <c r="GC57" i="20"/>
  <c r="GN57" i="20"/>
  <c r="GS57" i="20"/>
  <c r="GY57" i="20"/>
  <c r="HH57" i="20"/>
  <c r="HQ57" i="20"/>
  <c r="IA57" i="20"/>
  <c r="IJ57" i="20"/>
  <c r="IS57" i="20"/>
  <c r="JB57" i="20"/>
  <c r="JK57" i="20"/>
  <c r="JT57" i="20"/>
  <c r="KC57" i="20"/>
  <c r="KM57" i="20"/>
  <c r="Q58" i="20"/>
  <c r="AF58" i="20"/>
  <c r="AO58" i="20"/>
  <c r="AX58" i="20"/>
  <c r="BG58" i="20"/>
  <c r="BP58" i="20"/>
  <c r="CJ58" i="20"/>
  <c r="DH58" i="20"/>
  <c r="EG58" i="20"/>
  <c r="EY58" i="20"/>
  <c r="FR58" i="20"/>
  <c r="GI58" i="20"/>
  <c r="GT58" i="20"/>
  <c r="GZ58" i="20"/>
  <c r="HH58" i="20"/>
  <c r="HP58" i="20"/>
  <c r="HX58" i="20"/>
  <c r="IF58" i="20"/>
  <c r="IN58" i="20"/>
  <c r="IV58" i="20"/>
  <c r="JD58" i="20"/>
  <c r="JL58" i="20"/>
  <c r="JT58" i="20"/>
  <c r="KB58" i="20"/>
  <c r="KJ58" i="20"/>
  <c r="K59" i="20"/>
  <c r="Y59" i="20"/>
  <c r="AI59" i="20"/>
  <c r="AQ59" i="20"/>
  <c r="AY59" i="20"/>
  <c r="BG59" i="20"/>
  <c r="BO59" i="20"/>
  <c r="CA59" i="20"/>
  <c r="CU59" i="20"/>
  <c r="DT59" i="20"/>
  <c r="EL59" i="20"/>
  <c r="FA59" i="20"/>
  <c r="FS59" i="20"/>
  <c r="GI59" i="20"/>
  <c r="GS59" i="20"/>
  <c r="GY59" i="20"/>
  <c r="HG59" i="20"/>
  <c r="HO59" i="20"/>
  <c r="HW59" i="20"/>
  <c r="IE59" i="20"/>
  <c r="IM59" i="20"/>
  <c r="IU59" i="20"/>
  <c r="JC59" i="20"/>
  <c r="JK59" i="20"/>
  <c r="JS59" i="20"/>
  <c r="KA59" i="20"/>
  <c r="KI59" i="20"/>
  <c r="I60" i="20"/>
  <c r="V60" i="20"/>
  <c r="AH60" i="20"/>
  <c r="AP60" i="20"/>
  <c r="AX60" i="20"/>
  <c r="BF60" i="20"/>
  <c r="BN60" i="20"/>
  <c r="BZ60" i="20"/>
  <c r="CP60" i="20"/>
  <c r="DS60" i="20"/>
  <c r="EI60" i="20"/>
  <c r="EZ60" i="20"/>
  <c r="FR60" i="20"/>
  <c r="GF60" i="20"/>
  <c r="GN60" i="20"/>
  <c r="GX60" i="20"/>
  <c r="CF74" i="20"/>
  <c r="AD49" i="20"/>
  <c r="EK74" i="20"/>
  <c r="BO49" i="20"/>
  <c r="V54" i="20"/>
  <c r="AQ54" i="20"/>
  <c r="BI54" i="20"/>
  <c r="CD54" i="20"/>
  <c r="DA54" i="20"/>
  <c r="DU54" i="20"/>
  <c r="EO54" i="20"/>
  <c r="FG54" i="20"/>
  <c r="FZ54" i="20"/>
  <c r="GN54" i="20"/>
  <c r="HK54" i="20"/>
  <c r="ID54" i="20"/>
  <c r="IV54" i="20"/>
  <c r="JN54" i="20"/>
  <c r="KG54" i="20"/>
  <c r="V55" i="20"/>
  <c r="AR55" i="20"/>
  <c r="BJ55" i="20"/>
  <c r="CO55" i="20"/>
  <c r="EL55" i="20"/>
  <c r="GN55" i="20"/>
  <c r="HG55" i="20"/>
  <c r="HT55" i="20"/>
  <c r="IJ55" i="20"/>
  <c r="IW55" i="20"/>
  <c r="JL55" i="20"/>
  <c r="KB55" i="20"/>
  <c r="B56" i="20"/>
  <c r="AF56" i="20"/>
  <c r="AT56" i="20"/>
  <c r="BH56" i="20"/>
  <c r="CE56" i="20"/>
  <c r="DO56" i="20"/>
  <c r="EY56" i="20"/>
  <c r="GA56" i="20"/>
  <c r="GP56" i="20"/>
  <c r="HF56" i="20"/>
  <c r="HP56" i="20"/>
  <c r="IA56" i="20"/>
  <c r="IL56" i="20"/>
  <c r="IV56" i="20"/>
  <c r="JG56" i="20"/>
  <c r="JQ56" i="20"/>
  <c r="KA56" i="20"/>
  <c r="KK56" i="20"/>
  <c r="O57" i="20"/>
  <c r="AE57" i="20"/>
  <c r="AN57" i="20"/>
  <c r="AW57" i="20"/>
  <c r="BF57" i="20"/>
  <c r="BO57" i="20"/>
  <c r="CE57" i="20"/>
  <c r="DC57" i="20"/>
  <c r="ED57" i="20"/>
  <c r="EV57" i="20"/>
  <c r="FQ57" i="20"/>
  <c r="GF57" i="20"/>
  <c r="GT57" i="20"/>
  <c r="GZ57" i="20"/>
  <c r="HI57" i="20"/>
  <c r="HS57" i="20"/>
  <c r="IB57" i="20"/>
  <c r="IK57" i="20"/>
  <c r="IT57" i="20"/>
  <c r="JC57" i="20"/>
  <c r="JL57" i="20"/>
  <c r="JU57" i="20"/>
  <c r="KE57" i="20"/>
  <c r="KN57" i="20"/>
  <c r="R58" i="20"/>
  <c r="AG58" i="20"/>
  <c r="AP58" i="20"/>
  <c r="AY58" i="20"/>
  <c r="BH58" i="20"/>
  <c r="BR58" i="20"/>
  <c r="CK58" i="20"/>
  <c r="DK58" i="20"/>
  <c r="EH58" i="20"/>
  <c r="EZ58" i="20"/>
  <c r="FS58" i="20"/>
  <c r="GJ58" i="20"/>
  <c r="GO58" i="20"/>
  <c r="GU58" i="20"/>
  <c r="HA58" i="20"/>
  <c r="HI58" i="20"/>
  <c r="HQ58" i="20"/>
  <c r="HY58" i="20"/>
  <c r="IG58" i="20"/>
  <c r="IO58" i="20"/>
  <c r="IW58" i="20"/>
  <c r="JE58" i="20"/>
  <c r="JM58" i="20"/>
  <c r="JU58" i="20"/>
  <c r="KC58" i="20"/>
  <c r="KK58" i="20"/>
  <c r="L59" i="20"/>
  <c r="Z59" i="20"/>
  <c r="AJ59" i="20"/>
  <c r="AR59" i="20"/>
  <c r="AZ59" i="20"/>
  <c r="BH59" i="20"/>
  <c r="BP59" i="20"/>
  <c r="CE59" i="20"/>
  <c r="CZ59" i="20"/>
  <c r="DU59" i="20"/>
  <c r="EO59" i="20"/>
  <c r="FB59" i="20"/>
  <c r="FT59" i="20"/>
  <c r="GJ59" i="20"/>
  <c r="CS74" i="20"/>
  <c r="AK49" i="20"/>
  <c r="FO74" i="20"/>
  <c r="CE49" i="20"/>
  <c r="F54" i="20"/>
  <c r="AB54" i="20"/>
  <c r="AT54" i="20"/>
  <c r="BL54" i="20"/>
  <c r="CH54" i="20"/>
  <c r="DD54" i="20"/>
  <c r="DX54" i="20"/>
  <c r="ES54" i="20"/>
  <c r="FK54" i="20"/>
  <c r="GC54" i="20"/>
  <c r="GW54" i="20"/>
  <c r="HO54" i="20"/>
  <c r="IG54" i="20"/>
  <c r="IY54" i="20"/>
  <c r="JR54" i="20"/>
  <c r="KJ54" i="20"/>
  <c r="AA55" i="20"/>
  <c r="AV55" i="20"/>
  <c r="BN55" i="20"/>
  <c r="CZ55" i="20"/>
  <c r="EQ55" i="20"/>
  <c r="FT55" i="20"/>
  <c r="GV55" i="20"/>
  <c r="HH55" i="20"/>
  <c r="HV55" i="20"/>
  <c r="IK55" i="20"/>
  <c r="JA55" i="20"/>
  <c r="JM55" i="20"/>
  <c r="KC55" i="20"/>
  <c r="I56" i="20"/>
  <c r="AG56" i="20"/>
  <c r="AW56" i="20"/>
  <c r="BJ56" i="20"/>
  <c r="CJ56" i="20"/>
  <c r="DT56" i="20"/>
  <c r="EZ56" i="20"/>
  <c r="GF56" i="20"/>
  <c r="GQ56" i="20"/>
  <c r="GW56" i="20"/>
  <c r="HG56" i="20"/>
  <c r="HR56" i="20"/>
  <c r="IC56" i="20"/>
  <c r="IM56" i="20"/>
  <c r="IX56" i="20"/>
  <c r="JH56" i="20"/>
  <c r="JR56" i="20"/>
  <c r="KB56" i="20"/>
  <c r="KL56" i="20"/>
  <c r="Q57" i="20"/>
  <c r="AF57" i="20"/>
  <c r="AO57" i="20"/>
  <c r="AX57" i="20"/>
  <c r="BG57" i="20"/>
  <c r="BP57" i="20"/>
  <c r="CI57" i="20"/>
  <c r="DH57" i="20"/>
  <c r="EG57" i="20"/>
  <c r="EY57" i="20"/>
  <c r="FR57" i="20"/>
  <c r="GI57" i="20"/>
  <c r="GU57" i="20"/>
  <c r="HA57" i="20"/>
  <c r="HK57" i="20"/>
  <c r="HT57" i="20"/>
  <c r="IC57" i="20"/>
  <c r="IL57" i="20"/>
  <c r="IU57" i="20"/>
  <c r="JD57" i="20"/>
  <c r="JM57" i="20"/>
  <c r="JW57" i="20"/>
  <c r="KF57" i="20"/>
  <c r="B58" i="20"/>
  <c r="S58" i="20"/>
  <c r="AH58" i="20"/>
  <c r="AQ58" i="20"/>
  <c r="AZ58" i="20"/>
  <c r="BJ58" i="20"/>
  <c r="BS58" i="20"/>
  <c r="CL58" i="20"/>
  <c r="DO58" i="20"/>
  <c r="EI58" i="20"/>
  <c r="FA58" i="20"/>
  <c r="FT58" i="20"/>
  <c r="GL58" i="20"/>
  <c r="GP58" i="20"/>
  <c r="HB58" i="20"/>
  <c r="DE73" i="20"/>
  <c r="AT48" i="20"/>
  <c r="FU73" i="20"/>
  <c r="CG48" i="20"/>
  <c r="EU74" i="20"/>
  <c r="BT49" i="20"/>
  <c r="I54" i="20"/>
  <c r="AE54" i="20"/>
  <c r="AX54" i="20"/>
  <c r="BP54" i="20"/>
  <c r="CK54" i="20"/>
  <c r="DI54" i="20"/>
  <c r="EB54" i="20"/>
  <c r="EV54" i="20"/>
  <c r="FN54" i="20"/>
  <c r="GG54" i="20"/>
  <c r="GP54" i="20"/>
  <c r="GX54" i="20"/>
  <c r="HP54" i="20"/>
  <c r="IH54" i="20"/>
  <c r="JA54" i="20"/>
  <c r="JS54" i="20"/>
  <c r="KK54" i="20"/>
  <c r="AD55" i="20"/>
  <c r="AW55" i="20"/>
  <c r="BO55" i="20"/>
  <c r="DC55" i="20"/>
  <c r="EV55" i="20"/>
  <c r="GB55" i="20"/>
  <c r="GQ55" i="20"/>
  <c r="HI55" i="20"/>
  <c r="HY55" i="20"/>
  <c r="IL55" i="20"/>
  <c r="JB55" i="20"/>
  <c r="JP55" i="20"/>
  <c r="KE55" i="20"/>
  <c r="P56" i="20"/>
  <c r="AH56" i="20"/>
  <c r="AX56" i="20"/>
  <c r="BL56" i="20"/>
  <c r="CK56" i="20"/>
  <c r="ED56" i="20"/>
  <c r="FA56" i="20"/>
  <c r="GI56" i="20"/>
  <c r="GX56" i="20"/>
  <c r="HH56" i="20"/>
  <c r="HT56" i="20"/>
  <c r="ID56" i="20"/>
  <c r="IN56" i="20"/>
  <c r="IY56" i="20"/>
  <c r="JI56" i="20"/>
  <c r="JS56" i="20"/>
  <c r="KD56" i="20"/>
  <c r="KN56" i="20"/>
  <c r="R57" i="20"/>
  <c r="AG57" i="20"/>
  <c r="AP57" i="20"/>
  <c r="AY57" i="20"/>
  <c r="BH57" i="20"/>
  <c r="BQ57" i="20"/>
  <c r="CK57" i="20"/>
  <c r="DK57" i="20"/>
  <c r="EH57" i="20"/>
  <c r="EZ57" i="20"/>
  <c r="FS57" i="20"/>
  <c r="GJ57" i="20"/>
  <c r="GO57" i="20"/>
  <c r="HC57" i="20"/>
  <c r="HL57" i="20"/>
  <c r="HU57" i="20"/>
  <c r="ID57" i="20"/>
  <c r="IM57" i="20"/>
  <c r="IV57" i="20"/>
  <c r="JE57" i="20"/>
  <c r="JO57" i="20"/>
  <c r="JX57" i="20"/>
  <c r="KG57" i="20"/>
  <c r="F58" i="20"/>
  <c r="V58" i="20"/>
  <c r="AI58" i="20"/>
  <c r="AR58" i="20"/>
  <c r="BB58" i="20"/>
  <c r="BK58" i="20"/>
  <c r="BU58" i="20"/>
  <c r="CO58" i="20"/>
  <c r="DS58" i="20"/>
  <c r="EL58" i="20"/>
  <c r="FB58" i="20"/>
  <c r="FZ58" i="20"/>
  <c r="GM58" i="20"/>
  <c r="GQ58" i="20"/>
  <c r="GV58" i="20"/>
  <c r="HC58" i="20"/>
  <c r="HK58" i="20"/>
  <c r="HS58" i="20"/>
  <c r="IA58" i="20"/>
  <c r="II58" i="20"/>
  <c r="IQ58" i="20"/>
  <c r="IY58" i="20"/>
  <c r="JG58" i="20"/>
  <c r="JO58" i="20"/>
  <c r="JW58" i="20"/>
  <c r="KE58" i="20"/>
  <c r="KM58" i="20"/>
  <c r="P59" i="20"/>
  <c r="AD59" i="20"/>
  <c r="AL59" i="20"/>
  <c r="AT59" i="20"/>
  <c r="BB59" i="20"/>
  <c r="BJ59" i="20"/>
  <c r="BR59" i="20"/>
  <c r="CJ59" i="20"/>
  <c r="DG59" i="20"/>
  <c r="EC59" i="20"/>
  <c r="EQ59" i="20"/>
  <c r="FF59" i="20"/>
  <c r="FZ59" i="20"/>
  <c r="GL59" i="20"/>
  <c r="GP59" i="20"/>
  <c r="HB59" i="20"/>
  <c r="HJ59" i="20"/>
  <c r="HR59" i="20"/>
  <c r="HZ59" i="20"/>
  <c r="IH59" i="20"/>
  <c r="IP59" i="20"/>
  <c r="IX59" i="20"/>
  <c r="JF59" i="20"/>
  <c r="JN59" i="20"/>
  <c r="JV59" i="20"/>
  <c r="KD59" i="20"/>
  <c r="KL59" i="20"/>
  <c r="O60" i="20"/>
  <c r="AA60" i="20"/>
  <c r="AK60" i="20"/>
  <c r="AS60" i="20"/>
  <c r="BA60" i="20"/>
  <c r="BI60" i="20"/>
  <c r="BQ60" i="20"/>
  <c r="CI60" i="20"/>
  <c r="DC60" i="20"/>
  <c r="DY60" i="20"/>
  <c r="EP60" i="20"/>
  <c r="FE60" i="20"/>
  <c r="FW60" i="20"/>
  <c r="GK60" i="20"/>
  <c r="GO60" i="20"/>
  <c r="GU60" i="20"/>
  <c r="HA60" i="20"/>
  <c r="HI60" i="20"/>
  <c r="HQ60" i="20"/>
  <c r="HY60" i="20"/>
  <c r="IG60" i="20"/>
  <c r="IO60" i="20"/>
  <c r="IW60" i="20"/>
  <c r="JE60" i="20"/>
  <c r="JM60" i="20"/>
  <c r="JU60" i="20"/>
  <c r="KC60" i="20"/>
  <c r="KK60" i="20"/>
  <c r="L61" i="20"/>
  <c r="Z61" i="20"/>
  <c r="AJ61" i="20"/>
  <c r="AR61" i="20"/>
  <c r="AZ61" i="20"/>
  <c r="BH61" i="20"/>
  <c r="BP61" i="20"/>
  <c r="CE61" i="20"/>
  <c r="CZ61" i="20"/>
  <c r="DU61" i="20"/>
  <c r="EO61" i="20"/>
  <c r="FB61" i="20"/>
  <c r="FT61" i="20"/>
  <c r="GJ61" i="20"/>
  <c r="GT61" i="20"/>
  <c r="GZ61" i="20"/>
  <c r="HH61" i="20"/>
  <c r="HP61" i="20"/>
  <c r="HX61" i="20"/>
  <c r="IF61" i="20"/>
  <c r="IN61" i="20"/>
  <c r="IV61" i="20"/>
  <c r="JD61" i="20"/>
  <c r="JL61" i="20"/>
  <c r="JT61" i="20"/>
  <c r="KB61" i="20"/>
  <c r="KJ61" i="20"/>
  <c r="K62" i="20"/>
  <c r="Y62" i="20"/>
  <c r="AI62" i="20"/>
  <c r="AQ62" i="20"/>
  <c r="AY62" i="20"/>
  <c r="BG62" i="20"/>
  <c r="BO62" i="20"/>
  <c r="CA62" i="20"/>
  <c r="CU62" i="20"/>
  <c r="DT62" i="20"/>
  <c r="EL62" i="20"/>
  <c r="FA62" i="20"/>
  <c r="FS62" i="20"/>
  <c r="GI62" i="20"/>
  <c r="GS62" i="20"/>
  <c r="GY62" i="20"/>
  <c r="HG62" i="20"/>
  <c r="HO62" i="20"/>
  <c r="HW62" i="20"/>
  <c r="IE62" i="20"/>
  <c r="IM62" i="20"/>
  <c r="IU62" i="20"/>
  <c r="JC62" i="20"/>
  <c r="JK62" i="20"/>
  <c r="JS62" i="20"/>
  <c r="KA62" i="20"/>
  <c r="KI62" i="20"/>
  <c r="I63" i="20"/>
  <c r="V63" i="20"/>
  <c r="AH63" i="20"/>
  <c r="AP63" i="20"/>
  <c r="AX63" i="20"/>
  <c r="BF63" i="20"/>
  <c r="BN63" i="20"/>
  <c r="BZ63" i="20"/>
  <c r="CP63" i="20"/>
  <c r="DS63" i="20"/>
  <c r="EI63" i="20"/>
  <c r="EZ63" i="20"/>
  <c r="FR63" i="20"/>
  <c r="GF63" i="20"/>
  <c r="GN63" i="20"/>
  <c r="GX63" i="20"/>
  <c r="CT74" i="20"/>
  <c r="AL49" i="20"/>
  <c r="DX74" i="20"/>
  <c r="BH49" i="20"/>
  <c r="FX74" i="20"/>
  <c r="CI49" i="20"/>
  <c r="K54" i="20"/>
  <c r="AF54" i="20"/>
  <c r="AY54" i="20"/>
  <c r="BQ54" i="20"/>
  <c r="CL54" i="20"/>
  <c r="DK54" i="20"/>
  <c r="EC54" i="20"/>
  <c r="EW54" i="20"/>
  <c r="FO54" i="20"/>
  <c r="GH54" i="20"/>
  <c r="GY54" i="20"/>
  <c r="HQ54" i="20"/>
  <c r="II54" i="20"/>
  <c r="JB54" i="20"/>
  <c r="JT54" i="20"/>
  <c r="KL54" i="20"/>
  <c r="AF55" i="20"/>
  <c r="AX55" i="20"/>
  <c r="BP55" i="20"/>
  <c r="DG55" i="20"/>
  <c r="EY55" i="20"/>
  <c r="GC55" i="20"/>
  <c r="GX55" i="20"/>
  <c r="HK55" i="20"/>
  <c r="IA55" i="20"/>
  <c r="IN55" i="20"/>
  <c r="JC55" i="20"/>
  <c r="JS55" i="20"/>
  <c r="KF55" i="20"/>
  <c r="Q56" i="20"/>
  <c r="AJ56" i="20"/>
  <c r="AY56" i="20"/>
  <c r="BO56" i="20"/>
  <c r="CL56" i="20"/>
  <c r="EG56" i="20"/>
  <c r="FF56" i="20"/>
  <c r="GJ56" i="20"/>
  <c r="GR56" i="20"/>
  <c r="GY56" i="20"/>
  <c r="HK56" i="20"/>
  <c r="HU56" i="20"/>
  <c r="IE56" i="20"/>
  <c r="IP56" i="20"/>
  <c r="IZ56" i="20"/>
  <c r="JJ56" i="20"/>
  <c r="JT56" i="20"/>
  <c r="KF56" i="20"/>
  <c r="B57" i="20"/>
  <c r="S57" i="20"/>
  <c r="AH57" i="20"/>
  <c r="AQ57" i="20"/>
  <c r="AZ57" i="20"/>
  <c r="BI57" i="20"/>
  <c r="BS57" i="20"/>
  <c r="CL57" i="20"/>
  <c r="DO57" i="20"/>
  <c r="EI57" i="20"/>
  <c r="FA57" i="20"/>
  <c r="FT57" i="20"/>
  <c r="GK57" i="20"/>
  <c r="GQ57" i="20"/>
  <c r="GV57" i="20"/>
  <c r="HD57" i="20"/>
  <c r="HM57" i="20"/>
  <c r="HV57" i="20"/>
  <c r="IE57" i="20"/>
  <c r="IN57" i="20"/>
  <c r="IW57" i="20"/>
  <c r="JG57" i="20"/>
  <c r="JP57" i="20"/>
  <c r="JY57" i="20"/>
  <c r="KH57" i="20"/>
  <c r="I58" i="20"/>
  <c r="Y58" i="20"/>
  <c r="AJ58" i="20"/>
  <c r="AT58" i="20"/>
  <c r="BC58" i="20"/>
  <c r="BL58" i="20"/>
  <c r="BY58" i="20"/>
  <c r="CP58" i="20"/>
  <c r="DT58" i="20"/>
  <c r="EO58" i="20"/>
  <c r="FF58" i="20"/>
  <c r="GA58" i="20"/>
  <c r="HD58" i="20"/>
  <c r="HL58" i="20"/>
  <c r="HT58" i="20"/>
  <c r="IB58" i="20"/>
  <c r="IJ58" i="20"/>
  <c r="IR58" i="20"/>
  <c r="IZ58" i="20"/>
  <c r="JH58" i="20"/>
  <c r="JP58" i="20"/>
  <c r="JX58" i="20"/>
  <c r="KF58" i="20"/>
  <c r="KN58" i="20"/>
  <c r="Q59" i="20"/>
  <c r="AE59" i="20"/>
  <c r="AM59" i="20"/>
  <c r="AU59" i="20"/>
  <c r="BC59" i="20"/>
  <c r="BK59" i="20"/>
  <c r="BS59" i="20"/>
  <c r="CK59" i="20"/>
  <c r="DH59" i="20"/>
  <c r="ED59" i="20"/>
  <c r="ES59" i="20"/>
  <c r="FM59" i="20"/>
  <c r="GA59" i="20"/>
  <c r="GM59" i="20"/>
  <c r="GQ59" i="20"/>
  <c r="GV59" i="20"/>
  <c r="HC59" i="20"/>
  <c r="HK59" i="20"/>
  <c r="HS59" i="20"/>
  <c r="IA59" i="20"/>
  <c r="II59" i="20"/>
  <c r="IQ59" i="20"/>
  <c r="IY59" i="20"/>
  <c r="JG59" i="20"/>
  <c r="JO59" i="20"/>
  <c r="JW59" i="20"/>
  <c r="KE59" i="20"/>
  <c r="KM59" i="20"/>
  <c r="P60" i="20"/>
  <c r="AD60" i="20"/>
  <c r="AL60" i="20"/>
  <c r="AT60" i="20"/>
  <c r="BB60" i="20"/>
  <c r="BJ60" i="20"/>
  <c r="BR60" i="20"/>
  <c r="CJ60" i="20"/>
  <c r="DG60" i="20"/>
  <c r="EC60" i="20"/>
  <c r="EQ60" i="20"/>
  <c r="FF60" i="20"/>
  <c r="FZ60" i="20"/>
  <c r="GL60" i="20"/>
  <c r="GP60" i="20"/>
  <c r="HB60" i="20"/>
  <c r="HJ60" i="20"/>
  <c r="HR60" i="20"/>
  <c r="HZ60" i="20"/>
  <c r="IH60" i="20"/>
  <c r="IP60" i="20"/>
  <c r="IX60" i="20"/>
  <c r="N74" i="20"/>
  <c r="N49" i="20"/>
  <c r="AH54" i="20"/>
  <c r="DL54" i="20"/>
  <c r="GI54" i="20"/>
  <c r="JE54" i="20"/>
  <c r="BA55" i="20"/>
  <c r="GS55" i="20"/>
  <c r="IC55" i="20"/>
  <c r="KK55" i="20"/>
  <c r="BR56" i="20"/>
  <c r="HC56" i="20"/>
  <c r="IR56" i="20"/>
  <c r="KH56" i="20"/>
  <c r="AS57" i="20"/>
  <c r="CP57" i="20"/>
  <c r="GA57" i="20"/>
  <c r="HX57" i="20"/>
  <c r="JI57" i="20"/>
  <c r="L58" i="20"/>
  <c r="BE58" i="20"/>
  <c r="EC58" i="20"/>
  <c r="GX58" i="20"/>
  <c r="HV58" i="20"/>
  <c r="IS58" i="20"/>
  <c r="JN58" i="20"/>
  <c r="KH58" i="20"/>
  <c r="AF59" i="20"/>
  <c r="BA59" i="20"/>
  <c r="BY59" i="20"/>
  <c r="EG59" i="20"/>
  <c r="FW59" i="20"/>
  <c r="GO59" i="20"/>
  <c r="GW59" i="20"/>
  <c r="HM59" i="20"/>
  <c r="IC59" i="20"/>
  <c r="IS59" i="20"/>
  <c r="JI59" i="20"/>
  <c r="JY59" i="20"/>
  <c r="B60" i="20"/>
  <c r="AF60" i="20"/>
  <c r="AV60" i="20"/>
  <c r="BL60" i="20"/>
  <c r="CL60" i="20"/>
  <c r="EG60" i="20"/>
  <c r="FN60" i="20"/>
  <c r="HG60" i="20"/>
  <c r="HT60" i="20"/>
  <c r="IF60" i="20"/>
  <c r="IT60" i="20"/>
  <c r="JF60" i="20"/>
  <c r="JP60" i="20"/>
  <c r="KA60" i="20"/>
  <c r="KL60" i="20"/>
  <c r="Q61" i="20"/>
  <c r="AG61" i="20"/>
  <c r="AP61" i="20"/>
  <c r="AY61" i="20"/>
  <c r="BI61" i="20"/>
  <c r="BR61" i="20"/>
  <c r="CK61" i="20"/>
  <c r="DK61" i="20"/>
  <c r="EH61" i="20"/>
  <c r="EZ61" i="20"/>
  <c r="FS61" i="20"/>
  <c r="GK61" i="20"/>
  <c r="GP61" i="20"/>
  <c r="GV61" i="20"/>
  <c r="HD61" i="20"/>
  <c r="HM61" i="20"/>
  <c r="HV61" i="20"/>
  <c r="IE61" i="20"/>
  <c r="IO61" i="20"/>
  <c r="IX61" i="20"/>
  <c r="JG61" i="20"/>
  <c r="JP61" i="20"/>
  <c r="JY61" i="20"/>
  <c r="KH61" i="20"/>
  <c r="I62" i="20"/>
  <c r="Z62" i="20"/>
  <c r="AK62" i="20"/>
  <c r="AT62" i="20"/>
  <c r="BC62" i="20"/>
  <c r="BL62" i="20"/>
  <c r="BY62" i="20"/>
  <c r="CP62" i="20"/>
  <c r="DU62" i="20"/>
  <c r="EP62" i="20"/>
  <c r="FF62" i="20"/>
  <c r="GA62" i="20"/>
  <c r="GR62" i="20"/>
  <c r="GX62" i="20"/>
  <c r="HH62" i="20"/>
  <c r="HQ62" i="20"/>
  <c r="HZ62" i="20"/>
  <c r="II62" i="20"/>
  <c r="IR62" i="20"/>
  <c r="JA62" i="20"/>
  <c r="JJ62" i="20"/>
  <c r="JT62" i="20"/>
  <c r="KC62" i="20"/>
  <c r="KL62" i="20"/>
  <c r="P63" i="20"/>
  <c r="AE63" i="20"/>
  <c r="AN63" i="20"/>
  <c r="AW63" i="20"/>
  <c r="BG63" i="20"/>
  <c r="BP63" i="20"/>
  <c r="CI63" i="20"/>
  <c r="DG63" i="20"/>
  <c r="ED63" i="20"/>
  <c r="EV63" i="20"/>
  <c r="FQ63" i="20"/>
  <c r="GI63" i="20"/>
  <c r="GT63" i="20"/>
  <c r="HA63" i="20"/>
  <c r="HI63" i="20"/>
  <c r="HQ63" i="20"/>
  <c r="HY63" i="20"/>
  <c r="IG63" i="20"/>
  <c r="IO63" i="20"/>
  <c r="IW63" i="20"/>
  <c r="JE63" i="20"/>
  <c r="JM63" i="20"/>
  <c r="JU63" i="20"/>
  <c r="KC63" i="20"/>
  <c r="KK63" i="20"/>
  <c r="L64" i="20"/>
  <c r="Z64" i="20"/>
  <c r="AJ64" i="20"/>
  <c r="AR64" i="20"/>
  <c r="AZ64" i="20"/>
  <c r="BH64" i="20"/>
  <c r="BP64" i="20"/>
  <c r="CE64" i="20"/>
  <c r="CZ64" i="20"/>
  <c r="DU64" i="20"/>
  <c r="EO64" i="20"/>
  <c r="FB64" i="20"/>
  <c r="FT64" i="20"/>
  <c r="GJ64" i="20"/>
  <c r="GT64" i="20"/>
  <c r="GZ64" i="20"/>
  <c r="HH64" i="20"/>
  <c r="HP64" i="20"/>
  <c r="HX64" i="20"/>
  <c r="IF64" i="20"/>
  <c r="IN64" i="20"/>
  <c r="IV64" i="20"/>
  <c r="JD64" i="20"/>
  <c r="JL64" i="20"/>
  <c r="JT64" i="20"/>
  <c r="KB64" i="20"/>
  <c r="KJ64" i="20"/>
  <c r="K65" i="20"/>
  <c r="GE74" i="20"/>
  <c r="CL49" i="20"/>
  <c r="AK54" i="20"/>
  <c r="DO54" i="20"/>
  <c r="GL54" i="20"/>
  <c r="JI54" i="20"/>
  <c r="BE55" i="20"/>
  <c r="GF55" i="20"/>
  <c r="IR55" i="20"/>
  <c r="R56" i="20"/>
  <c r="CP56" i="20"/>
  <c r="HL56" i="20"/>
  <c r="JA56" i="20"/>
  <c r="F57" i="20"/>
  <c r="BA57" i="20"/>
  <c r="DS57" i="20"/>
  <c r="GM57" i="20"/>
  <c r="IF57" i="20"/>
  <c r="JQ57" i="20"/>
  <c r="Z58" i="20"/>
  <c r="BM58" i="20"/>
  <c r="EQ58" i="20"/>
  <c r="GN58" i="20"/>
  <c r="HE58" i="20"/>
  <c r="HZ58" i="20"/>
  <c r="IT58" i="20"/>
  <c r="JQ58" i="20"/>
  <c r="KL58" i="20"/>
  <c r="AG59" i="20"/>
  <c r="BD59" i="20"/>
  <c r="CI59" i="20"/>
  <c r="EH59" i="20"/>
  <c r="GB59" i="20"/>
  <c r="GZ59" i="20"/>
  <c r="HP59" i="20"/>
  <c r="IF59" i="20"/>
  <c r="IV59" i="20"/>
  <c r="JL59" i="20"/>
  <c r="KB59" i="20"/>
  <c r="K60" i="20"/>
  <c r="AI60" i="20"/>
  <c r="AY60" i="20"/>
  <c r="BO60" i="20"/>
  <c r="CU60" i="20"/>
  <c r="EL60" i="20"/>
  <c r="FS60" i="20"/>
  <c r="GV60" i="20"/>
  <c r="HH60" i="20"/>
  <c r="HV60" i="20"/>
  <c r="II60" i="20"/>
  <c r="IU60" i="20"/>
  <c r="JG60" i="20"/>
  <c r="JR60" i="20"/>
  <c r="KB60" i="20"/>
  <c r="KM60" i="20"/>
  <c r="S61" i="20"/>
  <c r="AH61" i="20"/>
  <c r="AQ61" i="20"/>
  <c r="BA61" i="20"/>
  <c r="BJ61" i="20"/>
  <c r="BS61" i="20"/>
  <c r="CL61" i="20"/>
  <c r="DO61" i="20"/>
  <c r="EI61" i="20"/>
  <c r="FA61" i="20"/>
  <c r="FW61" i="20"/>
  <c r="GL61" i="20"/>
  <c r="GQ61" i="20"/>
  <c r="HE61" i="20"/>
  <c r="HN61" i="20"/>
  <c r="HW61" i="20"/>
  <c r="IG61" i="20"/>
  <c r="IP61" i="20"/>
  <c r="IY61" i="20"/>
  <c r="JH61" i="20"/>
  <c r="JQ61" i="20"/>
  <c r="JZ61" i="20"/>
  <c r="KI61" i="20"/>
  <c r="L62" i="20"/>
  <c r="AA62" i="20"/>
  <c r="AL62" i="20"/>
  <c r="AU62" i="20"/>
  <c r="BD62" i="20"/>
  <c r="BM62" i="20"/>
  <c r="BZ62" i="20"/>
  <c r="CZ62" i="20"/>
  <c r="DY62" i="20"/>
  <c r="EQ62" i="20"/>
  <c r="FM62" i="20"/>
  <c r="GB62" i="20"/>
  <c r="GZ62" i="20"/>
  <c r="HI62" i="20"/>
  <c r="HR62" i="20"/>
  <c r="IA62" i="20"/>
  <c r="IJ62" i="20"/>
  <c r="IS62" i="20"/>
  <c r="JB62" i="20"/>
  <c r="JL62" i="20"/>
  <c r="JU62" i="20"/>
  <c r="KD62" i="20"/>
  <c r="KM62" i="20"/>
  <c r="Q63" i="20"/>
  <c r="AF63" i="20"/>
  <c r="AO63" i="20"/>
  <c r="AY63" i="20"/>
  <c r="BH63" i="20"/>
  <c r="BQ63" i="20"/>
  <c r="CJ63" i="20"/>
  <c r="DH63" i="20"/>
  <c r="EG63" i="20"/>
  <c r="EY63" i="20"/>
  <c r="FS63" i="20"/>
  <c r="GJ63" i="20"/>
  <c r="GO63" i="20"/>
  <c r="GU63" i="20"/>
  <c r="HB63" i="20"/>
  <c r="HJ63" i="20"/>
  <c r="HR63" i="20"/>
  <c r="HZ63" i="20"/>
  <c r="IH63" i="20"/>
  <c r="IP63" i="20"/>
  <c r="IX63" i="20"/>
  <c r="JF63" i="20"/>
  <c r="JN63" i="20"/>
  <c r="JV63" i="20"/>
  <c r="KD63" i="20"/>
  <c r="KL63" i="20"/>
  <c r="O64" i="20"/>
  <c r="AA64" i="20"/>
  <c r="AK64" i="20"/>
  <c r="AS64" i="20"/>
  <c r="BA64" i="20"/>
  <c r="BI64" i="20"/>
  <c r="BQ64" i="20"/>
  <c r="CI64" i="20"/>
  <c r="DC64" i="20"/>
  <c r="DY64" i="20"/>
  <c r="EP64" i="20"/>
  <c r="FE64" i="20"/>
  <c r="FW64" i="20"/>
  <c r="GK64" i="20"/>
  <c r="GO64" i="20"/>
  <c r="GU64" i="20"/>
  <c r="HA64" i="20"/>
  <c r="HI64" i="20"/>
  <c r="HQ64" i="20"/>
  <c r="HY64" i="20"/>
  <c r="IG64" i="20"/>
  <c r="IO64" i="20"/>
  <c r="IW64" i="20"/>
  <c r="JE64" i="20"/>
  <c r="JM64" i="20"/>
  <c r="JU64" i="20"/>
  <c r="KC64" i="20"/>
  <c r="KK64" i="20"/>
  <c r="L65" i="20"/>
  <c r="Z65" i="20"/>
  <c r="AJ65" i="20"/>
  <c r="AR65" i="20"/>
  <c r="AZ65" i="20"/>
  <c r="BH65" i="20"/>
  <c r="BP65" i="20"/>
  <c r="CE65" i="20"/>
  <c r="CZ65" i="20"/>
  <c r="DU65" i="20"/>
  <c r="EO65" i="20"/>
  <c r="FB65" i="20"/>
  <c r="FT65" i="20"/>
  <c r="GJ65" i="20"/>
  <c r="GT65" i="20"/>
  <c r="BC54" i="20"/>
  <c r="EI54" i="20"/>
  <c r="HF54" i="20"/>
  <c r="KA54" i="20"/>
  <c r="CA55" i="20"/>
  <c r="GY55" i="20"/>
  <c r="JD55" i="20"/>
  <c r="AN56" i="20"/>
  <c r="EH56" i="20"/>
  <c r="HV56" i="20"/>
  <c r="JK56" i="20"/>
  <c r="V57" i="20"/>
  <c r="BK57" i="20"/>
  <c r="EL57" i="20"/>
  <c r="HE57" i="20"/>
  <c r="IO57" i="20"/>
  <c r="JZ57" i="20"/>
  <c r="AL58" i="20"/>
  <c r="BZ58" i="20"/>
  <c r="FM58" i="20"/>
  <c r="HJ58" i="20"/>
  <c r="ID58" i="20"/>
  <c r="JA58" i="20"/>
  <c r="JV58" i="20"/>
  <c r="F59" i="20"/>
  <c r="AN59" i="20"/>
  <c r="BI59" i="20"/>
  <c r="CO59" i="20"/>
  <c r="EV59" i="20"/>
  <c r="GK59" i="20"/>
  <c r="HD59" i="20"/>
  <c r="HT59" i="20"/>
  <c r="IJ59" i="20"/>
  <c r="IZ59" i="20"/>
  <c r="JP59" i="20"/>
  <c r="KF59" i="20"/>
  <c r="Q60" i="20"/>
  <c r="AM60" i="20"/>
  <c r="BC60" i="20"/>
  <c r="BS60" i="20"/>
  <c r="DH60" i="20"/>
  <c r="ES60" i="20"/>
  <c r="GA60" i="20"/>
  <c r="GQ60" i="20"/>
  <c r="GY60" i="20"/>
  <c r="HL60" i="20"/>
  <c r="HX60" i="20"/>
  <c r="IL60" i="20"/>
  <c r="IY60" i="20"/>
  <c r="JJ60" i="20"/>
  <c r="JT60" i="20"/>
  <c r="KE60" i="20"/>
  <c r="F61" i="20"/>
  <c r="Y61" i="20"/>
  <c r="AK61" i="20"/>
  <c r="AT61" i="20"/>
  <c r="BC61" i="20"/>
  <c r="BL61" i="20"/>
  <c r="BY61" i="20"/>
  <c r="CP61" i="20"/>
  <c r="DT61" i="20"/>
  <c r="EP61" i="20"/>
  <c r="FF61" i="20"/>
  <c r="GA61" i="20"/>
  <c r="GR61" i="20"/>
  <c r="GX61" i="20"/>
  <c r="HG61" i="20"/>
  <c r="HQ61" i="20"/>
  <c r="HZ61" i="20"/>
  <c r="II61" i="20"/>
  <c r="IR61" i="20"/>
  <c r="JA61" i="20"/>
  <c r="JJ61" i="20"/>
  <c r="JS61" i="20"/>
  <c r="KC61" i="20"/>
  <c r="KL61" i="20"/>
  <c r="P62" i="20"/>
  <c r="AE62" i="20"/>
  <c r="AN62" i="20"/>
  <c r="AW62" i="20"/>
  <c r="BF62" i="20"/>
  <c r="BP62" i="20"/>
  <c r="CI62" i="20"/>
  <c r="DG62" i="20"/>
  <c r="ED62" i="20"/>
  <c r="EV62" i="20"/>
  <c r="FQ62" i="20"/>
  <c r="GF62" i="20"/>
  <c r="GU62" i="20"/>
  <c r="HB62" i="20"/>
  <c r="HK62" i="20"/>
  <c r="HT62" i="20"/>
  <c r="IC62" i="20"/>
  <c r="IL62" i="20"/>
  <c r="IV62" i="20"/>
  <c r="JE62" i="20"/>
  <c r="JN62" i="20"/>
  <c r="JW62" i="20"/>
  <c r="KF62" i="20"/>
  <c r="B63" i="20"/>
  <c r="S63" i="20"/>
  <c r="AI63" i="20"/>
  <c r="AR63" i="20"/>
  <c r="BA63" i="20"/>
  <c r="BJ63" i="20"/>
  <c r="BS63" i="20"/>
  <c r="CL63" i="20"/>
  <c r="DO63" i="20"/>
  <c r="EL63" i="20"/>
  <c r="FB63" i="20"/>
  <c r="FW63" i="20"/>
  <c r="BR54" i="20"/>
  <c r="EX54" i="20"/>
  <c r="HU54" i="20"/>
  <c r="F55" i="20"/>
  <c r="DS55" i="20"/>
  <c r="GZ55" i="20"/>
  <c r="JG55" i="20"/>
  <c r="AO56" i="20"/>
  <c r="EI56" i="20"/>
  <c r="GT56" i="20"/>
  <c r="HW56" i="20"/>
  <c r="JN56" i="20"/>
  <c r="Y57" i="20"/>
  <c r="BL57" i="20"/>
  <c r="EO57" i="20"/>
  <c r="HF57" i="20"/>
  <c r="IQ57" i="20"/>
  <c r="KA57" i="20"/>
  <c r="AM58" i="20"/>
  <c r="CA58" i="20"/>
  <c r="FN58" i="20"/>
  <c r="GR58" i="20"/>
  <c r="HM58" i="20"/>
  <c r="IH58" i="20"/>
  <c r="JB58" i="20"/>
  <c r="JY58" i="20"/>
  <c r="O59" i="20"/>
  <c r="AO59" i="20"/>
  <c r="BL59" i="20"/>
  <c r="DC59" i="20"/>
  <c r="EY59" i="20"/>
  <c r="GT59" i="20"/>
  <c r="HE59" i="20"/>
  <c r="HU59" i="20"/>
  <c r="IK59" i="20"/>
  <c r="JA59" i="20"/>
  <c r="JQ59" i="20"/>
  <c r="KG59" i="20"/>
  <c r="R60" i="20"/>
  <c r="AN60" i="20"/>
  <c r="BD60" i="20"/>
  <c r="BU60" i="20"/>
  <c r="DK60" i="20"/>
  <c r="EV60" i="20"/>
  <c r="GB60" i="20"/>
  <c r="GZ60" i="20"/>
  <c r="HN60" i="20"/>
  <c r="IA60" i="20"/>
  <c r="IM60" i="20"/>
  <c r="IZ60" i="20"/>
  <c r="JK60" i="20"/>
  <c r="JV60" i="20"/>
  <c r="KF60" i="20"/>
  <c r="I61" i="20"/>
  <c r="AA61" i="20"/>
  <c r="AL61" i="20"/>
  <c r="AU61" i="20"/>
  <c r="BD61" i="20"/>
  <c r="BM61" i="20"/>
  <c r="BZ61" i="20"/>
  <c r="CU61" i="20"/>
  <c r="DY61" i="20"/>
  <c r="EQ61" i="20"/>
  <c r="FM61" i="20"/>
  <c r="GB61" i="20"/>
  <c r="GY61" i="20"/>
  <c r="HI61" i="20"/>
  <c r="HR61" i="20"/>
  <c r="IA61" i="20"/>
  <c r="IJ61" i="20"/>
  <c r="IS61" i="20"/>
  <c r="JB61" i="20"/>
  <c r="JK61" i="20"/>
  <c r="JU61" i="20"/>
  <c r="KD61" i="20"/>
  <c r="KM61" i="20"/>
  <c r="Q62" i="20"/>
  <c r="AF62" i="20"/>
  <c r="AO62" i="20"/>
  <c r="AX62" i="20"/>
  <c r="BH62" i="20"/>
  <c r="BQ62" i="20"/>
  <c r="CJ62" i="20"/>
  <c r="DH62" i="20"/>
  <c r="EG62" i="20"/>
  <c r="EY62" i="20"/>
  <c r="FR62" i="20"/>
  <c r="GJ62" i="20"/>
  <c r="GO62" i="20"/>
  <c r="HC62" i="20"/>
  <c r="HL62" i="20"/>
  <c r="HU62" i="20"/>
  <c r="ID62" i="20"/>
  <c r="IN62" i="20"/>
  <c r="IW62" i="20"/>
  <c r="JF62" i="20"/>
  <c r="JO62" i="20"/>
  <c r="JX62" i="20"/>
  <c r="KG62" i="20"/>
  <c r="F63" i="20"/>
  <c r="Y63" i="20"/>
  <c r="AJ63" i="20"/>
  <c r="AS63" i="20"/>
  <c r="BB63" i="20"/>
  <c r="BK63" i="20"/>
  <c r="BU63" i="20"/>
  <c r="CO63" i="20"/>
  <c r="DT63" i="20"/>
  <c r="EO63" i="20"/>
  <c r="FE63" i="20"/>
  <c r="FZ63" i="20"/>
  <c r="GM63" i="20"/>
  <c r="HE63" i="20"/>
  <c r="DZ74" i="20"/>
  <c r="BI49" i="20"/>
  <c r="BY54" i="20"/>
  <c r="FB54" i="20"/>
  <c r="HX54" i="20"/>
  <c r="L55" i="20"/>
  <c r="DY55" i="20"/>
  <c r="HM55" i="20"/>
  <c r="JT55" i="20"/>
  <c r="AZ56" i="20"/>
  <c r="FQ56" i="20"/>
  <c r="IF56" i="20"/>
  <c r="JW56" i="20"/>
  <c r="AI57" i="20"/>
  <c r="BU57" i="20"/>
  <c r="FB57" i="20"/>
  <c r="HN57" i="20"/>
  <c r="IY57" i="20"/>
  <c r="KI57" i="20"/>
  <c r="AU58" i="20"/>
  <c r="CU58" i="20"/>
  <c r="GB58" i="20"/>
  <c r="HN58" i="20"/>
  <c r="IK58" i="20"/>
  <c r="JF58" i="20"/>
  <c r="JZ58" i="20"/>
  <c r="R59" i="20"/>
  <c r="AS59" i="20"/>
  <c r="BM59" i="20"/>
  <c r="DK59" i="20"/>
  <c r="FE59" i="20"/>
  <c r="GU59" i="20"/>
  <c r="HH59" i="20"/>
  <c r="HX59" i="20"/>
  <c r="IN59" i="20"/>
  <c r="JD59" i="20"/>
  <c r="JT59" i="20"/>
  <c r="KJ59" i="20"/>
  <c r="Y60" i="20"/>
  <c r="AQ60" i="20"/>
  <c r="BG60" i="20"/>
  <c r="CA60" i="20"/>
  <c r="DT60" i="20"/>
  <c r="FA60" i="20"/>
  <c r="GI60" i="20"/>
  <c r="HC60" i="20"/>
  <c r="HO60" i="20"/>
  <c r="IB60" i="20"/>
  <c r="IN60" i="20"/>
  <c r="JB60" i="20"/>
  <c r="JL60" i="20"/>
  <c r="JW60" i="20"/>
  <c r="KH60" i="20"/>
  <c r="K61" i="20"/>
  <c r="AD61" i="20"/>
  <c r="AM61" i="20"/>
  <c r="AV61" i="20"/>
  <c r="BE61" i="20"/>
  <c r="BN61" i="20"/>
  <c r="CA61" i="20"/>
  <c r="DC61" i="20"/>
  <c r="EC61" i="20"/>
  <c r="ES61" i="20"/>
  <c r="FN61" i="20"/>
  <c r="GC61" i="20"/>
  <c r="GN61" i="20"/>
  <c r="GS61" i="20"/>
  <c r="HA61" i="20"/>
  <c r="HJ61" i="20"/>
  <c r="HS61" i="20"/>
  <c r="IB61" i="20"/>
  <c r="IK61" i="20"/>
  <c r="IT61" i="20"/>
  <c r="JC61" i="20"/>
  <c r="JM61" i="20"/>
  <c r="JV61" i="20"/>
  <c r="KE61" i="20"/>
  <c r="KN61" i="20"/>
  <c r="R62" i="20"/>
  <c r="AG62" i="20"/>
  <c r="AP62" i="20"/>
  <c r="AZ62" i="20"/>
  <c r="BI62" i="20"/>
  <c r="BR62" i="20"/>
  <c r="CK62" i="20"/>
  <c r="DK62" i="20"/>
  <c r="EH62" i="20"/>
  <c r="EZ62" i="20"/>
  <c r="FT62" i="20"/>
  <c r="GK62" i="20"/>
  <c r="GP62" i="20"/>
  <c r="GV62" i="20"/>
  <c r="HD62" i="20"/>
  <c r="HM62" i="20"/>
  <c r="HV62" i="20"/>
  <c r="IF62" i="20"/>
  <c r="IO62" i="20"/>
  <c r="IX62" i="20"/>
  <c r="JG62" i="20"/>
  <c r="JP62" i="20"/>
  <c r="JY62" i="20"/>
  <c r="KH62" i="20"/>
  <c r="K63" i="20"/>
  <c r="Z63" i="20"/>
  <c r="AK63" i="20"/>
  <c r="AT63" i="20"/>
  <c r="BC63" i="20"/>
  <c r="BL63" i="20"/>
  <c r="BY63" i="20"/>
  <c r="CU63" i="20"/>
  <c r="DU63" i="20"/>
  <c r="EP63" i="20"/>
  <c r="FF63" i="20"/>
  <c r="GA63" i="20"/>
  <c r="GR63" i="20"/>
  <c r="GW63" i="20"/>
  <c r="HF63" i="20"/>
  <c r="HN63" i="20"/>
  <c r="HV63" i="20"/>
  <c r="ID63" i="20"/>
  <c r="IL63" i="20"/>
  <c r="IT63" i="20"/>
  <c r="JB63" i="20"/>
  <c r="JJ63" i="20"/>
  <c r="JR63" i="20"/>
  <c r="JZ63" i="20"/>
  <c r="KH63" i="20"/>
  <c r="F64" i="20"/>
  <c r="S64" i="20"/>
  <c r="AG64" i="20"/>
  <c r="AO64" i="20"/>
  <c r="AW64" i="20"/>
  <c r="BE64" i="20"/>
  <c r="BM64" i="20"/>
  <c r="BY64" i="20"/>
  <c r="CO64" i="20"/>
  <c r="DO64" i="20"/>
  <c r="EH64" i="20"/>
  <c r="EY64" i="20"/>
  <c r="FG74" i="20"/>
  <c r="BY49" i="20"/>
  <c r="CO54" i="20"/>
  <c r="FQ54" i="20"/>
  <c r="GR54" i="20"/>
  <c r="IM54" i="20"/>
  <c r="AI55" i="20"/>
  <c r="FB55" i="20"/>
  <c r="HP55" i="20"/>
  <c r="JU55" i="20"/>
  <c r="BC56" i="20"/>
  <c r="FR56" i="20"/>
  <c r="IH56" i="20"/>
  <c r="JX56" i="20"/>
  <c r="AJ57" i="20"/>
  <c r="BY57" i="20"/>
  <c r="FE57" i="20"/>
  <c r="GR57" i="20"/>
  <c r="HO57" i="20"/>
  <c r="IZ57" i="20"/>
  <c r="KJ57" i="20"/>
  <c r="AV58" i="20"/>
  <c r="CZ58" i="20"/>
  <c r="GC58" i="20"/>
  <c r="HR58" i="20"/>
  <c r="IL58" i="20"/>
  <c r="JI58" i="20"/>
  <c r="KD58" i="20"/>
  <c r="S59" i="20"/>
  <c r="AV59" i="20"/>
  <c r="BQ59" i="20"/>
  <c r="DO59" i="20"/>
  <c r="FN59" i="20"/>
  <c r="HI59" i="20"/>
  <c r="HY59" i="20"/>
  <c r="IO59" i="20"/>
  <c r="JE59" i="20"/>
  <c r="JU59" i="20"/>
  <c r="KK59" i="20"/>
  <c r="Z60" i="20"/>
  <c r="AR60" i="20"/>
  <c r="BH60" i="20"/>
  <c r="CE60" i="20"/>
  <c r="DU60" i="20"/>
  <c r="FB60" i="20"/>
  <c r="GJ60" i="20"/>
  <c r="GS60" i="20"/>
  <c r="HD60" i="20"/>
  <c r="HP60" i="20"/>
  <c r="ID60" i="20"/>
  <c r="IQ60" i="20"/>
  <c r="JC60" i="20"/>
  <c r="JN60" i="20"/>
  <c r="JX60" i="20"/>
  <c r="KI60" i="20"/>
  <c r="O61" i="20"/>
  <c r="AE61" i="20"/>
  <c r="AN61" i="20"/>
  <c r="AW61" i="20"/>
  <c r="BF61" i="20"/>
  <c r="BO61" i="20"/>
  <c r="CI61" i="20"/>
  <c r="DG61" i="20"/>
  <c r="ED61" i="20"/>
  <c r="EV61" i="20"/>
  <c r="FQ61" i="20"/>
  <c r="GF61" i="20"/>
  <c r="GU61" i="20"/>
  <c r="HB61" i="20"/>
  <c r="HK61" i="20"/>
  <c r="HT61" i="20"/>
  <c r="IC61" i="20"/>
  <c r="IL61" i="20"/>
  <c r="IU61" i="20"/>
  <c r="JE61" i="20"/>
  <c r="JN61" i="20"/>
  <c r="JW61" i="20"/>
  <c r="KF61" i="20"/>
  <c r="B62" i="20"/>
  <c r="S62" i="20"/>
  <c r="AH62" i="20"/>
  <c r="AR62" i="20"/>
  <c r="BA62" i="20"/>
  <c r="BJ62" i="20"/>
  <c r="BS62" i="20"/>
  <c r="CL62" i="20"/>
  <c r="DO62" i="20"/>
  <c r="EI62" i="20"/>
  <c r="FB62" i="20"/>
  <c r="FW62" i="20"/>
  <c r="GL62" i="20"/>
  <c r="GQ62" i="20"/>
  <c r="HE62" i="20"/>
  <c r="HN62" i="20"/>
  <c r="HX62" i="20"/>
  <c r="IG62" i="20"/>
  <c r="IP62" i="20"/>
  <c r="IY62" i="20"/>
  <c r="JH62" i="20"/>
  <c r="JQ62" i="20"/>
  <c r="JZ62" i="20"/>
  <c r="KJ62" i="20"/>
  <c r="L63" i="20"/>
  <c r="AA63" i="20"/>
  <c r="AL63" i="20"/>
  <c r="AU63" i="20"/>
  <c r="BD63" i="20"/>
  <c r="BM63" i="20"/>
  <c r="CA63" i="20"/>
  <c r="CZ63" i="20"/>
  <c r="DY63" i="20"/>
  <c r="EQ63" i="20"/>
  <c r="FM63" i="20"/>
  <c r="GB63" i="20"/>
  <c r="GY63" i="20"/>
  <c r="HG63" i="20"/>
  <c r="HO63" i="20"/>
  <c r="HW63" i="20"/>
  <c r="IE63" i="20"/>
  <c r="IM63" i="20"/>
  <c r="IU63" i="20"/>
  <c r="JC63" i="20"/>
  <c r="JK63" i="20"/>
  <c r="JS63" i="20"/>
  <c r="KA63" i="20"/>
  <c r="KI63" i="20"/>
  <c r="I64" i="20"/>
  <c r="V64" i="20"/>
  <c r="AH64" i="20"/>
  <c r="AP64" i="20"/>
  <c r="AX64" i="20"/>
  <c r="BF64" i="20"/>
  <c r="BN64" i="20"/>
  <c r="BZ64" i="20"/>
  <c r="CP64" i="20"/>
  <c r="DS64" i="20"/>
  <c r="EI64" i="20"/>
  <c r="EZ64" i="20"/>
  <c r="FR64" i="20"/>
  <c r="GF64" i="20"/>
  <c r="GN64" i="20"/>
  <c r="GX64" i="20"/>
  <c r="HF64" i="20"/>
  <c r="HN64" i="20"/>
  <c r="HV64" i="20"/>
  <c r="ID64" i="20"/>
  <c r="IL64" i="20"/>
  <c r="IT64" i="20"/>
  <c r="JB64" i="20"/>
  <c r="JJ64" i="20"/>
  <c r="JR64" i="20"/>
  <c r="JZ64" i="20"/>
  <c r="KH64" i="20"/>
  <c r="F65" i="20"/>
  <c r="S65" i="20"/>
  <c r="AG65" i="20"/>
  <c r="AO65" i="20"/>
  <c r="AW65" i="20"/>
  <c r="BE65" i="20"/>
  <c r="BM65" i="20"/>
  <c r="BY65" i="20"/>
  <c r="CO65" i="20"/>
  <c r="DO65" i="20"/>
  <c r="EH65" i="20"/>
  <c r="EY65" i="20"/>
  <c r="AZ54" i="20"/>
  <c r="FN55" i="20"/>
  <c r="GL56" i="20"/>
  <c r="HM56" i="20"/>
  <c r="DT57" i="20"/>
  <c r="GW57" i="20"/>
  <c r="BN58" i="20"/>
  <c r="JR58" i="20"/>
  <c r="CL59" i="20"/>
  <c r="HQ59" i="20"/>
  <c r="KC59" i="20"/>
  <c r="BP60" i="20"/>
  <c r="HK60" i="20"/>
  <c r="JH60" i="20"/>
  <c r="V61" i="20"/>
  <c r="BK61" i="20"/>
  <c r="EL61" i="20"/>
  <c r="GO61" i="20"/>
  <c r="HO61" i="20"/>
  <c r="IZ61" i="20"/>
  <c r="KK61" i="20"/>
  <c r="AV62" i="20"/>
  <c r="DC62" i="20"/>
  <c r="GC62" i="20"/>
  <c r="GW62" i="20"/>
  <c r="IH62" i="20"/>
  <c r="JR62" i="20"/>
  <c r="AD63" i="20"/>
  <c r="BO63" i="20"/>
  <c r="ES63" i="20"/>
  <c r="GZ63" i="20"/>
  <c r="HS63" i="20"/>
  <c r="II63" i="20"/>
  <c r="IY63" i="20"/>
  <c r="JO63" i="20"/>
  <c r="KE63" i="20"/>
  <c r="P64" i="20"/>
  <c r="AL64" i="20"/>
  <c r="BB64" i="20"/>
  <c r="BR64" i="20"/>
  <c r="DG64" i="20"/>
  <c r="EQ64" i="20"/>
  <c r="FS64" i="20"/>
  <c r="GS64" i="20"/>
  <c r="HD64" i="20"/>
  <c r="HR64" i="20"/>
  <c r="IC64" i="20"/>
  <c r="IQ64" i="20"/>
  <c r="JC64" i="20"/>
  <c r="JP64" i="20"/>
  <c r="KD64" i="20"/>
  <c r="B65" i="20"/>
  <c r="AA65" i="20"/>
  <c r="AM65" i="20"/>
  <c r="AX65" i="20"/>
  <c r="BI65" i="20"/>
  <c r="BS65" i="20"/>
  <c r="CP65" i="20"/>
  <c r="DY65" i="20"/>
  <c r="ES65" i="20"/>
  <c r="FQ65" i="20"/>
  <c r="GF65" i="20"/>
  <c r="GU65" i="20"/>
  <c r="HA65" i="20"/>
  <c r="HI65" i="20"/>
  <c r="HQ65" i="20"/>
  <c r="HY65" i="20"/>
  <c r="IG65" i="20"/>
  <c r="IO65" i="20"/>
  <c r="IW65" i="20"/>
  <c r="JE65" i="20"/>
  <c r="JM65" i="20"/>
  <c r="JU65" i="20"/>
  <c r="KC65" i="20"/>
  <c r="KK65" i="20"/>
  <c r="L66" i="20"/>
  <c r="Z66" i="20"/>
  <c r="AJ66" i="20"/>
  <c r="AR66" i="20"/>
  <c r="AZ66" i="20"/>
  <c r="BH66" i="20"/>
  <c r="BP66" i="20"/>
  <c r="CE66" i="20"/>
  <c r="CZ66" i="20"/>
  <c r="DU66" i="20"/>
  <c r="EO66" i="20"/>
  <c r="FB66" i="20"/>
  <c r="FT66" i="20"/>
  <c r="GJ66" i="20"/>
  <c r="CS54" i="20"/>
  <c r="IQ56" i="20"/>
  <c r="FW57" i="20"/>
  <c r="HW57" i="20"/>
  <c r="DU58" i="20"/>
  <c r="GW58" i="20"/>
  <c r="KG58" i="20"/>
  <c r="DY59" i="20"/>
  <c r="IB59" i="20"/>
  <c r="KN59" i="20"/>
  <c r="CK60" i="20"/>
  <c r="HS60" i="20"/>
  <c r="FT54" i="20"/>
  <c r="HB54" i="20"/>
  <c r="IS55" i="20"/>
  <c r="KG56" i="20"/>
  <c r="JH57" i="20"/>
  <c r="HU58" i="20"/>
  <c r="AA59" i="20"/>
  <c r="FQ59" i="20"/>
  <c r="IR59" i="20"/>
  <c r="AE60" i="20"/>
  <c r="ED60" i="20"/>
  <c r="IE60" i="20"/>
  <c r="JZ60" i="20"/>
  <c r="AO61" i="20"/>
  <c r="CJ61" i="20"/>
  <c r="FR61" i="20"/>
  <c r="ID61" i="20"/>
  <c r="JO61" i="20"/>
  <c r="V62" i="20"/>
  <c r="BK62" i="20"/>
  <c r="EO62" i="20"/>
  <c r="HJ62" i="20"/>
  <c r="IT62" i="20"/>
  <c r="KE62" i="20"/>
  <c r="AQ63" i="20"/>
  <c r="CK63" i="20"/>
  <c r="FT63" i="20"/>
  <c r="HH63" i="20"/>
  <c r="HX63" i="20"/>
  <c r="IN63" i="20"/>
  <c r="JD63" i="20"/>
  <c r="JT63" i="20"/>
  <c r="KJ63" i="20"/>
  <c r="Y64" i="20"/>
  <c r="AQ64" i="20"/>
  <c r="BG64" i="20"/>
  <c r="CA64" i="20"/>
  <c r="DT64" i="20"/>
  <c r="FA64" i="20"/>
  <c r="GB64" i="20"/>
  <c r="GP64" i="20"/>
  <c r="HJ64" i="20"/>
  <c r="HU64" i="20"/>
  <c r="II64" i="20"/>
  <c r="IU64" i="20"/>
  <c r="JH64" i="20"/>
  <c r="JV64" i="20"/>
  <c r="KG64" i="20"/>
  <c r="P65" i="20"/>
  <c r="AF65" i="20"/>
  <c r="AQ65" i="20"/>
  <c r="BB65" i="20"/>
  <c r="BL65" i="20"/>
  <c r="CA65" i="20"/>
  <c r="DG65" i="20"/>
  <c r="EG65" i="20"/>
  <c r="FA65" i="20"/>
  <c r="FW65" i="20"/>
  <c r="GL65" i="20"/>
  <c r="GQ65" i="20"/>
  <c r="HD65" i="20"/>
  <c r="HL65" i="20"/>
  <c r="HT65" i="20"/>
  <c r="IB65" i="20"/>
  <c r="IJ65" i="20"/>
  <c r="IR65" i="20"/>
  <c r="IZ65" i="20"/>
  <c r="JH65" i="20"/>
  <c r="JP65" i="20"/>
  <c r="JX65" i="20"/>
  <c r="KF65" i="20"/>
  <c r="KN65" i="20"/>
  <c r="Q66" i="20"/>
  <c r="AE66" i="20"/>
  <c r="AM66" i="20"/>
  <c r="AU66" i="20"/>
  <c r="BC66" i="20"/>
  <c r="BK66" i="20"/>
  <c r="BS66" i="20"/>
  <c r="CK66" i="20"/>
  <c r="DH66" i="20"/>
  <c r="ED66" i="20"/>
  <c r="ES66" i="20"/>
  <c r="FM66" i="20"/>
  <c r="GA66" i="20"/>
  <c r="GM66" i="20"/>
  <c r="GQ66" i="20"/>
  <c r="GV66" i="20"/>
  <c r="HC66" i="20"/>
  <c r="HK66" i="20"/>
  <c r="HS66" i="20"/>
  <c r="IA66" i="20"/>
  <c r="II66" i="20"/>
  <c r="IQ66" i="20"/>
  <c r="IY66" i="20"/>
  <c r="JG66" i="20"/>
  <c r="JO66" i="20"/>
  <c r="JW66" i="20"/>
  <c r="KE66" i="20"/>
  <c r="KM66" i="20"/>
  <c r="P67" i="20"/>
  <c r="AD67" i="20"/>
  <c r="AL67" i="20"/>
  <c r="AT67" i="20"/>
  <c r="BB67" i="20"/>
  <c r="BJ67" i="20"/>
  <c r="BR67" i="20"/>
  <c r="CJ67" i="20"/>
  <c r="DG67" i="20"/>
  <c r="EC67" i="20"/>
  <c r="EQ67" i="20"/>
  <c r="FF67" i="20"/>
  <c r="FZ67" i="20"/>
  <c r="GL67" i="20"/>
  <c r="GP67" i="20"/>
  <c r="HB67" i="20"/>
  <c r="HJ67" i="20"/>
  <c r="HR67" i="20"/>
  <c r="HZ67" i="20"/>
  <c r="IH67" i="20"/>
  <c r="IP67" i="20"/>
  <c r="IX67" i="20"/>
  <c r="JF67" i="20"/>
  <c r="JN67" i="20"/>
  <c r="JV67" i="20"/>
  <c r="KD67" i="20"/>
  <c r="KL67" i="20"/>
  <c r="O68" i="20"/>
  <c r="AA68" i="20"/>
  <c r="AK68" i="20"/>
  <c r="AS68" i="20"/>
  <c r="BA68" i="20"/>
  <c r="BI68" i="20"/>
  <c r="BQ68" i="20"/>
  <c r="CI68" i="20"/>
  <c r="DC68" i="20"/>
  <c r="DY68" i="20"/>
  <c r="EP68" i="20"/>
  <c r="FE68" i="20"/>
  <c r="FW68" i="20"/>
  <c r="GK68" i="20"/>
  <c r="GO68" i="20"/>
  <c r="GU68" i="20"/>
  <c r="HA68" i="20"/>
  <c r="HI68" i="20"/>
  <c r="HQ68" i="20"/>
  <c r="HY68" i="20"/>
  <c r="IG68" i="20"/>
  <c r="IO68" i="20"/>
  <c r="IW68" i="20"/>
  <c r="JE68" i="20"/>
  <c r="JM68" i="20"/>
  <c r="JU68" i="20"/>
  <c r="KC68" i="20"/>
  <c r="KK68" i="20"/>
  <c r="L69" i="20"/>
  <c r="Z69" i="20"/>
  <c r="AJ69" i="20"/>
  <c r="AR69" i="20"/>
  <c r="AZ69" i="20"/>
  <c r="BH69" i="20"/>
  <c r="BP69" i="20"/>
  <c r="CE69" i="20"/>
  <c r="CZ69" i="20"/>
  <c r="IP54" i="20"/>
  <c r="KH55" i="20"/>
  <c r="I57" i="20"/>
  <c r="JR57" i="20"/>
  <c r="IC58" i="20"/>
  <c r="AK59" i="20"/>
  <c r="GC59" i="20"/>
  <c r="IW59" i="20"/>
  <c r="AJ60" i="20"/>
  <c r="EO60" i="20"/>
  <c r="GT60" i="20"/>
  <c r="IJ60" i="20"/>
  <c r="KD60" i="20"/>
  <c r="AS61" i="20"/>
  <c r="CO61" i="20"/>
  <c r="FZ61" i="20"/>
  <c r="GW61" i="20"/>
  <c r="IH61" i="20"/>
  <c r="JR61" i="20"/>
  <c r="AD62" i="20"/>
  <c r="BN62" i="20"/>
  <c r="ES62" i="20"/>
  <c r="GN62" i="20"/>
  <c r="HP62" i="20"/>
  <c r="IZ62" i="20"/>
  <c r="KK62" i="20"/>
  <c r="AV63" i="20"/>
  <c r="DC63" i="20"/>
  <c r="GC63" i="20"/>
  <c r="HK63" i="20"/>
  <c r="IA63" i="20"/>
  <c r="IQ63" i="20"/>
  <c r="JG63" i="20"/>
  <c r="JW63" i="20"/>
  <c r="KM63" i="20"/>
  <c r="AD64" i="20"/>
  <c r="AT64" i="20"/>
  <c r="BJ64" i="20"/>
  <c r="CJ64" i="20"/>
  <c r="EC64" i="20"/>
  <c r="FF64" i="20"/>
  <c r="GC64" i="20"/>
  <c r="GQ64" i="20"/>
  <c r="GW64" i="20"/>
  <c r="HK64" i="20"/>
  <c r="HW64" i="20"/>
  <c r="IJ64" i="20"/>
  <c r="IX64" i="20"/>
  <c r="JI64" i="20"/>
  <c r="JW64" i="20"/>
  <c r="KI64" i="20"/>
  <c r="Q65" i="20"/>
  <c r="AH65" i="20"/>
  <c r="AS65" i="20"/>
  <c r="BC65" i="20"/>
  <c r="BN65" i="20"/>
  <c r="CI65" i="20"/>
  <c r="DH65" i="20"/>
  <c r="EI65" i="20"/>
  <c r="FE65" i="20"/>
  <c r="FZ65" i="20"/>
  <c r="GM65" i="20"/>
  <c r="GW65" i="20"/>
  <c r="HE65" i="20"/>
  <c r="HM65" i="20"/>
  <c r="HU65" i="20"/>
  <c r="IC65" i="20"/>
  <c r="IK65" i="20"/>
  <c r="IS65" i="20"/>
  <c r="JA65" i="20"/>
  <c r="JI65" i="20"/>
  <c r="JQ65" i="20"/>
  <c r="JY65" i="20"/>
  <c r="KG65" i="20"/>
  <c r="B66" i="20"/>
  <c r="R66" i="20"/>
  <c r="AF66" i="20"/>
  <c r="AN66" i="20"/>
  <c r="AV66" i="20"/>
  <c r="BD66" i="20"/>
  <c r="BL66" i="20"/>
  <c r="BU66" i="20"/>
  <c r="CL66" i="20"/>
  <c r="DK66" i="20"/>
  <c r="EG66" i="20"/>
  <c r="EV66" i="20"/>
  <c r="FN66" i="20"/>
  <c r="GB66" i="20"/>
  <c r="HD66" i="20"/>
  <c r="HL66" i="20"/>
  <c r="HT66" i="20"/>
  <c r="IB66" i="20"/>
  <c r="IJ66" i="20"/>
  <c r="IR66" i="20"/>
  <c r="IZ66" i="20"/>
  <c r="JH66" i="20"/>
  <c r="JP66" i="20"/>
  <c r="JX66" i="20"/>
  <c r="KF66" i="20"/>
  <c r="KN66" i="20"/>
  <c r="Q67" i="20"/>
  <c r="AE67" i="20"/>
  <c r="AM67" i="20"/>
  <c r="AU67" i="20"/>
  <c r="BC67" i="20"/>
  <c r="BK67" i="20"/>
  <c r="BS67" i="20"/>
  <c r="CK67" i="20"/>
  <c r="DH67" i="20"/>
  <c r="ED67" i="20"/>
  <c r="ES67" i="20"/>
  <c r="FM67" i="20"/>
  <c r="GA67" i="20"/>
  <c r="GM67" i="20"/>
  <c r="GQ67" i="20"/>
  <c r="GV67" i="20"/>
  <c r="HC67" i="20"/>
  <c r="HK67" i="20"/>
  <c r="HS67" i="20"/>
  <c r="IA67" i="20"/>
  <c r="II67" i="20"/>
  <c r="IQ67" i="20"/>
  <c r="IY67" i="20"/>
  <c r="JG67" i="20"/>
  <c r="JO67" i="20"/>
  <c r="JW67" i="20"/>
  <c r="KE67" i="20"/>
  <c r="KM67" i="20"/>
  <c r="P68" i="20"/>
  <c r="AD68" i="20"/>
  <c r="AL68" i="20"/>
  <c r="AT68" i="20"/>
  <c r="BB68" i="20"/>
  <c r="BJ68" i="20"/>
  <c r="BR68" i="20"/>
  <c r="CJ68" i="20"/>
  <c r="DG68" i="20"/>
  <c r="EC68" i="20"/>
  <c r="EQ68" i="20"/>
  <c r="FF68" i="20"/>
  <c r="FZ68" i="20"/>
  <c r="GL68" i="20"/>
  <c r="JW54" i="20"/>
  <c r="S56" i="20"/>
  <c r="AR57" i="20"/>
  <c r="K58" i="20"/>
  <c r="IP58" i="20"/>
  <c r="AW59" i="20"/>
  <c r="JH59" i="20"/>
  <c r="AU60" i="20"/>
  <c r="FM60" i="20"/>
  <c r="IR60" i="20"/>
  <c r="KJ60" i="20"/>
  <c r="AX61" i="20"/>
  <c r="DH61" i="20"/>
  <c r="GI61" i="20"/>
  <c r="HC61" i="20"/>
  <c r="IM61" i="20"/>
  <c r="JX61" i="20"/>
  <c r="AJ62" i="20"/>
  <c r="BU62" i="20"/>
  <c r="FE62" i="20"/>
  <c r="HS62" i="20"/>
  <c r="AL55" i="20"/>
  <c r="BP56" i="20"/>
  <c r="BC57" i="20"/>
  <c r="AD58" i="20"/>
  <c r="IX58" i="20"/>
  <c r="BE59" i="20"/>
  <c r="HA59" i="20"/>
  <c r="JM59" i="20"/>
  <c r="AZ60" i="20"/>
  <c r="FT60" i="20"/>
  <c r="IV60" i="20"/>
  <c r="KN60" i="20"/>
  <c r="BB61" i="20"/>
  <c r="DS61" i="20"/>
  <c r="GM61" i="20"/>
  <c r="HF61" i="20"/>
  <c r="IQ61" i="20"/>
  <c r="KA61" i="20"/>
  <c r="AM62" i="20"/>
  <c r="CE62" i="20"/>
  <c r="FN62" i="20"/>
  <c r="HY62" i="20"/>
  <c r="JI62" i="20"/>
  <c r="O63" i="20"/>
  <c r="BE63" i="20"/>
  <c r="EC63" i="20"/>
  <c r="GL63" i="20"/>
  <c r="HM63" i="20"/>
  <c r="IC63" i="20"/>
  <c r="IS63" i="20"/>
  <c r="JI63" i="20"/>
  <c r="JY63" i="20"/>
  <c r="B64" i="20"/>
  <c r="AF64" i="20"/>
  <c r="AV64" i="20"/>
  <c r="BL64" i="20"/>
  <c r="CL64" i="20"/>
  <c r="EG64" i="20"/>
  <c r="FN64" i="20"/>
  <c r="GL64" i="20"/>
  <c r="GR64" i="20"/>
  <c r="HB64" i="20"/>
  <c r="HM64" i="20"/>
  <c r="IA64" i="20"/>
  <c r="IM64" i="20"/>
  <c r="IZ64" i="20"/>
  <c r="JN64" i="20"/>
  <c r="JY64" i="20"/>
  <c r="KM64" i="20"/>
  <c r="V65" i="20"/>
  <c r="AK65" i="20"/>
  <c r="AU65" i="20"/>
  <c r="BF65" i="20"/>
  <c r="BQ65" i="20"/>
  <c r="CK65" i="20"/>
  <c r="DS65" i="20"/>
  <c r="EP65" i="20"/>
  <c r="FM65" i="20"/>
  <c r="GB65" i="20"/>
  <c r="ES58" i="20"/>
  <c r="JJ58" i="20"/>
  <c r="BK60" i="20"/>
  <c r="HW60" i="20"/>
  <c r="BQ61" i="20"/>
  <c r="HL61" i="20"/>
  <c r="O62" i="20"/>
  <c r="GM62" i="20"/>
  <c r="IB62" i="20"/>
  <c r="R63" i="20"/>
  <c r="EH63" i="20"/>
  <c r="HU63" i="20"/>
  <c r="JA63" i="20"/>
  <c r="KG63" i="20"/>
  <c r="AN64" i="20"/>
  <c r="BU64" i="20"/>
  <c r="EV64" i="20"/>
  <c r="HE64" i="20"/>
  <c r="IE64" i="20"/>
  <c r="JF64" i="20"/>
  <c r="KE64" i="20"/>
  <c r="AD65" i="20"/>
  <c r="AY65" i="20"/>
  <c r="BU65" i="20"/>
  <c r="EC65" i="20"/>
  <c r="FR65" i="20"/>
  <c r="GO65" i="20"/>
  <c r="GX65" i="20"/>
  <c r="HJ65" i="20"/>
  <c r="HW65" i="20"/>
  <c r="II65" i="20"/>
  <c r="IV65" i="20"/>
  <c r="JJ65" i="20"/>
  <c r="JV65" i="20"/>
  <c r="KI65" i="20"/>
  <c r="P66" i="20"/>
  <c r="AI66" i="20"/>
  <c r="AW66" i="20"/>
  <c r="BI66" i="20"/>
  <c r="BZ66" i="20"/>
  <c r="DG66" i="20"/>
  <c r="EL66" i="20"/>
  <c r="FQ66" i="20"/>
  <c r="GK66" i="20"/>
  <c r="GX66" i="20"/>
  <c r="HH66" i="20"/>
  <c r="HR66" i="20"/>
  <c r="ID66" i="20"/>
  <c r="IN66" i="20"/>
  <c r="IX66" i="20"/>
  <c r="JJ66" i="20"/>
  <c r="JT66" i="20"/>
  <c r="KD66" i="20"/>
  <c r="F67" i="20"/>
  <c r="Y67" i="20"/>
  <c r="AK67" i="20"/>
  <c r="AW67" i="20"/>
  <c r="BG67" i="20"/>
  <c r="BQ67" i="20"/>
  <c r="CO67" i="20"/>
  <c r="DT67" i="20"/>
  <c r="EP67" i="20"/>
  <c r="FQ67" i="20"/>
  <c r="GI67" i="20"/>
  <c r="GO67" i="20"/>
  <c r="GW67" i="20"/>
  <c r="HG67" i="20"/>
  <c r="HQ67" i="20"/>
  <c r="IC67" i="20"/>
  <c r="IM67" i="20"/>
  <c r="IW67" i="20"/>
  <c r="JI67" i="20"/>
  <c r="JS67" i="20"/>
  <c r="KC67" i="20"/>
  <c r="B68" i="20"/>
  <c r="V68" i="20"/>
  <c r="AJ68" i="20"/>
  <c r="AV68" i="20"/>
  <c r="BF68" i="20"/>
  <c r="BP68" i="20"/>
  <c r="CL68" i="20"/>
  <c r="DS68" i="20"/>
  <c r="EO68" i="20"/>
  <c r="FN68" i="20"/>
  <c r="GF68" i="20"/>
  <c r="HC68" i="20"/>
  <c r="HL68" i="20"/>
  <c r="HU68" i="20"/>
  <c r="ID68" i="20"/>
  <c r="IM68" i="20"/>
  <c r="IV68" i="20"/>
  <c r="JF68" i="20"/>
  <c r="JO68" i="20"/>
  <c r="JX68" i="20"/>
  <c r="KG68" i="20"/>
  <c r="F69" i="20"/>
  <c r="V69" i="20"/>
  <c r="AI69" i="20"/>
  <c r="AS69" i="20"/>
  <c r="BB69" i="20"/>
  <c r="BK69" i="20"/>
  <c r="BU69" i="20"/>
  <c r="CO69" i="20"/>
  <c r="DS69" i="20"/>
  <c r="EI69" i="20"/>
  <c r="EZ69" i="20"/>
  <c r="FR69" i="20"/>
  <c r="GF69" i="20"/>
  <c r="GN69" i="20"/>
  <c r="GX69" i="20"/>
  <c r="HF69" i="20"/>
  <c r="HN69" i="20"/>
  <c r="HV69" i="20"/>
  <c r="ID69" i="20"/>
  <c r="IL69" i="20"/>
  <c r="IT69" i="20"/>
  <c r="JB69" i="20"/>
  <c r="JJ69" i="20"/>
  <c r="JR69" i="20"/>
  <c r="JZ69" i="20"/>
  <c r="KH69" i="20"/>
  <c r="F70" i="20"/>
  <c r="S70" i="20"/>
  <c r="AG70" i="20"/>
  <c r="AO70" i="20"/>
  <c r="AW70" i="20"/>
  <c r="BE70" i="20"/>
  <c r="BM70" i="20"/>
  <c r="BY70" i="20"/>
  <c r="CO70" i="20"/>
  <c r="DO70" i="20"/>
  <c r="EH70" i="20"/>
  <c r="EY70" i="20"/>
  <c r="FQ70" i="20"/>
  <c r="GC70" i="20"/>
  <c r="GR70" i="20"/>
  <c r="GW70" i="20"/>
  <c r="HE70" i="20"/>
  <c r="HM70" i="20"/>
  <c r="HU70" i="20"/>
  <c r="IC70" i="20"/>
  <c r="IK70" i="20"/>
  <c r="IS70" i="20"/>
  <c r="JA70" i="20"/>
  <c r="JI70" i="20"/>
  <c r="JQ70" i="20"/>
  <c r="JY70" i="20"/>
  <c r="KG70" i="20"/>
  <c r="B71" i="20"/>
  <c r="R71" i="20"/>
  <c r="AF71" i="20"/>
  <c r="AN71" i="20"/>
  <c r="AV71" i="20"/>
  <c r="BD71" i="20"/>
  <c r="BL71" i="20"/>
  <c r="BU71" i="20"/>
  <c r="CL71" i="20"/>
  <c r="DK71" i="20"/>
  <c r="EG71" i="20"/>
  <c r="EV71" i="20"/>
  <c r="FN71" i="20"/>
  <c r="GB71" i="20"/>
  <c r="HD71" i="20"/>
  <c r="HL71" i="20"/>
  <c r="HT71" i="20"/>
  <c r="IB71" i="20"/>
  <c r="IJ71" i="20"/>
  <c r="IR71" i="20"/>
  <c r="IZ71" i="20"/>
  <c r="B59" i="20"/>
  <c r="GR59" i="20"/>
  <c r="CZ60" i="20"/>
  <c r="JD60" i="20"/>
  <c r="BU61" i="20"/>
  <c r="HU61" i="20"/>
  <c r="AS62" i="20"/>
  <c r="IK62" i="20"/>
  <c r="AG63" i="20"/>
  <c r="FA63" i="20"/>
  <c r="GS63" i="20"/>
  <c r="IB63" i="20"/>
  <c r="JH63" i="20"/>
  <c r="KN63" i="20"/>
  <c r="AU64" i="20"/>
  <c r="CK64" i="20"/>
  <c r="FM64" i="20"/>
  <c r="HG64" i="20"/>
  <c r="IH64" i="20"/>
  <c r="JG64" i="20"/>
  <c r="KF64" i="20"/>
  <c r="AE65" i="20"/>
  <c r="BA65" i="20"/>
  <c r="BZ65" i="20"/>
  <c r="ED65" i="20"/>
  <c r="FS65" i="20"/>
  <c r="GP65" i="20"/>
  <c r="GY65" i="20"/>
  <c r="HK65" i="20"/>
  <c r="HX65" i="20"/>
  <c r="IL65" i="20"/>
  <c r="IX65" i="20"/>
  <c r="JK65" i="20"/>
  <c r="JW65" i="20"/>
  <c r="KJ65" i="20"/>
  <c r="S66" i="20"/>
  <c r="AK66" i="20"/>
  <c r="AX66" i="20"/>
  <c r="BJ66" i="20"/>
  <c r="CA66" i="20"/>
  <c r="DO66" i="20"/>
  <c r="EP66" i="20"/>
  <c r="FR66" i="20"/>
  <c r="GL66" i="20"/>
  <c r="GR66" i="20"/>
  <c r="GY66" i="20"/>
  <c r="HI66" i="20"/>
  <c r="HU66" i="20"/>
  <c r="IE66" i="20"/>
  <c r="IO66" i="20"/>
  <c r="JA66" i="20"/>
  <c r="JK66" i="20"/>
  <c r="JU66" i="20"/>
  <c r="KG66" i="20"/>
  <c r="I67" i="20"/>
  <c r="Z67" i="20"/>
  <c r="AN67" i="20"/>
  <c r="AX67" i="20"/>
  <c r="BH67" i="20"/>
  <c r="BU67" i="20"/>
  <c r="CP67" i="20"/>
  <c r="DU67" i="20"/>
  <c r="EV67" i="20"/>
  <c r="FR67" i="20"/>
  <c r="GJ67" i="20"/>
  <c r="GX67" i="20"/>
  <c r="HH67" i="20"/>
  <c r="HT67" i="20"/>
  <c r="ID67" i="20"/>
  <c r="IN67" i="20"/>
  <c r="IZ67" i="20"/>
  <c r="JJ67" i="20"/>
  <c r="JT67" i="20"/>
  <c r="KF67" i="20"/>
  <c r="F68" i="20"/>
  <c r="Y68" i="20"/>
  <c r="AM68" i="20"/>
  <c r="AW68" i="20"/>
  <c r="BG68" i="20"/>
  <c r="BS68" i="20"/>
  <c r="CO68" i="20"/>
  <c r="DT68" i="20"/>
  <c r="ES68" i="20"/>
  <c r="FQ68" i="20"/>
  <c r="GI68" i="20"/>
  <c r="GP68" i="20"/>
  <c r="GV68" i="20"/>
  <c r="HD68" i="20"/>
  <c r="HM68" i="20"/>
  <c r="HV68" i="20"/>
  <c r="IE68" i="20"/>
  <c r="IN68" i="20"/>
  <c r="IX68" i="20"/>
  <c r="JG68" i="20"/>
  <c r="JP68" i="20"/>
  <c r="JY68" i="20"/>
  <c r="KH68" i="20"/>
  <c r="I69" i="20"/>
  <c r="Y69" i="20"/>
  <c r="AK69" i="20"/>
  <c r="AT69" i="20"/>
  <c r="BC69" i="20"/>
  <c r="BL69" i="20"/>
  <c r="BY69" i="20"/>
  <c r="CP69" i="20"/>
  <c r="DT69" i="20"/>
  <c r="EL69" i="20"/>
  <c r="FA69" i="20"/>
  <c r="FS69" i="20"/>
  <c r="GI69" i="20"/>
  <c r="GS69" i="20"/>
  <c r="GY69" i="20"/>
  <c r="HG69" i="20"/>
  <c r="HO69" i="20"/>
  <c r="HW69" i="20"/>
  <c r="IE69" i="20"/>
  <c r="IM69" i="20"/>
  <c r="IU69" i="20"/>
  <c r="JC69" i="20"/>
  <c r="JK69" i="20"/>
  <c r="JS69" i="20"/>
  <c r="KA69" i="20"/>
  <c r="KI69" i="20"/>
  <c r="I70" i="20"/>
  <c r="V70" i="20"/>
  <c r="AH70" i="20"/>
  <c r="AP70" i="20"/>
  <c r="AX70" i="20"/>
  <c r="BF70" i="20"/>
  <c r="BN70" i="20"/>
  <c r="BZ70" i="20"/>
  <c r="CP70" i="20"/>
  <c r="DS70" i="20"/>
  <c r="EI70" i="20"/>
  <c r="EZ70" i="20"/>
  <c r="FR70" i="20"/>
  <c r="GF70" i="20"/>
  <c r="GN70" i="20"/>
  <c r="GX70" i="20"/>
  <c r="HF70" i="20"/>
  <c r="HN70" i="20"/>
  <c r="HV70" i="20"/>
  <c r="ID70" i="20"/>
  <c r="IL70" i="20"/>
  <c r="IT70" i="20"/>
  <c r="JB70" i="20"/>
  <c r="JJ70" i="20"/>
  <c r="JR70" i="20"/>
  <c r="JZ70" i="20"/>
  <c r="KH70" i="20"/>
  <c r="F71" i="20"/>
  <c r="S71" i="20"/>
  <c r="AG71" i="20"/>
  <c r="AO71" i="20"/>
  <c r="AW71" i="20"/>
  <c r="BE71" i="20"/>
  <c r="BM71" i="20"/>
  <c r="BY71" i="20"/>
  <c r="CO71" i="20"/>
  <c r="DO71" i="20"/>
  <c r="EH71" i="20"/>
  <c r="EY71" i="20"/>
  <c r="FQ71" i="20"/>
  <c r="GC71" i="20"/>
  <c r="O54" i="20"/>
  <c r="BU59" i="20"/>
  <c r="GM60" i="20"/>
  <c r="JO60" i="20"/>
  <c r="EG61" i="20"/>
  <c r="HY61" i="20"/>
  <c r="BB62" i="20"/>
  <c r="IQ62" i="20"/>
  <c r="AM63" i="20"/>
  <c r="FN63" i="20"/>
  <c r="GV63" i="20"/>
  <c r="IF63" i="20"/>
  <c r="JL63" i="20"/>
  <c r="K64" i="20"/>
  <c r="AY64" i="20"/>
  <c r="CU64" i="20"/>
  <c r="FQ64" i="20"/>
  <c r="HL64" i="20"/>
  <c r="IK64" i="20"/>
  <c r="JK64" i="20"/>
  <c r="KL64" i="20"/>
  <c r="AI65" i="20"/>
  <c r="BD65" i="20"/>
  <c r="CJ65" i="20"/>
  <c r="EL65" i="20"/>
  <c r="GA65" i="20"/>
  <c r="GZ65" i="20"/>
  <c r="HN65" i="20"/>
  <c r="HZ65" i="20"/>
  <c r="IM65" i="20"/>
  <c r="IY65" i="20"/>
  <c r="JL65" i="20"/>
  <c r="JZ65" i="20"/>
  <c r="KL65" i="20"/>
  <c r="V66" i="20"/>
  <c r="AL66" i="20"/>
  <c r="AY66" i="20"/>
  <c r="BM66" i="20"/>
  <c r="CI66" i="20"/>
  <c r="DS66" i="20"/>
  <c r="EQ66" i="20"/>
  <c r="FS66" i="20"/>
  <c r="GZ66" i="20"/>
  <c r="HJ66" i="20"/>
  <c r="HV66" i="20"/>
  <c r="IF66" i="20"/>
  <c r="IP66" i="20"/>
  <c r="JB66" i="20"/>
  <c r="JL66" i="20"/>
  <c r="JV66" i="20"/>
  <c r="KH66" i="20"/>
  <c r="K67" i="20"/>
  <c r="AA67" i="20"/>
  <c r="AO67" i="20"/>
  <c r="AY67" i="20"/>
  <c r="BI67" i="20"/>
  <c r="BY67" i="20"/>
  <c r="CU67" i="20"/>
  <c r="DY67" i="20"/>
  <c r="EY67" i="20"/>
  <c r="FS67" i="20"/>
  <c r="GK67" i="20"/>
  <c r="GR67" i="20"/>
  <c r="GY67" i="20"/>
  <c r="HI67" i="20"/>
  <c r="HU67" i="20"/>
  <c r="IE67" i="20"/>
  <c r="IO67" i="20"/>
  <c r="JA67" i="20"/>
  <c r="JK67" i="20"/>
  <c r="JU67" i="20"/>
  <c r="KG67" i="20"/>
  <c r="I68" i="20"/>
  <c r="Z68" i="20"/>
  <c r="AN68" i="20"/>
  <c r="AX68" i="20"/>
  <c r="BH68" i="20"/>
  <c r="BU68" i="20"/>
  <c r="CP68" i="20"/>
  <c r="DU68" i="20"/>
  <c r="EV68" i="20"/>
  <c r="FR68" i="20"/>
  <c r="GJ68" i="20"/>
  <c r="GQ68" i="20"/>
  <c r="HE68" i="20"/>
  <c r="HN68" i="20"/>
  <c r="HW68" i="20"/>
  <c r="IF68" i="20"/>
  <c r="IP68" i="20"/>
  <c r="IY68" i="20"/>
  <c r="JH68" i="20"/>
  <c r="JQ68" i="20"/>
  <c r="JZ68" i="20"/>
  <c r="KI68" i="20"/>
  <c r="K69" i="20"/>
  <c r="AA69" i="20"/>
  <c r="AL69" i="20"/>
  <c r="AU69" i="20"/>
  <c r="BD69" i="20"/>
  <c r="BM69" i="20"/>
  <c r="BZ69" i="20"/>
  <c r="CU69" i="20"/>
  <c r="DU69" i="20"/>
  <c r="EO69" i="20"/>
  <c r="FB69" i="20"/>
  <c r="FT69" i="20"/>
  <c r="GJ69" i="20"/>
  <c r="GT69" i="20"/>
  <c r="GZ69" i="20"/>
  <c r="HH69" i="20"/>
  <c r="HP69" i="20"/>
  <c r="HX69" i="20"/>
  <c r="IF69" i="20"/>
  <c r="IN69" i="20"/>
  <c r="IV69" i="20"/>
  <c r="JD69" i="20"/>
  <c r="JL69" i="20"/>
  <c r="JT69" i="20"/>
  <c r="KB69" i="20"/>
  <c r="KJ69" i="20"/>
  <c r="K70" i="20"/>
  <c r="Y70" i="20"/>
  <c r="AI70" i="20"/>
  <c r="AQ70" i="20"/>
  <c r="AY70" i="20"/>
  <c r="BG70" i="20"/>
  <c r="BO70" i="20"/>
  <c r="CA70" i="20"/>
  <c r="CU70" i="20"/>
  <c r="DT70" i="20"/>
  <c r="EL70" i="20"/>
  <c r="FA70" i="20"/>
  <c r="FS70" i="20"/>
  <c r="GI70" i="20"/>
  <c r="GS70" i="20"/>
  <c r="GY70" i="20"/>
  <c r="HG70" i="20"/>
  <c r="HO70" i="20"/>
  <c r="HW70" i="20"/>
  <c r="IE70" i="20"/>
  <c r="IM70" i="20"/>
  <c r="IU70" i="20"/>
  <c r="JC70" i="20"/>
  <c r="JK70" i="20"/>
  <c r="JS70" i="20"/>
  <c r="KA70" i="20"/>
  <c r="KI70" i="20"/>
  <c r="I71" i="20"/>
  <c r="V71" i="20"/>
  <c r="AH71" i="20"/>
  <c r="AP71" i="20"/>
  <c r="AX71" i="20"/>
  <c r="BF71" i="20"/>
  <c r="BN71" i="20"/>
  <c r="BZ71" i="20"/>
  <c r="CP71" i="20"/>
  <c r="DS71" i="20"/>
  <c r="EI71" i="20"/>
  <c r="EZ71" i="20"/>
  <c r="FR71" i="20"/>
  <c r="GF71" i="20"/>
  <c r="GN71" i="20"/>
  <c r="GX71" i="20"/>
  <c r="HF71" i="20"/>
  <c r="HN71" i="20"/>
  <c r="HV71" i="20"/>
  <c r="ID71" i="20"/>
  <c r="ED54" i="20"/>
  <c r="BU55" i="20"/>
  <c r="EP59" i="20"/>
  <c r="JS60" i="20"/>
  <c r="EY61" i="20"/>
  <c r="IW61" i="20"/>
  <c r="BE62" i="20"/>
  <c r="JD62" i="20"/>
  <c r="AZ63" i="20"/>
  <c r="GK63" i="20"/>
  <c r="HC63" i="20"/>
  <c r="IJ63" i="20"/>
  <c r="JP63" i="20"/>
  <c r="Q64" i="20"/>
  <c r="BC64" i="20"/>
  <c r="DH64" i="20"/>
  <c r="FZ64" i="20"/>
  <c r="HO64" i="20"/>
  <c r="IP64" i="20"/>
  <c r="JO64" i="20"/>
  <c r="KN64" i="20"/>
  <c r="AL65" i="20"/>
  <c r="BG65" i="20"/>
  <c r="CL65" i="20"/>
  <c r="EQ65" i="20"/>
  <c r="GC65" i="20"/>
  <c r="GR65" i="20"/>
  <c r="HB65" i="20"/>
  <c r="HO65" i="20"/>
  <c r="IA65" i="20"/>
  <c r="IN65" i="20"/>
  <c r="JB65" i="20"/>
  <c r="JN65" i="20"/>
  <c r="KA65" i="20"/>
  <c r="KM65" i="20"/>
  <c r="Y66" i="20"/>
  <c r="AO66" i="20"/>
  <c r="BA66" i="20"/>
  <c r="BN66" i="20"/>
  <c r="CJ66" i="20"/>
  <c r="DT66" i="20"/>
  <c r="EY66" i="20"/>
  <c r="FW66" i="20"/>
  <c r="GS66" i="20"/>
  <c r="HA66" i="20"/>
  <c r="HM66" i="20"/>
  <c r="HW66" i="20"/>
  <c r="IG66" i="20"/>
  <c r="IS66" i="20"/>
  <c r="JC66" i="20"/>
  <c r="JM66" i="20"/>
  <c r="JY66" i="20"/>
  <c r="KI66" i="20"/>
  <c r="L67" i="20"/>
  <c r="AF67" i="20"/>
  <c r="AP67" i="20"/>
  <c r="AZ67" i="20"/>
  <c r="BL67" i="20"/>
  <c r="BZ67" i="20"/>
  <c r="CZ67" i="20"/>
  <c r="EG67" i="20"/>
  <c r="EZ67" i="20"/>
  <c r="FT67" i="20"/>
  <c r="GZ67" i="20"/>
  <c r="HL67" i="20"/>
  <c r="HV67" i="20"/>
  <c r="IF67" i="20"/>
  <c r="IR67" i="20"/>
  <c r="JB67" i="20"/>
  <c r="JL67" i="20"/>
  <c r="JX67" i="20"/>
  <c r="KH67" i="20"/>
  <c r="K68" i="20"/>
  <c r="AE68" i="20"/>
  <c r="AO68" i="20"/>
  <c r="AY68" i="20"/>
  <c r="BK68" i="20"/>
  <c r="BY68" i="20"/>
  <c r="CU68" i="20"/>
  <c r="ED68" i="20"/>
  <c r="EY68" i="20"/>
  <c r="FS68" i="20"/>
  <c r="GM68" i="20"/>
  <c r="GW68" i="20"/>
  <c r="HF68" i="20"/>
  <c r="HO68" i="20"/>
  <c r="HX68" i="20"/>
  <c r="IH68" i="20"/>
  <c r="IQ68" i="20"/>
  <c r="IZ68" i="20"/>
  <c r="JI68" i="20"/>
  <c r="JR68" i="20"/>
  <c r="KA68" i="20"/>
  <c r="KJ68" i="20"/>
  <c r="O69" i="20"/>
  <c r="AD69" i="20"/>
  <c r="AM69" i="20"/>
  <c r="AV69" i="20"/>
  <c r="BE69" i="20"/>
  <c r="BN69" i="20"/>
  <c r="CA69" i="20"/>
  <c r="DC69" i="20"/>
  <c r="DY69" i="20"/>
  <c r="EP69" i="20"/>
  <c r="FE69" i="20"/>
  <c r="FW69" i="20"/>
  <c r="GK69" i="20"/>
  <c r="GO69" i="20"/>
  <c r="GU69" i="20"/>
  <c r="HA69" i="20"/>
  <c r="HI69" i="20"/>
  <c r="HQ69" i="20"/>
  <c r="HY69" i="20"/>
  <c r="IG69" i="20"/>
  <c r="IO69" i="20"/>
  <c r="IW69" i="20"/>
  <c r="JE69" i="20"/>
  <c r="JM69" i="20"/>
  <c r="JU69" i="20"/>
  <c r="KC69" i="20"/>
  <c r="KK69" i="20"/>
  <c r="L70" i="20"/>
  <c r="Z70" i="20"/>
  <c r="AJ70" i="20"/>
  <c r="AR70" i="20"/>
  <c r="AZ70" i="20"/>
  <c r="BH70" i="20"/>
  <c r="BP70" i="20"/>
  <c r="CE70" i="20"/>
  <c r="CZ70" i="20"/>
  <c r="DU70" i="20"/>
  <c r="EO70" i="20"/>
  <c r="FB70" i="20"/>
  <c r="FT70" i="20"/>
  <c r="GJ70" i="20"/>
  <c r="GT70" i="20"/>
  <c r="GZ70" i="20"/>
  <c r="HH70" i="20"/>
  <c r="HP70" i="20"/>
  <c r="HX70" i="20"/>
  <c r="IF70" i="20"/>
  <c r="IN70" i="20"/>
  <c r="IV70" i="20"/>
  <c r="JD70" i="20"/>
  <c r="JL70" i="20"/>
  <c r="JT70" i="20"/>
  <c r="KB70" i="20"/>
  <c r="KJ70" i="20"/>
  <c r="K71" i="20"/>
  <c r="Y71" i="20"/>
  <c r="AI71" i="20"/>
  <c r="AQ71" i="20"/>
  <c r="AY71" i="20"/>
  <c r="BG71" i="20"/>
  <c r="BO71" i="20"/>
  <c r="CA71" i="20"/>
  <c r="CU71" i="20"/>
  <c r="DT71" i="20"/>
  <c r="EL71" i="20"/>
  <c r="FA71" i="20"/>
  <c r="FS71" i="20"/>
  <c r="GI71" i="20"/>
  <c r="GS71" i="20"/>
  <c r="GY71" i="20"/>
  <c r="HG71" i="20"/>
  <c r="HO71" i="20"/>
  <c r="HL59" i="20"/>
  <c r="P61" i="20"/>
  <c r="FE61" i="20"/>
  <c r="JF61" i="20"/>
  <c r="CO62" i="20"/>
  <c r="JM62" i="20"/>
  <c r="BI63" i="20"/>
  <c r="HD63" i="20"/>
  <c r="IK63" i="20"/>
  <c r="JQ63" i="20"/>
  <c r="R64" i="20"/>
  <c r="BD64" i="20"/>
  <c r="DK64" i="20"/>
  <c r="GA64" i="20"/>
  <c r="HS64" i="20"/>
  <c r="IR64" i="20"/>
  <c r="JQ64" i="20"/>
  <c r="I65" i="20"/>
  <c r="AN65" i="20"/>
  <c r="BJ65" i="20"/>
  <c r="CU65" i="20"/>
  <c r="EV65" i="20"/>
  <c r="GI65" i="20"/>
  <c r="HC65" i="20"/>
  <c r="HP65" i="20"/>
  <c r="ID65" i="20"/>
  <c r="IP65" i="20"/>
  <c r="JC65" i="20"/>
  <c r="JO65" i="20"/>
  <c r="KB65" i="20"/>
  <c r="F66" i="20"/>
  <c r="AA66" i="20"/>
  <c r="AP66" i="20"/>
  <c r="BB66" i="20"/>
  <c r="BO66" i="20"/>
  <c r="CO66" i="20"/>
  <c r="DY66" i="20"/>
  <c r="EZ66" i="20"/>
  <c r="FZ66" i="20"/>
  <c r="GN66" i="20"/>
  <c r="GT66" i="20"/>
  <c r="HB66" i="20"/>
  <c r="HN66" i="20"/>
  <c r="HX66" i="20"/>
  <c r="IH66" i="20"/>
  <c r="IT66" i="20"/>
  <c r="JD66" i="20"/>
  <c r="JN66" i="20"/>
  <c r="JZ66" i="20"/>
  <c r="KJ66" i="20"/>
  <c r="O67" i="20"/>
  <c r="AG67" i="20"/>
  <c r="AQ67" i="20"/>
  <c r="BA67" i="20"/>
  <c r="BM67" i="20"/>
  <c r="CA67" i="20"/>
  <c r="DC67" i="20"/>
  <c r="EH67" i="20"/>
  <c r="FA67" i="20"/>
  <c r="FW67" i="20"/>
  <c r="GS67" i="20"/>
  <c r="HA67" i="20"/>
  <c r="HM67" i="20"/>
  <c r="HW67" i="20"/>
  <c r="IG67" i="20"/>
  <c r="IS67" i="20"/>
  <c r="JC67" i="20"/>
  <c r="JM67" i="20"/>
  <c r="JY67" i="20"/>
  <c r="KI67" i="20"/>
  <c r="L68" i="20"/>
  <c r="AF68" i="20"/>
  <c r="AP68" i="20"/>
  <c r="AZ68" i="20"/>
  <c r="BL68" i="20"/>
  <c r="BZ68" i="20"/>
  <c r="CZ68" i="20"/>
  <c r="EG68" i="20"/>
  <c r="EZ68" i="20"/>
  <c r="FT68" i="20"/>
  <c r="GR68" i="20"/>
  <c r="GX68" i="20"/>
  <c r="HG68" i="20"/>
  <c r="HP68" i="20"/>
  <c r="HZ68" i="20"/>
  <c r="II68" i="20"/>
  <c r="IR68" i="20"/>
  <c r="JA68" i="20"/>
  <c r="JJ68" i="20"/>
  <c r="JS68" i="20"/>
  <c r="KB68" i="20"/>
  <c r="KL68" i="20"/>
  <c r="P69" i="20"/>
  <c r="AE69" i="20"/>
  <c r="AN69" i="20"/>
  <c r="AW69" i="20"/>
  <c r="BF69" i="20"/>
  <c r="BO69" i="20"/>
  <c r="CI69" i="20"/>
  <c r="DG69" i="20"/>
  <c r="EC69" i="20"/>
  <c r="EQ69" i="20"/>
  <c r="FF69" i="20"/>
  <c r="FZ69" i="20"/>
  <c r="GL69" i="20"/>
  <c r="GP69" i="20"/>
  <c r="HB69" i="20"/>
  <c r="HJ69" i="20"/>
  <c r="HR69" i="20"/>
  <c r="HZ69" i="20"/>
  <c r="IH69" i="20"/>
  <c r="IP69" i="20"/>
  <c r="IX69" i="20"/>
  <c r="JF69" i="20"/>
  <c r="JN69" i="20"/>
  <c r="GK55" i="20"/>
  <c r="IB55" i="20"/>
  <c r="HB56" i="20"/>
  <c r="IG59" i="20"/>
  <c r="AF61" i="20"/>
  <c r="JI61" i="20"/>
  <c r="DS62" i="20"/>
  <c r="GT62" i="20"/>
  <c r="JV62" i="20"/>
  <c r="BR63" i="20"/>
  <c r="GP63" i="20"/>
  <c r="HL63" i="20"/>
  <c r="IR63" i="20"/>
  <c r="JX63" i="20"/>
  <c r="AE64" i="20"/>
  <c r="BK64" i="20"/>
  <c r="ED64" i="20"/>
  <c r="GI64" i="20"/>
  <c r="GV64" i="20"/>
  <c r="HT64" i="20"/>
  <c r="IS64" i="20"/>
  <c r="JS64" i="20"/>
  <c r="O65" i="20"/>
  <c r="AP65" i="20"/>
  <c r="BK65" i="20"/>
  <c r="DC65" i="20"/>
  <c r="EZ65" i="20"/>
  <c r="GK65" i="20"/>
  <c r="GS65" i="20"/>
  <c r="HF65" i="20"/>
  <c r="HR65" i="20"/>
  <c r="IE65" i="20"/>
  <c r="IQ65" i="20"/>
  <c r="JD65" i="20"/>
  <c r="JR65" i="20"/>
  <c r="KD65" i="20"/>
  <c r="I66" i="20"/>
  <c r="AD66" i="20"/>
  <c r="AQ66" i="20"/>
  <c r="BE66" i="20"/>
  <c r="BQ66" i="20"/>
  <c r="CP66" i="20"/>
  <c r="EC66" i="20"/>
  <c r="FA66" i="20"/>
  <c r="GC66" i="20"/>
  <c r="GU66" i="20"/>
  <c r="HE66" i="20"/>
  <c r="HO66" i="20"/>
  <c r="HY66" i="20"/>
  <c r="IK66" i="20"/>
  <c r="IU66" i="20"/>
  <c r="JE66" i="20"/>
  <c r="JQ66" i="20"/>
  <c r="KA66" i="20"/>
  <c r="KK66" i="20"/>
  <c r="R67" i="20"/>
  <c r="AH67" i="20"/>
  <c r="AR67" i="20"/>
  <c r="BD67" i="20"/>
  <c r="BN67" i="20"/>
  <c r="CE67" i="20"/>
  <c r="DK67" i="20"/>
  <c r="EI67" i="20"/>
  <c r="FB67" i="20"/>
  <c r="GB67" i="20"/>
  <c r="GN67" i="20"/>
  <c r="GT67" i="20"/>
  <c r="HD67" i="20"/>
  <c r="HN67" i="20"/>
  <c r="HX67" i="20"/>
  <c r="IJ67" i="20"/>
  <c r="IT67" i="20"/>
  <c r="JD67" i="20"/>
  <c r="JP67" i="20"/>
  <c r="JZ67" i="20"/>
  <c r="KJ67" i="20"/>
  <c r="Q68" i="20"/>
  <c r="AG68" i="20"/>
  <c r="AQ68" i="20"/>
  <c r="BC68" i="20"/>
  <c r="BM68" i="20"/>
  <c r="CA68" i="20"/>
  <c r="DH68" i="20"/>
  <c r="EH68" i="20"/>
  <c r="FA68" i="20"/>
  <c r="GA68" i="20"/>
  <c r="GY68" i="20"/>
  <c r="HH68" i="20"/>
  <c r="HR68" i="20"/>
  <c r="IA68" i="20"/>
  <c r="IJ68" i="20"/>
  <c r="IS68" i="20"/>
  <c r="JB68" i="20"/>
  <c r="JK68" i="20"/>
  <c r="JT68" i="20"/>
  <c r="KD68" i="20"/>
  <c r="KM68" i="20"/>
  <c r="Q69" i="20"/>
  <c r="AF69" i="20"/>
  <c r="AO69" i="20"/>
  <c r="AX69" i="20"/>
  <c r="BG69" i="20"/>
  <c r="BQ69" i="20"/>
  <c r="CJ69" i="20"/>
  <c r="DH69" i="20"/>
  <c r="ED69" i="20"/>
  <c r="ES69" i="20"/>
  <c r="FM69" i="20"/>
  <c r="GA69" i="20"/>
  <c r="GM69" i="20"/>
  <c r="GQ69" i="20"/>
  <c r="GV69" i="20"/>
  <c r="HC69" i="20"/>
  <c r="HK69" i="20"/>
  <c r="HS69" i="20"/>
  <c r="IA69" i="20"/>
  <c r="II69" i="20"/>
  <c r="IQ69" i="20"/>
  <c r="IY69" i="20"/>
  <c r="JG69" i="20"/>
  <c r="JO69" i="20"/>
  <c r="JW69" i="20"/>
  <c r="KE69" i="20"/>
  <c r="KM69" i="20"/>
  <c r="P70" i="20"/>
  <c r="AD70" i="20"/>
  <c r="AL70" i="20"/>
  <c r="AT70" i="20"/>
  <c r="BB70" i="20"/>
  <c r="BJ70" i="20"/>
  <c r="BR70" i="20"/>
  <c r="CJ70" i="20"/>
  <c r="DG70" i="20"/>
  <c r="EC70" i="20"/>
  <c r="EQ70" i="20"/>
  <c r="FF70" i="20"/>
  <c r="FZ70" i="20"/>
  <c r="GL70" i="20"/>
  <c r="GP70" i="20"/>
  <c r="HB70" i="20"/>
  <c r="HJ70" i="20"/>
  <c r="HR70" i="20"/>
  <c r="HZ70" i="20"/>
  <c r="IH70" i="20"/>
  <c r="IP70" i="20"/>
  <c r="IX70" i="20"/>
  <c r="JF70" i="20"/>
  <c r="JN70" i="20"/>
  <c r="JV70" i="20"/>
  <c r="KD70" i="20"/>
  <c r="KL70" i="20"/>
  <c r="O71" i="20"/>
  <c r="AA71" i="20"/>
  <c r="AK71" i="20"/>
  <c r="AS71" i="20"/>
  <c r="BA71" i="20"/>
  <c r="BI71" i="20"/>
  <c r="BQ71" i="20"/>
  <c r="CI71" i="20"/>
  <c r="DC71" i="20"/>
  <c r="DY71" i="20"/>
  <c r="EP71" i="20"/>
  <c r="FE71" i="20"/>
  <c r="FW71" i="20"/>
  <c r="GK71" i="20"/>
  <c r="GO71" i="20"/>
  <c r="GU71" i="20"/>
  <c r="HA71" i="20"/>
  <c r="HI71" i="20"/>
  <c r="HQ71" i="20"/>
  <c r="HY71" i="20"/>
  <c r="IG71" i="20"/>
  <c r="IO71" i="20"/>
  <c r="IW71" i="20"/>
  <c r="JE71" i="20"/>
  <c r="JM71" i="20"/>
  <c r="JU71" i="20"/>
  <c r="KC71" i="20"/>
  <c r="KK71" i="20"/>
  <c r="L72" i="20"/>
  <c r="Z72" i="20"/>
  <c r="AJ72" i="20"/>
  <c r="AR72" i="20"/>
  <c r="AZ72" i="20"/>
  <c r="BH72" i="20"/>
  <c r="BP72" i="20"/>
  <c r="CE72" i="20"/>
  <c r="CZ72" i="20"/>
  <c r="DU72" i="20"/>
  <c r="EO72" i="20"/>
  <c r="FB72" i="20"/>
  <c r="FT72" i="20"/>
  <c r="GJ72" i="20"/>
  <c r="GT72" i="20"/>
  <c r="DG56" i="20"/>
  <c r="JB56" i="20"/>
  <c r="IG57" i="20"/>
  <c r="JX59" i="20"/>
  <c r="AI61" i="20"/>
  <c r="KG61" i="20"/>
  <c r="EC62" i="20"/>
  <c r="HA62" i="20"/>
  <c r="KB62" i="20"/>
  <c r="CE63" i="20"/>
  <c r="GQ63" i="20"/>
  <c r="HP63" i="20"/>
  <c r="IV63" i="20"/>
  <c r="KB63" i="20"/>
  <c r="AI64" i="20"/>
  <c r="BO64" i="20"/>
  <c r="EL64" i="20"/>
  <c r="GM64" i="20"/>
  <c r="GY64" i="20"/>
  <c r="HZ64" i="20"/>
  <c r="IY64" i="20"/>
  <c r="JX64" i="20"/>
  <c r="R65" i="20"/>
  <c r="AT65" i="20"/>
  <c r="BO65" i="20"/>
  <c r="DK65" i="20"/>
  <c r="FF65" i="20"/>
  <c r="HG65" i="20"/>
  <c r="HS65" i="20"/>
  <c r="IF65" i="20"/>
  <c r="IT65" i="20"/>
  <c r="JF65" i="20"/>
  <c r="JS65" i="20"/>
  <c r="KE65" i="20"/>
  <c r="K66" i="20"/>
  <c r="AG66" i="20"/>
  <c r="AS66" i="20"/>
  <c r="BF66" i="20"/>
  <c r="BR66" i="20"/>
  <c r="CU66" i="20"/>
  <c r="EH66" i="20"/>
  <c r="FE66" i="20"/>
  <c r="GF66" i="20"/>
  <c r="GO66" i="20"/>
  <c r="HF66" i="20"/>
  <c r="HP66" i="20"/>
  <c r="HZ66" i="20"/>
  <c r="IL66" i="20"/>
  <c r="IV66" i="20"/>
  <c r="JF66" i="20"/>
  <c r="JR66" i="20"/>
  <c r="KB66" i="20"/>
  <c r="KL66" i="20"/>
  <c r="S67" i="20"/>
  <c r="AI67" i="20"/>
  <c r="AS67" i="20"/>
  <c r="BE67" i="20"/>
  <c r="BO67" i="20"/>
  <c r="CI67" i="20"/>
  <c r="DO67" i="20"/>
  <c r="EL67" i="20"/>
  <c r="FE67" i="20"/>
  <c r="GC67" i="20"/>
  <c r="HF60" i="20"/>
  <c r="AV65" i="20"/>
  <c r="GV65" i="20"/>
  <c r="O66" i="20"/>
  <c r="GI66" i="20"/>
  <c r="HQ66" i="20"/>
  <c r="V67" i="20"/>
  <c r="FN67" i="20"/>
  <c r="IL67" i="20"/>
  <c r="KB67" i="20"/>
  <c r="AU68" i="20"/>
  <c r="DO68" i="20"/>
  <c r="GN68" i="20"/>
  <c r="HJ68" i="20"/>
  <c r="IT68" i="20"/>
  <c r="KE68" i="20"/>
  <c r="AP69" i="20"/>
  <c r="CK69" i="20"/>
  <c r="FN69" i="20"/>
  <c r="HU69" i="20"/>
  <c r="JA69" i="20"/>
  <c r="KD69" i="20"/>
  <c r="R70" i="20"/>
  <c r="AU70" i="20"/>
  <c r="BQ70" i="20"/>
  <c r="DK70" i="20"/>
  <c r="FM70" i="20"/>
  <c r="GO70" i="20"/>
  <c r="HC70" i="20"/>
  <c r="HY70" i="20"/>
  <c r="IR70" i="20"/>
  <c r="JO70" i="20"/>
  <c r="KK70" i="20"/>
  <c r="AE71" i="20"/>
  <c r="BB71" i="20"/>
  <c r="CE71" i="20"/>
  <c r="ED71" i="20"/>
  <c r="FZ71" i="20"/>
  <c r="GP71" i="20"/>
  <c r="GW71" i="20"/>
  <c r="HM71" i="20"/>
  <c r="IA71" i="20"/>
  <c r="IM71" i="20"/>
  <c r="IX71" i="20"/>
  <c r="JH71" i="20"/>
  <c r="JQ71" i="20"/>
  <c r="JZ71" i="20"/>
  <c r="KI71" i="20"/>
  <c r="K72" i="20"/>
  <c r="AA72" i="20"/>
  <c r="AL72" i="20"/>
  <c r="AU72" i="20"/>
  <c r="BD72" i="20"/>
  <c r="BM72" i="20"/>
  <c r="BZ72" i="20"/>
  <c r="CU72" i="20"/>
  <c r="DY72" i="20"/>
  <c r="EQ72" i="20"/>
  <c r="FM72" i="20"/>
  <c r="GB72" i="20"/>
  <c r="GY72" i="20"/>
  <c r="HG72" i="20"/>
  <c r="HO72" i="20"/>
  <c r="HW72" i="20"/>
  <c r="IE72" i="20"/>
  <c r="IM72" i="20"/>
  <c r="IU72" i="20"/>
  <c r="JC72" i="20"/>
  <c r="JK72" i="20"/>
  <c r="JS72" i="20"/>
  <c r="KA72" i="20"/>
  <c r="KI72" i="20"/>
  <c r="I73" i="20"/>
  <c r="V73" i="20"/>
  <c r="AH73" i="20"/>
  <c r="AP73" i="20"/>
  <c r="AX73" i="20"/>
  <c r="BF73" i="20"/>
  <c r="BN73" i="20"/>
  <c r="BZ73" i="20"/>
  <c r="CP73" i="20"/>
  <c r="DS73" i="20"/>
  <c r="EI73" i="20"/>
  <c r="EZ73" i="20"/>
  <c r="FR73" i="20"/>
  <c r="GF73" i="20"/>
  <c r="GN73" i="20"/>
  <c r="GX73" i="20"/>
  <c r="HF73" i="20"/>
  <c r="HN73" i="20"/>
  <c r="HV73" i="20"/>
  <c r="ID73" i="20"/>
  <c r="IL73" i="20"/>
  <c r="IT73" i="20"/>
  <c r="JB73" i="20"/>
  <c r="JJ73" i="20"/>
  <c r="JR73" i="20"/>
  <c r="JZ73" i="20"/>
  <c r="KH73" i="20"/>
  <c r="F74" i="20"/>
  <c r="S74" i="20"/>
  <c r="AG74" i="20"/>
  <c r="AO74" i="20"/>
  <c r="AW74" i="20"/>
  <c r="BE74" i="20"/>
  <c r="BM74" i="20"/>
  <c r="BY74" i="20"/>
  <c r="CO74" i="20"/>
  <c r="DO74" i="20"/>
  <c r="EH74" i="20"/>
  <c r="EY74" i="20"/>
  <c r="FQ74" i="20"/>
  <c r="GC74" i="20"/>
  <c r="GR74" i="20"/>
  <c r="GW74" i="20"/>
  <c r="HE74" i="20"/>
  <c r="HM74" i="20"/>
  <c r="HU74" i="20"/>
  <c r="IC74" i="20"/>
  <c r="IK74" i="20"/>
  <c r="IS74" i="20"/>
  <c r="JA74" i="20"/>
  <c r="JI74" i="20"/>
  <c r="JQ74" i="20"/>
  <c r="JY74" i="20"/>
  <c r="KG74" i="20"/>
  <c r="BG61" i="20"/>
  <c r="HT63" i="20"/>
  <c r="BR65" i="20"/>
  <c r="HH65" i="20"/>
  <c r="AH66" i="20"/>
  <c r="IC66" i="20"/>
  <c r="AJ67" i="20"/>
  <c r="GF67" i="20"/>
  <c r="HE67" i="20"/>
  <c r="IU67" i="20"/>
  <c r="KK67" i="20"/>
  <c r="BD68" i="20"/>
  <c r="EI68" i="20"/>
  <c r="HK68" i="20"/>
  <c r="IU68" i="20"/>
  <c r="KF68" i="20"/>
  <c r="AQ69" i="20"/>
  <c r="CL69" i="20"/>
  <c r="FQ69" i="20"/>
  <c r="IB69" i="20"/>
  <c r="JH69" i="20"/>
  <c r="KF69" i="20"/>
  <c r="AA70" i="20"/>
  <c r="AV70" i="20"/>
  <c r="BS70" i="20"/>
  <c r="DY70" i="20"/>
  <c r="FN70" i="20"/>
  <c r="GQ70" i="20"/>
  <c r="HD70" i="20"/>
  <c r="IA70" i="20"/>
  <c r="IW70" i="20"/>
  <c r="JP70" i="20"/>
  <c r="KM70" i="20"/>
  <c r="AJ71" i="20"/>
  <c r="BC71" i="20"/>
  <c r="CJ71" i="20"/>
  <c r="EO71" i="20"/>
  <c r="GA71" i="20"/>
  <c r="GQ71" i="20"/>
  <c r="GZ71" i="20"/>
  <c r="HP71" i="20"/>
  <c r="IC71" i="20"/>
  <c r="IN71" i="20"/>
  <c r="IY71" i="20"/>
  <c r="JI71" i="20"/>
  <c r="JR71" i="20"/>
  <c r="KA71" i="20"/>
  <c r="KJ71" i="20"/>
  <c r="O72" i="20"/>
  <c r="AD72" i="20"/>
  <c r="AM72" i="20"/>
  <c r="AV72" i="20"/>
  <c r="BE72" i="20"/>
  <c r="BN72" i="20"/>
  <c r="CA72" i="20"/>
  <c r="DC72" i="20"/>
  <c r="EC72" i="20"/>
  <c r="ES72" i="20"/>
  <c r="FN72" i="20"/>
  <c r="GC72" i="20"/>
  <c r="GN72" i="20"/>
  <c r="GS72" i="20"/>
  <c r="GZ72" i="20"/>
  <c r="HH72" i="20"/>
  <c r="HP72" i="20"/>
  <c r="HX72" i="20"/>
  <c r="IF72" i="20"/>
  <c r="IN72" i="20"/>
  <c r="IV72" i="20"/>
  <c r="JD72" i="20"/>
  <c r="JL72" i="20"/>
  <c r="JT72" i="20"/>
  <c r="KB72" i="20"/>
  <c r="KJ72" i="20"/>
  <c r="K73" i="20"/>
  <c r="Y73" i="20"/>
  <c r="AI73" i="20"/>
  <c r="AQ73" i="20"/>
  <c r="AY73" i="20"/>
  <c r="BG73" i="20"/>
  <c r="BO73" i="20"/>
  <c r="CA73" i="20"/>
  <c r="CU73" i="20"/>
  <c r="DT73" i="20"/>
  <c r="EL73" i="20"/>
  <c r="FA73" i="20"/>
  <c r="FS73" i="20"/>
  <c r="GI73" i="20"/>
  <c r="GS73" i="20"/>
  <c r="GY73" i="20"/>
  <c r="HG73" i="20"/>
  <c r="HO73" i="20"/>
  <c r="HW73" i="20"/>
  <c r="IE73" i="20"/>
  <c r="IM73" i="20"/>
  <c r="IU73" i="20"/>
  <c r="JC73" i="20"/>
  <c r="JK73" i="20"/>
  <c r="JS73" i="20"/>
  <c r="KA73" i="20"/>
  <c r="KI73" i="20"/>
  <c r="I74" i="20"/>
  <c r="V74" i="20"/>
  <c r="AH74" i="20"/>
  <c r="AP74" i="20"/>
  <c r="AX74" i="20"/>
  <c r="BF74" i="20"/>
  <c r="BN74" i="20"/>
  <c r="BZ74" i="20"/>
  <c r="CP74" i="20"/>
  <c r="DS74" i="20"/>
  <c r="EI74" i="20"/>
  <c r="EZ74" i="20"/>
  <c r="FR74" i="20"/>
  <c r="GF74" i="20"/>
  <c r="GN74" i="20"/>
  <c r="GX74" i="20"/>
  <c r="HF74" i="20"/>
  <c r="HN74" i="20"/>
  <c r="HV74" i="20"/>
  <c r="ID74" i="20"/>
  <c r="IL74" i="20"/>
  <c r="IT74" i="20"/>
  <c r="JB74" i="20"/>
  <c r="JJ74" i="20"/>
  <c r="JR74" i="20"/>
  <c r="JZ74" i="20"/>
  <c r="KH74" i="20"/>
  <c r="IZ63" i="20"/>
  <c r="DT65" i="20"/>
  <c r="HV65" i="20"/>
  <c r="AT66" i="20"/>
  <c r="IM66" i="20"/>
  <c r="AV67" i="20"/>
  <c r="HF67" i="20"/>
  <c r="IV67" i="20"/>
  <c r="KN67" i="20"/>
  <c r="BE68" i="20"/>
  <c r="EL68" i="20"/>
  <c r="HS68" i="20"/>
  <c r="JC68" i="20"/>
  <c r="KN68" i="20"/>
  <c r="AY69" i="20"/>
  <c r="DK69" i="20"/>
  <c r="GB69" i="20"/>
  <c r="GW69" i="20"/>
  <c r="IC69" i="20"/>
  <c r="JI69" i="20"/>
  <c r="KG69" i="20"/>
  <c r="AE70" i="20"/>
  <c r="BA70" i="20"/>
  <c r="BU70" i="20"/>
  <c r="ED70" i="20"/>
  <c r="FW70" i="20"/>
  <c r="HI70" i="20"/>
  <c r="IB70" i="20"/>
  <c r="IY70" i="20"/>
  <c r="JU70" i="20"/>
  <c r="KN70" i="20"/>
  <c r="AL71" i="20"/>
  <c r="BH71" i="20"/>
  <c r="CK71" i="20"/>
  <c r="EQ71" i="20"/>
  <c r="GJ71" i="20"/>
  <c r="HB71" i="20"/>
  <c r="HR71" i="20"/>
  <c r="IE71" i="20"/>
  <c r="IP71" i="20"/>
  <c r="JA71" i="20"/>
  <c r="JJ71" i="20"/>
  <c r="JS71" i="20"/>
  <c r="KB71" i="20"/>
  <c r="KL71" i="20"/>
  <c r="P72" i="20"/>
  <c r="AE72" i="20"/>
  <c r="AN72" i="20"/>
  <c r="AW72" i="20"/>
  <c r="BF72" i="20"/>
  <c r="BO72" i="20"/>
  <c r="CI72" i="20"/>
  <c r="DG72" i="20"/>
  <c r="ED72" i="20"/>
  <c r="EV72" i="20"/>
  <c r="FQ72" i="20"/>
  <c r="GF72" i="20"/>
  <c r="GU72" i="20"/>
  <c r="HA72" i="20"/>
  <c r="HI72" i="20"/>
  <c r="HQ72" i="20"/>
  <c r="HY72" i="20"/>
  <c r="IG72" i="20"/>
  <c r="IO72" i="20"/>
  <c r="IW72" i="20"/>
  <c r="JE72" i="20"/>
  <c r="JM72" i="20"/>
  <c r="JU72" i="20"/>
  <c r="KC72" i="20"/>
  <c r="KK72" i="20"/>
  <c r="L73" i="20"/>
  <c r="Z73" i="20"/>
  <c r="AJ73" i="20"/>
  <c r="AR73" i="20"/>
  <c r="AZ73" i="20"/>
  <c r="BH73" i="20"/>
  <c r="BP73" i="20"/>
  <c r="CE73" i="20"/>
  <c r="CZ73" i="20"/>
  <c r="DU73" i="20"/>
  <c r="EO73" i="20"/>
  <c r="FB73" i="20"/>
  <c r="FT73" i="20"/>
  <c r="GJ73" i="20"/>
  <c r="GT73" i="20"/>
  <c r="GZ73" i="20"/>
  <c r="HH73" i="20"/>
  <c r="HP73" i="20"/>
  <c r="HX73" i="20"/>
  <c r="IF73" i="20"/>
  <c r="IN73" i="20"/>
  <c r="IV73" i="20"/>
  <c r="JD73" i="20"/>
  <c r="JL73" i="20"/>
  <c r="JT73" i="20"/>
  <c r="KB73" i="20"/>
  <c r="KJ73" i="20"/>
  <c r="K74" i="20"/>
  <c r="Y74" i="20"/>
  <c r="AI74" i="20"/>
  <c r="AQ74" i="20"/>
  <c r="AY74" i="20"/>
  <c r="BG74" i="20"/>
  <c r="BO74" i="20"/>
  <c r="CA74" i="20"/>
  <c r="CU74" i="20"/>
  <c r="DT74" i="20"/>
  <c r="EL74" i="20"/>
  <c r="FA74" i="20"/>
  <c r="FS74" i="20"/>
  <c r="GI74" i="20"/>
  <c r="GS74" i="20"/>
  <c r="GY74" i="20"/>
  <c r="HG74" i="20"/>
  <c r="HO74" i="20"/>
  <c r="HW74" i="20"/>
  <c r="IE74" i="20"/>
  <c r="IM74" i="20"/>
  <c r="IU74" i="20"/>
  <c r="JC74" i="20"/>
  <c r="JK74" i="20"/>
  <c r="JS74" i="20"/>
  <c r="KA74" i="20"/>
  <c r="KI74" i="20"/>
  <c r="HF58" i="20"/>
  <c r="L60" i="20"/>
  <c r="HF62" i="20"/>
  <c r="KF63" i="20"/>
  <c r="HC64" i="20"/>
  <c r="FN65" i="20"/>
  <c r="IH65" i="20"/>
  <c r="BG66" i="20"/>
  <c r="GP66" i="20"/>
  <c r="IW66" i="20"/>
  <c r="BF67" i="20"/>
  <c r="HO67" i="20"/>
  <c r="JE67" i="20"/>
  <c r="R68" i="20"/>
  <c r="BN68" i="20"/>
  <c r="FB68" i="20"/>
  <c r="HT68" i="20"/>
  <c r="JD68" i="20"/>
  <c r="B69" i="20"/>
  <c r="BA69" i="20"/>
  <c r="DO69" i="20"/>
  <c r="GC69" i="20"/>
  <c r="HD69" i="20"/>
  <c r="IJ69" i="20"/>
  <c r="JP69" i="20"/>
  <c r="KL69" i="20"/>
  <c r="AF70" i="20"/>
  <c r="BC70" i="20"/>
  <c r="CI70" i="20"/>
  <c r="EG70" i="20"/>
  <c r="GA70" i="20"/>
  <c r="HK70" i="20"/>
  <c r="IG70" i="20"/>
  <c r="IZ70" i="20"/>
  <c r="JW70" i="20"/>
  <c r="L71" i="20"/>
  <c r="AM71" i="20"/>
  <c r="BJ71" i="20"/>
  <c r="CZ71" i="20"/>
  <c r="ES71" i="20"/>
  <c r="GL71" i="20"/>
  <c r="GR71" i="20"/>
  <c r="HC71" i="20"/>
  <c r="HS71" i="20"/>
  <c r="IF71" i="20"/>
  <c r="IQ71" i="20"/>
  <c r="JB71" i="20"/>
  <c r="JK71" i="20"/>
  <c r="JT71" i="20"/>
  <c r="KD71" i="20"/>
  <c r="KM71" i="20"/>
  <c r="Q72" i="20"/>
  <c r="AF72" i="20"/>
  <c r="AO72" i="20"/>
  <c r="AX72" i="20"/>
  <c r="BG72" i="20"/>
  <c r="BQ72" i="20"/>
  <c r="CJ72" i="20"/>
  <c r="DH72" i="20"/>
  <c r="EG72" i="20"/>
  <c r="EY72" i="20"/>
  <c r="FR72" i="20"/>
  <c r="GI72" i="20"/>
  <c r="GO72" i="20"/>
  <c r="HB72" i="20"/>
  <c r="HJ72" i="20"/>
  <c r="HR72" i="20"/>
  <c r="HZ72" i="20"/>
  <c r="IH72" i="20"/>
  <c r="IP72" i="20"/>
  <c r="IX72" i="20"/>
  <c r="JF72" i="20"/>
  <c r="JN72" i="20"/>
  <c r="JV72" i="20"/>
  <c r="KD72" i="20"/>
  <c r="KL72" i="20"/>
  <c r="O73" i="20"/>
  <c r="AA73" i="20"/>
  <c r="AK73" i="20"/>
  <c r="AS73" i="20"/>
  <c r="BA73" i="20"/>
  <c r="BI73" i="20"/>
  <c r="BQ73" i="20"/>
  <c r="CI73" i="20"/>
  <c r="DC73" i="20"/>
  <c r="DY73" i="20"/>
  <c r="EP73" i="20"/>
  <c r="FE73" i="20"/>
  <c r="FW73" i="20"/>
  <c r="GK73" i="20"/>
  <c r="GO73" i="20"/>
  <c r="GU73" i="20"/>
  <c r="HA73" i="20"/>
  <c r="HI73" i="20"/>
  <c r="HQ73" i="20"/>
  <c r="HY73" i="20"/>
  <c r="IG73" i="20"/>
  <c r="IO73" i="20"/>
  <c r="IW73" i="20"/>
  <c r="JE73" i="20"/>
  <c r="JM73" i="20"/>
  <c r="JU73" i="20"/>
  <c r="KC73" i="20"/>
  <c r="KK73" i="20"/>
  <c r="L74" i="20"/>
  <c r="Z74" i="20"/>
  <c r="AJ74" i="20"/>
  <c r="AR74" i="20"/>
  <c r="AZ74" i="20"/>
  <c r="BH74" i="20"/>
  <c r="BP74" i="20"/>
  <c r="CE74" i="20"/>
  <c r="CZ74" i="20"/>
  <c r="DU74" i="20"/>
  <c r="EO74" i="20"/>
  <c r="FB74" i="20"/>
  <c r="FT74" i="20"/>
  <c r="GJ74" i="20"/>
  <c r="GT74" i="20"/>
  <c r="GZ74" i="20"/>
  <c r="HH74" i="20"/>
  <c r="HP74" i="20"/>
  <c r="HX74" i="20"/>
  <c r="IF74" i="20"/>
  <c r="IN74" i="20"/>
  <c r="IV74" i="20"/>
  <c r="JD74" i="20"/>
  <c r="JL74" i="20"/>
  <c r="JT74" i="20"/>
  <c r="KB74" i="20"/>
  <c r="KJ74" i="20"/>
  <c r="BD58" i="20"/>
  <c r="KN62" i="20"/>
  <c r="AM64" i="20"/>
  <c r="IB64" i="20"/>
  <c r="IU65" i="20"/>
  <c r="BY66" i="20"/>
  <c r="JI66" i="20"/>
  <c r="BP67" i="20"/>
  <c r="HP67" i="20"/>
  <c r="JH67" i="20"/>
  <c r="S68" i="20"/>
  <c r="BO68" i="20"/>
  <c r="FM68" i="20"/>
  <c r="GS68" i="20"/>
  <c r="IB68" i="20"/>
  <c r="JL68" i="20"/>
  <c r="R69" i="20"/>
  <c r="BI69" i="20"/>
  <c r="EG69" i="20"/>
  <c r="HE69" i="20"/>
  <c r="IK69" i="20"/>
  <c r="JQ69" i="20"/>
  <c r="KN69" i="20"/>
  <c r="AK70" i="20"/>
  <c r="BD70" i="20"/>
  <c r="CK70" i="20"/>
  <c r="EP70" i="20"/>
  <c r="GB70" i="20"/>
  <c r="GU70" i="20"/>
  <c r="HL70" i="20"/>
  <c r="II70" i="20"/>
  <c r="JE70" i="20"/>
  <c r="JX70" i="20"/>
  <c r="P71" i="20"/>
  <c r="AR71" i="20"/>
  <c r="BK71" i="20"/>
  <c r="DG71" i="20"/>
  <c r="FB71" i="20"/>
  <c r="GM71" i="20"/>
  <c r="HE71" i="20"/>
  <c r="HU71" i="20"/>
  <c r="IH71" i="20"/>
  <c r="IS71" i="20"/>
  <c r="JC71" i="20"/>
  <c r="JL71" i="20"/>
  <c r="JV71" i="20"/>
  <c r="KE71" i="20"/>
  <c r="KN71" i="20"/>
  <c r="R72" i="20"/>
  <c r="AG72" i="20"/>
  <c r="AP72" i="20"/>
  <c r="AY72" i="20"/>
  <c r="BI72" i="20"/>
  <c r="BR72" i="20"/>
  <c r="CK72" i="20"/>
  <c r="DK72" i="20"/>
  <c r="EH72" i="20"/>
  <c r="EZ72" i="20"/>
  <c r="FS72" i="20"/>
  <c r="GK72" i="20"/>
  <c r="GP72" i="20"/>
  <c r="GV72" i="20"/>
  <c r="HC72" i="20"/>
  <c r="HK72" i="20"/>
  <c r="HS72" i="20"/>
  <c r="IA72" i="20"/>
  <c r="II72" i="20"/>
  <c r="IQ72" i="20"/>
  <c r="IY72" i="20"/>
  <c r="JG72" i="20"/>
  <c r="JO72" i="20"/>
  <c r="JW72" i="20"/>
  <c r="KE72" i="20"/>
  <c r="KM72" i="20"/>
  <c r="P73" i="20"/>
  <c r="AD73" i="20"/>
  <c r="AL73" i="20"/>
  <c r="AT73" i="20"/>
  <c r="BB73" i="20"/>
  <c r="BJ73" i="20"/>
  <c r="BR73" i="20"/>
  <c r="CJ73" i="20"/>
  <c r="DG73" i="20"/>
  <c r="EC73" i="20"/>
  <c r="EQ73" i="20"/>
  <c r="FF73" i="20"/>
  <c r="FZ73" i="20"/>
  <c r="GL73" i="20"/>
  <c r="GP73" i="20"/>
  <c r="HB73" i="20"/>
  <c r="HJ73" i="20"/>
  <c r="HR73" i="20"/>
  <c r="HZ73" i="20"/>
  <c r="IH73" i="20"/>
  <c r="IP73" i="20"/>
  <c r="IX73" i="20"/>
  <c r="JF73" i="20"/>
  <c r="JN73" i="20"/>
  <c r="JV73" i="20"/>
  <c r="KD73" i="20"/>
  <c r="KL73" i="20"/>
  <c r="O74" i="20"/>
  <c r="AA74" i="20"/>
  <c r="AK74" i="20"/>
  <c r="AS74" i="20"/>
  <c r="BA74" i="20"/>
  <c r="BI74" i="20"/>
  <c r="BQ74" i="20"/>
  <c r="CI74" i="20"/>
  <c r="DC74" i="20"/>
  <c r="DY74" i="20"/>
  <c r="EP74" i="20"/>
  <c r="FE74" i="20"/>
  <c r="FW74" i="20"/>
  <c r="GK74" i="20"/>
  <c r="GO74" i="20"/>
  <c r="GU74" i="20"/>
  <c r="HA74" i="20"/>
  <c r="HI74" i="20"/>
  <c r="HQ74" i="20"/>
  <c r="HY74" i="20"/>
  <c r="IG74" i="20"/>
  <c r="IO74" i="20"/>
  <c r="IW74" i="20"/>
  <c r="JE74" i="20"/>
  <c r="JM74" i="20"/>
  <c r="JU74" i="20"/>
  <c r="KC74" i="20"/>
  <c r="KK74" i="20"/>
  <c r="CO57" i="20"/>
  <c r="F62" i="20"/>
  <c r="DK63" i="20"/>
  <c r="BS64" i="20"/>
  <c r="JA64" i="20"/>
  <c r="GN65" i="20"/>
  <c r="JG65" i="20"/>
  <c r="DC66" i="20"/>
  <c r="JS66" i="20"/>
  <c r="CL67" i="20"/>
  <c r="HY67" i="20"/>
  <c r="JQ67" i="20"/>
  <c r="AH68" i="20"/>
  <c r="CE68" i="20"/>
  <c r="GB68" i="20"/>
  <c r="GT68" i="20"/>
  <c r="IC68" i="20"/>
  <c r="JN68" i="20"/>
  <c r="S69" i="20"/>
  <c r="BJ69" i="20"/>
  <c r="EH69" i="20"/>
  <c r="HL69" i="20"/>
  <c r="IR69" i="20"/>
  <c r="JV69" i="20"/>
  <c r="B70" i="20"/>
  <c r="AM70" i="20"/>
  <c r="BI70" i="20"/>
  <c r="CL70" i="20"/>
  <c r="ES70" i="20"/>
  <c r="GK70" i="20"/>
  <c r="GV70" i="20"/>
  <c r="HQ70" i="20"/>
  <c r="IJ70" i="20"/>
  <c r="JG70" i="20"/>
  <c r="KC70" i="20"/>
  <c r="Q71" i="20"/>
  <c r="AT71" i="20"/>
  <c r="BP71" i="20"/>
  <c r="DH71" i="20"/>
  <c r="FF71" i="20"/>
  <c r="GT71" i="20"/>
  <c r="HH71" i="20"/>
  <c r="HW71" i="20"/>
  <c r="II71" i="20"/>
  <c r="IT71" i="20"/>
  <c r="JD71" i="20"/>
  <c r="JN71" i="20"/>
  <c r="JW71" i="20"/>
  <c r="KF71" i="20"/>
  <c r="B72" i="20"/>
  <c r="S72" i="20"/>
  <c r="AH72" i="20"/>
  <c r="AQ72" i="20"/>
  <c r="BA72" i="20"/>
  <c r="BJ72" i="20"/>
  <c r="BS72" i="20"/>
  <c r="CL72" i="20"/>
  <c r="DO72" i="20"/>
  <c r="EI72" i="20"/>
  <c r="FA72" i="20"/>
  <c r="FW72" i="20"/>
  <c r="GL72" i="20"/>
  <c r="GQ72" i="20"/>
  <c r="HD72" i="20"/>
  <c r="HL72" i="20"/>
  <c r="HT72" i="20"/>
  <c r="IB72" i="20"/>
  <c r="IJ72" i="20"/>
  <c r="IR72" i="20"/>
  <c r="IZ72" i="20"/>
  <c r="JH72" i="20"/>
  <c r="JP72" i="20"/>
  <c r="JX72" i="20"/>
  <c r="KF72" i="20"/>
  <c r="KN72" i="20"/>
  <c r="Q73" i="20"/>
  <c r="AE73" i="20"/>
  <c r="AM73" i="20"/>
  <c r="AU73" i="20"/>
  <c r="BC73" i="20"/>
  <c r="BK73" i="20"/>
  <c r="BS73" i="20"/>
  <c r="CK73" i="20"/>
  <c r="DH73" i="20"/>
  <c r="ED73" i="20"/>
  <c r="ES73" i="20"/>
  <c r="FM73" i="20"/>
  <c r="GA73" i="20"/>
  <c r="GM73" i="20"/>
  <c r="GQ73" i="20"/>
  <c r="GV73" i="20"/>
  <c r="HC73" i="20"/>
  <c r="HK73" i="20"/>
  <c r="HS73" i="20"/>
  <c r="IA73" i="20"/>
  <c r="II73" i="20"/>
  <c r="IQ73" i="20"/>
  <c r="IY73" i="20"/>
  <c r="JG73" i="20"/>
  <c r="JO73" i="20"/>
  <c r="JW73" i="20"/>
  <c r="KE73" i="20"/>
  <c r="KM73" i="20"/>
  <c r="P74" i="20"/>
  <c r="AD74" i="20"/>
  <c r="AL74" i="20"/>
  <c r="AT74" i="20"/>
  <c r="BB74" i="20"/>
  <c r="BJ74" i="20"/>
  <c r="BR74" i="20"/>
  <c r="CJ74" i="20"/>
  <c r="DG74" i="20"/>
  <c r="EC74" i="20"/>
  <c r="EQ74" i="20"/>
  <c r="FF74" i="20"/>
  <c r="FZ74" i="20"/>
  <c r="GL74" i="20"/>
  <c r="GP74" i="20"/>
  <c r="HB74" i="20"/>
  <c r="HJ74" i="20"/>
  <c r="HR74" i="20"/>
  <c r="HZ74" i="20"/>
  <c r="IH74" i="20"/>
  <c r="IP74" i="20"/>
  <c r="IX74" i="20"/>
  <c r="JF74" i="20"/>
  <c r="JN74" i="20"/>
  <c r="JV74" i="20"/>
  <c r="KD74" i="20"/>
  <c r="KL74" i="20"/>
  <c r="FZ62" i="20"/>
  <c r="ES64" i="20"/>
  <c r="KA64" i="20"/>
  <c r="JT65" i="20"/>
  <c r="EI66" i="20"/>
  <c r="GW66" i="20"/>
  <c r="KC66" i="20"/>
  <c r="DS67" i="20"/>
  <c r="IB67" i="20"/>
  <c r="JR67" i="20"/>
  <c r="AI68" i="20"/>
  <c r="CK68" i="20"/>
  <c r="GC68" i="20"/>
  <c r="GZ68" i="20"/>
  <c r="IK68" i="20"/>
  <c r="JV68" i="20"/>
  <c r="AG69" i="20"/>
  <c r="BR69" i="20"/>
  <c r="EV69" i="20"/>
  <c r="HM69" i="20"/>
  <c r="IS69" i="20"/>
  <c r="JX69" i="20"/>
  <c r="O70" i="20"/>
  <c r="AN70" i="20"/>
  <c r="BK70" i="20"/>
  <c r="DC70" i="20"/>
  <c r="EV70" i="20"/>
  <c r="GM70" i="20"/>
  <c r="HS70" i="20"/>
  <c r="IO70" i="20"/>
  <c r="JH70" i="20"/>
  <c r="KE70" i="20"/>
  <c r="Z71" i="20"/>
  <c r="AU71" i="20"/>
  <c r="BR71" i="20"/>
  <c r="DU71" i="20"/>
  <c r="FM71" i="20"/>
  <c r="HJ71" i="20"/>
  <c r="HX71" i="20"/>
  <c r="IK71" i="20"/>
  <c r="IU71" i="20"/>
  <c r="JF71" i="20"/>
  <c r="JO71" i="20"/>
  <c r="JX71" i="20"/>
  <c r="KG71" i="20"/>
  <c r="F72" i="20"/>
  <c r="V72" i="20"/>
  <c r="AI72" i="20"/>
  <c r="AS72" i="20"/>
  <c r="BB72" i="20"/>
  <c r="BK72" i="20"/>
  <c r="BU72" i="20"/>
  <c r="CO72" i="20"/>
  <c r="DS72" i="20"/>
  <c r="EL72" i="20"/>
  <c r="FE72" i="20"/>
  <c r="FZ72" i="20"/>
  <c r="GM72" i="20"/>
  <c r="GW72" i="20"/>
  <c r="HE72" i="20"/>
  <c r="HM72" i="20"/>
  <c r="HU72" i="20"/>
  <c r="IC72" i="20"/>
  <c r="IK72" i="20"/>
  <c r="IS72" i="20"/>
  <c r="JA72" i="20"/>
  <c r="JI72" i="20"/>
  <c r="JQ72" i="20"/>
  <c r="JY72" i="20"/>
  <c r="KG72" i="20"/>
  <c r="B73" i="20"/>
  <c r="R73" i="20"/>
  <c r="AF73" i="20"/>
  <c r="AN73" i="20"/>
  <c r="AV73" i="20"/>
  <c r="BD73" i="20"/>
  <c r="BL73" i="20"/>
  <c r="BU73" i="20"/>
  <c r="CL73" i="20"/>
  <c r="DK73" i="20"/>
  <c r="EG73" i="20"/>
  <c r="EV73" i="20"/>
  <c r="FN73" i="20"/>
  <c r="GB73" i="20"/>
  <c r="HD73" i="20"/>
  <c r="HL73" i="20"/>
  <c r="HT73" i="20"/>
  <c r="IB73" i="20"/>
  <c r="IJ73" i="20"/>
  <c r="IR73" i="20"/>
  <c r="IZ73" i="20"/>
  <c r="JH73" i="20"/>
  <c r="JP73" i="20"/>
  <c r="JX73" i="20"/>
  <c r="KF73" i="20"/>
  <c r="KN73" i="20"/>
  <c r="Q74" i="20"/>
  <c r="AE74" i="20"/>
  <c r="AM74" i="20"/>
  <c r="AU74" i="20"/>
  <c r="BC74" i="20"/>
  <c r="BK74" i="20"/>
  <c r="BS74" i="20"/>
  <c r="CK74" i="20"/>
  <c r="DH74" i="20"/>
  <c r="ED74" i="20"/>
  <c r="ES74" i="20"/>
  <c r="FM74" i="20"/>
  <c r="GA74" i="20"/>
  <c r="GM74" i="20"/>
  <c r="GQ74" i="20"/>
  <c r="GV74" i="20"/>
  <c r="HC74" i="20"/>
  <c r="HK74" i="20"/>
  <c r="HS74" i="20"/>
  <c r="IA74" i="20"/>
  <c r="II74" i="20"/>
  <c r="IQ74" i="20"/>
  <c r="IY74" i="20"/>
  <c r="JG74" i="20"/>
  <c r="JO74" i="20"/>
  <c r="JW74" i="20"/>
  <c r="KE74" i="20"/>
  <c r="KM74" i="20"/>
  <c r="EY69" i="20"/>
  <c r="Q70" i="20"/>
  <c r="HA70" i="20"/>
  <c r="EC71" i="20"/>
  <c r="HK71" i="20"/>
  <c r="I72" i="20"/>
  <c r="DT72" i="20"/>
  <c r="GX72" i="20"/>
  <c r="JJ72" i="20"/>
  <c r="AW73" i="20"/>
  <c r="FQ73" i="20"/>
  <c r="HE73" i="20"/>
  <c r="JQ73" i="20"/>
  <c r="BD74" i="20"/>
  <c r="GB74" i="20"/>
  <c r="IB74" i="20"/>
  <c r="KN74" i="20"/>
  <c r="AS70" i="20"/>
  <c r="HT70" i="20"/>
  <c r="FT71" i="20"/>
  <c r="HZ71" i="20"/>
  <c r="Y72" i="20"/>
  <c r="EP72" i="20"/>
  <c r="HF72" i="20"/>
  <c r="JR72" i="20"/>
  <c r="BE73" i="20"/>
  <c r="GC73" i="20"/>
  <c r="HM73" i="20"/>
  <c r="JY73" i="20"/>
  <c r="BL74" i="20"/>
  <c r="IJ74" i="20"/>
  <c r="Y65" i="20"/>
  <c r="BL70" i="20"/>
  <c r="IQ70" i="20"/>
  <c r="IL71" i="20"/>
  <c r="AK72" i="20"/>
  <c r="FF72" i="20"/>
  <c r="HN72" i="20"/>
  <c r="JZ72" i="20"/>
  <c r="BM73" i="20"/>
  <c r="HU73" i="20"/>
  <c r="KG73" i="20"/>
  <c r="BU74" i="20"/>
  <c r="IR74" i="20"/>
  <c r="GU67" i="20"/>
  <c r="HB68" i="20"/>
  <c r="GR69" i="20"/>
  <c r="DH70" i="20"/>
  <c r="JM70" i="20"/>
  <c r="IV71" i="20"/>
  <c r="AT72" i="20"/>
  <c r="GA72" i="20"/>
  <c r="HV72" i="20"/>
  <c r="KH72" i="20"/>
  <c r="BY73" i="20"/>
  <c r="IC73" i="20"/>
  <c r="B74" i="20"/>
  <c r="CL74" i="20"/>
  <c r="IZ74" i="20"/>
  <c r="HG66" i="20"/>
  <c r="IK67" i="20"/>
  <c r="IL68" i="20"/>
  <c r="FE70" i="20"/>
  <c r="KF70" i="20"/>
  <c r="JG71" i="20"/>
  <c r="BC72" i="20"/>
  <c r="ID72" i="20"/>
  <c r="F73" i="20"/>
  <c r="CO73" i="20"/>
  <c r="IK73" i="20"/>
  <c r="R74" i="20"/>
  <c r="DK74" i="20"/>
  <c r="JH74" i="20"/>
  <c r="B67" i="20"/>
  <c r="KA67" i="20"/>
  <c r="JW68" i="20"/>
  <c r="HT69" i="20"/>
  <c r="AD71" i="20"/>
  <c r="JP71" i="20"/>
  <c r="BL72" i="20"/>
  <c r="IL72" i="20"/>
  <c r="S73" i="20"/>
  <c r="DO73" i="20"/>
  <c r="GR73" i="20"/>
  <c r="IS73" i="20"/>
  <c r="AF74" i="20"/>
  <c r="EG74" i="20"/>
  <c r="HD74" i="20"/>
  <c r="JP74" i="20"/>
  <c r="KH65" i="20"/>
  <c r="EO67" i="20"/>
  <c r="AR68" i="20"/>
  <c r="AH69" i="20"/>
  <c r="IZ69" i="20"/>
  <c r="AZ71" i="20"/>
  <c r="JY71" i="20"/>
  <c r="BY72" i="20"/>
  <c r="GR72" i="20"/>
  <c r="IT72" i="20"/>
  <c r="AG73" i="20"/>
  <c r="EH73" i="20"/>
  <c r="JA73" i="20"/>
  <c r="AN74" i="20"/>
  <c r="EV74" i="20"/>
  <c r="HL74" i="20"/>
  <c r="JX74" i="20"/>
  <c r="FF66" i="20"/>
  <c r="DK68" i="20"/>
  <c r="BS69" i="20"/>
  <c r="JY69" i="20"/>
  <c r="BS71" i="20"/>
  <c r="GV71" i="20"/>
  <c r="KH71" i="20"/>
  <c r="CP72" i="20"/>
  <c r="JB72" i="20"/>
  <c r="AO73" i="20"/>
  <c r="EY73" i="20"/>
  <c r="GW73" i="20"/>
  <c r="JI73" i="20"/>
  <c r="AV74" i="20"/>
  <c r="FN74" i="20"/>
  <c r="HT74" i="20"/>
  <c r="KF74" i="20"/>
  <c r="FV62" i="20"/>
  <c r="CH37" i="20"/>
  <c r="DL64" i="20"/>
  <c r="AX39" i="20"/>
  <c r="EK63" i="20"/>
  <c r="BO38" i="20"/>
  <c r="FO62" i="20"/>
  <c r="CE37" i="20"/>
  <c r="GH61" i="20"/>
  <c r="CN36" i="20"/>
  <c r="CX64" i="20"/>
  <c r="AO39" i="20"/>
  <c r="EU63" i="20"/>
  <c r="BT38" i="20"/>
  <c r="AC63" i="20"/>
  <c r="V38" i="20"/>
  <c r="DB62" i="20"/>
  <c r="AR37" i="20"/>
  <c r="FC60" i="20"/>
  <c r="BW35" i="20"/>
  <c r="CW59" i="20"/>
  <c r="AN34" i="20"/>
  <c r="FY61" i="20"/>
  <c r="CJ36" i="20"/>
  <c r="CM61" i="20"/>
  <c r="AG36" i="20"/>
  <c r="DN60" i="20"/>
  <c r="AZ35" i="20"/>
  <c r="M60" i="20"/>
  <c r="M35" i="20"/>
  <c r="AB58" i="20"/>
  <c r="U33" i="20"/>
  <c r="DB61" i="20"/>
  <c r="AR36" i="20"/>
  <c r="DQ60" i="20"/>
  <c r="BD35" i="20"/>
  <c r="FH59" i="20"/>
  <c r="BZ34" i="20"/>
  <c r="CR62" i="20"/>
  <c r="AJ37" i="20"/>
  <c r="EX61" i="20"/>
  <c r="BV36" i="20"/>
  <c r="AB61" i="20"/>
  <c r="U36" i="20"/>
  <c r="DF60" i="20"/>
  <c r="AU35" i="20"/>
  <c r="DZ59" i="20"/>
  <c r="BI34" i="20"/>
  <c r="ET61" i="20"/>
  <c r="BS36" i="20"/>
  <c r="ET60" i="20"/>
  <c r="BS35" i="20"/>
  <c r="FJ59" i="20"/>
  <c r="CB34" i="20"/>
  <c r="CR59" i="20"/>
  <c r="AJ34" i="20"/>
  <c r="FP60" i="20"/>
  <c r="CF35" i="20"/>
  <c r="G60" i="20"/>
  <c r="F35" i="20"/>
  <c r="GD61" i="20"/>
  <c r="CK36" i="20"/>
  <c r="BT61" i="20"/>
  <c r="W36" i="20"/>
  <c r="DE60" i="20"/>
  <c r="AT35" i="20"/>
  <c r="FL58" i="20"/>
  <c r="CD33" i="20"/>
  <c r="ER61" i="20"/>
  <c r="BR36" i="20"/>
  <c r="A61" i="20"/>
  <c r="B36" i="20"/>
  <c r="CC60" i="20"/>
  <c r="AB35" i="20"/>
  <c r="FL59" i="20"/>
  <c r="CD34" i="20"/>
  <c r="CG59" i="20"/>
  <c r="AE34" i="20"/>
  <c r="DV58" i="20"/>
  <c r="BF33" i="20"/>
  <c r="EF57" i="20"/>
  <c r="BM32" i="20"/>
  <c r="FK56" i="20"/>
  <c r="CC31" i="20"/>
  <c r="FV58" i="20"/>
  <c r="CH33" i="20"/>
  <c r="W58" i="20"/>
  <c r="S33" i="20"/>
  <c r="CT57" i="20"/>
  <c r="AL32" i="20"/>
  <c r="EU56" i="20"/>
  <c r="BT31" i="20"/>
  <c r="E59" i="20"/>
  <c r="E34" i="20"/>
  <c r="BW58" i="20"/>
  <c r="Y33" i="20"/>
  <c r="DR57" i="20"/>
  <c r="BE32" i="20"/>
  <c r="CS56" i="20"/>
  <c r="AK31" i="20"/>
  <c r="CM59" i="20"/>
  <c r="AG34" i="20"/>
  <c r="DN58" i="20"/>
  <c r="AZ33" i="20"/>
  <c r="FY57" i="20"/>
  <c r="CJ32" i="20"/>
  <c r="CM57" i="20"/>
  <c r="AG32" i="20"/>
  <c r="DJ56" i="20"/>
  <c r="AW31" i="20"/>
  <c r="FG58" i="20"/>
  <c r="BY33" i="20"/>
  <c r="FU57" i="20"/>
  <c r="CG32" i="20"/>
  <c r="D57" i="20"/>
  <c r="D32" i="20"/>
  <c r="CR56" i="20"/>
  <c r="AJ31" i="20"/>
  <c r="DF57" i="20"/>
  <c r="AU32" i="20"/>
  <c r="GE56" i="20"/>
  <c r="CL31" i="20"/>
  <c r="EB58" i="20"/>
  <c r="BK33" i="20"/>
  <c r="EB57" i="20"/>
  <c r="BK32" i="20"/>
  <c r="CX56" i="20"/>
  <c r="AO31" i="20"/>
  <c r="FP58" i="20"/>
  <c r="CF33" i="20"/>
  <c r="C58" i="20"/>
  <c r="C33" i="20"/>
  <c r="BX57" i="20"/>
  <c r="Z32" i="20"/>
  <c r="EB56" i="20"/>
  <c r="BK31" i="20"/>
  <c r="DM55" i="20"/>
  <c r="AY30" i="20"/>
  <c r="CR55" i="20"/>
  <c r="AJ30" i="20"/>
  <c r="DR55" i="20"/>
  <c r="BE30" i="20"/>
  <c r="CY55" i="20"/>
  <c r="AP30" i="20"/>
  <c r="FP55" i="20"/>
  <c r="CF30" i="20"/>
  <c r="EA56" i="20"/>
  <c r="BJ31" i="20"/>
  <c r="EW55" i="20"/>
  <c r="BU30" i="20"/>
  <c r="ER55" i="20"/>
  <c r="BR30" i="20"/>
  <c r="DD56" i="20"/>
  <c r="AS31" i="20"/>
  <c r="CT55" i="20"/>
  <c r="AL30" i="20"/>
  <c r="CY54" i="20"/>
  <c r="AP29" i="20"/>
  <c r="CM55" i="20"/>
  <c r="AG30" i="20"/>
  <c r="T54" i="20"/>
  <c r="Q29" i="20"/>
  <c r="D54" i="20"/>
  <c r="D29" i="20"/>
  <c r="DW55" i="20"/>
  <c r="BG30" i="20"/>
  <c r="BX55" i="20"/>
  <c r="Z30" i="20"/>
  <c r="DE55" i="20"/>
  <c r="AT30" i="20"/>
  <c r="FH62" i="20"/>
  <c r="BZ37" i="20"/>
  <c r="DD64" i="20"/>
  <c r="AS39" i="20"/>
  <c r="DZ63" i="20"/>
  <c r="BI38" i="20"/>
  <c r="FC62" i="20"/>
  <c r="BW37" i="20"/>
  <c r="DL61" i="20"/>
  <c r="AX36" i="20"/>
  <c r="CS64" i="20"/>
  <c r="AK39" i="20"/>
  <c r="EE63" i="20"/>
  <c r="BL38" i="20"/>
  <c r="U63" i="20"/>
  <c r="R38" i="20"/>
  <c r="CT62" i="20"/>
  <c r="AL37" i="20"/>
  <c r="EK60" i="20"/>
  <c r="BO35" i="20"/>
  <c r="CH59" i="20"/>
  <c r="AF34" i="20"/>
  <c r="FJ61" i="20"/>
  <c r="CB36" i="20"/>
  <c r="CF61" i="20"/>
  <c r="AD36" i="20"/>
  <c r="DI60" i="20"/>
  <c r="AV35" i="20"/>
  <c r="D60" i="20"/>
  <c r="D35" i="20"/>
  <c r="M62" i="20"/>
  <c r="M37" i="20"/>
  <c r="CB61" i="20"/>
  <c r="AA36" i="20"/>
  <c r="DB60" i="20"/>
  <c r="AR35" i="20"/>
  <c r="DQ59" i="20"/>
  <c r="BD34" i="20"/>
  <c r="CH62" i="20"/>
  <c r="AF37" i="20"/>
  <c r="EJ61" i="20"/>
  <c r="BN36" i="20"/>
  <c r="T61" i="20"/>
  <c r="Q36" i="20"/>
  <c r="CW60" i="20"/>
  <c r="AN35" i="20"/>
  <c r="DP59" i="20"/>
  <c r="BC34" i="20"/>
  <c r="EB61" i="20"/>
  <c r="BK36" i="20"/>
  <c r="EB60" i="20"/>
  <c r="BK35" i="20"/>
  <c r="FG59" i="20"/>
  <c r="BY34" i="20"/>
  <c r="EJ58" i="20"/>
  <c r="BN33" i="20"/>
  <c r="FD60" i="20"/>
  <c r="BX35" i="20"/>
  <c r="GD59" i="20"/>
  <c r="CK34" i="20"/>
  <c r="FK61" i="20"/>
  <c r="CC36" i="20"/>
  <c r="G61" i="20"/>
  <c r="F36" i="20"/>
  <c r="CG60" i="20"/>
  <c r="AE35" i="20"/>
  <c r="DF58" i="20"/>
  <c r="AU33" i="20"/>
  <c r="DJ61" i="20"/>
  <c r="AW36" i="20"/>
  <c r="FV60" i="20"/>
  <c r="CH35" i="20"/>
  <c r="W60" i="20"/>
  <c r="S35" i="20"/>
  <c r="FI59" i="20"/>
  <c r="CA34" i="20"/>
  <c r="BT59" i="20"/>
  <c r="W34" i="20"/>
  <c r="DE58" i="20"/>
  <c r="AT33" i="20"/>
  <c r="EA57" i="20"/>
  <c r="BJ32" i="20"/>
  <c r="EJ56" i="20"/>
  <c r="BN31" i="20"/>
  <c r="FH58" i="20"/>
  <c r="BZ33" i="20"/>
  <c r="N58" i="20"/>
  <c r="N33" i="20"/>
  <c r="CN57" i="20"/>
  <c r="AH32" i="20"/>
  <c r="EN56" i="20"/>
  <c r="BQ31" i="20"/>
  <c r="GG58" i="20"/>
  <c r="CM33" i="20"/>
  <c r="J58" i="20"/>
  <c r="H33" i="20"/>
  <c r="DD57" i="20"/>
  <c r="AS32" i="20"/>
  <c r="FO59" i="20"/>
  <c r="CE34" i="20"/>
  <c r="CF59" i="20"/>
  <c r="AD34" i="20"/>
  <c r="DI58" i="20"/>
  <c r="AV33" i="20"/>
  <c r="FJ57" i="20"/>
  <c r="CB32" i="20"/>
  <c r="CF57" i="20"/>
  <c r="AD32" i="20"/>
  <c r="CF56" i="20"/>
  <c r="AD31" i="20"/>
  <c r="EN58" i="20"/>
  <c r="BQ33" i="20"/>
  <c r="FG57" i="20"/>
  <c r="BY32" i="20"/>
  <c r="FU56" i="20"/>
  <c r="CG31" i="20"/>
  <c r="T58" i="20"/>
  <c r="Q33" i="20"/>
  <c r="CW57" i="20"/>
  <c r="AN32" i="20"/>
  <c r="FL56" i="20"/>
  <c r="CD31" i="20"/>
  <c r="DW58" i="20"/>
  <c r="BG33" i="20"/>
  <c r="DW57" i="20"/>
  <c r="BG32" i="20"/>
  <c r="CM56" i="20"/>
  <c r="AG31" i="20"/>
  <c r="FD58" i="20"/>
  <c r="BX33" i="20"/>
  <c r="GH57" i="20"/>
  <c r="CN32" i="20"/>
  <c r="X57" i="20"/>
  <c r="T32" i="20"/>
  <c r="DN56" i="20"/>
  <c r="AZ31" i="20"/>
  <c r="DD55" i="20"/>
  <c r="AS30" i="20"/>
  <c r="BV56" i="20"/>
  <c r="X31" i="20"/>
  <c r="DJ55" i="20"/>
  <c r="AW30" i="20"/>
  <c r="DL56" i="20"/>
  <c r="AX31" i="20"/>
  <c r="FD55" i="20"/>
  <c r="BX30" i="20"/>
  <c r="DV56" i="20"/>
  <c r="BF31" i="20"/>
  <c r="CW55" i="20"/>
  <c r="AN30" i="20"/>
  <c r="DZ55" i="20"/>
  <c r="BI30" i="20"/>
  <c r="BW56" i="20"/>
  <c r="Y31" i="20"/>
  <c r="BV55" i="20"/>
  <c r="X30" i="20"/>
  <c r="J54" i="20"/>
  <c r="H29" i="20"/>
  <c r="CF55" i="20"/>
  <c r="AD30" i="20"/>
  <c r="M54" i="20"/>
  <c r="M29" i="20"/>
  <c r="AB55" i="20"/>
  <c r="U30" i="20"/>
  <c r="DP55" i="20"/>
  <c r="BC30" i="20"/>
  <c r="X55" i="20"/>
  <c r="T30" i="20"/>
  <c r="CG55" i="20"/>
  <c r="AE30" i="20"/>
  <c r="ER62" i="20"/>
  <c r="BR37" i="20"/>
  <c r="BW64" i="20"/>
  <c r="Y39" i="20"/>
  <c r="DR63" i="20"/>
  <c r="BE38" i="20"/>
  <c r="EK62" i="20"/>
  <c r="BO37" i="20"/>
  <c r="GG60" i="20"/>
  <c r="CM35" i="20"/>
  <c r="CM64" i="20"/>
  <c r="AG39" i="20"/>
  <c r="DN63" i="20"/>
  <c r="AZ38" i="20"/>
  <c r="FY62" i="20"/>
  <c r="CJ37" i="20"/>
  <c r="E62" i="20"/>
  <c r="E37" i="20"/>
  <c r="DZ60" i="20"/>
  <c r="BI35" i="20"/>
  <c r="CX62" i="20"/>
  <c r="AO37" i="20"/>
  <c r="EU61" i="20"/>
  <c r="BT36" i="20"/>
  <c r="AC61" i="20"/>
  <c r="V36" i="20"/>
  <c r="CX60" i="20"/>
  <c r="AO35" i="20"/>
  <c r="EU59" i="20"/>
  <c r="BT34" i="20"/>
  <c r="D62" i="20"/>
  <c r="D37" i="20"/>
  <c r="M61" i="20"/>
  <c r="M36" i="20"/>
  <c r="CB60" i="20"/>
  <c r="AA35" i="20"/>
  <c r="DL59" i="20"/>
  <c r="AX34" i="20"/>
  <c r="BV62" i="20"/>
  <c r="X37" i="20"/>
  <c r="DM61" i="20"/>
  <c r="AY36" i="20"/>
  <c r="H61" i="20"/>
  <c r="G36" i="20"/>
  <c r="CR60" i="20"/>
  <c r="AJ35" i="20"/>
  <c r="BV59" i="20"/>
  <c r="X34" i="20"/>
  <c r="DW61" i="20"/>
  <c r="BG36" i="20"/>
  <c r="DW60" i="20"/>
  <c r="BG35" i="20"/>
  <c r="EX59" i="20"/>
  <c r="BV34" i="20"/>
  <c r="CH58" i="20"/>
  <c r="AF33" i="20"/>
  <c r="EM60" i="20"/>
  <c r="BP35" i="20"/>
  <c r="FV59" i="20"/>
  <c r="CH34" i="20"/>
  <c r="EW61" i="20"/>
  <c r="BU36" i="20"/>
  <c r="GD60" i="20"/>
  <c r="CK35" i="20"/>
  <c r="BT60" i="20"/>
  <c r="W35" i="20"/>
  <c r="CC62" i="20"/>
  <c r="AB37" i="20"/>
  <c r="CY61" i="20"/>
  <c r="AP36" i="20"/>
  <c r="FH60" i="20"/>
  <c r="BZ35" i="20"/>
  <c r="N60" i="20"/>
  <c r="N35" i="20"/>
  <c r="FD59" i="20"/>
  <c r="BX34" i="20"/>
  <c r="G59" i="20"/>
  <c r="F34" i="20"/>
  <c r="CG58" i="20"/>
  <c r="AE33" i="20"/>
  <c r="DV57" i="20"/>
  <c r="BF32" i="20"/>
  <c r="CW56" i="20"/>
  <c r="AN31" i="20"/>
  <c r="ER58" i="20"/>
  <c r="BR33" i="20"/>
  <c r="A58" i="20"/>
  <c r="B33" i="20"/>
  <c r="CC57" i="20"/>
  <c r="AB32" i="20"/>
  <c r="DQ56" i="20"/>
  <c r="BD31" i="20"/>
  <c r="FO58" i="20"/>
  <c r="CE33" i="20"/>
  <c r="E58" i="20"/>
  <c r="E33" i="20"/>
  <c r="BW57" i="20"/>
  <c r="Y32" i="20"/>
  <c r="FC59" i="20"/>
  <c r="BW34" i="20"/>
  <c r="AC59" i="20"/>
  <c r="V34" i="20"/>
  <c r="CX58" i="20"/>
  <c r="AO33" i="20"/>
  <c r="EU57" i="20"/>
  <c r="BT32" i="20"/>
  <c r="AC57" i="20"/>
  <c r="V32" i="20"/>
  <c r="DJ59" i="20"/>
  <c r="AW34" i="20"/>
  <c r="DX58" i="20"/>
  <c r="BH33" i="20"/>
  <c r="EN57" i="20"/>
  <c r="BQ32" i="20"/>
  <c r="FG56" i="20"/>
  <c r="BY31" i="20"/>
  <c r="H58" i="20"/>
  <c r="G33" i="20"/>
  <c r="CR57" i="20"/>
  <c r="AJ32" i="20"/>
  <c r="DW56" i="20"/>
  <c r="BG31" i="20"/>
  <c r="DP58" i="20"/>
  <c r="BC33" i="20"/>
  <c r="DP57" i="20"/>
  <c r="BC32" i="20"/>
  <c r="CV59" i="20"/>
  <c r="AM34" i="20"/>
  <c r="EM58" i="20"/>
  <c r="BP33" i="20"/>
  <c r="FP57" i="20"/>
  <c r="CF32" i="20"/>
  <c r="C57" i="20"/>
  <c r="C32" i="20"/>
  <c r="AC56" i="20"/>
  <c r="V31" i="20"/>
  <c r="M56" i="20"/>
  <c r="M31" i="20"/>
  <c r="AB56" i="20"/>
  <c r="U31" i="20"/>
  <c r="CQ55" i="20"/>
  <c r="AI30" i="20"/>
  <c r="CV56" i="20"/>
  <c r="AM31" i="20"/>
  <c r="EM55" i="20"/>
  <c r="BP30" i="20"/>
  <c r="DE56" i="20"/>
  <c r="AT31" i="20"/>
  <c r="CC56" i="20"/>
  <c r="AB31" i="20"/>
  <c r="CV55" i="20"/>
  <c r="AM30" i="20"/>
  <c r="J56" i="20"/>
  <c r="H31" i="20"/>
  <c r="A55" i="20"/>
  <c r="B30" i="20"/>
  <c r="A54" i="20"/>
  <c r="B29" i="20"/>
  <c r="AC55" i="20"/>
  <c r="V30" i="20"/>
  <c r="DX55" i="20"/>
  <c r="BH30" i="20"/>
  <c r="T55" i="20"/>
  <c r="Q30" i="20"/>
  <c r="DA55" i="20"/>
  <c r="AQ30" i="20"/>
  <c r="DE54" i="20"/>
  <c r="AT29" i="20"/>
  <c r="BT55" i="20"/>
  <c r="W30" i="20"/>
  <c r="DJ62" i="20"/>
  <c r="AW37" i="20"/>
  <c r="J64" i="20"/>
  <c r="H39" i="20"/>
  <c r="DD63" i="20"/>
  <c r="AS38" i="20"/>
  <c r="DZ62" i="20"/>
  <c r="BI37" i="20"/>
  <c r="FO64" i="20"/>
  <c r="CE39" i="20"/>
  <c r="CF64" i="20"/>
  <c r="AD39" i="20"/>
  <c r="DI63" i="20"/>
  <c r="AV38" i="20"/>
  <c r="FJ62" i="20"/>
  <c r="CB37" i="20"/>
  <c r="GG61" i="20"/>
  <c r="CM36" i="20"/>
  <c r="DR60" i="20"/>
  <c r="BE35" i="20"/>
  <c r="CS62" i="20"/>
  <c r="AK37" i="20"/>
  <c r="EE61" i="20"/>
  <c r="BL36" i="20"/>
  <c r="U61" i="20"/>
  <c r="R36" i="20"/>
  <c r="CS60" i="20"/>
  <c r="AK35" i="20"/>
  <c r="EN59" i="20"/>
  <c r="BQ34" i="20"/>
  <c r="FU61" i="20"/>
  <c r="CG36" i="20"/>
  <c r="D61" i="20"/>
  <c r="D36" i="20"/>
  <c r="H60" i="20"/>
  <c r="G35" i="20"/>
  <c r="DD59" i="20"/>
  <c r="AS34" i="20"/>
  <c r="AB62" i="20"/>
  <c r="U37" i="20"/>
  <c r="DF61" i="20"/>
  <c r="AU36" i="20"/>
  <c r="GE60" i="20"/>
  <c r="CL35" i="20"/>
  <c r="CH60" i="20"/>
  <c r="AF35" i="20"/>
  <c r="H59" i="20"/>
  <c r="G34" i="20"/>
  <c r="DP61" i="20"/>
  <c r="BC36" i="20"/>
  <c r="DP60" i="20"/>
  <c r="BC35" i="20"/>
  <c r="ET59" i="20"/>
  <c r="BS34" i="20"/>
  <c r="BV58" i="20"/>
  <c r="X33" i="20"/>
  <c r="DL60" i="20"/>
  <c r="AX35" i="20"/>
  <c r="DX59" i="20"/>
  <c r="BH34" i="20"/>
  <c r="EF61" i="20"/>
  <c r="BM36" i="20"/>
  <c r="FK60" i="20"/>
  <c r="CC35" i="20"/>
  <c r="A60" i="20"/>
  <c r="B35" i="20"/>
  <c r="W62" i="20"/>
  <c r="S37" i="20"/>
  <c r="CT61" i="20"/>
  <c r="AL36" i="20"/>
  <c r="ER60" i="20"/>
  <c r="BR35" i="20"/>
  <c r="J60" i="20"/>
  <c r="H35" i="20"/>
  <c r="EW59" i="20"/>
  <c r="BU34" i="20"/>
  <c r="GD58" i="20"/>
  <c r="CK33" i="20"/>
  <c r="BT58" i="20"/>
  <c r="W33" i="20"/>
  <c r="DE57" i="20"/>
  <c r="AT32" i="20"/>
  <c r="CH56" i="20"/>
  <c r="AF31" i="20"/>
  <c r="DJ58" i="20"/>
  <c r="AW33" i="20"/>
  <c r="FV57" i="20"/>
  <c r="CH32" i="20"/>
  <c r="W57" i="20"/>
  <c r="S32" i="20"/>
  <c r="DM56" i="20"/>
  <c r="AY31" i="20"/>
  <c r="FC58" i="20"/>
  <c r="BW33" i="20"/>
  <c r="GG57" i="20"/>
  <c r="CM32" i="20"/>
  <c r="J57" i="20"/>
  <c r="H32" i="20"/>
  <c r="EK59" i="20"/>
  <c r="BO34" i="20"/>
  <c r="U59" i="20"/>
  <c r="R34" i="20"/>
  <c r="CS58" i="20"/>
  <c r="AK33" i="20"/>
  <c r="EE57" i="20"/>
  <c r="BL32" i="20"/>
  <c r="U57" i="20"/>
  <c r="R32" i="20"/>
  <c r="DB59" i="20"/>
  <c r="AR34" i="20"/>
  <c r="DQ58" i="20"/>
  <c r="BD33" i="20"/>
  <c r="DX57" i="20"/>
  <c r="BH32" i="20"/>
  <c r="EX56" i="20"/>
  <c r="BV31" i="20"/>
  <c r="GE57" i="20"/>
  <c r="CL32" i="20"/>
  <c r="CH57" i="20"/>
  <c r="AF32" i="20"/>
  <c r="CY56" i="20"/>
  <c r="AP31" i="20"/>
  <c r="DA58" i="20"/>
  <c r="AQ33" i="20"/>
  <c r="DA57" i="20"/>
  <c r="AQ32" i="20"/>
  <c r="CQ59" i="20"/>
  <c r="AI34" i="20"/>
  <c r="DL58" i="20"/>
  <c r="AX33" i="20"/>
  <c r="FD57" i="20"/>
  <c r="BX32" i="20"/>
  <c r="GH56" i="20"/>
  <c r="CN31" i="20"/>
  <c r="U56" i="20"/>
  <c r="R31" i="20"/>
  <c r="D56" i="20"/>
  <c r="D31" i="20"/>
  <c r="T56" i="20"/>
  <c r="Q31" i="20"/>
  <c r="DA56" i="20"/>
  <c r="AQ31" i="20"/>
  <c r="CQ56" i="20"/>
  <c r="AI31" i="20"/>
  <c r="DF55" i="20"/>
  <c r="AU30" i="20"/>
  <c r="CG56" i="20"/>
  <c r="AE31" i="20"/>
  <c r="W56" i="20"/>
  <c r="S31" i="20"/>
  <c r="BW55" i="20"/>
  <c r="Y30" i="20"/>
  <c r="E56" i="20"/>
  <c r="E31" i="20"/>
  <c r="CN55" i="20"/>
  <c r="AH30" i="20"/>
  <c r="EE55" i="20"/>
  <c r="BL30" i="20"/>
  <c r="U55" i="20"/>
  <c r="R30" i="20"/>
  <c r="DQ55" i="20"/>
  <c r="BD30" i="20"/>
  <c r="D55" i="20"/>
  <c r="D30" i="20"/>
  <c r="CD55" i="20"/>
  <c r="AC30" i="20"/>
  <c r="BT54" i="20"/>
  <c r="W29" i="20"/>
  <c r="C55" i="20"/>
  <c r="C30" i="20"/>
  <c r="FO61" i="20"/>
  <c r="CE36" i="20"/>
  <c r="E64" i="20"/>
  <c r="E39" i="20"/>
  <c r="BW63" i="20"/>
  <c r="Y38" i="20"/>
  <c r="DR62" i="20"/>
  <c r="BE37" i="20"/>
  <c r="FC64" i="20"/>
  <c r="BW39" i="20"/>
  <c r="AC64" i="20"/>
  <c r="V39" i="20"/>
  <c r="CX63" i="20"/>
  <c r="AO38" i="20"/>
  <c r="EU62" i="20"/>
  <c r="BT37" i="20"/>
  <c r="DZ61" i="20"/>
  <c r="BI36" i="20"/>
  <c r="DD60" i="20"/>
  <c r="AS35" i="20"/>
  <c r="CM62" i="20"/>
  <c r="AG37" i="20"/>
  <c r="DN61" i="20"/>
  <c r="AZ36" i="20"/>
  <c r="FY60" i="20"/>
  <c r="CJ35" i="20"/>
  <c r="CM60" i="20"/>
  <c r="AG35" i="20"/>
  <c r="EJ59" i="20"/>
  <c r="BN34" i="20"/>
  <c r="FG61" i="20"/>
  <c r="BY36" i="20"/>
  <c r="FU60" i="20"/>
  <c r="CG35" i="20"/>
  <c r="GE59" i="20"/>
  <c r="CL34" i="20"/>
  <c r="CT59" i="20"/>
  <c r="AL34" i="20"/>
  <c r="T62" i="20"/>
  <c r="Q37" i="20"/>
  <c r="CW61" i="20"/>
  <c r="AN36" i="20"/>
  <c r="FL60" i="20"/>
  <c r="CD35" i="20"/>
  <c r="BV60" i="20"/>
  <c r="X35" i="20"/>
  <c r="GE58" i="20"/>
  <c r="CL33" i="20"/>
  <c r="DA61" i="20"/>
  <c r="AQ36" i="20"/>
  <c r="DA60" i="20"/>
  <c r="AQ35" i="20"/>
  <c r="EM59" i="20"/>
  <c r="BP34" i="20"/>
  <c r="BX61" i="20"/>
  <c r="Z36" i="20"/>
  <c r="CV60" i="20"/>
  <c r="AM35" i="20"/>
  <c r="DM58" i="20"/>
  <c r="AY33" i="20"/>
  <c r="EA61" i="20"/>
  <c r="BJ36" i="20"/>
  <c r="EW60" i="20"/>
  <c r="BU35" i="20"/>
  <c r="DW59" i="20"/>
  <c r="BG34" i="20"/>
  <c r="N62" i="20"/>
  <c r="N37" i="20"/>
  <c r="CN61" i="20"/>
  <c r="AH36" i="20"/>
  <c r="DJ60" i="20"/>
  <c r="AW35" i="20"/>
  <c r="E60" i="20"/>
  <c r="E35" i="20"/>
  <c r="ER59" i="20"/>
  <c r="BR34" i="20"/>
  <c r="FK58" i="20"/>
  <c r="CC33" i="20"/>
  <c r="G58" i="20"/>
  <c r="F33" i="20"/>
  <c r="CG57" i="20"/>
  <c r="AE32" i="20"/>
  <c r="CC59" i="20"/>
  <c r="AB34" i="20"/>
  <c r="CY58" i="20"/>
  <c r="AP33" i="20"/>
  <c r="FH57" i="20"/>
  <c r="BZ32" i="20"/>
  <c r="N57" i="20"/>
  <c r="N32" i="20"/>
  <c r="CT56" i="20"/>
  <c r="AL31" i="20"/>
  <c r="EK58" i="20"/>
  <c r="BO33" i="20"/>
  <c r="FO57" i="20"/>
  <c r="CE32" i="20"/>
  <c r="E57" i="20"/>
  <c r="E32" i="20"/>
  <c r="EA59" i="20"/>
  <c r="BJ34" i="20"/>
  <c r="FY58" i="20"/>
  <c r="CJ33" i="20"/>
  <c r="CM58" i="20"/>
  <c r="AG33" i="20"/>
  <c r="DN57" i="20"/>
  <c r="AZ32" i="20"/>
  <c r="FY56" i="20"/>
  <c r="CJ31" i="20"/>
  <c r="CB59" i="20"/>
  <c r="AA34" i="20"/>
  <c r="DB58" i="20"/>
  <c r="AR33" i="20"/>
  <c r="DQ57" i="20"/>
  <c r="BD32" i="20"/>
  <c r="ET56" i="20"/>
  <c r="BS31" i="20"/>
  <c r="FL57" i="20"/>
  <c r="CD32" i="20"/>
  <c r="BV57" i="20"/>
  <c r="X32" i="20"/>
  <c r="CN56" i="20"/>
  <c r="AH31" i="20"/>
  <c r="CD58" i="20"/>
  <c r="AC33" i="20"/>
  <c r="CD57" i="20"/>
  <c r="AC32" i="20"/>
  <c r="BX59" i="20"/>
  <c r="Z34" i="20"/>
  <c r="CV58" i="20"/>
  <c r="AM33" i="20"/>
  <c r="EM57" i="20"/>
  <c r="BP32" i="20"/>
  <c r="FP56" i="20"/>
  <c r="CF31" i="20"/>
  <c r="FY55" i="20"/>
  <c r="CJ30" i="20"/>
  <c r="FU55" i="20"/>
  <c r="CG30" i="20"/>
  <c r="H56" i="20"/>
  <c r="G31" i="20"/>
  <c r="CD56" i="20"/>
  <c r="AC31" i="20"/>
  <c r="BX56" i="20"/>
  <c r="Z31" i="20"/>
  <c r="CH55" i="20"/>
  <c r="AF30" i="20"/>
  <c r="BT56" i="20"/>
  <c r="W31" i="20"/>
  <c r="N56" i="20"/>
  <c r="N31" i="20"/>
  <c r="FC56" i="20"/>
  <c r="BW31" i="20"/>
  <c r="GG55" i="20"/>
  <c r="CM30" i="20"/>
  <c r="CC55" i="20"/>
  <c r="AB30" i="20"/>
  <c r="DN55" i="20"/>
  <c r="AZ30" i="20"/>
  <c r="J55" i="20"/>
  <c r="H30" i="20"/>
  <c r="DB55" i="20"/>
  <c r="AR30" i="20"/>
  <c r="DF54" i="20"/>
  <c r="AU29" i="20"/>
  <c r="H55" i="20"/>
  <c r="G30" i="20"/>
  <c r="G54" i="20"/>
  <c r="F29" i="20"/>
  <c r="AP103" i="24"/>
  <c r="AP104" i="24"/>
  <c r="AQ101" i="24"/>
  <c r="AO107" i="23"/>
  <c r="AO108" i="23"/>
  <c r="AP105" i="23"/>
  <c r="D223" i="24" a="1"/>
  <c r="X177" i="23"/>
  <c r="X185" i="23"/>
  <c r="X188" i="23"/>
  <c r="X158" i="23"/>
  <c r="X170" i="23"/>
  <c r="V177" i="23"/>
  <c r="V185" i="23"/>
  <c r="V188" i="23"/>
  <c r="V158" i="23"/>
  <c r="V170" i="23"/>
  <c r="S177" i="23"/>
  <c r="S185" i="23"/>
  <c r="S188" i="23"/>
  <c r="S158" i="23"/>
  <c r="S170" i="23"/>
  <c r="T177" i="23"/>
  <c r="T185" i="23"/>
  <c r="T188" i="23"/>
  <c r="T158" i="23"/>
  <c r="T170" i="23"/>
  <c r="M185" i="23"/>
  <c r="M188" i="23"/>
  <c r="M177" i="23"/>
  <c r="M158" i="23"/>
  <c r="M170" i="23"/>
  <c r="O177" i="23"/>
  <c r="O185" i="23"/>
  <c r="O188" i="23"/>
  <c r="O158" i="23"/>
  <c r="O170" i="23"/>
  <c r="S136" i="23"/>
  <c r="T144" i="23"/>
  <c r="X136" i="23"/>
  <c r="L177" i="23"/>
  <c r="L185" i="23"/>
  <c r="L188" i="23"/>
  <c r="L158" i="23"/>
  <c r="L170" i="23"/>
  <c r="E177" i="23"/>
  <c r="E185" i="23"/>
  <c r="E158" i="23"/>
  <c r="E170" i="23"/>
  <c r="J185" i="23"/>
  <c r="J188" i="23"/>
  <c r="J177" i="23"/>
  <c r="J158" i="23"/>
  <c r="J170" i="23"/>
  <c r="Q177" i="23"/>
  <c r="Q185" i="23"/>
  <c r="Q188" i="23"/>
  <c r="Q158" i="23"/>
  <c r="Q170" i="23"/>
  <c r="G177" i="23"/>
  <c r="G185" i="23"/>
  <c r="G158" i="23"/>
  <c r="G170" i="23"/>
  <c r="K177" i="23"/>
  <c r="K185" i="23"/>
  <c r="K188" i="23"/>
  <c r="K158" i="23"/>
  <c r="K170" i="23"/>
  <c r="H177" i="23"/>
  <c r="H185" i="23"/>
  <c r="H158" i="23"/>
  <c r="H170" i="23"/>
  <c r="Z103" i="23"/>
  <c r="Z101" i="23"/>
  <c r="N185" i="23"/>
  <c r="N188" i="23"/>
  <c r="N177" i="23"/>
  <c r="N158" i="23"/>
  <c r="N170" i="23"/>
  <c r="U177" i="23"/>
  <c r="U185" i="23"/>
  <c r="U188" i="23"/>
  <c r="U158" i="23"/>
  <c r="U170" i="23"/>
  <c r="F177" i="23"/>
  <c r="F185" i="23"/>
  <c r="F158" i="23"/>
  <c r="F170" i="23"/>
  <c r="W185" i="23"/>
  <c r="W188" i="23"/>
  <c r="W177" i="23"/>
  <c r="W158" i="23"/>
  <c r="W170" i="23"/>
  <c r="R177" i="23"/>
  <c r="R185" i="23"/>
  <c r="R188" i="23"/>
  <c r="R158" i="23"/>
  <c r="R170" i="23"/>
  <c r="P185" i="23"/>
  <c r="P188" i="23"/>
  <c r="P177" i="23"/>
  <c r="P158" i="23"/>
  <c r="P170" i="23"/>
  <c r="I177" i="23"/>
  <c r="I185" i="23"/>
  <c r="I158" i="23"/>
  <c r="I170" i="23"/>
  <c r="T154" i="23"/>
  <c r="U144" i="23"/>
  <c r="AA100" i="23"/>
  <c r="Z102" i="23"/>
  <c r="J223" i="24"/>
  <c r="R223" i="24"/>
  <c r="Z223" i="24"/>
  <c r="AH223" i="24"/>
  <c r="AP223" i="24"/>
  <c r="D223" i="24"/>
  <c r="L223" i="24"/>
  <c r="AB223" i="24"/>
  <c r="AR223" i="24"/>
  <c r="Y223" i="24"/>
  <c r="K223" i="24"/>
  <c r="S223" i="24"/>
  <c r="AA223" i="24"/>
  <c r="AI223" i="24"/>
  <c r="AQ223" i="24"/>
  <c r="AJ223" i="24"/>
  <c r="M223" i="24"/>
  <c r="AC223" i="24"/>
  <c r="AS223" i="24"/>
  <c r="T223" i="24"/>
  <c r="E223" i="24"/>
  <c r="U223" i="24"/>
  <c r="AK223" i="24"/>
  <c r="F223" i="24"/>
  <c r="N223" i="24"/>
  <c r="V223" i="24"/>
  <c r="AD223" i="24"/>
  <c r="AL223" i="24"/>
  <c r="G223" i="24"/>
  <c r="O223" i="24"/>
  <c r="AE223" i="24"/>
  <c r="AM223" i="24"/>
  <c r="Q223" i="24"/>
  <c r="W223" i="24"/>
  <c r="H223" i="24"/>
  <c r="P223" i="24"/>
  <c r="X223" i="24"/>
  <c r="AF223" i="24"/>
  <c r="AN223" i="24"/>
  <c r="I223" i="24"/>
  <c r="AG223" i="24"/>
  <c r="AO223" i="24"/>
  <c r="AP107" i="23"/>
  <c r="AP108" i="23"/>
  <c r="AQ105" i="23"/>
  <c r="AQ103" i="24"/>
  <c r="AQ104" i="24"/>
  <c r="AR101" i="24"/>
  <c r="AQ107" i="23"/>
  <c r="AQ108" i="23"/>
  <c r="AR105" i="23"/>
  <c r="AR103" i="24"/>
  <c r="AR104" i="24"/>
  <c r="AA101" i="23"/>
  <c r="AA103" i="23"/>
  <c r="U154" i="23"/>
  <c r="V144" i="23"/>
  <c r="T186" i="23"/>
  <c r="T189" i="23"/>
  <c r="T180" i="23"/>
  <c r="T159" i="23"/>
  <c r="T171" i="23"/>
  <c r="T198" i="23"/>
  <c r="W144" i="23"/>
  <c r="V154" i="23"/>
  <c r="U180" i="23"/>
  <c r="U186" i="23"/>
  <c r="U189" i="23"/>
  <c r="U198" i="23"/>
  <c r="U209" i="23"/>
  <c r="U159" i="23"/>
  <c r="U171" i="23"/>
  <c r="AA102" i="23"/>
  <c r="AB100" i="23"/>
  <c r="T209" i="23"/>
  <c r="T210" i="23"/>
  <c r="U210" i="23"/>
  <c r="AR107" i="23"/>
  <c r="AR108" i="23"/>
  <c r="AB103" i="23"/>
  <c r="AB101" i="23"/>
  <c r="V186" i="23"/>
  <c r="V189" i="23"/>
  <c r="V180" i="23"/>
  <c r="V198" i="23"/>
  <c r="V209" i="23"/>
  <c r="V159" i="23"/>
  <c r="V171" i="23"/>
  <c r="X144" i="23"/>
  <c r="X154" i="23"/>
  <c r="W154" i="23"/>
  <c r="X186" i="23"/>
  <c r="X189" i="23"/>
  <c r="X180" i="23"/>
  <c r="X159" i="23"/>
  <c r="X171" i="23"/>
  <c r="X198" i="23"/>
  <c r="X209" i="23"/>
  <c r="V210" i="23"/>
  <c r="W198" i="23"/>
  <c r="W210" i="23"/>
  <c r="X210" i="23"/>
  <c r="A54" i="14" a="1"/>
  <c r="W186" i="23"/>
  <c r="W189" i="23"/>
  <c r="W180" i="23"/>
  <c r="W209" i="23"/>
  <c r="W159" i="23"/>
  <c r="W171" i="23"/>
  <c r="AC100" i="23"/>
  <c r="AB102" i="23"/>
  <c r="E54" i="14"/>
  <c r="E29" i="14"/>
  <c r="J54" i="14"/>
  <c r="H29" i="14"/>
  <c r="CF54" i="14"/>
  <c r="Y29" i="14"/>
  <c r="DG54" i="14"/>
  <c r="AU29" i="14"/>
  <c r="GK54" i="14"/>
  <c r="CO29" i="14"/>
  <c r="P55" i="14"/>
  <c r="K30" i="14"/>
  <c r="CM55" i="14"/>
  <c r="AC30" i="14"/>
  <c r="DJ55" i="14"/>
  <c r="AW30" i="14"/>
  <c r="DO55" i="14"/>
  <c r="BA30" i="14"/>
  <c r="DU55" i="14"/>
  <c r="BF30" i="14"/>
  <c r="DZ55" i="14"/>
  <c r="BJ30" i="14"/>
  <c r="EE55" i="14"/>
  <c r="BM30" i="14"/>
  <c r="EQ55" i="14"/>
  <c r="BR30" i="14"/>
  <c r="EV55" i="14"/>
  <c r="BU30" i="14"/>
  <c r="FB55" i="14"/>
  <c r="BX30" i="14"/>
  <c r="FN55" i="14"/>
  <c r="CF30" i="14"/>
  <c r="GF55" i="14"/>
  <c r="CN30" i="14"/>
  <c r="E56" i="14"/>
  <c r="E31" i="14"/>
  <c r="HA72" i="14"/>
  <c r="CY47" i="14"/>
  <c r="HA68" i="14"/>
  <c r="CY43" i="14"/>
  <c r="HA64" i="14"/>
  <c r="CY39" i="14"/>
  <c r="HA60" i="14"/>
  <c r="CY35" i="14"/>
  <c r="HA56" i="14"/>
  <c r="CY31" i="14"/>
  <c r="P54" i="14"/>
  <c r="K29" i="14"/>
  <c r="AD54" i="14"/>
  <c r="R29" i="14"/>
  <c r="GQ54" i="14"/>
  <c r="CS29" i="14"/>
  <c r="GX54" i="14"/>
  <c r="CW29" i="14"/>
  <c r="C55" i="14"/>
  <c r="C30" i="14"/>
  <c r="G55" i="14"/>
  <c r="F30" i="14"/>
  <c r="T55" i="14"/>
  <c r="N30" i="14"/>
  <c r="AC55" i="14"/>
  <c r="Q30" i="14"/>
  <c r="AK55" i="14"/>
  <c r="U30" i="14"/>
  <c r="CE55" i="14"/>
  <c r="X30" i="14"/>
  <c r="CQ55" i="14"/>
  <c r="AF30" i="14"/>
  <c r="CW55" i="14"/>
  <c r="AK30" i="14"/>
  <c r="DB55" i="14"/>
  <c r="AO30" i="14"/>
  <c r="DF55" i="14"/>
  <c r="AT30" i="14"/>
  <c r="FG55" i="14"/>
  <c r="CA30" i="14"/>
  <c r="A54" i="14"/>
  <c r="B29" i="14"/>
  <c r="V54" i="14"/>
  <c r="O29" i="14"/>
  <c r="DC54" i="14"/>
  <c r="AP29" i="14"/>
  <c r="GL54" i="14"/>
  <c r="CP29" i="14"/>
  <c r="N55" i="14"/>
  <c r="I30" i="14"/>
  <c r="CK55" i="14"/>
  <c r="AA30" i="14"/>
  <c r="DL55" i="14"/>
  <c r="AX30" i="14"/>
  <c r="DP55" i="14"/>
  <c r="BB30" i="14"/>
  <c r="DV55" i="14"/>
  <c r="BG30" i="14"/>
  <c r="EA55" i="14"/>
  <c r="BK30" i="14"/>
  <c r="EJ55" i="14"/>
  <c r="BO30" i="14"/>
  <c r="EW55" i="14"/>
  <c r="BV30" i="14"/>
  <c r="FJ55" i="14"/>
  <c r="CD30" i="14"/>
  <c r="GC55" i="14"/>
  <c r="CL30" i="14"/>
  <c r="GK55" i="14"/>
  <c r="CO30" i="14"/>
  <c r="P56" i="14"/>
  <c r="K31" i="14"/>
  <c r="HA71" i="14"/>
  <c r="CY46" i="14"/>
  <c r="HA67" i="14"/>
  <c r="CY42" i="14"/>
  <c r="HA63" i="14"/>
  <c r="CY38" i="14"/>
  <c r="HA59" i="14"/>
  <c r="CY34" i="14"/>
  <c r="HA55" i="14"/>
  <c r="CY30" i="14"/>
  <c r="G54" i="14"/>
  <c r="F29" i="14"/>
  <c r="N54" i="14"/>
  <c r="I29" i="14"/>
  <c r="AF54" i="14"/>
  <c r="S29" i="14"/>
  <c r="GS54" i="14"/>
  <c r="CT29" i="14"/>
  <c r="Q55" i="14"/>
  <c r="L30" i="14"/>
  <c r="AD55" i="14"/>
  <c r="R30" i="14"/>
  <c r="AL55" i="14"/>
  <c r="V30" i="14"/>
  <c r="CO55" i="14"/>
  <c r="AD30" i="14"/>
  <c r="CX55" i="14"/>
  <c r="AL30" i="14"/>
  <c r="DC55" i="14"/>
  <c r="AP30" i="14"/>
  <c r="EI55" i="14"/>
  <c r="BN30" i="14"/>
  <c r="C54" i="14"/>
  <c r="C29" i="14"/>
  <c r="S54" i="14"/>
  <c r="M29" i="14"/>
  <c r="CC54" i="14"/>
  <c r="W29" i="14"/>
  <c r="ED54" i="14"/>
  <c r="BL29" i="14"/>
  <c r="GO54" i="14"/>
  <c r="CQ29" i="14"/>
  <c r="GZ54" i="14"/>
  <c r="CX29" i="14"/>
  <c r="D55" i="14"/>
  <c r="D30" i="14"/>
  <c r="H55" i="14"/>
  <c r="G30" i="14"/>
  <c r="V55" i="14"/>
  <c r="O30" i="14"/>
  <c r="HA74" i="14"/>
  <c r="CY49" i="14"/>
  <c r="HA70" i="14"/>
  <c r="CY45" i="14"/>
  <c r="HA66" i="14"/>
  <c r="CY41" i="14"/>
  <c r="HA62" i="14"/>
  <c r="CY37" i="14"/>
  <c r="HA58" i="14"/>
  <c r="CY33" i="14"/>
  <c r="HA54" i="14"/>
  <c r="CY29" i="14"/>
  <c r="W54" i="14"/>
  <c r="P29" i="14"/>
  <c r="AG54" i="14"/>
  <c r="T29" i="14"/>
  <c r="GU54" i="14"/>
  <c r="CU29" i="14"/>
  <c r="O55" i="14"/>
  <c r="J30" i="14"/>
  <c r="AF55" i="14"/>
  <c r="S30" i="14"/>
  <c r="CL55" i="14"/>
  <c r="AB30" i="14"/>
  <c r="CU55" i="14"/>
  <c r="AI30" i="14"/>
  <c r="CZ55" i="14"/>
  <c r="AM30" i="14"/>
  <c r="ED55" i="14"/>
  <c r="BL30" i="14"/>
  <c r="FA55" i="14"/>
  <c r="BW30" i="14"/>
  <c r="FM55" i="14"/>
  <c r="CE30" i="14"/>
  <c r="GE55" i="14"/>
  <c r="CM30" i="14"/>
  <c r="GS55" i="14"/>
  <c r="CT30" i="14"/>
  <c r="D54" i="14"/>
  <c r="D29" i="14"/>
  <c r="H54" i="14"/>
  <c r="G29" i="14"/>
  <c r="O54" i="14"/>
  <c r="J29" i="14"/>
  <c r="CE54" i="14"/>
  <c r="X29" i="14"/>
  <c r="DF54" i="14"/>
  <c r="AT29" i="14"/>
  <c r="EE54" i="14"/>
  <c r="BM29" i="14"/>
  <c r="E55" i="14"/>
  <c r="E30" i="14"/>
  <c r="S55" i="14"/>
  <c r="M30" i="14"/>
  <c r="CC55" i="14"/>
  <c r="W30" i="14"/>
  <c r="HA73" i="14"/>
  <c r="CY48" i="14"/>
  <c r="A55" i="14"/>
  <c r="B30" i="14"/>
  <c r="AG55" i="14"/>
  <c r="T30" i="14"/>
  <c r="GU55" i="14"/>
  <c r="CU30" i="14"/>
  <c r="C56" i="14"/>
  <c r="C31" i="14"/>
  <c r="V56" i="14"/>
  <c r="O31" i="14"/>
  <c r="CF56" i="14"/>
  <c r="Y31" i="14"/>
  <c r="DG56" i="14"/>
  <c r="AU31" i="14"/>
  <c r="DM56" i="14"/>
  <c r="AY31" i="14"/>
  <c r="DW56" i="14"/>
  <c r="BH31" i="14"/>
  <c r="EQ56" i="14"/>
  <c r="BR31" i="14"/>
  <c r="EV56" i="14"/>
  <c r="BU31" i="14"/>
  <c r="FB56" i="14"/>
  <c r="BX31" i="14"/>
  <c r="FN56" i="14"/>
  <c r="CF31" i="14"/>
  <c r="GF56" i="14"/>
  <c r="CN31" i="14"/>
  <c r="E57" i="14"/>
  <c r="E32" i="14"/>
  <c r="S57" i="14"/>
  <c r="M32" i="14"/>
  <c r="CC57" i="14"/>
  <c r="W32" i="14"/>
  <c r="CP57" i="14"/>
  <c r="AE32" i="14"/>
  <c r="DI57" i="14"/>
  <c r="AV32" i="14"/>
  <c r="DN57" i="14"/>
  <c r="AZ32" i="14"/>
  <c r="DQ57" i="14"/>
  <c r="BE32" i="14"/>
  <c r="DY57" i="14"/>
  <c r="BI32" i="14"/>
  <c r="EJ57" i="14"/>
  <c r="BO32" i="14"/>
  <c r="EW57" i="14"/>
  <c r="BV32" i="14"/>
  <c r="FJ57" i="14"/>
  <c r="CD32" i="14"/>
  <c r="GC57" i="14"/>
  <c r="CL32" i="14"/>
  <c r="GK57" i="14"/>
  <c r="CO32" i="14"/>
  <c r="P58" i="14"/>
  <c r="K33" i="14"/>
  <c r="CM58" i="14"/>
  <c r="AC33" i="14"/>
  <c r="DJ58" i="14"/>
  <c r="AW33" i="14"/>
  <c r="DO58" i="14"/>
  <c r="BA33" i="14"/>
  <c r="DU58" i="14"/>
  <c r="BF33" i="14"/>
  <c r="DZ58" i="14"/>
  <c r="BJ33" i="14"/>
  <c r="EE58" i="14"/>
  <c r="BM33" i="14"/>
  <c r="EL58" i="14"/>
  <c r="BP33" i="14"/>
  <c r="FH58" i="14"/>
  <c r="CB33" i="14"/>
  <c r="FW58" i="14"/>
  <c r="CJ33" i="14"/>
  <c r="GL58" i="14"/>
  <c r="CP33" i="14"/>
  <c r="N59" i="14"/>
  <c r="I34" i="14"/>
  <c r="CK59" i="14"/>
  <c r="AA34" i="14"/>
  <c r="FG59" i="14"/>
  <c r="CA34" i="14"/>
  <c r="FV59" i="14"/>
  <c r="CI34" i="14"/>
  <c r="GP59" i="14"/>
  <c r="CR34" i="14"/>
  <c r="GW59" i="14"/>
  <c r="CV34" i="14"/>
  <c r="A60" i="14"/>
  <c r="B35" i="14"/>
  <c r="J60" i="14"/>
  <c r="H35" i="14"/>
  <c r="W60" i="14"/>
  <c r="P35" i="14"/>
  <c r="AG60" i="14"/>
  <c r="T35" i="14"/>
  <c r="CG60" i="14"/>
  <c r="Z35" i="14"/>
  <c r="CV60" i="14"/>
  <c r="AJ35" i="14"/>
  <c r="DA60" i="14"/>
  <c r="AN35" i="14"/>
  <c r="DE60" i="14"/>
  <c r="AS35" i="14"/>
  <c r="ES60" i="14"/>
  <c r="BS35" i="14"/>
  <c r="FE60" i="14"/>
  <c r="BY35" i="14"/>
  <c r="FS60" i="14"/>
  <c r="CG35" i="14"/>
  <c r="GQ60" i="14"/>
  <c r="CS35" i="14"/>
  <c r="GX60" i="14"/>
  <c r="CW35" i="14"/>
  <c r="C61" i="14"/>
  <c r="C36" i="14"/>
  <c r="G61" i="14"/>
  <c r="F36" i="14"/>
  <c r="T61" i="14"/>
  <c r="N36" i="14"/>
  <c r="AC61" i="14"/>
  <c r="Q36" i="14"/>
  <c r="AK61" i="14"/>
  <c r="U36" i="14"/>
  <c r="CE61" i="14"/>
  <c r="X36" i="14"/>
  <c r="CQ61" i="14"/>
  <c r="AF36" i="14"/>
  <c r="CW61" i="14"/>
  <c r="AK36" i="14"/>
  <c r="DB61" i="14"/>
  <c r="AO36" i="14"/>
  <c r="DF61" i="14"/>
  <c r="AT36" i="14"/>
  <c r="FA61" i="14"/>
  <c r="BW36" i="14"/>
  <c r="FM61" i="14"/>
  <c r="CE36" i="14"/>
  <c r="GE61" i="14"/>
  <c r="CM36" i="14"/>
  <c r="GS61" i="14"/>
  <c r="CT36" i="14"/>
  <c r="Q62" i="14"/>
  <c r="L37" i="14"/>
  <c r="AD62" i="14"/>
  <c r="R37" i="14"/>
  <c r="AL62" i="14"/>
  <c r="V37" i="14"/>
  <c r="CO62" i="14"/>
  <c r="AD37" i="14"/>
  <c r="CX62" i="14"/>
  <c r="AL37" i="14"/>
  <c r="DC62" i="14"/>
  <c r="AP37" i="14"/>
  <c r="EI62" i="14"/>
  <c r="BN37" i="14"/>
  <c r="FI62" i="14"/>
  <c r="CC37" i="14"/>
  <c r="GB62" i="14"/>
  <c r="CK37" i="14"/>
  <c r="GU62" i="14"/>
  <c r="CU37" i="14"/>
  <c r="O63" i="14"/>
  <c r="J38" i="14"/>
  <c r="AF63" i="14"/>
  <c r="S38" i="14"/>
  <c r="CL63" i="14"/>
  <c r="AB38" i="14"/>
  <c r="CU63" i="14"/>
  <c r="AI38" i="14"/>
  <c r="CZ63" i="14"/>
  <c r="AM38" i="14"/>
  <c r="ED63" i="14"/>
  <c r="BL38" i="14"/>
  <c r="FG63" i="14"/>
  <c r="CA38" i="14"/>
  <c r="FV63" i="14"/>
  <c r="CI38" i="14"/>
  <c r="GP63" i="14"/>
  <c r="CR38" i="14"/>
  <c r="GW63" i="14"/>
  <c r="CV38" i="14"/>
  <c r="A64" i="14"/>
  <c r="B39" i="14"/>
  <c r="J64" i="14"/>
  <c r="H39" i="14"/>
  <c r="W64" i="14"/>
  <c r="P39" i="14"/>
  <c r="AG64" i="14"/>
  <c r="T39" i="14"/>
  <c r="HA69" i="14"/>
  <c r="CY44" i="14"/>
  <c r="DE55" i="14"/>
  <c r="AS30" i="14"/>
  <c r="EL55" i="14"/>
  <c r="BP30" i="14"/>
  <c r="FH55" i="14"/>
  <c r="CB30" i="14"/>
  <c r="FS55" i="14"/>
  <c r="CG30" i="14"/>
  <c r="GB55" i="14"/>
  <c r="CK30" i="14"/>
  <c r="GL55" i="14"/>
  <c r="CP30" i="14"/>
  <c r="GW55" i="14"/>
  <c r="CV30" i="14"/>
  <c r="AF56" i="14"/>
  <c r="S31" i="14"/>
  <c r="CL56" i="14"/>
  <c r="AB31" i="14"/>
  <c r="CU56" i="14"/>
  <c r="AI31" i="14"/>
  <c r="CZ56" i="14"/>
  <c r="AM31" i="14"/>
  <c r="ED56" i="14"/>
  <c r="BL31" i="14"/>
  <c r="FG56" i="14"/>
  <c r="CA31" i="14"/>
  <c r="FV56" i="14"/>
  <c r="CI31" i="14"/>
  <c r="GP56" i="14"/>
  <c r="CR31" i="14"/>
  <c r="GW56" i="14"/>
  <c r="CV31" i="14"/>
  <c r="A57" i="14"/>
  <c r="B32" i="14"/>
  <c r="J57" i="14"/>
  <c r="H32" i="14"/>
  <c r="W57" i="14"/>
  <c r="P32" i="14"/>
  <c r="AG57" i="14"/>
  <c r="T32" i="14"/>
  <c r="CG57" i="14"/>
  <c r="Z32" i="14"/>
  <c r="CV57" i="14"/>
  <c r="AJ32" i="14"/>
  <c r="DA57" i="14"/>
  <c r="AN32" i="14"/>
  <c r="DE57" i="14"/>
  <c r="AS32" i="14"/>
  <c r="ES57" i="14"/>
  <c r="BS32" i="14"/>
  <c r="FE57" i="14"/>
  <c r="BY32" i="14"/>
  <c r="FS57" i="14"/>
  <c r="CG32" i="14"/>
  <c r="GQ57" i="14"/>
  <c r="CS32" i="14"/>
  <c r="GX57" i="14"/>
  <c r="CW32" i="14"/>
  <c r="C58" i="14"/>
  <c r="C33" i="14"/>
  <c r="G58" i="14"/>
  <c r="F33" i="14"/>
  <c r="T58" i="14"/>
  <c r="N33" i="14"/>
  <c r="AC58" i="14"/>
  <c r="Q33" i="14"/>
  <c r="AK58" i="14"/>
  <c r="U33" i="14"/>
  <c r="CE58" i="14"/>
  <c r="X33" i="14"/>
  <c r="CQ58" i="14"/>
  <c r="AF33" i="14"/>
  <c r="CW58" i="14"/>
  <c r="AK33" i="14"/>
  <c r="DB58" i="14"/>
  <c r="AO33" i="14"/>
  <c r="DF58" i="14"/>
  <c r="AT33" i="14"/>
  <c r="FA58" i="14"/>
  <c r="BW33" i="14"/>
  <c r="FM58" i="14"/>
  <c r="CE33" i="14"/>
  <c r="GE58" i="14"/>
  <c r="CM33" i="14"/>
  <c r="GS58" i="14"/>
  <c r="CT33" i="14"/>
  <c r="Q59" i="14"/>
  <c r="L34" i="14"/>
  <c r="AD59" i="14"/>
  <c r="R34" i="14"/>
  <c r="AL59" i="14"/>
  <c r="V34" i="14"/>
  <c r="CO59" i="14"/>
  <c r="AD34" i="14"/>
  <c r="CX59" i="14"/>
  <c r="AL34" i="14"/>
  <c r="DC59" i="14"/>
  <c r="AP34" i="14"/>
  <c r="DG59" i="14"/>
  <c r="AU34" i="14"/>
  <c r="DM59" i="14"/>
  <c r="AY34" i="14"/>
  <c r="DW59" i="14"/>
  <c r="BH34" i="14"/>
  <c r="ED59" i="14"/>
  <c r="BL34" i="14"/>
  <c r="EJ59" i="14"/>
  <c r="BO34" i="14"/>
  <c r="EW59" i="14"/>
  <c r="BV34" i="14"/>
  <c r="FJ59" i="14"/>
  <c r="CD34" i="14"/>
  <c r="GC59" i="14"/>
  <c r="CL34" i="14"/>
  <c r="GK59" i="14"/>
  <c r="CO34" i="14"/>
  <c r="P60" i="14"/>
  <c r="K35" i="14"/>
  <c r="CM60" i="14"/>
  <c r="AC35" i="14"/>
  <c r="DJ60" i="14"/>
  <c r="AW35" i="14"/>
  <c r="DO60" i="14"/>
  <c r="BA35" i="14"/>
  <c r="DU60" i="14"/>
  <c r="BF35" i="14"/>
  <c r="DZ60" i="14"/>
  <c r="BJ35" i="14"/>
  <c r="EE60" i="14"/>
  <c r="BM35" i="14"/>
  <c r="EL60" i="14"/>
  <c r="BP35" i="14"/>
  <c r="FH60" i="14"/>
  <c r="CB35" i="14"/>
  <c r="FW60" i="14"/>
  <c r="CJ35" i="14"/>
  <c r="GL60" i="14"/>
  <c r="CP35" i="14"/>
  <c r="N61" i="14"/>
  <c r="I36" i="14"/>
  <c r="CK61" i="14"/>
  <c r="AA36" i="14"/>
  <c r="DL61" i="14"/>
  <c r="AX36" i="14"/>
  <c r="DP61" i="14"/>
  <c r="BB36" i="14"/>
  <c r="DV61" i="14"/>
  <c r="BG36" i="14"/>
  <c r="EA61" i="14"/>
  <c r="BK36" i="14"/>
  <c r="EM61" i="14"/>
  <c r="BQ36" i="14"/>
  <c r="ET61" i="14"/>
  <c r="BT36" i="14"/>
  <c r="FF61" i="14"/>
  <c r="BZ36" i="14"/>
  <c r="FT61" i="14"/>
  <c r="CH36" i="14"/>
  <c r="GO61" i="14"/>
  <c r="CQ36" i="14"/>
  <c r="GZ61" i="14"/>
  <c r="CX36" i="14"/>
  <c r="D62" i="14"/>
  <c r="D37" i="14"/>
  <c r="H62" i="14"/>
  <c r="G37" i="14"/>
  <c r="V62" i="14"/>
  <c r="O37" i="14"/>
  <c r="CF62" i="14"/>
  <c r="Y37" i="14"/>
  <c r="DG62" i="14"/>
  <c r="AU37" i="14"/>
  <c r="DM62" i="14"/>
  <c r="AY37" i="14"/>
  <c r="DW62" i="14"/>
  <c r="BH37" i="14"/>
  <c r="EQ62" i="14"/>
  <c r="BR37" i="14"/>
  <c r="EV62" i="14"/>
  <c r="BU37" i="14"/>
  <c r="FB62" i="14"/>
  <c r="BX37" i="14"/>
  <c r="FN62" i="14"/>
  <c r="CF37" i="14"/>
  <c r="GF62" i="14"/>
  <c r="CN37" i="14"/>
  <c r="E63" i="14"/>
  <c r="E38" i="14"/>
  <c r="S63" i="14"/>
  <c r="M38" i="14"/>
  <c r="CC63" i="14"/>
  <c r="W38" i="14"/>
  <c r="CP63" i="14"/>
  <c r="AE38" i="14"/>
  <c r="DI63" i="14"/>
  <c r="AV38" i="14"/>
  <c r="DN63" i="14"/>
  <c r="AZ38" i="14"/>
  <c r="DQ63" i="14"/>
  <c r="BE38" i="14"/>
  <c r="DY63" i="14"/>
  <c r="BI38" i="14"/>
  <c r="EJ63" i="14"/>
  <c r="BO38" i="14"/>
  <c r="EW63" i="14"/>
  <c r="BV38" i="14"/>
  <c r="FJ63" i="14"/>
  <c r="CD38" i="14"/>
  <c r="GC63" i="14"/>
  <c r="CL38" i="14"/>
  <c r="GK63" i="14"/>
  <c r="CO38" i="14"/>
  <c r="P64" i="14"/>
  <c r="K39" i="14"/>
  <c r="CM64" i="14"/>
  <c r="AC39" i="14"/>
  <c r="EI64" i="14"/>
  <c r="BN39" i="14"/>
  <c r="FI64" i="14"/>
  <c r="CC39" i="14"/>
  <c r="GB64" i="14"/>
  <c r="CK39" i="14"/>
  <c r="GU64" i="14"/>
  <c r="CU39" i="14"/>
  <c r="O65" i="14"/>
  <c r="J40" i="14"/>
  <c r="AF65" i="14"/>
  <c r="S40" i="14"/>
  <c r="CL65" i="14"/>
  <c r="AB40" i="14"/>
  <c r="CU65" i="14"/>
  <c r="AI40" i="14"/>
  <c r="CZ65" i="14"/>
  <c r="AM40" i="14"/>
  <c r="ED65" i="14"/>
  <c r="BL40" i="14"/>
  <c r="FG65" i="14"/>
  <c r="CA40" i="14"/>
  <c r="HA61" i="14"/>
  <c r="CY36" i="14"/>
  <c r="DG55" i="14"/>
  <c r="AU30" i="14"/>
  <c r="DQ55" i="14"/>
  <c r="BE30" i="14"/>
  <c r="FI55" i="14"/>
  <c r="CC30" i="14"/>
  <c r="FT55" i="14"/>
  <c r="CH30" i="14"/>
  <c r="D56" i="14"/>
  <c r="D31" i="14"/>
  <c r="W56" i="14"/>
  <c r="P31" i="14"/>
  <c r="AG56" i="14"/>
  <c r="T31" i="14"/>
  <c r="CG56" i="14"/>
  <c r="Z31" i="14"/>
  <c r="CV56" i="14"/>
  <c r="AJ31" i="14"/>
  <c r="DA56" i="14"/>
  <c r="AN31" i="14"/>
  <c r="DE56" i="14"/>
  <c r="AS31" i="14"/>
  <c r="ES56" i="14"/>
  <c r="BS31" i="14"/>
  <c r="FE56" i="14"/>
  <c r="BY31" i="14"/>
  <c r="FS56" i="14"/>
  <c r="CG31" i="14"/>
  <c r="GQ56" i="14"/>
  <c r="CS31" i="14"/>
  <c r="GX56" i="14"/>
  <c r="CW31" i="14"/>
  <c r="C57" i="14"/>
  <c r="C32" i="14"/>
  <c r="G57" i="14"/>
  <c r="F32" i="14"/>
  <c r="T57" i="14"/>
  <c r="N32" i="14"/>
  <c r="AC57" i="14"/>
  <c r="Q32" i="14"/>
  <c r="AK57" i="14"/>
  <c r="U32" i="14"/>
  <c r="CE57" i="14"/>
  <c r="X32" i="14"/>
  <c r="CQ57" i="14"/>
  <c r="AF32" i="14"/>
  <c r="CW57" i="14"/>
  <c r="AK32" i="14"/>
  <c r="DB57" i="14"/>
  <c r="AO32" i="14"/>
  <c r="DF57" i="14"/>
  <c r="AT32" i="14"/>
  <c r="FA57" i="14"/>
  <c r="BW32" i="14"/>
  <c r="FM57" i="14"/>
  <c r="CE32" i="14"/>
  <c r="GE57" i="14"/>
  <c r="CM32" i="14"/>
  <c r="GS57" i="14"/>
  <c r="CT32" i="14"/>
  <c r="Q58" i="14"/>
  <c r="L33" i="14"/>
  <c r="AD58" i="14"/>
  <c r="R33" i="14"/>
  <c r="AL58" i="14"/>
  <c r="V33" i="14"/>
  <c r="CO58" i="14"/>
  <c r="AD33" i="14"/>
  <c r="CX58" i="14"/>
  <c r="AL33" i="14"/>
  <c r="DC58" i="14"/>
  <c r="AP33" i="14"/>
  <c r="EI58" i="14"/>
  <c r="BN33" i="14"/>
  <c r="FI58" i="14"/>
  <c r="CC33" i="14"/>
  <c r="GB58" i="14"/>
  <c r="CK33" i="14"/>
  <c r="GU58" i="14"/>
  <c r="CU33" i="14"/>
  <c r="O59" i="14"/>
  <c r="J34" i="14"/>
  <c r="AF59" i="14"/>
  <c r="S34" i="14"/>
  <c r="CL59" i="14"/>
  <c r="AB34" i="14"/>
  <c r="CU59" i="14"/>
  <c r="AI34" i="14"/>
  <c r="CZ59" i="14"/>
  <c r="AM34" i="14"/>
  <c r="DI59" i="14"/>
  <c r="AV34" i="14"/>
  <c r="DN59" i="14"/>
  <c r="AZ34" i="14"/>
  <c r="DQ59" i="14"/>
  <c r="BE34" i="14"/>
  <c r="DY59" i="14"/>
  <c r="BI34" i="14"/>
  <c r="EE59" i="14"/>
  <c r="BM34" i="14"/>
  <c r="EL59" i="14"/>
  <c r="BP34" i="14"/>
  <c r="FH59" i="14"/>
  <c r="CB34" i="14"/>
  <c r="FW59" i="14"/>
  <c r="CJ34" i="14"/>
  <c r="GL59" i="14"/>
  <c r="CP34" i="14"/>
  <c r="N60" i="14"/>
  <c r="I35" i="14"/>
  <c r="CK60" i="14"/>
  <c r="AA35" i="14"/>
  <c r="DL60" i="14"/>
  <c r="AX35" i="14"/>
  <c r="DP60" i="14"/>
  <c r="BB35" i="14"/>
  <c r="DV60" i="14"/>
  <c r="BG35" i="14"/>
  <c r="EA60" i="14"/>
  <c r="BK35" i="14"/>
  <c r="EM60" i="14"/>
  <c r="BQ35" i="14"/>
  <c r="ET60" i="14"/>
  <c r="BT35" i="14"/>
  <c r="FF60" i="14"/>
  <c r="BZ35" i="14"/>
  <c r="FT60" i="14"/>
  <c r="CH35" i="14"/>
  <c r="GO60" i="14"/>
  <c r="CQ35" i="14"/>
  <c r="GZ60" i="14"/>
  <c r="CX35" i="14"/>
  <c r="D61" i="14"/>
  <c r="D36" i="14"/>
  <c r="H61" i="14"/>
  <c r="G36" i="14"/>
  <c r="V61" i="14"/>
  <c r="O36" i="14"/>
  <c r="CF61" i="14"/>
  <c r="Y36" i="14"/>
  <c r="DG61" i="14"/>
  <c r="AU36" i="14"/>
  <c r="DM61" i="14"/>
  <c r="AY36" i="14"/>
  <c r="DW61" i="14"/>
  <c r="BH36" i="14"/>
  <c r="EQ61" i="14"/>
  <c r="BR36" i="14"/>
  <c r="EV61" i="14"/>
  <c r="BU36" i="14"/>
  <c r="FB61" i="14"/>
  <c r="BX36" i="14"/>
  <c r="FN61" i="14"/>
  <c r="CF36" i="14"/>
  <c r="GF61" i="14"/>
  <c r="CN36" i="14"/>
  <c r="E62" i="14"/>
  <c r="E37" i="14"/>
  <c r="S62" i="14"/>
  <c r="M37" i="14"/>
  <c r="CC62" i="14"/>
  <c r="W37" i="14"/>
  <c r="CP62" i="14"/>
  <c r="AE37" i="14"/>
  <c r="DI62" i="14"/>
  <c r="AV37" i="14"/>
  <c r="DN62" i="14"/>
  <c r="AZ37" i="14"/>
  <c r="DQ62" i="14"/>
  <c r="BE37" i="14"/>
  <c r="DY62" i="14"/>
  <c r="BI37" i="14"/>
  <c r="EJ62" i="14"/>
  <c r="BO37" i="14"/>
  <c r="EW62" i="14"/>
  <c r="BV37" i="14"/>
  <c r="HA57" i="14"/>
  <c r="CY32" i="14"/>
  <c r="DI55" i="14"/>
  <c r="AV30" i="14"/>
  <c r="ES55" i="14"/>
  <c r="BS30" i="14"/>
  <c r="FE55" i="14"/>
  <c r="BY30" i="14"/>
  <c r="GP55" i="14"/>
  <c r="CR30" i="14"/>
  <c r="GZ55" i="14"/>
  <c r="CX30" i="14"/>
  <c r="CM56" i="14"/>
  <c r="AC31" i="14"/>
  <c r="DJ56" i="14"/>
  <c r="AW31" i="14"/>
  <c r="DO56" i="14"/>
  <c r="BA31" i="14"/>
  <c r="DU56" i="14"/>
  <c r="BF31" i="14"/>
  <c r="DZ56" i="14"/>
  <c r="BJ31" i="14"/>
  <c r="EE56" i="14"/>
  <c r="BM31" i="14"/>
  <c r="EL56" i="14"/>
  <c r="BP31" i="14"/>
  <c r="FH56" i="14"/>
  <c r="CB31" i="14"/>
  <c r="FW56" i="14"/>
  <c r="CJ31" i="14"/>
  <c r="GL56" i="14"/>
  <c r="CP31" i="14"/>
  <c r="N57" i="14"/>
  <c r="I32" i="14"/>
  <c r="CK57" i="14"/>
  <c r="AA32" i="14"/>
  <c r="DL57" i="14"/>
  <c r="AX32" i="14"/>
  <c r="DP57" i="14"/>
  <c r="BB32" i="14"/>
  <c r="DV57" i="14"/>
  <c r="BG32" i="14"/>
  <c r="EA57" i="14"/>
  <c r="BK32" i="14"/>
  <c r="EM57" i="14"/>
  <c r="BQ32" i="14"/>
  <c r="ET57" i="14"/>
  <c r="BT32" i="14"/>
  <c r="FF57" i="14"/>
  <c r="BZ32" i="14"/>
  <c r="FT57" i="14"/>
  <c r="CH32" i="14"/>
  <c r="GO57" i="14"/>
  <c r="CQ32" i="14"/>
  <c r="GZ57" i="14"/>
  <c r="CX32" i="14"/>
  <c r="D58" i="14"/>
  <c r="D33" i="14"/>
  <c r="H58" i="14"/>
  <c r="G33" i="14"/>
  <c r="V58" i="14"/>
  <c r="O33" i="14"/>
  <c r="CF58" i="14"/>
  <c r="Y33" i="14"/>
  <c r="DG58" i="14"/>
  <c r="AU33" i="14"/>
  <c r="DM58" i="14"/>
  <c r="AY33" i="14"/>
  <c r="DW58" i="14"/>
  <c r="BH33" i="14"/>
  <c r="EQ58" i="14"/>
  <c r="BR33" i="14"/>
  <c r="EV58" i="14"/>
  <c r="BU33" i="14"/>
  <c r="FB58" i="14"/>
  <c r="BX33" i="14"/>
  <c r="FN58" i="14"/>
  <c r="CF33" i="14"/>
  <c r="GF58" i="14"/>
  <c r="CN33" i="14"/>
  <c r="E59" i="14"/>
  <c r="E34" i="14"/>
  <c r="S59" i="14"/>
  <c r="M34" i="14"/>
  <c r="CC59" i="14"/>
  <c r="W34" i="14"/>
  <c r="CP59" i="14"/>
  <c r="AE34" i="14"/>
  <c r="FA59" i="14"/>
  <c r="BW34" i="14"/>
  <c r="FM59" i="14"/>
  <c r="CE34" i="14"/>
  <c r="GE59" i="14"/>
  <c r="CM34" i="14"/>
  <c r="GS59" i="14"/>
  <c r="CT34" i="14"/>
  <c r="Q60" i="14"/>
  <c r="L35" i="14"/>
  <c r="AD60" i="14"/>
  <c r="R35" i="14"/>
  <c r="AL60" i="14"/>
  <c r="V35" i="14"/>
  <c r="CO60" i="14"/>
  <c r="AD35" i="14"/>
  <c r="CX60" i="14"/>
  <c r="AL35" i="14"/>
  <c r="DC60" i="14"/>
  <c r="AP35" i="14"/>
  <c r="EI60" i="14"/>
  <c r="BN35" i="14"/>
  <c r="FI60" i="14"/>
  <c r="CC35" i="14"/>
  <c r="GB60" i="14"/>
  <c r="CK35" i="14"/>
  <c r="GU60" i="14"/>
  <c r="CU35" i="14"/>
  <c r="O61" i="14"/>
  <c r="J36" i="14"/>
  <c r="AF61" i="14"/>
  <c r="S36" i="14"/>
  <c r="CL61" i="14"/>
  <c r="AB36" i="14"/>
  <c r="CU61" i="14"/>
  <c r="AI36" i="14"/>
  <c r="CZ61" i="14"/>
  <c r="AM36" i="14"/>
  <c r="ED61" i="14"/>
  <c r="BL36" i="14"/>
  <c r="FG61" i="14"/>
  <c r="CA36" i="14"/>
  <c r="FV61" i="14"/>
  <c r="CI36" i="14"/>
  <c r="GP61" i="14"/>
  <c r="CR36" i="14"/>
  <c r="GW61" i="14"/>
  <c r="CV36" i="14"/>
  <c r="A62" i="14"/>
  <c r="B37" i="14"/>
  <c r="J62" i="14"/>
  <c r="H37" i="14"/>
  <c r="W62" i="14"/>
  <c r="P37" i="14"/>
  <c r="AG62" i="14"/>
  <c r="T37" i="14"/>
  <c r="CG62" i="14"/>
  <c r="Z37" i="14"/>
  <c r="CV62" i="14"/>
  <c r="AJ37" i="14"/>
  <c r="DA62" i="14"/>
  <c r="AN37" i="14"/>
  <c r="DE62" i="14"/>
  <c r="AS37" i="14"/>
  <c r="ES62" i="14"/>
  <c r="BS37" i="14"/>
  <c r="FE62" i="14"/>
  <c r="BY37" i="14"/>
  <c r="FS62" i="14"/>
  <c r="CG37" i="14"/>
  <c r="GQ62" i="14"/>
  <c r="CS37" i="14"/>
  <c r="GX62" i="14"/>
  <c r="CW37" i="14"/>
  <c r="C63" i="14"/>
  <c r="C38" i="14"/>
  <c r="G63" i="14"/>
  <c r="F38" i="14"/>
  <c r="T63" i="14"/>
  <c r="N38" i="14"/>
  <c r="AC63" i="14"/>
  <c r="Q38" i="14"/>
  <c r="AK63" i="14"/>
  <c r="U38" i="14"/>
  <c r="CE63" i="14"/>
  <c r="X38" i="14"/>
  <c r="CQ63" i="14"/>
  <c r="AF38" i="14"/>
  <c r="CW63" i="14"/>
  <c r="AK38" i="14"/>
  <c r="DB63" i="14"/>
  <c r="AO38" i="14"/>
  <c r="DF63" i="14"/>
  <c r="AT38" i="14"/>
  <c r="FA63" i="14"/>
  <c r="BW38" i="14"/>
  <c r="AC54" i="14"/>
  <c r="Q29" i="14"/>
  <c r="GP54" i="14"/>
  <c r="CR29" i="14"/>
  <c r="CF55" i="14"/>
  <c r="Y30" i="14"/>
  <c r="CP55" i="14"/>
  <c r="AE30" i="14"/>
  <c r="DA55" i="14"/>
  <c r="AN30" i="14"/>
  <c r="DW55" i="14"/>
  <c r="BH30" i="14"/>
  <c r="FV55" i="14"/>
  <c r="CI30" i="14"/>
  <c r="GQ55" i="14"/>
  <c r="CS30" i="14"/>
  <c r="J56" i="14"/>
  <c r="H31" i="14"/>
  <c r="T56" i="14"/>
  <c r="N31" i="14"/>
  <c r="AC56" i="14"/>
  <c r="Q31" i="14"/>
  <c r="AK56" i="14"/>
  <c r="U31" i="14"/>
  <c r="CE56" i="14"/>
  <c r="X31" i="14"/>
  <c r="CQ56" i="14"/>
  <c r="AF31" i="14"/>
  <c r="CW56" i="14"/>
  <c r="AK31" i="14"/>
  <c r="DB56" i="14"/>
  <c r="AO31" i="14"/>
  <c r="DF56" i="14"/>
  <c r="AT31" i="14"/>
  <c r="FA56" i="14"/>
  <c r="BW31" i="14"/>
  <c r="FM56" i="14"/>
  <c r="CE31" i="14"/>
  <c r="GE56" i="14"/>
  <c r="CM31" i="14"/>
  <c r="GS56" i="14"/>
  <c r="CT31" i="14"/>
  <c r="Q57" i="14"/>
  <c r="L32" i="14"/>
  <c r="AD57" i="14"/>
  <c r="R32" i="14"/>
  <c r="AL57" i="14"/>
  <c r="V32" i="14"/>
  <c r="CO57" i="14"/>
  <c r="AD32" i="14"/>
  <c r="CX57" i="14"/>
  <c r="AL32" i="14"/>
  <c r="DC57" i="14"/>
  <c r="AP32" i="14"/>
  <c r="EI57" i="14"/>
  <c r="BN32" i="14"/>
  <c r="FI57" i="14"/>
  <c r="CC32" i="14"/>
  <c r="GB57" i="14"/>
  <c r="CK32" i="14"/>
  <c r="GU57" i="14"/>
  <c r="CU32" i="14"/>
  <c r="O58" i="14"/>
  <c r="J33" i="14"/>
  <c r="AF58" i="14"/>
  <c r="S33" i="14"/>
  <c r="CL58" i="14"/>
  <c r="AB33" i="14"/>
  <c r="CU58" i="14"/>
  <c r="AI33" i="14"/>
  <c r="CZ58" i="14"/>
  <c r="AM33" i="14"/>
  <c r="ED58" i="14"/>
  <c r="BL33" i="14"/>
  <c r="FG58" i="14"/>
  <c r="CA33" i="14"/>
  <c r="FV58" i="14"/>
  <c r="CI33" i="14"/>
  <c r="GP58" i="14"/>
  <c r="CR33" i="14"/>
  <c r="GW58" i="14"/>
  <c r="CV33" i="14"/>
  <c r="A59" i="14"/>
  <c r="B34" i="14"/>
  <c r="J59" i="14"/>
  <c r="H34" i="14"/>
  <c r="W59" i="14"/>
  <c r="P34" i="14"/>
  <c r="AG59" i="14"/>
  <c r="T34" i="14"/>
  <c r="CG59" i="14"/>
  <c r="Z34" i="14"/>
  <c r="CV59" i="14"/>
  <c r="AJ34" i="14"/>
  <c r="DA59" i="14"/>
  <c r="AN34" i="14"/>
  <c r="DE59" i="14"/>
  <c r="AS34" i="14"/>
  <c r="DJ59" i="14"/>
  <c r="AW34" i="14"/>
  <c r="DO59" i="14"/>
  <c r="BA34" i="14"/>
  <c r="DU59" i="14"/>
  <c r="BF34" i="14"/>
  <c r="DZ59" i="14"/>
  <c r="BJ34" i="14"/>
  <c r="EM59" i="14"/>
  <c r="BQ34" i="14"/>
  <c r="ET59" i="14"/>
  <c r="BT34" i="14"/>
  <c r="FF59" i="14"/>
  <c r="BZ34" i="14"/>
  <c r="FT59" i="14"/>
  <c r="CH34" i="14"/>
  <c r="GO59" i="14"/>
  <c r="CQ34" i="14"/>
  <c r="GZ59" i="14"/>
  <c r="CX34" i="14"/>
  <c r="D60" i="14"/>
  <c r="D35" i="14"/>
  <c r="H60" i="14"/>
  <c r="G35" i="14"/>
  <c r="V60" i="14"/>
  <c r="O35" i="14"/>
  <c r="CF60" i="14"/>
  <c r="Y35" i="14"/>
  <c r="DG60" i="14"/>
  <c r="AU35" i="14"/>
  <c r="DM60" i="14"/>
  <c r="AY35" i="14"/>
  <c r="DW60" i="14"/>
  <c r="BH35" i="14"/>
  <c r="EQ60" i="14"/>
  <c r="BR35" i="14"/>
  <c r="EV60" i="14"/>
  <c r="BU35" i="14"/>
  <c r="FB60" i="14"/>
  <c r="BX35" i="14"/>
  <c r="FN60" i="14"/>
  <c r="CF35" i="14"/>
  <c r="GF60" i="14"/>
  <c r="CN35" i="14"/>
  <c r="E61" i="14"/>
  <c r="E36" i="14"/>
  <c r="S61" i="14"/>
  <c r="M36" i="14"/>
  <c r="CC61" i="14"/>
  <c r="W36" i="14"/>
  <c r="CP61" i="14"/>
  <c r="AE36" i="14"/>
  <c r="DI61" i="14"/>
  <c r="AV36" i="14"/>
  <c r="DN61" i="14"/>
  <c r="AZ36" i="14"/>
  <c r="DQ61" i="14"/>
  <c r="BE36" i="14"/>
  <c r="DY61" i="14"/>
  <c r="BI36" i="14"/>
  <c r="EJ61" i="14"/>
  <c r="BO36" i="14"/>
  <c r="EW61" i="14"/>
  <c r="BV36" i="14"/>
  <c r="FJ61" i="14"/>
  <c r="CD36" i="14"/>
  <c r="GC61" i="14"/>
  <c r="CL36" i="14"/>
  <c r="GK61" i="14"/>
  <c r="CO36" i="14"/>
  <c r="P62" i="14"/>
  <c r="K37" i="14"/>
  <c r="CM62" i="14"/>
  <c r="AC37" i="14"/>
  <c r="DJ62" i="14"/>
  <c r="AW37" i="14"/>
  <c r="DO62" i="14"/>
  <c r="BA37" i="14"/>
  <c r="DU62" i="14"/>
  <c r="BF37" i="14"/>
  <c r="DZ62" i="14"/>
  <c r="BJ37" i="14"/>
  <c r="EE62" i="14"/>
  <c r="BM37" i="14"/>
  <c r="EL62" i="14"/>
  <c r="BP37" i="14"/>
  <c r="FH62" i="14"/>
  <c r="CB37" i="14"/>
  <c r="FW62" i="14"/>
  <c r="CJ37" i="14"/>
  <c r="GL62" i="14"/>
  <c r="CP37" i="14"/>
  <c r="N63" i="14"/>
  <c r="I38" i="14"/>
  <c r="CK63" i="14"/>
  <c r="AA38" i="14"/>
  <c r="DL63" i="14"/>
  <c r="AX38" i="14"/>
  <c r="DP63" i="14"/>
  <c r="BB38" i="14"/>
  <c r="DV63" i="14"/>
  <c r="BG38" i="14"/>
  <c r="EA63" i="14"/>
  <c r="BK38" i="14"/>
  <c r="EM63" i="14"/>
  <c r="BQ38" i="14"/>
  <c r="ET63" i="14"/>
  <c r="BT38" i="14"/>
  <c r="FF63" i="14"/>
  <c r="BZ38" i="14"/>
  <c r="FT63" i="14"/>
  <c r="CH38" i="14"/>
  <c r="GO63" i="14"/>
  <c r="CQ38" i="14"/>
  <c r="GZ63" i="14"/>
  <c r="CX38" i="14"/>
  <c r="D64" i="14"/>
  <c r="D39" i="14"/>
  <c r="H64" i="14"/>
  <c r="G39" i="14"/>
  <c r="V64" i="14"/>
  <c r="O39" i="14"/>
  <c r="CF64" i="14"/>
  <c r="Y39" i="14"/>
  <c r="ES64" i="14"/>
  <c r="BS39" i="14"/>
  <c r="FE64" i="14"/>
  <c r="BY39" i="14"/>
  <c r="FS64" i="14"/>
  <c r="CG39" i="14"/>
  <c r="GQ64" i="14"/>
  <c r="CS39" i="14"/>
  <c r="GX64" i="14"/>
  <c r="CW39" i="14"/>
  <c r="C65" i="14"/>
  <c r="C40" i="14"/>
  <c r="G65" i="14"/>
  <c r="F40" i="14"/>
  <c r="T65" i="14"/>
  <c r="N40" i="14"/>
  <c r="AC65" i="14"/>
  <c r="Q40" i="14"/>
  <c r="AK65" i="14"/>
  <c r="U40" i="14"/>
  <c r="GW54" i="14"/>
  <c r="CV29" i="14"/>
  <c r="J55" i="14"/>
  <c r="H30" i="14"/>
  <c r="CG55" i="14"/>
  <c r="Z30" i="14"/>
  <c r="DM55" i="14"/>
  <c r="AY30" i="14"/>
  <c r="DY55" i="14"/>
  <c r="BI30" i="14"/>
  <c r="ET55" i="14"/>
  <c r="BT30" i="14"/>
  <c r="FF55" i="14"/>
  <c r="BZ30" i="14"/>
  <c r="CK56" i="14"/>
  <c r="AA31" i="14"/>
  <c r="DL56" i="14"/>
  <c r="AX31" i="14"/>
  <c r="DP56" i="14"/>
  <c r="BB31" i="14"/>
  <c r="DV56" i="14"/>
  <c r="BG31" i="14"/>
  <c r="EA56" i="14"/>
  <c r="BK31" i="14"/>
  <c r="EM56" i="14"/>
  <c r="BQ31" i="14"/>
  <c r="ET56" i="14"/>
  <c r="BT31" i="14"/>
  <c r="FF56" i="14"/>
  <c r="BZ31" i="14"/>
  <c r="FT56" i="14"/>
  <c r="CH31" i="14"/>
  <c r="GO56" i="14"/>
  <c r="CQ31" i="14"/>
  <c r="GZ56" i="14"/>
  <c r="CX31" i="14"/>
  <c r="D57" i="14"/>
  <c r="D32" i="14"/>
  <c r="H57" i="14"/>
  <c r="G32" i="14"/>
  <c r="V57" i="14"/>
  <c r="O32" i="14"/>
  <c r="CF57" i="14"/>
  <c r="Y32" i="14"/>
  <c r="DG57" i="14"/>
  <c r="AU32" i="14"/>
  <c r="DM57" i="14"/>
  <c r="AY32" i="14"/>
  <c r="DW57" i="14"/>
  <c r="BH32" i="14"/>
  <c r="EQ57" i="14"/>
  <c r="BR32" i="14"/>
  <c r="EV57" i="14"/>
  <c r="BU32" i="14"/>
  <c r="FB57" i="14"/>
  <c r="BX32" i="14"/>
  <c r="FN57" i="14"/>
  <c r="CF32" i="14"/>
  <c r="GF57" i="14"/>
  <c r="CN32" i="14"/>
  <c r="E58" i="14"/>
  <c r="E33" i="14"/>
  <c r="S58" i="14"/>
  <c r="M33" i="14"/>
  <c r="CC58" i="14"/>
  <c r="W33" i="14"/>
  <c r="CP58" i="14"/>
  <c r="AE33" i="14"/>
  <c r="DI58" i="14"/>
  <c r="AV33" i="14"/>
  <c r="DN58" i="14"/>
  <c r="AZ33" i="14"/>
  <c r="DQ58" i="14"/>
  <c r="BE33" i="14"/>
  <c r="DY58" i="14"/>
  <c r="BI33" i="14"/>
  <c r="EJ58" i="14"/>
  <c r="BO33" i="14"/>
  <c r="EW58" i="14"/>
  <c r="BV33" i="14"/>
  <c r="FJ58" i="14"/>
  <c r="CD33" i="14"/>
  <c r="GC58" i="14"/>
  <c r="CL33" i="14"/>
  <c r="GK58" i="14"/>
  <c r="CO33" i="14"/>
  <c r="P59" i="14"/>
  <c r="K34" i="14"/>
  <c r="CM59" i="14"/>
  <c r="AC34" i="14"/>
  <c r="EI59" i="14"/>
  <c r="BN34" i="14"/>
  <c r="FI59" i="14"/>
  <c r="CC34" i="14"/>
  <c r="GB59" i="14"/>
  <c r="CK34" i="14"/>
  <c r="GU59" i="14"/>
  <c r="CU34" i="14"/>
  <c r="O60" i="14"/>
  <c r="J35" i="14"/>
  <c r="AF60" i="14"/>
  <c r="S35" i="14"/>
  <c r="CL60" i="14"/>
  <c r="AB35" i="14"/>
  <c r="CU60" i="14"/>
  <c r="AI35" i="14"/>
  <c r="CZ60" i="14"/>
  <c r="AM35" i="14"/>
  <c r="ED60" i="14"/>
  <c r="BL35" i="14"/>
  <c r="FG60" i="14"/>
  <c r="CA35" i="14"/>
  <c r="FV60" i="14"/>
  <c r="CI35" i="14"/>
  <c r="GP60" i="14"/>
  <c r="CR35" i="14"/>
  <c r="GW60" i="14"/>
  <c r="CV35" i="14"/>
  <c r="A61" i="14"/>
  <c r="B36" i="14"/>
  <c r="J61" i="14"/>
  <c r="H36" i="14"/>
  <c r="W61" i="14"/>
  <c r="P36" i="14"/>
  <c r="AG61" i="14"/>
  <c r="T36" i="14"/>
  <c r="CG61" i="14"/>
  <c r="Z36" i="14"/>
  <c r="CV61" i="14"/>
  <c r="AJ36" i="14"/>
  <c r="DA61" i="14"/>
  <c r="AN36" i="14"/>
  <c r="DE61" i="14"/>
  <c r="AS36" i="14"/>
  <c r="ES61" i="14"/>
  <c r="BS36" i="14"/>
  <c r="FE61" i="14"/>
  <c r="BY36" i="14"/>
  <c r="FS61" i="14"/>
  <c r="CG36" i="14"/>
  <c r="GQ61" i="14"/>
  <c r="CS36" i="14"/>
  <c r="GX61" i="14"/>
  <c r="CW36" i="14"/>
  <c r="C62" i="14"/>
  <c r="C37" i="14"/>
  <c r="G62" i="14"/>
  <c r="F37" i="14"/>
  <c r="T62" i="14"/>
  <c r="N37" i="14"/>
  <c r="AC62" i="14"/>
  <c r="Q37" i="14"/>
  <c r="AK62" i="14"/>
  <c r="U37" i="14"/>
  <c r="CE62" i="14"/>
  <c r="X37" i="14"/>
  <c r="CQ62" i="14"/>
  <c r="AF37" i="14"/>
  <c r="CW62" i="14"/>
  <c r="AK37" i="14"/>
  <c r="DB62" i="14"/>
  <c r="AO37" i="14"/>
  <c r="DF62" i="14"/>
  <c r="AT37" i="14"/>
  <c r="FA62" i="14"/>
  <c r="BW37" i="14"/>
  <c r="FM62" i="14"/>
  <c r="CE37" i="14"/>
  <c r="GE62" i="14"/>
  <c r="CM37" i="14"/>
  <c r="GS62" i="14"/>
  <c r="CT37" i="14"/>
  <c r="Q63" i="14"/>
  <c r="L38" i="14"/>
  <c r="AD63" i="14"/>
  <c r="R38" i="14"/>
  <c r="AL63" i="14"/>
  <c r="V38" i="14"/>
  <c r="CO63" i="14"/>
  <c r="AD38" i="14"/>
  <c r="CX63" i="14"/>
  <c r="AL38" i="14"/>
  <c r="DC63" i="14"/>
  <c r="AP38" i="14"/>
  <c r="EI63" i="14"/>
  <c r="BN38" i="14"/>
  <c r="FI63" i="14"/>
  <c r="CC38" i="14"/>
  <c r="GB63" i="14"/>
  <c r="CK38" i="14"/>
  <c r="GU63" i="14"/>
  <c r="CU38" i="14"/>
  <c r="O64" i="14"/>
  <c r="J39" i="14"/>
  <c r="AF64" i="14"/>
  <c r="S39" i="14"/>
  <c r="CL64" i="14"/>
  <c r="AB39" i="14"/>
  <c r="CU64" i="14"/>
  <c r="AI39" i="14"/>
  <c r="CZ64" i="14"/>
  <c r="AM39" i="14"/>
  <c r="DI64" i="14"/>
  <c r="AV39" i="14"/>
  <c r="W55" i="14"/>
  <c r="P30" i="14"/>
  <c r="DN55" i="14"/>
  <c r="AZ30" i="14"/>
  <c r="FW55" i="14"/>
  <c r="CJ30" i="14"/>
  <c r="A56" i="14"/>
  <c r="B31" i="14"/>
  <c r="G56" i="14"/>
  <c r="F31" i="14"/>
  <c r="N56" i="14"/>
  <c r="I31" i="14"/>
  <c r="Q56" i="14"/>
  <c r="L31" i="14"/>
  <c r="AD56" i="14"/>
  <c r="R31" i="14"/>
  <c r="AL56" i="14"/>
  <c r="V31" i="14"/>
  <c r="CO56" i="14"/>
  <c r="AD31" i="14"/>
  <c r="CX56" i="14"/>
  <c r="AL31" i="14"/>
  <c r="DC56" i="14"/>
  <c r="AP31" i="14"/>
  <c r="EI56" i="14"/>
  <c r="BN31" i="14"/>
  <c r="FI56" i="14"/>
  <c r="CC31" i="14"/>
  <c r="GB56" i="14"/>
  <c r="CK31" i="14"/>
  <c r="GU56" i="14"/>
  <c r="CU31" i="14"/>
  <c r="O57" i="14"/>
  <c r="J32" i="14"/>
  <c r="AF57" i="14"/>
  <c r="S32" i="14"/>
  <c r="CL57" i="14"/>
  <c r="AB32" i="14"/>
  <c r="CU57" i="14"/>
  <c r="AI32" i="14"/>
  <c r="CZ57" i="14"/>
  <c r="AM32" i="14"/>
  <c r="ED57" i="14"/>
  <c r="BL32" i="14"/>
  <c r="FG57" i="14"/>
  <c r="CA32" i="14"/>
  <c r="FV57" i="14"/>
  <c r="CI32" i="14"/>
  <c r="GP57" i="14"/>
  <c r="CR32" i="14"/>
  <c r="GW57" i="14"/>
  <c r="CV32" i="14"/>
  <c r="A58" i="14"/>
  <c r="B33" i="14"/>
  <c r="J58" i="14"/>
  <c r="H33" i="14"/>
  <c r="W58" i="14"/>
  <c r="P33" i="14"/>
  <c r="AG58" i="14"/>
  <c r="T33" i="14"/>
  <c r="CG58" i="14"/>
  <c r="Z33" i="14"/>
  <c r="CV58" i="14"/>
  <c r="AJ33" i="14"/>
  <c r="DA58" i="14"/>
  <c r="AN33" i="14"/>
  <c r="DE58" i="14"/>
  <c r="AS33" i="14"/>
  <c r="ES58" i="14"/>
  <c r="BS33" i="14"/>
  <c r="FE58" i="14"/>
  <c r="BY33" i="14"/>
  <c r="FS58" i="14"/>
  <c r="CG33" i="14"/>
  <c r="GQ58" i="14"/>
  <c r="CS33" i="14"/>
  <c r="GX58" i="14"/>
  <c r="CW33" i="14"/>
  <c r="C59" i="14"/>
  <c r="C34" i="14"/>
  <c r="G59" i="14"/>
  <c r="F34" i="14"/>
  <c r="T59" i="14"/>
  <c r="N34" i="14"/>
  <c r="AC59" i="14"/>
  <c r="Q34" i="14"/>
  <c r="AK59" i="14"/>
  <c r="U34" i="14"/>
  <c r="CE59" i="14"/>
  <c r="X34" i="14"/>
  <c r="CQ59" i="14"/>
  <c r="AF34" i="14"/>
  <c r="CW59" i="14"/>
  <c r="AK34" i="14"/>
  <c r="DB59" i="14"/>
  <c r="AO34" i="14"/>
  <c r="DF59" i="14"/>
  <c r="AT34" i="14"/>
  <c r="DL59" i="14"/>
  <c r="AX34" i="14"/>
  <c r="DP59" i="14"/>
  <c r="BB34" i="14"/>
  <c r="DV59" i="14"/>
  <c r="BG34" i="14"/>
  <c r="EA59" i="14"/>
  <c r="BK34" i="14"/>
  <c r="EQ59" i="14"/>
  <c r="BR34" i="14"/>
  <c r="EV59" i="14"/>
  <c r="BU34" i="14"/>
  <c r="FB59" i="14"/>
  <c r="BX34" i="14"/>
  <c r="FN59" i="14"/>
  <c r="CF34" i="14"/>
  <c r="GF59" i="14"/>
  <c r="CN34" i="14"/>
  <c r="E60" i="14"/>
  <c r="E35" i="14"/>
  <c r="S60" i="14"/>
  <c r="M35" i="14"/>
  <c r="CC60" i="14"/>
  <c r="W35" i="14"/>
  <c r="CP60" i="14"/>
  <c r="AE35" i="14"/>
  <c r="EM55" i="14"/>
  <c r="BQ30" i="14"/>
  <c r="O56" i="14"/>
  <c r="J31" i="14"/>
  <c r="DQ56" i="14"/>
  <c r="BE31" i="14"/>
  <c r="GK56" i="14"/>
  <c r="CO31" i="14"/>
  <c r="DO57" i="14"/>
  <c r="BA32" i="14"/>
  <c r="EL57" i="14"/>
  <c r="BP32" i="14"/>
  <c r="CK58" i="14"/>
  <c r="AA33" i="14"/>
  <c r="CF59" i="14"/>
  <c r="Y34" i="14"/>
  <c r="T60" i="14"/>
  <c r="N35" i="14"/>
  <c r="CO61" i="14"/>
  <c r="AD36" i="14"/>
  <c r="EE61" i="14"/>
  <c r="BM36" i="14"/>
  <c r="FW61" i="14"/>
  <c r="CJ36" i="14"/>
  <c r="DP62" i="14"/>
  <c r="BB37" i="14"/>
  <c r="GC62" i="14"/>
  <c r="CL37" i="14"/>
  <c r="GW62" i="14"/>
  <c r="CV37" i="14"/>
  <c r="AG63" i="14"/>
  <c r="T38" i="14"/>
  <c r="CV63" i="14"/>
  <c r="AJ38" i="14"/>
  <c r="DE63" i="14"/>
  <c r="AS38" i="14"/>
  <c r="DO63" i="14"/>
  <c r="BA38" i="14"/>
  <c r="N64" i="14"/>
  <c r="I39" i="14"/>
  <c r="T64" i="14"/>
  <c r="N39" i="14"/>
  <c r="AK64" i="14"/>
  <c r="U39" i="14"/>
  <c r="DA64" i="14"/>
  <c r="AN39" i="14"/>
  <c r="DU64" i="14"/>
  <c r="BF39" i="14"/>
  <c r="EL64" i="14"/>
  <c r="BP39" i="14"/>
  <c r="ET64" i="14"/>
  <c r="BT39" i="14"/>
  <c r="FH64" i="14"/>
  <c r="CB39" i="14"/>
  <c r="FV64" i="14"/>
  <c r="CI39" i="14"/>
  <c r="GO64" i="14"/>
  <c r="CQ39" i="14"/>
  <c r="GW64" i="14"/>
  <c r="CV39" i="14"/>
  <c r="H65" i="14"/>
  <c r="G40" i="14"/>
  <c r="DA65" i="14"/>
  <c r="AN40" i="14"/>
  <c r="DE65" i="14"/>
  <c r="AS40" i="14"/>
  <c r="DJ65" i="14"/>
  <c r="AW40" i="14"/>
  <c r="EA65" i="14"/>
  <c r="BK40" i="14"/>
  <c r="EI65" i="14"/>
  <c r="BN40" i="14"/>
  <c r="EQ65" i="14"/>
  <c r="BR40" i="14"/>
  <c r="EW65" i="14"/>
  <c r="BV40" i="14"/>
  <c r="FE65" i="14"/>
  <c r="BY40" i="14"/>
  <c r="FH65" i="14"/>
  <c r="CB40" i="14"/>
  <c r="FW65" i="14"/>
  <c r="CJ40" i="14"/>
  <c r="GL65" i="14"/>
  <c r="CP40" i="14"/>
  <c r="N66" i="14"/>
  <c r="I41" i="14"/>
  <c r="CK66" i="14"/>
  <c r="AA41" i="14"/>
  <c r="DL66" i="14"/>
  <c r="AX41" i="14"/>
  <c r="DP66" i="14"/>
  <c r="BB41" i="14"/>
  <c r="DV66" i="14"/>
  <c r="BG41" i="14"/>
  <c r="EA66" i="14"/>
  <c r="BK41" i="14"/>
  <c r="EM66" i="14"/>
  <c r="BQ41" i="14"/>
  <c r="ET66" i="14"/>
  <c r="BT41" i="14"/>
  <c r="FF66" i="14"/>
  <c r="BZ41" i="14"/>
  <c r="FT66" i="14"/>
  <c r="CH41" i="14"/>
  <c r="GO66" i="14"/>
  <c r="CQ41" i="14"/>
  <c r="GZ66" i="14"/>
  <c r="CX41" i="14"/>
  <c r="D67" i="14"/>
  <c r="D42" i="14"/>
  <c r="H67" i="14"/>
  <c r="G42" i="14"/>
  <c r="V67" i="14"/>
  <c r="O42" i="14"/>
  <c r="CF67" i="14"/>
  <c r="Y42" i="14"/>
  <c r="DG67" i="14"/>
  <c r="AU42" i="14"/>
  <c r="DM67" i="14"/>
  <c r="AY42" i="14"/>
  <c r="DW67" i="14"/>
  <c r="BH42" i="14"/>
  <c r="EQ67" i="14"/>
  <c r="BR42" i="14"/>
  <c r="EV67" i="14"/>
  <c r="BU42" i="14"/>
  <c r="FB67" i="14"/>
  <c r="BX42" i="14"/>
  <c r="FN67" i="14"/>
  <c r="CF42" i="14"/>
  <c r="GF67" i="14"/>
  <c r="CN42" i="14"/>
  <c r="E68" i="14"/>
  <c r="E43" i="14"/>
  <c r="S68" i="14"/>
  <c r="M43" i="14"/>
  <c r="CC68" i="14"/>
  <c r="W43" i="14"/>
  <c r="CP68" i="14"/>
  <c r="AE43" i="14"/>
  <c r="DI68" i="14"/>
  <c r="AV43" i="14"/>
  <c r="DN68" i="14"/>
  <c r="AZ43" i="14"/>
  <c r="DQ68" i="14"/>
  <c r="BE43" i="14"/>
  <c r="DY68" i="14"/>
  <c r="BI43" i="14"/>
  <c r="EJ68" i="14"/>
  <c r="BO43" i="14"/>
  <c r="EW68" i="14"/>
  <c r="BV43" i="14"/>
  <c r="FJ68" i="14"/>
  <c r="CD43" i="14"/>
  <c r="GC68" i="14"/>
  <c r="CL43" i="14"/>
  <c r="GK68" i="14"/>
  <c r="CO43" i="14"/>
  <c r="P69" i="14"/>
  <c r="K44" i="14"/>
  <c r="CM69" i="14"/>
  <c r="AC44" i="14"/>
  <c r="EI69" i="14"/>
  <c r="BN44" i="14"/>
  <c r="FI69" i="14"/>
  <c r="CC44" i="14"/>
  <c r="GB69" i="14"/>
  <c r="CK44" i="14"/>
  <c r="GU69" i="14"/>
  <c r="CU44" i="14"/>
  <c r="O70" i="14"/>
  <c r="J45" i="14"/>
  <c r="AF70" i="14"/>
  <c r="S45" i="14"/>
  <c r="CL70" i="14"/>
  <c r="AB45" i="14"/>
  <c r="CU70" i="14"/>
  <c r="AI45" i="14"/>
  <c r="CZ70" i="14"/>
  <c r="AM45" i="14"/>
  <c r="ED70" i="14"/>
  <c r="BL45" i="14"/>
  <c r="FG70" i="14"/>
  <c r="CA45" i="14"/>
  <c r="FV70" i="14"/>
  <c r="CI45" i="14"/>
  <c r="GP70" i="14"/>
  <c r="CR45" i="14"/>
  <c r="GW70" i="14"/>
  <c r="CV45" i="14"/>
  <c r="A71" i="14"/>
  <c r="B46" i="14"/>
  <c r="J71" i="14"/>
  <c r="H46" i="14"/>
  <c r="W71" i="14"/>
  <c r="P46" i="14"/>
  <c r="AG71" i="14"/>
  <c r="T46" i="14"/>
  <c r="CG71" i="14"/>
  <c r="Z46" i="14"/>
  <c r="CV71" i="14"/>
  <c r="AJ46" i="14"/>
  <c r="DA71" i="14"/>
  <c r="AN46" i="14"/>
  <c r="DE71" i="14"/>
  <c r="AS46" i="14"/>
  <c r="ES71" i="14"/>
  <c r="BS46" i="14"/>
  <c r="FE71" i="14"/>
  <c r="BY46" i="14"/>
  <c r="FS71" i="14"/>
  <c r="CG46" i="14"/>
  <c r="GQ71" i="14"/>
  <c r="CS46" i="14"/>
  <c r="GX71" i="14"/>
  <c r="CW46" i="14"/>
  <c r="C72" i="14"/>
  <c r="C47" i="14"/>
  <c r="G72" i="14"/>
  <c r="F47" i="14"/>
  <c r="T72" i="14"/>
  <c r="N47" i="14"/>
  <c r="AC72" i="14"/>
  <c r="Q47" i="14"/>
  <c r="AK72" i="14"/>
  <c r="U47" i="14"/>
  <c r="CE72" i="14"/>
  <c r="X47" i="14"/>
  <c r="CQ72" i="14"/>
  <c r="AF47" i="14"/>
  <c r="CW72" i="14"/>
  <c r="AK47" i="14"/>
  <c r="DB72" i="14"/>
  <c r="AO47" i="14"/>
  <c r="DF72" i="14"/>
  <c r="AT47" i="14"/>
  <c r="FA72" i="14"/>
  <c r="BW47" i="14"/>
  <c r="FM72" i="14"/>
  <c r="CE47" i="14"/>
  <c r="GE72" i="14"/>
  <c r="CM47" i="14"/>
  <c r="GS72" i="14"/>
  <c r="CT47" i="14"/>
  <c r="Q73" i="14"/>
  <c r="L48" i="14"/>
  <c r="AD73" i="14"/>
  <c r="R48" i="14"/>
  <c r="AL73" i="14"/>
  <c r="V48" i="14"/>
  <c r="CO73" i="14"/>
  <c r="AD48" i="14"/>
  <c r="CX73" i="14"/>
  <c r="AL48" i="14"/>
  <c r="DC73" i="14"/>
  <c r="AP48" i="14"/>
  <c r="EI73" i="14"/>
  <c r="BN48" i="14"/>
  <c r="FI73" i="14"/>
  <c r="CC48" i="14"/>
  <c r="GB73" i="14"/>
  <c r="CK48" i="14"/>
  <c r="DY56" i="14"/>
  <c r="BI31" i="14"/>
  <c r="DV58" i="14"/>
  <c r="BG33" i="14"/>
  <c r="FF58" i="14"/>
  <c r="BZ33" i="14"/>
  <c r="GZ58" i="14"/>
  <c r="CX33" i="14"/>
  <c r="FS59" i="14"/>
  <c r="CG34" i="14"/>
  <c r="C60" i="14"/>
  <c r="C35" i="14"/>
  <c r="CQ60" i="14"/>
  <c r="AF35" i="14"/>
  <c r="P61" i="14"/>
  <c r="K36" i="14"/>
  <c r="AL61" i="14"/>
  <c r="V36" i="14"/>
  <c r="EI61" i="14"/>
  <c r="BN36" i="14"/>
  <c r="GB61" i="14"/>
  <c r="CK36" i="14"/>
  <c r="O62" i="14"/>
  <c r="J37" i="14"/>
  <c r="AF62" i="14"/>
  <c r="S37" i="14"/>
  <c r="H63" i="14"/>
  <c r="G38" i="14"/>
  <c r="EV63" i="14"/>
  <c r="BU38" i="14"/>
  <c r="FH63" i="14"/>
  <c r="CB38" i="14"/>
  <c r="GE63" i="14"/>
  <c r="CM38" i="14"/>
  <c r="GS63" i="14"/>
  <c r="CT38" i="14"/>
  <c r="DB64" i="14"/>
  <c r="AO39" i="14"/>
  <c r="DG64" i="14"/>
  <c r="AU39" i="14"/>
  <c r="DO64" i="14"/>
  <c r="BA39" i="14"/>
  <c r="DV64" i="14"/>
  <c r="BG39" i="14"/>
  <c r="ED64" i="14"/>
  <c r="BL39" i="14"/>
  <c r="EV64" i="14"/>
  <c r="BU39" i="14"/>
  <c r="FN64" i="14"/>
  <c r="CF39" i="14"/>
  <c r="GE64" i="14"/>
  <c r="CM39" i="14"/>
  <c r="P65" i="14"/>
  <c r="K40" i="14"/>
  <c r="CP65" i="14"/>
  <c r="AE40" i="14"/>
  <c r="CV65" i="14"/>
  <c r="AJ40" i="14"/>
  <c r="DP65" i="14"/>
  <c r="BB40" i="14"/>
  <c r="DV65" i="14"/>
  <c r="BG40" i="14"/>
  <c r="FM65" i="14"/>
  <c r="CE40" i="14"/>
  <c r="GE65" i="14"/>
  <c r="CM40" i="14"/>
  <c r="GS65" i="14"/>
  <c r="CT40" i="14"/>
  <c r="Q66" i="14"/>
  <c r="L41" i="14"/>
  <c r="AD66" i="14"/>
  <c r="R41" i="14"/>
  <c r="AL66" i="14"/>
  <c r="V41" i="14"/>
  <c r="CO66" i="14"/>
  <c r="AD41" i="14"/>
  <c r="CX66" i="14"/>
  <c r="AL41" i="14"/>
  <c r="DC66" i="14"/>
  <c r="AP41" i="14"/>
  <c r="EI66" i="14"/>
  <c r="BN41" i="14"/>
  <c r="FI66" i="14"/>
  <c r="CC41" i="14"/>
  <c r="GB66" i="14"/>
  <c r="CK41" i="14"/>
  <c r="GU66" i="14"/>
  <c r="CU41" i="14"/>
  <c r="O67" i="14"/>
  <c r="J42" i="14"/>
  <c r="AF67" i="14"/>
  <c r="S42" i="14"/>
  <c r="CL67" i="14"/>
  <c r="AB42" i="14"/>
  <c r="CU67" i="14"/>
  <c r="AI42" i="14"/>
  <c r="CZ67" i="14"/>
  <c r="AM42" i="14"/>
  <c r="ED67" i="14"/>
  <c r="BL42" i="14"/>
  <c r="FG67" i="14"/>
  <c r="CA42" i="14"/>
  <c r="FV67" i="14"/>
  <c r="CI42" i="14"/>
  <c r="GP67" i="14"/>
  <c r="CR42" i="14"/>
  <c r="GW67" i="14"/>
  <c r="CV42" i="14"/>
  <c r="A68" i="14"/>
  <c r="B43" i="14"/>
  <c r="J68" i="14"/>
  <c r="H43" i="14"/>
  <c r="W68" i="14"/>
  <c r="P43" i="14"/>
  <c r="AG68" i="14"/>
  <c r="T43" i="14"/>
  <c r="CG68" i="14"/>
  <c r="Z43" i="14"/>
  <c r="CV68" i="14"/>
  <c r="AJ43" i="14"/>
  <c r="DA68" i="14"/>
  <c r="AN43" i="14"/>
  <c r="DE68" i="14"/>
  <c r="AS43" i="14"/>
  <c r="ES68" i="14"/>
  <c r="BS43" i="14"/>
  <c r="FE68" i="14"/>
  <c r="BY43" i="14"/>
  <c r="FS68" i="14"/>
  <c r="CG43" i="14"/>
  <c r="GQ68" i="14"/>
  <c r="CS43" i="14"/>
  <c r="GX68" i="14"/>
  <c r="CW43" i="14"/>
  <c r="C69" i="14"/>
  <c r="C44" i="14"/>
  <c r="G69" i="14"/>
  <c r="F44" i="14"/>
  <c r="T69" i="14"/>
  <c r="N44" i="14"/>
  <c r="AC69" i="14"/>
  <c r="Q44" i="14"/>
  <c r="AK69" i="14"/>
  <c r="U44" i="14"/>
  <c r="CE69" i="14"/>
  <c r="X44" i="14"/>
  <c r="CQ69" i="14"/>
  <c r="AF44" i="14"/>
  <c r="CW69" i="14"/>
  <c r="AK44" i="14"/>
  <c r="DB69" i="14"/>
  <c r="AO44" i="14"/>
  <c r="DF69" i="14"/>
  <c r="AT44" i="14"/>
  <c r="DL69" i="14"/>
  <c r="AX44" i="14"/>
  <c r="DP69" i="14"/>
  <c r="BB44" i="14"/>
  <c r="DV69" i="14"/>
  <c r="BG44" i="14"/>
  <c r="EA69" i="14"/>
  <c r="BK44" i="14"/>
  <c r="EQ69" i="14"/>
  <c r="BR44" i="14"/>
  <c r="EV69" i="14"/>
  <c r="BU44" i="14"/>
  <c r="FB69" i="14"/>
  <c r="BX44" i="14"/>
  <c r="FN69" i="14"/>
  <c r="CF44" i="14"/>
  <c r="GF69" i="14"/>
  <c r="CN44" i="14"/>
  <c r="E70" i="14"/>
  <c r="E45" i="14"/>
  <c r="S70" i="14"/>
  <c r="M45" i="14"/>
  <c r="CC70" i="14"/>
  <c r="W45" i="14"/>
  <c r="CP70" i="14"/>
  <c r="AE45" i="14"/>
  <c r="DI70" i="14"/>
  <c r="AV45" i="14"/>
  <c r="DN70" i="14"/>
  <c r="AZ45" i="14"/>
  <c r="DQ70" i="14"/>
  <c r="BE45" i="14"/>
  <c r="DY70" i="14"/>
  <c r="BI45" i="14"/>
  <c r="EJ70" i="14"/>
  <c r="BO45" i="14"/>
  <c r="EW70" i="14"/>
  <c r="BV45" i="14"/>
  <c r="FJ70" i="14"/>
  <c r="CD45" i="14"/>
  <c r="GC70" i="14"/>
  <c r="CL45" i="14"/>
  <c r="GK70" i="14"/>
  <c r="CO45" i="14"/>
  <c r="P71" i="14"/>
  <c r="K46" i="14"/>
  <c r="CM71" i="14"/>
  <c r="AC46" i="14"/>
  <c r="DJ71" i="14"/>
  <c r="AW46" i="14"/>
  <c r="DO71" i="14"/>
  <c r="BA46" i="14"/>
  <c r="DU71" i="14"/>
  <c r="BF46" i="14"/>
  <c r="DZ71" i="14"/>
  <c r="BJ46" i="14"/>
  <c r="EE71" i="14"/>
  <c r="BM46" i="14"/>
  <c r="EL71" i="14"/>
  <c r="BP46" i="14"/>
  <c r="FH71" i="14"/>
  <c r="CB46" i="14"/>
  <c r="FW71" i="14"/>
  <c r="CJ46" i="14"/>
  <c r="GL71" i="14"/>
  <c r="CP46" i="14"/>
  <c r="N72" i="14"/>
  <c r="I47" i="14"/>
  <c r="CK72" i="14"/>
  <c r="AA47" i="14"/>
  <c r="DL72" i="14"/>
  <c r="AX47" i="14"/>
  <c r="DP72" i="14"/>
  <c r="BB47" i="14"/>
  <c r="DV72" i="14"/>
  <c r="BG47" i="14"/>
  <c r="EA72" i="14"/>
  <c r="BK47" i="14"/>
  <c r="EM72" i="14"/>
  <c r="BQ47" i="14"/>
  <c r="ET72" i="14"/>
  <c r="BT47" i="14"/>
  <c r="FF72" i="14"/>
  <c r="BZ47" i="14"/>
  <c r="FT72" i="14"/>
  <c r="CH47" i="14"/>
  <c r="GO72" i="14"/>
  <c r="CQ47" i="14"/>
  <c r="GZ72" i="14"/>
  <c r="CX47" i="14"/>
  <c r="D73" i="14"/>
  <c r="D48" i="14"/>
  <c r="H73" i="14"/>
  <c r="G48" i="14"/>
  <c r="V73" i="14"/>
  <c r="O48" i="14"/>
  <c r="FJ56" i="14"/>
  <c r="CD31" i="14"/>
  <c r="GL57" i="14"/>
  <c r="CP32" i="14"/>
  <c r="EA58" i="14"/>
  <c r="BK33" i="14"/>
  <c r="G60" i="14"/>
  <c r="F35" i="14"/>
  <c r="DF60" i="14"/>
  <c r="AT35" i="14"/>
  <c r="DQ60" i="14"/>
  <c r="BE35" i="14"/>
  <c r="EJ60" i="14"/>
  <c r="BO35" i="14"/>
  <c r="GC60" i="14"/>
  <c r="CL35" i="14"/>
  <c r="Q61" i="14"/>
  <c r="L36" i="14"/>
  <c r="DU61" i="14"/>
  <c r="BF36" i="14"/>
  <c r="EL61" i="14"/>
  <c r="BP36" i="14"/>
  <c r="FH61" i="14"/>
  <c r="CB36" i="14"/>
  <c r="FF62" i="14"/>
  <c r="BZ37" i="14"/>
  <c r="GZ62" i="14"/>
  <c r="CX37" i="14"/>
  <c r="J63" i="14"/>
  <c r="H38" i="14"/>
  <c r="CM63" i="14"/>
  <c r="AC38" i="14"/>
  <c r="EE63" i="14"/>
  <c r="BM38" i="14"/>
  <c r="GF63" i="14"/>
  <c r="CN38" i="14"/>
  <c r="E64" i="14"/>
  <c r="E39" i="14"/>
  <c r="AL64" i="14"/>
  <c r="V39" i="14"/>
  <c r="DP64" i="14"/>
  <c r="BB39" i="14"/>
  <c r="EE64" i="14"/>
  <c r="BM39" i="14"/>
  <c r="EM64" i="14"/>
  <c r="BQ39" i="14"/>
  <c r="FW64" i="14"/>
  <c r="CJ39" i="14"/>
  <c r="GP64" i="14"/>
  <c r="CR39" i="14"/>
  <c r="D65" i="14"/>
  <c r="D40" i="14"/>
  <c r="J65" i="14"/>
  <c r="H40" i="14"/>
  <c r="V65" i="14"/>
  <c r="O40" i="14"/>
  <c r="AG65" i="14"/>
  <c r="T40" i="14"/>
  <c r="CF65" i="14"/>
  <c r="Y40" i="14"/>
  <c r="DB65" i="14"/>
  <c r="AO40" i="14"/>
  <c r="DF65" i="14"/>
  <c r="AT40" i="14"/>
  <c r="DL65" i="14"/>
  <c r="AX40" i="14"/>
  <c r="EJ65" i="14"/>
  <c r="BO40" i="14"/>
  <c r="ES65" i="14"/>
  <c r="BS40" i="14"/>
  <c r="FT65" i="14"/>
  <c r="CH40" i="14"/>
  <c r="GO65" i="14"/>
  <c r="CQ40" i="14"/>
  <c r="GZ65" i="14"/>
  <c r="CX40" i="14"/>
  <c r="D66" i="14"/>
  <c r="D41" i="14"/>
  <c r="H66" i="14"/>
  <c r="G41" i="14"/>
  <c r="V66" i="14"/>
  <c r="O41" i="14"/>
  <c r="CF66" i="14"/>
  <c r="Y41" i="14"/>
  <c r="DG66" i="14"/>
  <c r="AU41" i="14"/>
  <c r="DM66" i="14"/>
  <c r="AY41" i="14"/>
  <c r="DW66" i="14"/>
  <c r="BH41" i="14"/>
  <c r="EQ66" i="14"/>
  <c r="BR41" i="14"/>
  <c r="EV66" i="14"/>
  <c r="BU41" i="14"/>
  <c r="FB66" i="14"/>
  <c r="BX41" i="14"/>
  <c r="FN66" i="14"/>
  <c r="CF41" i="14"/>
  <c r="GF66" i="14"/>
  <c r="CN41" i="14"/>
  <c r="E67" i="14"/>
  <c r="E42" i="14"/>
  <c r="S67" i="14"/>
  <c r="M42" i="14"/>
  <c r="CC67" i="14"/>
  <c r="W42" i="14"/>
  <c r="CP67" i="14"/>
  <c r="AE42" i="14"/>
  <c r="DI67" i="14"/>
  <c r="AV42" i="14"/>
  <c r="DN67" i="14"/>
  <c r="AZ42" i="14"/>
  <c r="DQ67" i="14"/>
  <c r="BE42" i="14"/>
  <c r="DY67" i="14"/>
  <c r="BI42" i="14"/>
  <c r="EJ67" i="14"/>
  <c r="BO42" i="14"/>
  <c r="EW67" i="14"/>
  <c r="BV42" i="14"/>
  <c r="FJ67" i="14"/>
  <c r="CD42" i="14"/>
  <c r="GC67" i="14"/>
  <c r="CL42" i="14"/>
  <c r="GK67" i="14"/>
  <c r="CO42" i="14"/>
  <c r="P68" i="14"/>
  <c r="K43" i="14"/>
  <c r="CM68" i="14"/>
  <c r="AC43" i="14"/>
  <c r="DJ68" i="14"/>
  <c r="AW43" i="14"/>
  <c r="DO68" i="14"/>
  <c r="BA43" i="14"/>
  <c r="DU68" i="14"/>
  <c r="BF43" i="14"/>
  <c r="DZ68" i="14"/>
  <c r="BJ43" i="14"/>
  <c r="EE68" i="14"/>
  <c r="BM43" i="14"/>
  <c r="EL68" i="14"/>
  <c r="BP43" i="14"/>
  <c r="FH68" i="14"/>
  <c r="CB43" i="14"/>
  <c r="FW68" i="14"/>
  <c r="CJ43" i="14"/>
  <c r="GL68" i="14"/>
  <c r="CP43" i="14"/>
  <c r="N69" i="14"/>
  <c r="I44" i="14"/>
  <c r="CK69" i="14"/>
  <c r="AA44" i="14"/>
  <c r="FG69" i="14"/>
  <c r="CA44" i="14"/>
  <c r="FV69" i="14"/>
  <c r="CI44" i="14"/>
  <c r="GP69" i="14"/>
  <c r="CR44" i="14"/>
  <c r="GW69" i="14"/>
  <c r="CV44" i="14"/>
  <c r="A70" i="14"/>
  <c r="B45" i="14"/>
  <c r="J70" i="14"/>
  <c r="H45" i="14"/>
  <c r="W70" i="14"/>
  <c r="P45" i="14"/>
  <c r="AG70" i="14"/>
  <c r="T45" i="14"/>
  <c r="CG70" i="14"/>
  <c r="Z45" i="14"/>
  <c r="CV70" i="14"/>
  <c r="AJ45" i="14"/>
  <c r="DA70" i="14"/>
  <c r="AN45" i="14"/>
  <c r="DE70" i="14"/>
  <c r="AS45" i="14"/>
  <c r="ES70" i="14"/>
  <c r="BS45" i="14"/>
  <c r="FE70" i="14"/>
  <c r="BY45" i="14"/>
  <c r="FS70" i="14"/>
  <c r="CG45" i="14"/>
  <c r="GQ70" i="14"/>
  <c r="CS45" i="14"/>
  <c r="GX70" i="14"/>
  <c r="CW45" i="14"/>
  <c r="C71" i="14"/>
  <c r="C46" i="14"/>
  <c r="G71" i="14"/>
  <c r="F46" i="14"/>
  <c r="T71" i="14"/>
  <c r="N46" i="14"/>
  <c r="AC71" i="14"/>
  <c r="Q46" i="14"/>
  <c r="AK71" i="14"/>
  <c r="U46" i="14"/>
  <c r="CE71" i="14"/>
  <c r="X46" i="14"/>
  <c r="CQ71" i="14"/>
  <c r="AF46" i="14"/>
  <c r="CW71" i="14"/>
  <c r="AK46" i="14"/>
  <c r="DB71" i="14"/>
  <c r="AO46" i="14"/>
  <c r="DF71" i="14"/>
  <c r="AT46" i="14"/>
  <c r="FA71" i="14"/>
  <c r="BW46" i="14"/>
  <c r="FM71" i="14"/>
  <c r="CE46" i="14"/>
  <c r="GE71" i="14"/>
  <c r="CM46" i="14"/>
  <c r="GS71" i="14"/>
  <c r="CT46" i="14"/>
  <c r="Q72" i="14"/>
  <c r="L47" i="14"/>
  <c r="AD72" i="14"/>
  <c r="R47" i="14"/>
  <c r="AL72" i="14"/>
  <c r="V47" i="14"/>
  <c r="CO72" i="14"/>
  <c r="AD47" i="14"/>
  <c r="CX72" i="14"/>
  <c r="AL47" i="14"/>
  <c r="DC72" i="14"/>
  <c r="AP47" i="14"/>
  <c r="EI72" i="14"/>
  <c r="BN47" i="14"/>
  <c r="FI72" i="14"/>
  <c r="CC47" i="14"/>
  <c r="GB72" i="14"/>
  <c r="CK47" i="14"/>
  <c r="GU72" i="14"/>
  <c r="CU47" i="14"/>
  <c r="O73" i="14"/>
  <c r="J48" i="14"/>
  <c r="AF73" i="14"/>
  <c r="S48" i="14"/>
  <c r="CL73" i="14"/>
  <c r="AB48" i="14"/>
  <c r="CU73" i="14"/>
  <c r="AI48" i="14"/>
  <c r="CZ73" i="14"/>
  <c r="AM48" i="14"/>
  <c r="ED73" i="14"/>
  <c r="BL48" i="14"/>
  <c r="FG73" i="14"/>
  <c r="CA48" i="14"/>
  <c r="FV73" i="14"/>
  <c r="CI48" i="14"/>
  <c r="S56" i="14"/>
  <c r="M31" i="14"/>
  <c r="DU57" i="14"/>
  <c r="BF32" i="14"/>
  <c r="N58" i="14"/>
  <c r="I33" i="14"/>
  <c r="D59" i="14"/>
  <c r="D34" i="14"/>
  <c r="V59" i="14"/>
  <c r="O34" i="14"/>
  <c r="AC60" i="14"/>
  <c r="Q35" i="14"/>
  <c r="GE60" i="14"/>
  <c r="CM35" i="14"/>
  <c r="FI61" i="14"/>
  <c r="CC36" i="14"/>
  <c r="DV62" i="14"/>
  <c r="BG37" i="14"/>
  <c r="EM62" i="14"/>
  <c r="BQ37" i="14"/>
  <c r="FG62" i="14"/>
  <c r="CA37" i="14"/>
  <c r="FT62" i="14"/>
  <c r="CH37" i="14"/>
  <c r="GK62" i="14"/>
  <c r="CO37" i="14"/>
  <c r="A63" i="14"/>
  <c r="B38" i="14"/>
  <c r="V63" i="14"/>
  <c r="O38" i="14"/>
  <c r="DA63" i="14"/>
  <c r="AN38" i="14"/>
  <c r="DG63" i="14"/>
  <c r="AU38" i="14"/>
  <c r="GX63" i="14"/>
  <c r="CW38" i="14"/>
  <c r="G64" i="14"/>
  <c r="F39" i="14"/>
  <c r="CG64" i="14"/>
  <c r="Z39" i="14"/>
  <c r="CO64" i="14"/>
  <c r="AD39" i="14"/>
  <c r="CV64" i="14"/>
  <c r="AJ39" i="14"/>
  <c r="DC64" i="14"/>
  <c r="AP39" i="14"/>
  <c r="DJ64" i="14"/>
  <c r="AW39" i="14"/>
  <c r="DW64" i="14"/>
  <c r="BH39" i="14"/>
  <c r="EQ64" i="14"/>
  <c r="BR39" i="14"/>
  <c r="EW64" i="14"/>
  <c r="BV39" i="14"/>
  <c r="GF64" i="14"/>
  <c r="CN39" i="14"/>
  <c r="E65" i="14"/>
  <c r="E40" i="14"/>
  <c r="Q65" i="14"/>
  <c r="L40" i="14"/>
  <c r="CW65" i="14"/>
  <c r="AK40" i="14"/>
  <c r="DW65" i="14"/>
  <c r="BH40" i="14"/>
  <c r="FA65" i="14"/>
  <c r="BW40" i="14"/>
  <c r="FF65" i="14"/>
  <c r="BZ40" i="14"/>
  <c r="FI65" i="14"/>
  <c r="CC40" i="14"/>
  <c r="GB65" i="14"/>
  <c r="CK40" i="14"/>
  <c r="GU65" i="14"/>
  <c r="CU40" i="14"/>
  <c r="O66" i="14"/>
  <c r="J41" i="14"/>
  <c r="AF66" i="14"/>
  <c r="S41" i="14"/>
  <c r="CL66" i="14"/>
  <c r="AB41" i="14"/>
  <c r="CU66" i="14"/>
  <c r="AI41" i="14"/>
  <c r="CZ66" i="14"/>
  <c r="AM41" i="14"/>
  <c r="ED66" i="14"/>
  <c r="BL41" i="14"/>
  <c r="FG66" i="14"/>
  <c r="CA41" i="14"/>
  <c r="FV66" i="14"/>
  <c r="CI41" i="14"/>
  <c r="GP66" i="14"/>
  <c r="CR41" i="14"/>
  <c r="GW66" i="14"/>
  <c r="CV41" i="14"/>
  <c r="A67" i="14"/>
  <c r="B42" i="14"/>
  <c r="J67" i="14"/>
  <c r="H42" i="14"/>
  <c r="W67" i="14"/>
  <c r="P42" i="14"/>
  <c r="AG67" i="14"/>
  <c r="T42" i="14"/>
  <c r="CG67" i="14"/>
  <c r="Z42" i="14"/>
  <c r="CV67" i="14"/>
  <c r="AJ42" i="14"/>
  <c r="DA67" i="14"/>
  <c r="AN42" i="14"/>
  <c r="DE67" i="14"/>
  <c r="AS42" i="14"/>
  <c r="ES67" i="14"/>
  <c r="BS42" i="14"/>
  <c r="FE67" i="14"/>
  <c r="BY42" i="14"/>
  <c r="FS67" i="14"/>
  <c r="CG42" i="14"/>
  <c r="GQ67" i="14"/>
  <c r="CS42" i="14"/>
  <c r="GX67" i="14"/>
  <c r="CW42" i="14"/>
  <c r="C68" i="14"/>
  <c r="C43" i="14"/>
  <c r="G68" i="14"/>
  <c r="F43" i="14"/>
  <c r="T68" i="14"/>
  <c r="N43" i="14"/>
  <c r="AC68" i="14"/>
  <c r="Q43" i="14"/>
  <c r="AK68" i="14"/>
  <c r="U43" i="14"/>
  <c r="CE68" i="14"/>
  <c r="X43" i="14"/>
  <c r="CQ68" i="14"/>
  <c r="AF43" i="14"/>
  <c r="CW68" i="14"/>
  <c r="AK43" i="14"/>
  <c r="DB68" i="14"/>
  <c r="AO43" i="14"/>
  <c r="DF68" i="14"/>
  <c r="AT43" i="14"/>
  <c r="FA68" i="14"/>
  <c r="BW43" i="14"/>
  <c r="FM68" i="14"/>
  <c r="CE43" i="14"/>
  <c r="GE68" i="14"/>
  <c r="CM43" i="14"/>
  <c r="GS68" i="14"/>
  <c r="CT43" i="14"/>
  <c r="Q69" i="14"/>
  <c r="L44" i="14"/>
  <c r="AD69" i="14"/>
  <c r="R44" i="14"/>
  <c r="AL69" i="14"/>
  <c r="V44" i="14"/>
  <c r="CV55" i="14"/>
  <c r="AJ30" i="14"/>
  <c r="H56" i="14"/>
  <c r="G31" i="14"/>
  <c r="P57" i="14"/>
  <c r="K32" i="14"/>
  <c r="CM57" i="14"/>
  <c r="AC32" i="14"/>
  <c r="DZ57" i="14"/>
  <c r="BJ32" i="14"/>
  <c r="FH57" i="14"/>
  <c r="CB32" i="14"/>
  <c r="FT58" i="14"/>
  <c r="CH33" i="14"/>
  <c r="ES59" i="14"/>
  <c r="BS34" i="14"/>
  <c r="AK60" i="14"/>
  <c r="U35" i="14"/>
  <c r="DI60" i="14"/>
  <c r="AV35" i="14"/>
  <c r="DY60" i="14"/>
  <c r="BI35" i="14"/>
  <c r="FJ60" i="14"/>
  <c r="CD35" i="14"/>
  <c r="GK60" i="14"/>
  <c r="CO35" i="14"/>
  <c r="DJ61" i="14"/>
  <c r="AW36" i="14"/>
  <c r="DZ61" i="14"/>
  <c r="BJ36" i="14"/>
  <c r="GL61" i="14"/>
  <c r="CP36" i="14"/>
  <c r="FV62" i="14"/>
  <c r="CI37" i="14"/>
  <c r="GO62" i="14"/>
  <c r="CQ37" i="14"/>
  <c r="DU63" i="14"/>
  <c r="BF38" i="14"/>
  <c r="FB63" i="14"/>
  <c r="BX38" i="14"/>
  <c r="FW63" i="14"/>
  <c r="CJ38" i="14"/>
  <c r="GL63" i="14"/>
  <c r="CP38" i="14"/>
  <c r="AC64" i="14"/>
  <c r="Q39" i="14"/>
  <c r="CP64" i="14"/>
  <c r="AE39" i="14"/>
  <c r="CW64" i="14"/>
  <c r="AK39" i="14"/>
  <c r="DL64" i="14"/>
  <c r="AX39" i="14"/>
  <c r="DY64" i="14"/>
  <c r="BI39" i="14"/>
  <c r="FF64" i="14"/>
  <c r="BZ39" i="14"/>
  <c r="GZ64" i="14"/>
  <c r="CX39" i="14"/>
  <c r="N65" i="14"/>
  <c r="I40" i="14"/>
  <c r="W65" i="14"/>
  <c r="P40" i="14"/>
  <c r="CC65" i="14"/>
  <c r="W40" i="14"/>
  <c r="CG65" i="14"/>
  <c r="Z40" i="14"/>
  <c r="CM65" i="14"/>
  <c r="AC40" i="14"/>
  <c r="CQ65" i="14"/>
  <c r="AF40" i="14"/>
  <c r="DC65" i="14"/>
  <c r="AP40" i="14"/>
  <c r="DM65" i="14"/>
  <c r="AY40" i="14"/>
  <c r="DY65" i="14"/>
  <c r="BI40" i="14"/>
  <c r="EL65" i="14"/>
  <c r="BP40" i="14"/>
  <c r="FN65" i="14"/>
  <c r="CF40" i="14"/>
  <c r="GF65" i="14"/>
  <c r="CN40" i="14"/>
  <c r="E66" i="14"/>
  <c r="E41" i="14"/>
  <c r="S66" i="14"/>
  <c r="M41" i="14"/>
  <c r="CC66" i="14"/>
  <c r="W41" i="14"/>
  <c r="CP66" i="14"/>
  <c r="AE41" i="14"/>
  <c r="DI66" i="14"/>
  <c r="AV41" i="14"/>
  <c r="DN66" i="14"/>
  <c r="AZ41" i="14"/>
  <c r="DQ66" i="14"/>
  <c r="BE41" i="14"/>
  <c r="DY66" i="14"/>
  <c r="BI41" i="14"/>
  <c r="EJ66" i="14"/>
  <c r="BO41" i="14"/>
  <c r="EW66" i="14"/>
  <c r="BV41" i="14"/>
  <c r="FJ66" i="14"/>
  <c r="CD41" i="14"/>
  <c r="GC66" i="14"/>
  <c r="CL41" i="14"/>
  <c r="GK66" i="14"/>
  <c r="CO41" i="14"/>
  <c r="P67" i="14"/>
  <c r="K42" i="14"/>
  <c r="CM67" i="14"/>
  <c r="AC42" i="14"/>
  <c r="DJ67" i="14"/>
  <c r="AW42" i="14"/>
  <c r="DO67" i="14"/>
  <c r="BA42" i="14"/>
  <c r="DU67" i="14"/>
  <c r="BF42" i="14"/>
  <c r="DZ67" i="14"/>
  <c r="BJ42" i="14"/>
  <c r="EE67" i="14"/>
  <c r="BM42" i="14"/>
  <c r="EL67" i="14"/>
  <c r="BP42" i="14"/>
  <c r="FH67" i="14"/>
  <c r="CB42" i="14"/>
  <c r="FW67" i="14"/>
  <c r="CJ42" i="14"/>
  <c r="GL67" i="14"/>
  <c r="CP42" i="14"/>
  <c r="N68" i="14"/>
  <c r="I43" i="14"/>
  <c r="CK68" i="14"/>
  <c r="AA43" i="14"/>
  <c r="DL68" i="14"/>
  <c r="AX43" i="14"/>
  <c r="DP68" i="14"/>
  <c r="BB43" i="14"/>
  <c r="DV68" i="14"/>
  <c r="BG43" i="14"/>
  <c r="EA68" i="14"/>
  <c r="BK43" i="14"/>
  <c r="EM68" i="14"/>
  <c r="BQ43" i="14"/>
  <c r="ET68" i="14"/>
  <c r="BT43" i="14"/>
  <c r="FF68" i="14"/>
  <c r="BZ43" i="14"/>
  <c r="FT68" i="14"/>
  <c r="CH43" i="14"/>
  <c r="GO68" i="14"/>
  <c r="CQ43" i="14"/>
  <c r="GZ68" i="14"/>
  <c r="CX43" i="14"/>
  <c r="D69" i="14"/>
  <c r="D44" i="14"/>
  <c r="H69" i="14"/>
  <c r="G44" i="14"/>
  <c r="V69" i="14"/>
  <c r="O44" i="14"/>
  <c r="CF69" i="14"/>
  <c r="Y44" i="14"/>
  <c r="ES69" i="14"/>
  <c r="BS44" i="14"/>
  <c r="FE69" i="14"/>
  <c r="BY44" i="14"/>
  <c r="FS69" i="14"/>
  <c r="CG44" i="14"/>
  <c r="GQ69" i="14"/>
  <c r="CS44" i="14"/>
  <c r="GX69" i="14"/>
  <c r="CW44" i="14"/>
  <c r="C70" i="14"/>
  <c r="C45" i="14"/>
  <c r="G70" i="14"/>
  <c r="F45" i="14"/>
  <c r="T70" i="14"/>
  <c r="N45" i="14"/>
  <c r="AC70" i="14"/>
  <c r="Q45" i="14"/>
  <c r="AK70" i="14"/>
  <c r="U45" i="14"/>
  <c r="CE70" i="14"/>
  <c r="X45" i="14"/>
  <c r="CQ70" i="14"/>
  <c r="AF45" i="14"/>
  <c r="CW70" i="14"/>
  <c r="AK45" i="14"/>
  <c r="DB70" i="14"/>
  <c r="AO45" i="14"/>
  <c r="DF70" i="14"/>
  <c r="AT45" i="14"/>
  <c r="FA70" i="14"/>
  <c r="BW45" i="14"/>
  <c r="FM70" i="14"/>
  <c r="CE45" i="14"/>
  <c r="GE70" i="14"/>
  <c r="CM45" i="14"/>
  <c r="GS70" i="14"/>
  <c r="CT45" i="14"/>
  <c r="Q71" i="14"/>
  <c r="L46" i="14"/>
  <c r="AD71" i="14"/>
  <c r="R46" i="14"/>
  <c r="AL71" i="14"/>
  <c r="V46" i="14"/>
  <c r="CO71" i="14"/>
  <c r="AD46" i="14"/>
  <c r="CX71" i="14"/>
  <c r="AL46" i="14"/>
  <c r="DC71" i="14"/>
  <c r="AP46" i="14"/>
  <c r="EI71" i="14"/>
  <c r="BN46" i="14"/>
  <c r="FI71" i="14"/>
  <c r="CC46" i="14"/>
  <c r="GB71" i="14"/>
  <c r="CK46" i="14"/>
  <c r="GU71" i="14"/>
  <c r="CU46" i="14"/>
  <c r="O72" i="14"/>
  <c r="J47" i="14"/>
  <c r="AF72" i="14"/>
  <c r="S47" i="14"/>
  <c r="CL72" i="14"/>
  <c r="AB47" i="14"/>
  <c r="CU72" i="14"/>
  <c r="AI47" i="14"/>
  <c r="CZ72" i="14"/>
  <c r="AM47" i="14"/>
  <c r="ED72" i="14"/>
  <c r="BL47" i="14"/>
  <c r="FG72" i="14"/>
  <c r="CA47" i="14"/>
  <c r="FV72" i="14"/>
  <c r="CI47" i="14"/>
  <c r="GP72" i="14"/>
  <c r="CR47" i="14"/>
  <c r="GW72" i="14"/>
  <c r="CV47" i="14"/>
  <c r="A73" i="14"/>
  <c r="B48" i="14"/>
  <c r="J73" i="14"/>
  <c r="H48" i="14"/>
  <c r="W73" i="14"/>
  <c r="P48" i="14"/>
  <c r="AG73" i="14"/>
  <c r="T48" i="14"/>
  <c r="CG73" i="14"/>
  <c r="Z48" i="14"/>
  <c r="CV73" i="14"/>
  <c r="AJ48" i="14"/>
  <c r="DA73" i="14"/>
  <c r="AN48" i="14"/>
  <c r="DE73" i="14"/>
  <c r="AS48" i="14"/>
  <c r="T54" i="14"/>
  <c r="N29" i="14"/>
  <c r="CC56" i="14"/>
  <c r="W31" i="14"/>
  <c r="CP56" i="14"/>
  <c r="AE31" i="14"/>
  <c r="DI56" i="14"/>
  <c r="AV31" i="14"/>
  <c r="EJ56" i="14"/>
  <c r="BO31" i="14"/>
  <c r="GC56" i="14"/>
  <c r="CL31" i="14"/>
  <c r="H59" i="14"/>
  <c r="G34" i="14"/>
  <c r="CW60" i="14"/>
  <c r="AK35" i="14"/>
  <c r="FM60" i="14"/>
  <c r="CE35" i="14"/>
  <c r="CX61" i="14"/>
  <c r="AL36" i="14"/>
  <c r="CU62" i="14"/>
  <c r="AI37" i="14"/>
  <c r="EA62" i="14"/>
  <c r="BK37" i="14"/>
  <c r="ET62" i="14"/>
  <c r="BT37" i="14"/>
  <c r="GP62" i="14"/>
  <c r="CR37" i="14"/>
  <c r="D63" i="14"/>
  <c r="D38" i="14"/>
  <c r="W63" i="14"/>
  <c r="P38" i="14"/>
  <c r="CF63" i="14"/>
  <c r="Y38" i="14"/>
  <c r="DJ63" i="14"/>
  <c r="AW38" i="14"/>
  <c r="DW63" i="14"/>
  <c r="BH38" i="14"/>
  <c r="EL63" i="14"/>
  <c r="BP38" i="14"/>
  <c r="FE63" i="14"/>
  <c r="BY38" i="14"/>
  <c r="FM63" i="14"/>
  <c r="CE38" i="14"/>
  <c r="CK64" i="14"/>
  <c r="AA39" i="14"/>
  <c r="FA64" i="14"/>
  <c r="BW39" i="14"/>
  <c r="FJ64" i="14"/>
  <c r="CD39" i="14"/>
  <c r="GK64" i="14"/>
  <c r="CO39" i="14"/>
  <c r="GS64" i="14"/>
  <c r="CT39" i="14"/>
  <c r="S65" i="14"/>
  <c r="M40" i="14"/>
  <c r="AL65" i="14"/>
  <c r="V40" i="14"/>
  <c r="CX65" i="14"/>
  <c r="AL40" i="14"/>
  <c r="DG65" i="14"/>
  <c r="AU40" i="14"/>
  <c r="DN65" i="14"/>
  <c r="AZ40" i="14"/>
  <c r="DQ65" i="14"/>
  <c r="BE40" i="14"/>
  <c r="EE65" i="14"/>
  <c r="BM40" i="14"/>
  <c r="ET65" i="14"/>
  <c r="BT40" i="14"/>
  <c r="FV65" i="14"/>
  <c r="CI40" i="14"/>
  <c r="GP65" i="14"/>
  <c r="CR40" i="14"/>
  <c r="GW65" i="14"/>
  <c r="CV40" i="14"/>
  <c r="A66" i="14"/>
  <c r="B41" i="14"/>
  <c r="J66" i="14"/>
  <c r="H41" i="14"/>
  <c r="W66" i="14"/>
  <c r="P41" i="14"/>
  <c r="AG66" i="14"/>
  <c r="T41" i="14"/>
  <c r="CG66" i="14"/>
  <c r="Z41" i="14"/>
  <c r="CV66" i="14"/>
  <c r="AJ41" i="14"/>
  <c r="DA66" i="14"/>
  <c r="AN41" i="14"/>
  <c r="DE66" i="14"/>
  <c r="AS41" i="14"/>
  <c r="ES66" i="14"/>
  <c r="BS41" i="14"/>
  <c r="FE66" i="14"/>
  <c r="BY41" i="14"/>
  <c r="FS66" i="14"/>
  <c r="CG41" i="14"/>
  <c r="GQ66" i="14"/>
  <c r="CS41" i="14"/>
  <c r="GX66" i="14"/>
  <c r="CW41" i="14"/>
  <c r="C67" i="14"/>
  <c r="C42" i="14"/>
  <c r="G67" i="14"/>
  <c r="F42" i="14"/>
  <c r="T67" i="14"/>
  <c r="N42" i="14"/>
  <c r="AC67" i="14"/>
  <c r="Q42" i="14"/>
  <c r="AK67" i="14"/>
  <c r="U42" i="14"/>
  <c r="CE67" i="14"/>
  <c r="X42" i="14"/>
  <c r="CQ67" i="14"/>
  <c r="AF42" i="14"/>
  <c r="CW67" i="14"/>
  <c r="AK42" i="14"/>
  <c r="DB67" i="14"/>
  <c r="AO42" i="14"/>
  <c r="DF67" i="14"/>
  <c r="AT42" i="14"/>
  <c r="FA67" i="14"/>
  <c r="BW42" i="14"/>
  <c r="FM67" i="14"/>
  <c r="CE42" i="14"/>
  <c r="GE67" i="14"/>
  <c r="CM42" i="14"/>
  <c r="GS67" i="14"/>
  <c r="CT42" i="14"/>
  <c r="Q68" i="14"/>
  <c r="L43" i="14"/>
  <c r="AD68" i="14"/>
  <c r="R43" i="14"/>
  <c r="AL68" i="14"/>
  <c r="V43" i="14"/>
  <c r="CO68" i="14"/>
  <c r="AD43" i="14"/>
  <c r="CX68" i="14"/>
  <c r="AL43" i="14"/>
  <c r="DC68" i="14"/>
  <c r="AP43" i="14"/>
  <c r="EI68" i="14"/>
  <c r="BN43" i="14"/>
  <c r="FI68" i="14"/>
  <c r="CC43" i="14"/>
  <c r="GB68" i="14"/>
  <c r="CK43" i="14"/>
  <c r="GU68" i="14"/>
  <c r="CU43" i="14"/>
  <c r="O69" i="14"/>
  <c r="J44" i="14"/>
  <c r="AF69" i="14"/>
  <c r="S44" i="14"/>
  <c r="CL69" i="14"/>
  <c r="AB44" i="14"/>
  <c r="CU69" i="14"/>
  <c r="AI44" i="14"/>
  <c r="CZ69" i="14"/>
  <c r="AM44" i="14"/>
  <c r="DI69" i="14"/>
  <c r="AV44" i="14"/>
  <c r="DN69" i="14"/>
  <c r="AZ44" i="14"/>
  <c r="DQ69" i="14"/>
  <c r="BE44" i="14"/>
  <c r="DY69" i="14"/>
  <c r="BI44" i="14"/>
  <c r="EE69" i="14"/>
  <c r="BM44" i="14"/>
  <c r="EL69" i="14"/>
  <c r="BP44" i="14"/>
  <c r="FH69" i="14"/>
  <c r="CB44" i="14"/>
  <c r="FW69" i="14"/>
  <c r="CJ44" i="14"/>
  <c r="GL69" i="14"/>
  <c r="CP44" i="14"/>
  <c r="N70" i="14"/>
  <c r="I45" i="14"/>
  <c r="CK70" i="14"/>
  <c r="AA45" i="14"/>
  <c r="DL70" i="14"/>
  <c r="AX45" i="14"/>
  <c r="DP70" i="14"/>
  <c r="BB45" i="14"/>
  <c r="DV70" i="14"/>
  <c r="BG45" i="14"/>
  <c r="EA70" i="14"/>
  <c r="BK45" i="14"/>
  <c r="EM70" i="14"/>
  <c r="BQ45" i="14"/>
  <c r="ET70" i="14"/>
  <c r="BT45" i="14"/>
  <c r="FF70" i="14"/>
  <c r="BZ45" i="14"/>
  <c r="FT70" i="14"/>
  <c r="CH45" i="14"/>
  <c r="GO70" i="14"/>
  <c r="CQ45" i="14"/>
  <c r="GZ70" i="14"/>
  <c r="CX45" i="14"/>
  <c r="D71" i="14"/>
  <c r="D46" i="14"/>
  <c r="H71" i="14"/>
  <c r="G46" i="14"/>
  <c r="V71" i="14"/>
  <c r="O46" i="14"/>
  <c r="CF71" i="14"/>
  <c r="Y46" i="14"/>
  <c r="DG71" i="14"/>
  <c r="AU46" i="14"/>
  <c r="DM71" i="14"/>
  <c r="AY46" i="14"/>
  <c r="DW71" i="14"/>
  <c r="BH46" i="14"/>
  <c r="EQ71" i="14"/>
  <c r="BR46" i="14"/>
  <c r="EV71" i="14"/>
  <c r="BU46" i="14"/>
  <c r="FB71" i="14"/>
  <c r="BX46" i="14"/>
  <c r="GO55" i="14"/>
  <c r="CQ30" i="14"/>
  <c r="DN56" i="14"/>
  <c r="AZ31" i="14"/>
  <c r="DL58" i="14"/>
  <c r="AX33" i="14"/>
  <c r="EM58" i="14"/>
  <c r="BQ33" i="14"/>
  <c r="FE59" i="14"/>
  <c r="BY34" i="14"/>
  <c r="GQ59" i="14"/>
  <c r="CS34" i="14"/>
  <c r="CE60" i="14"/>
  <c r="X35" i="14"/>
  <c r="DN60" i="14"/>
  <c r="AZ35" i="14"/>
  <c r="EW60" i="14"/>
  <c r="BV35" i="14"/>
  <c r="DO61" i="14"/>
  <c r="BA36" i="14"/>
  <c r="CK62" i="14"/>
  <c r="AA37" i="14"/>
  <c r="DL62" i="14"/>
  <c r="AX37" i="14"/>
  <c r="P63" i="14"/>
  <c r="K38" i="14"/>
  <c r="CG63" i="14"/>
  <c r="Z38" i="14"/>
  <c r="DM63" i="14"/>
  <c r="AY38" i="14"/>
  <c r="EQ63" i="14"/>
  <c r="BR38" i="14"/>
  <c r="FN63" i="14"/>
  <c r="CF38" i="14"/>
  <c r="Q64" i="14"/>
  <c r="L39" i="14"/>
  <c r="AD64" i="14"/>
  <c r="R39" i="14"/>
  <c r="CC64" i="14"/>
  <c r="W39" i="14"/>
  <c r="CQ64" i="14"/>
  <c r="AF39" i="14"/>
  <c r="CX64" i="14"/>
  <c r="AL39" i="14"/>
  <c r="DE64" i="14"/>
  <c r="AS39" i="14"/>
  <c r="DM64" i="14"/>
  <c r="AY39" i="14"/>
  <c r="DQ64" i="14"/>
  <c r="BE39" i="14"/>
  <c r="DZ64" i="14"/>
  <c r="BJ39" i="14"/>
  <c r="FG64" i="14"/>
  <c r="CA39" i="14"/>
  <c r="FT64" i="14"/>
  <c r="CH39" i="14"/>
  <c r="GL64" i="14"/>
  <c r="CP39" i="14"/>
  <c r="A65" i="14"/>
  <c r="B40" i="14"/>
  <c r="DI65" i="14"/>
  <c r="AV40" i="14"/>
  <c r="DZ65" i="14"/>
  <c r="BJ40" i="14"/>
  <c r="EM65" i="14"/>
  <c r="BQ40" i="14"/>
  <c r="FB65" i="14"/>
  <c r="BX40" i="14"/>
  <c r="FJ65" i="14"/>
  <c r="CD40" i="14"/>
  <c r="GC65" i="14"/>
  <c r="CL40" i="14"/>
  <c r="GK65" i="14"/>
  <c r="CO40" i="14"/>
  <c r="P66" i="14"/>
  <c r="K41" i="14"/>
  <c r="CM66" i="14"/>
  <c r="AC41" i="14"/>
  <c r="DJ66" i="14"/>
  <c r="AW41" i="14"/>
  <c r="DO66" i="14"/>
  <c r="BA41" i="14"/>
  <c r="DU66" i="14"/>
  <c r="BF41" i="14"/>
  <c r="DZ66" i="14"/>
  <c r="BJ41" i="14"/>
  <c r="EE66" i="14"/>
  <c r="BM41" i="14"/>
  <c r="EL66" i="14"/>
  <c r="BP41" i="14"/>
  <c r="FH66" i="14"/>
  <c r="CB41" i="14"/>
  <c r="FW66" i="14"/>
  <c r="CJ41" i="14"/>
  <c r="GL66" i="14"/>
  <c r="CP41" i="14"/>
  <c r="N67" i="14"/>
  <c r="I42" i="14"/>
  <c r="CK67" i="14"/>
  <c r="AA42" i="14"/>
  <c r="DL67" i="14"/>
  <c r="AX42" i="14"/>
  <c r="DP67" i="14"/>
  <c r="BB42" i="14"/>
  <c r="DV67" i="14"/>
  <c r="BG42" i="14"/>
  <c r="EA67" i="14"/>
  <c r="BK42" i="14"/>
  <c r="EM67" i="14"/>
  <c r="BQ42" i="14"/>
  <c r="ET67" i="14"/>
  <c r="BT42" i="14"/>
  <c r="FF67" i="14"/>
  <c r="BZ42" i="14"/>
  <c r="FT67" i="14"/>
  <c r="CH42" i="14"/>
  <c r="GO67" i="14"/>
  <c r="CQ42" i="14"/>
  <c r="GZ67" i="14"/>
  <c r="CX42" i="14"/>
  <c r="D68" i="14"/>
  <c r="D43" i="14"/>
  <c r="H68" i="14"/>
  <c r="G43" i="14"/>
  <c r="V68" i="14"/>
  <c r="O43" i="14"/>
  <c r="CF68" i="14"/>
  <c r="Y43" i="14"/>
  <c r="DG68" i="14"/>
  <c r="AU43" i="14"/>
  <c r="DM68" i="14"/>
  <c r="AY43" i="14"/>
  <c r="DW68" i="14"/>
  <c r="BH43" i="14"/>
  <c r="EQ68" i="14"/>
  <c r="BR43" i="14"/>
  <c r="EV68" i="14"/>
  <c r="BU43" i="14"/>
  <c r="FB68" i="14"/>
  <c r="BX43" i="14"/>
  <c r="FN68" i="14"/>
  <c r="CF43" i="14"/>
  <c r="GF68" i="14"/>
  <c r="CN43" i="14"/>
  <c r="E69" i="14"/>
  <c r="E44" i="14"/>
  <c r="S69" i="14"/>
  <c r="M44" i="14"/>
  <c r="CC69" i="14"/>
  <c r="W44" i="14"/>
  <c r="CP69" i="14"/>
  <c r="AE44" i="14"/>
  <c r="FA69" i="14"/>
  <c r="BW44" i="14"/>
  <c r="FM69" i="14"/>
  <c r="CE44" i="14"/>
  <c r="GE69" i="14"/>
  <c r="CM44" i="14"/>
  <c r="GS69" i="14"/>
  <c r="CT44" i="14"/>
  <c r="Q70" i="14"/>
  <c r="L45" i="14"/>
  <c r="AD70" i="14"/>
  <c r="R45" i="14"/>
  <c r="AL70" i="14"/>
  <c r="V45" i="14"/>
  <c r="CO70" i="14"/>
  <c r="AD45" i="14"/>
  <c r="CX70" i="14"/>
  <c r="AL45" i="14"/>
  <c r="DC70" i="14"/>
  <c r="AP45" i="14"/>
  <c r="EI70" i="14"/>
  <c r="BN45" i="14"/>
  <c r="FI70" i="14"/>
  <c r="CC45" i="14"/>
  <c r="GB70" i="14"/>
  <c r="CK45" i="14"/>
  <c r="GU70" i="14"/>
  <c r="CU45" i="14"/>
  <c r="O71" i="14"/>
  <c r="J46" i="14"/>
  <c r="AF71" i="14"/>
  <c r="S46" i="14"/>
  <c r="CL71" i="14"/>
  <c r="AB46" i="14"/>
  <c r="CU71" i="14"/>
  <c r="AI46" i="14"/>
  <c r="CZ71" i="14"/>
  <c r="AM46" i="14"/>
  <c r="ED71" i="14"/>
  <c r="BL46" i="14"/>
  <c r="FG71" i="14"/>
  <c r="CA46" i="14"/>
  <c r="FV71" i="14"/>
  <c r="CI46" i="14"/>
  <c r="GP71" i="14"/>
  <c r="CR46" i="14"/>
  <c r="GW71" i="14"/>
  <c r="CV46" i="14"/>
  <c r="A72" i="14"/>
  <c r="B47" i="14"/>
  <c r="J72" i="14"/>
  <c r="H47" i="14"/>
  <c r="W72" i="14"/>
  <c r="P47" i="14"/>
  <c r="AG72" i="14"/>
  <c r="T47" i="14"/>
  <c r="CG72" i="14"/>
  <c r="Z47" i="14"/>
  <c r="CV72" i="14"/>
  <c r="AJ47" i="14"/>
  <c r="DA72" i="14"/>
  <c r="AN47" i="14"/>
  <c r="DE72" i="14"/>
  <c r="AS47" i="14"/>
  <c r="ES72" i="14"/>
  <c r="BS47" i="14"/>
  <c r="FE72" i="14"/>
  <c r="BY47" i="14"/>
  <c r="FS72" i="14"/>
  <c r="CG47" i="14"/>
  <c r="GQ72" i="14"/>
  <c r="CS47" i="14"/>
  <c r="GX72" i="14"/>
  <c r="CW47" i="14"/>
  <c r="C73" i="14"/>
  <c r="C48" i="14"/>
  <c r="G73" i="14"/>
  <c r="F48" i="14"/>
  <c r="T73" i="14"/>
  <c r="N48" i="14"/>
  <c r="AC73" i="14"/>
  <c r="Q48" i="14"/>
  <c r="AK73" i="14"/>
  <c r="U48" i="14"/>
  <c r="HA65" i="14"/>
  <c r="CY40" i="14"/>
  <c r="GX55" i="14"/>
  <c r="CW30" i="14"/>
  <c r="EW56" i="14"/>
  <c r="BV31" i="14"/>
  <c r="DJ57" i="14"/>
  <c r="AW32" i="14"/>
  <c r="EE57" i="14"/>
  <c r="BM32" i="14"/>
  <c r="FW57" i="14"/>
  <c r="CJ32" i="14"/>
  <c r="DP58" i="14"/>
  <c r="BB33" i="14"/>
  <c r="ET58" i="14"/>
  <c r="BT33" i="14"/>
  <c r="GO58" i="14"/>
  <c r="CQ33" i="14"/>
  <c r="GX59" i="14"/>
  <c r="CW34" i="14"/>
  <c r="DB60" i="14"/>
  <c r="AO35" i="14"/>
  <c r="FA60" i="14"/>
  <c r="BW35" i="14"/>
  <c r="GS60" i="14"/>
  <c r="CT35" i="14"/>
  <c r="AD61" i="14"/>
  <c r="R36" i="14"/>
  <c r="CM61" i="14"/>
  <c r="AC36" i="14"/>
  <c r="DC61" i="14"/>
  <c r="AP36" i="14"/>
  <c r="GU61" i="14"/>
  <c r="CU36" i="14"/>
  <c r="N62" i="14"/>
  <c r="I37" i="14"/>
  <c r="CL62" i="14"/>
  <c r="AB37" i="14"/>
  <c r="CZ62" i="14"/>
  <c r="AM37" i="14"/>
  <c r="ED62" i="14"/>
  <c r="BL37" i="14"/>
  <c r="FJ62" i="14"/>
  <c r="CD37" i="14"/>
  <c r="DZ63" i="14"/>
  <c r="BJ38" i="14"/>
  <c r="ES63" i="14"/>
  <c r="BS38" i="14"/>
  <c r="FS63" i="14"/>
  <c r="CG38" i="14"/>
  <c r="GQ63" i="14"/>
  <c r="CS38" i="14"/>
  <c r="C64" i="14"/>
  <c r="C39" i="14"/>
  <c r="S64" i="14"/>
  <c r="M39" i="14"/>
  <c r="CE64" i="14"/>
  <c r="X39" i="14"/>
  <c r="DF64" i="14"/>
  <c r="AT39" i="14"/>
  <c r="DN64" i="14"/>
  <c r="AZ39" i="14"/>
  <c r="EA64" i="14"/>
  <c r="BK39" i="14"/>
  <c r="EJ64" i="14"/>
  <c r="BO39" i="14"/>
  <c r="FB64" i="14"/>
  <c r="BX39" i="14"/>
  <c r="FM64" i="14"/>
  <c r="CE39" i="14"/>
  <c r="GC64" i="14"/>
  <c r="CL39" i="14"/>
  <c r="AD65" i="14"/>
  <c r="R40" i="14"/>
  <c r="CE65" i="14"/>
  <c r="X40" i="14"/>
  <c r="CK65" i="14"/>
  <c r="AA40" i="14"/>
  <c r="CO65" i="14"/>
  <c r="AD40" i="14"/>
  <c r="DO65" i="14"/>
  <c r="BA40" i="14"/>
  <c r="DU65" i="14"/>
  <c r="BF40" i="14"/>
  <c r="EV65" i="14"/>
  <c r="BU40" i="14"/>
  <c r="FS65" i="14"/>
  <c r="CG40" i="14"/>
  <c r="GQ65" i="14"/>
  <c r="CS40" i="14"/>
  <c r="GX65" i="14"/>
  <c r="CW40" i="14"/>
  <c r="C66" i="14"/>
  <c r="C41" i="14"/>
  <c r="G66" i="14"/>
  <c r="F41" i="14"/>
  <c r="T66" i="14"/>
  <c r="N41" i="14"/>
  <c r="AC66" i="14"/>
  <c r="Q41" i="14"/>
  <c r="AK66" i="14"/>
  <c r="U41" i="14"/>
  <c r="CE66" i="14"/>
  <c r="X41" i="14"/>
  <c r="CQ66" i="14"/>
  <c r="AF41" i="14"/>
  <c r="CW66" i="14"/>
  <c r="AK41" i="14"/>
  <c r="DB66" i="14"/>
  <c r="AO41" i="14"/>
  <c r="DF66" i="14"/>
  <c r="AT41" i="14"/>
  <c r="FA66" i="14"/>
  <c r="BW41" i="14"/>
  <c r="FM66" i="14"/>
  <c r="CE41" i="14"/>
  <c r="GE66" i="14"/>
  <c r="CM41" i="14"/>
  <c r="GS66" i="14"/>
  <c r="CT41" i="14"/>
  <c r="Q67" i="14"/>
  <c r="L42" i="14"/>
  <c r="AD67" i="14"/>
  <c r="R42" i="14"/>
  <c r="AL67" i="14"/>
  <c r="V42" i="14"/>
  <c r="CO67" i="14"/>
  <c r="AD42" i="14"/>
  <c r="CX67" i="14"/>
  <c r="AL42" i="14"/>
  <c r="DC67" i="14"/>
  <c r="AP42" i="14"/>
  <c r="EI67" i="14"/>
  <c r="BN42" i="14"/>
  <c r="FI67" i="14"/>
  <c r="CC42" i="14"/>
  <c r="GB67" i="14"/>
  <c r="CK42" i="14"/>
  <c r="GU67" i="14"/>
  <c r="CU42" i="14"/>
  <c r="O68" i="14"/>
  <c r="J43" i="14"/>
  <c r="AF68" i="14"/>
  <c r="S43" i="14"/>
  <c r="CL68" i="14"/>
  <c r="AB43" i="14"/>
  <c r="CU68" i="14"/>
  <c r="AI43" i="14"/>
  <c r="CZ68" i="14"/>
  <c r="AM43" i="14"/>
  <c r="ED68" i="14"/>
  <c r="BL43" i="14"/>
  <c r="FG68" i="14"/>
  <c r="CA43" i="14"/>
  <c r="FV68" i="14"/>
  <c r="CI43" i="14"/>
  <c r="GP68" i="14"/>
  <c r="CR43" i="14"/>
  <c r="GW68" i="14"/>
  <c r="CV43" i="14"/>
  <c r="A69" i="14"/>
  <c r="B44" i="14"/>
  <c r="J69" i="14"/>
  <c r="H44" i="14"/>
  <c r="W69" i="14"/>
  <c r="P44" i="14"/>
  <c r="AG69" i="14"/>
  <c r="T44" i="14"/>
  <c r="CG69" i="14"/>
  <c r="Z44" i="14"/>
  <c r="CV69" i="14"/>
  <c r="AJ44" i="14"/>
  <c r="DA69" i="14"/>
  <c r="AN44" i="14"/>
  <c r="DE69" i="14"/>
  <c r="AS44" i="14"/>
  <c r="DJ69" i="14"/>
  <c r="AW44" i="14"/>
  <c r="DO69" i="14"/>
  <c r="BA44" i="14"/>
  <c r="DU69" i="14"/>
  <c r="BF44" i="14"/>
  <c r="DZ69" i="14"/>
  <c r="BJ44" i="14"/>
  <c r="EM69" i="14"/>
  <c r="BQ44" i="14"/>
  <c r="ET69" i="14"/>
  <c r="BT44" i="14"/>
  <c r="FF69" i="14"/>
  <c r="BZ44" i="14"/>
  <c r="FT69" i="14"/>
  <c r="CH44" i="14"/>
  <c r="GO69" i="14"/>
  <c r="CQ44" i="14"/>
  <c r="GZ69" i="14"/>
  <c r="CX44" i="14"/>
  <c r="D70" i="14"/>
  <c r="D45" i="14"/>
  <c r="H70" i="14"/>
  <c r="G45" i="14"/>
  <c r="V70" i="14"/>
  <c r="O45" i="14"/>
  <c r="CF70" i="14"/>
  <c r="Y45" i="14"/>
  <c r="DG70" i="14"/>
  <c r="AU45" i="14"/>
  <c r="DM70" i="14"/>
  <c r="AY45" i="14"/>
  <c r="DW70" i="14"/>
  <c r="BH45" i="14"/>
  <c r="EQ70" i="14"/>
  <c r="BR45" i="14"/>
  <c r="EV70" i="14"/>
  <c r="BU45" i="14"/>
  <c r="FB70" i="14"/>
  <c r="BX45" i="14"/>
  <c r="FN70" i="14"/>
  <c r="CF45" i="14"/>
  <c r="GF70" i="14"/>
  <c r="CN45" i="14"/>
  <c r="E71" i="14"/>
  <c r="E46" i="14"/>
  <c r="S71" i="14"/>
  <c r="M46" i="14"/>
  <c r="CC71" i="14"/>
  <c r="W46" i="14"/>
  <c r="CP71" i="14"/>
  <c r="AE46" i="14"/>
  <c r="DI71" i="14"/>
  <c r="AV46" i="14"/>
  <c r="DN71" i="14"/>
  <c r="AZ46" i="14"/>
  <c r="DQ71" i="14"/>
  <c r="BE46" i="14"/>
  <c r="DY71" i="14"/>
  <c r="BI46" i="14"/>
  <c r="EJ71" i="14"/>
  <c r="BO46" i="14"/>
  <c r="EW71" i="14"/>
  <c r="BV46" i="14"/>
  <c r="FJ71" i="14"/>
  <c r="CD46" i="14"/>
  <c r="GC71" i="14"/>
  <c r="CL46" i="14"/>
  <c r="GK71" i="14"/>
  <c r="CO46" i="14"/>
  <c r="P72" i="14"/>
  <c r="K47" i="14"/>
  <c r="CM72" i="14"/>
  <c r="AC47" i="14"/>
  <c r="DJ72" i="14"/>
  <c r="AW47" i="14"/>
  <c r="DO72" i="14"/>
  <c r="BA47" i="14"/>
  <c r="DU72" i="14"/>
  <c r="BF47" i="14"/>
  <c r="DZ72" i="14"/>
  <c r="BJ47" i="14"/>
  <c r="EE72" i="14"/>
  <c r="BM47" i="14"/>
  <c r="EL72" i="14"/>
  <c r="BP47" i="14"/>
  <c r="FH72" i="14"/>
  <c r="CB47" i="14"/>
  <c r="FW72" i="14"/>
  <c r="CJ47" i="14"/>
  <c r="GL72" i="14"/>
  <c r="CP47" i="14"/>
  <c r="EJ69" i="14"/>
  <c r="BO44" i="14"/>
  <c r="GC69" i="14"/>
  <c r="CL44" i="14"/>
  <c r="GF71" i="14"/>
  <c r="CN46" i="14"/>
  <c r="E72" i="14"/>
  <c r="E47" i="14"/>
  <c r="DW72" i="14"/>
  <c r="BH47" i="14"/>
  <c r="FJ72" i="14"/>
  <c r="CD47" i="14"/>
  <c r="GK72" i="14"/>
  <c r="CO47" i="14"/>
  <c r="N73" i="14"/>
  <c r="I48" i="14"/>
  <c r="DG73" i="14"/>
  <c r="AU48" i="14"/>
  <c r="DW73" i="14"/>
  <c r="BH48" i="14"/>
  <c r="EE73" i="14"/>
  <c r="BM48" i="14"/>
  <c r="EM73" i="14"/>
  <c r="BQ48" i="14"/>
  <c r="EW73" i="14"/>
  <c r="BV48" i="14"/>
  <c r="FW73" i="14"/>
  <c r="CJ48" i="14"/>
  <c r="GU73" i="14"/>
  <c r="CU48" i="14"/>
  <c r="O74" i="14"/>
  <c r="J49" i="14"/>
  <c r="AF74" i="14"/>
  <c r="S49" i="14"/>
  <c r="CL74" i="14"/>
  <c r="AB49" i="14"/>
  <c r="CU74" i="14"/>
  <c r="AI49" i="14"/>
  <c r="CZ74" i="14"/>
  <c r="AM49" i="14"/>
  <c r="DG74" i="14"/>
  <c r="AU49" i="14"/>
  <c r="DM74" i="14"/>
  <c r="AY49" i="14"/>
  <c r="DW74" i="14"/>
  <c r="BH49" i="14"/>
  <c r="EQ74" i="14"/>
  <c r="BR49" i="14"/>
  <c r="EV74" i="14"/>
  <c r="BU49" i="14"/>
  <c r="FB74" i="14"/>
  <c r="BX49" i="14"/>
  <c r="FN74" i="14"/>
  <c r="CF49" i="14"/>
  <c r="GF74" i="14"/>
  <c r="CN49" i="14"/>
  <c r="L54" i="14"/>
  <c r="AA54" i="14"/>
  <c r="AM54" i="14"/>
  <c r="AU54" i="14"/>
  <c r="BC54" i="14"/>
  <c r="BK54" i="14"/>
  <c r="BS54" i="14"/>
  <c r="CA54" i="14"/>
  <c r="CL54" i="14"/>
  <c r="CT54" i="14"/>
  <c r="DB54" i="14"/>
  <c r="DM54" i="14"/>
  <c r="DU54" i="14"/>
  <c r="EC54" i="14"/>
  <c r="EM54" i="14"/>
  <c r="EU54" i="14"/>
  <c r="FC54" i="14"/>
  <c r="FK54" i="14"/>
  <c r="FS54" i="14"/>
  <c r="GA54" i="14"/>
  <c r="GI54" i="14"/>
  <c r="HB54" i="14"/>
  <c r="HJ54" i="14"/>
  <c r="HR54" i="14"/>
  <c r="HZ54" i="14"/>
  <c r="IH54" i="14"/>
  <c r="IP54" i="14"/>
  <c r="IX54" i="14"/>
  <c r="JF54" i="14"/>
  <c r="JN54" i="14"/>
  <c r="JV54" i="14"/>
  <c r="KD54" i="14"/>
  <c r="KL54" i="14"/>
  <c r="M55" i="14"/>
  <c r="AE55" i="14"/>
  <c r="AQ55" i="14"/>
  <c r="AY55" i="14"/>
  <c r="BG55" i="14"/>
  <c r="BO55" i="14"/>
  <c r="BW55" i="14"/>
  <c r="CI55" i="14"/>
  <c r="DH55" i="14"/>
  <c r="EF55" i="14"/>
  <c r="EU55" i="14"/>
  <c r="FO55" i="14"/>
  <c r="GA55" i="14"/>
  <c r="GR55" i="14"/>
  <c r="HF55" i="14"/>
  <c r="HN55" i="14"/>
  <c r="HV55" i="14"/>
  <c r="ID55" i="14"/>
  <c r="IL55" i="14"/>
  <c r="IT55" i="14"/>
  <c r="JB55" i="14"/>
  <c r="JJ55" i="14"/>
  <c r="JR55" i="14"/>
  <c r="JZ55" i="14"/>
  <c r="KH55" i="14"/>
  <c r="F56" i="14"/>
  <c r="Y56" i="14"/>
  <c r="AM56" i="14"/>
  <c r="AU56" i="14"/>
  <c r="BC56" i="14"/>
  <c r="BK56" i="14"/>
  <c r="BS56" i="14"/>
  <c r="CA56" i="14"/>
  <c r="CS56" i="14"/>
  <c r="DT56" i="14"/>
  <c r="EN56" i="14"/>
  <c r="FC56" i="14"/>
  <c r="FU56" i="14"/>
  <c r="GY56" i="14"/>
  <c r="HI56" i="14"/>
  <c r="HQ56" i="14"/>
  <c r="HY56" i="14"/>
  <c r="IG56" i="14"/>
  <c r="IO56" i="14"/>
  <c r="IW56" i="14"/>
  <c r="JE56" i="14"/>
  <c r="JM56" i="14"/>
  <c r="JU56" i="14"/>
  <c r="KC56" i="14"/>
  <c r="KK56" i="14"/>
  <c r="L57" i="14"/>
  <c r="AB57" i="14"/>
  <c r="AP57" i="14"/>
  <c r="AX57" i="14"/>
  <c r="BF57" i="14"/>
  <c r="BN57" i="14"/>
  <c r="BV57" i="14"/>
  <c r="CH57" i="14"/>
  <c r="DD57" i="14"/>
  <c r="EC57" i="14"/>
  <c r="ER57" i="14"/>
  <c r="FL57" i="14"/>
  <c r="FZ57" i="14"/>
  <c r="GN57" i="14"/>
  <c r="HE57" i="14"/>
  <c r="HM57" i="14"/>
  <c r="HU57" i="14"/>
  <c r="IC57" i="14"/>
  <c r="IK57" i="14"/>
  <c r="IS57" i="14"/>
  <c r="JA57" i="14"/>
  <c r="JI57" i="14"/>
  <c r="JQ57" i="14"/>
  <c r="JY57" i="14"/>
  <c r="KG57" i="14"/>
  <c r="B58" i="14"/>
  <c r="X58" i="14"/>
  <c r="AJ58" i="14"/>
  <c r="AT58" i="14"/>
  <c r="BB58" i="14"/>
  <c r="BJ58" i="14"/>
  <c r="BR58" i="14"/>
  <c r="BZ58" i="14"/>
  <c r="CR58" i="14"/>
  <c r="DS58" i="14"/>
  <c r="EK58" i="14"/>
  <c r="EZ58" i="14"/>
  <c r="FR58" i="14"/>
  <c r="GH58" i="14"/>
  <c r="GY58" i="14"/>
  <c r="HI58" i="14"/>
  <c r="HQ58" i="14"/>
  <c r="HY58" i="14"/>
  <c r="IG58" i="14"/>
  <c r="IO58" i="14"/>
  <c r="IW58" i="14"/>
  <c r="JE58" i="14"/>
  <c r="JM58" i="14"/>
  <c r="JU58" i="14"/>
  <c r="KC58" i="14"/>
  <c r="KK58" i="14"/>
  <c r="L59" i="14"/>
  <c r="AB59" i="14"/>
  <c r="AP59" i="14"/>
  <c r="AX59" i="14"/>
  <c r="BF59" i="14"/>
  <c r="BN59" i="14"/>
  <c r="BV59" i="14"/>
  <c r="CH59" i="14"/>
  <c r="DD59" i="14"/>
  <c r="EC59" i="14"/>
  <c r="ER59" i="14"/>
  <c r="FL59" i="14"/>
  <c r="FZ59" i="14"/>
  <c r="GN59" i="14"/>
  <c r="HE59" i="14"/>
  <c r="HM59" i="14"/>
  <c r="HU59" i="14"/>
  <c r="IC59" i="14"/>
  <c r="IK59" i="14"/>
  <c r="IS59" i="14"/>
  <c r="JA59" i="14"/>
  <c r="JI59" i="14"/>
  <c r="JQ59" i="14"/>
  <c r="JY59" i="14"/>
  <c r="KG59" i="14"/>
  <c r="B60" i="14"/>
  <c r="X60" i="14"/>
  <c r="AJ60" i="14"/>
  <c r="AT60" i="14"/>
  <c r="BB60" i="14"/>
  <c r="BJ60" i="14"/>
  <c r="BR60" i="14"/>
  <c r="BZ60" i="14"/>
  <c r="CJ60" i="14"/>
  <c r="DK60" i="14"/>
  <c r="EG60" i="14"/>
  <c r="EX60" i="14"/>
  <c r="FP60" i="14"/>
  <c r="GD60" i="14"/>
  <c r="GT60" i="14"/>
  <c r="HG60" i="14"/>
  <c r="HO60" i="14"/>
  <c r="HW60" i="14"/>
  <c r="IE60" i="14"/>
  <c r="IM60" i="14"/>
  <c r="IU60" i="14"/>
  <c r="JC60" i="14"/>
  <c r="JK60" i="14"/>
  <c r="JS60" i="14"/>
  <c r="KA60" i="14"/>
  <c r="KI60" i="14"/>
  <c r="I61" i="14"/>
  <c r="Z61" i="14"/>
  <c r="AN61" i="14"/>
  <c r="AV61" i="14"/>
  <c r="BD61" i="14"/>
  <c r="BL61" i="14"/>
  <c r="BT61" i="14"/>
  <c r="CB61" i="14"/>
  <c r="CS61" i="14"/>
  <c r="DT61" i="14"/>
  <c r="EN61" i="14"/>
  <c r="FC61" i="14"/>
  <c r="FU61" i="14"/>
  <c r="GI61" i="14"/>
  <c r="HB61" i="14"/>
  <c r="HJ61" i="14"/>
  <c r="HR61" i="14"/>
  <c r="HZ61" i="14"/>
  <c r="IH61" i="14"/>
  <c r="IP61" i="14"/>
  <c r="IX61" i="14"/>
  <c r="JF61" i="14"/>
  <c r="JN61" i="14"/>
  <c r="JV61" i="14"/>
  <c r="KD61" i="14"/>
  <c r="KL61" i="14"/>
  <c r="M62" i="14"/>
  <c r="AE62" i="14"/>
  <c r="AQ62" i="14"/>
  <c r="AY62" i="14"/>
  <c r="BG62" i="14"/>
  <c r="BO62" i="14"/>
  <c r="BW62" i="14"/>
  <c r="GK69" i="14"/>
  <c r="CO44" i="14"/>
  <c r="P70" i="14"/>
  <c r="K45" i="14"/>
  <c r="DU70" i="14"/>
  <c r="BF45" i="14"/>
  <c r="GO71" i="14"/>
  <c r="CQ46" i="14"/>
  <c r="V72" i="14"/>
  <c r="O47" i="14"/>
  <c r="CC72" i="14"/>
  <c r="W47" i="14"/>
  <c r="DG72" i="14"/>
  <c r="AU47" i="14"/>
  <c r="DY72" i="14"/>
  <c r="BI47" i="14"/>
  <c r="EV72" i="14"/>
  <c r="BU47" i="14"/>
  <c r="FN72" i="14"/>
  <c r="CF47" i="14"/>
  <c r="DI73" i="14"/>
  <c r="AV48" i="14"/>
  <c r="DP73" i="14"/>
  <c r="BB48" i="14"/>
  <c r="DY73" i="14"/>
  <c r="BI48" i="14"/>
  <c r="EQ73" i="14"/>
  <c r="BR48" i="14"/>
  <c r="FS73" i="14"/>
  <c r="CG48" i="14"/>
  <c r="GF73" i="14"/>
  <c r="CN48" i="14"/>
  <c r="E74" i="14"/>
  <c r="E49" i="14"/>
  <c r="S74" i="14"/>
  <c r="M49" i="14"/>
  <c r="CC74" i="14"/>
  <c r="W49" i="14"/>
  <c r="CP74" i="14"/>
  <c r="AE49" i="14"/>
  <c r="ED74" i="14"/>
  <c r="BL49" i="14"/>
  <c r="FG74" i="14"/>
  <c r="CA49" i="14"/>
  <c r="FV74" i="14"/>
  <c r="CI49" i="14"/>
  <c r="GP74" i="14"/>
  <c r="CR49" i="14"/>
  <c r="GW74" i="14"/>
  <c r="CV49" i="14"/>
  <c r="M54" i="14"/>
  <c r="AB54" i="14"/>
  <c r="AN54" i="14"/>
  <c r="AV54" i="14"/>
  <c r="BD54" i="14"/>
  <c r="BL54" i="14"/>
  <c r="BT54" i="14"/>
  <c r="CB54" i="14"/>
  <c r="CM54" i="14"/>
  <c r="CU54" i="14"/>
  <c r="DD54" i="14"/>
  <c r="DN54" i="14"/>
  <c r="DV54" i="14"/>
  <c r="EF54" i="14"/>
  <c r="EN54" i="14"/>
  <c r="EV54" i="14"/>
  <c r="FD54" i="14"/>
  <c r="FL54" i="14"/>
  <c r="FT54" i="14"/>
  <c r="GB54" i="14"/>
  <c r="GJ54" i="14"/>
  <c r="HC54" i="14"/>
  <c r="HK54" i="14"/>
  <c r="HS54" i="14"/>
  <c r="IA54" i="14"/>
  <c r="II54" i="14"/>
  <c r="IQ54" i="14"/>
  <c r="IY54" i="14"/>
  <c r="JG54" i="14"/>
  <c r="JO54" i="14"/>
  <c r="JW54" i="14"/>
  <c r="KE54" i="14"/>
  <c r="KM54" i="14"/>
  <c r="R55" i="14"/>
  <c r="AH55" i="14"/>
  <c r="AR55" i="14"/>
  <c r="AZ55" i="14"/>
  <c r="BH55" i="14"/>
  <c r="BP55" i="14"/>
  <c r="BX55" i="14"/>
  <c r="CJ55" i="14"/>
  <c r="DK55" i="14"/>
  <c r="EG55" i="14"/>
  <c r="EX55" i="14"/>
  <c r="FP55" i="14"/>
  <c r="GD55" i="14"/>
  <c r="GT55" i="14"/>
  <c r="HG55" i="14"/>
  <c r="HO55" i="14"/>
  <c r="HW55" i="14"/>
  <c r="IE55" i="14"/>
  <c r="IM55" i="14"/>
  <c r="IU55" i="14"/>
  <c r="JC55" i="14"/>
  <c r="JK55" i="14"/>
  <c r="JS55" i="14"/>
  <c r="KA55" i="14"/>
  <c r="KI55" i="14"/>
  <c r="I56" i="14"/>
  <c r="Z56" i="14"/>
  <c r="AN56" i="14"/>
  <c r="AV56" i="14"/>
  <c r="BD56" i="14"/>
  <c r="BL56" i="14"/>
  <c r="BT56" i="14"/>
  <c r="CB56" i="14"/>
  <c r="CT56" i="14"/>
  <c r="DX56" i="14"/>
  <c r="EO56" i="14"/>
  <c r="FD56" i="14"/>
  <c r="FX56" i="14"/>
  <c r="GI56" i="14"/>
  <c r="HB56" i="14"/>
  <c r="HJ56" i="14"/>
  <c r="HR56" i="14"/>
  <c r="HZ56" i="14"/>
  <c r="IH56" i="14"/>
  <c r="IP56" i="14"/>
  <c r="IX56" i="14"/>
  <c r="JF56" i="14"/>
  <c r="JN56" i="14"/>
  <c r="JV56" i="14"/>
  <c r="KD56" i="14"/>
  <c r="KL56" i="14"/>
  <c r="M57" i="14"/>
  <c r="AE57" i="14"/>
  <c r="AQ57" i="14"/>
  <c r="AY57" i="14"/>
  <c r="BG57" i="14"/>
  <c r="BO57" i="14"/>
  <c r="BW57" i="14"/>
  <c r="CI57" i="14"/>
  <c r="DH57" i="14"/>
  <c r="EF57" i="14"/>
  <c r="EU57" i="14"/>
  <c r="FO57" i="14"/>
  <c r="GA57" i="14"/>
  <c r="GR57" i="14"/>
  <c r="HF57" i="14"/>
  <c r="HN57" i="14"/>
  <c r="HV57" i="14"/>
  <c r="ID57" i="14"/>
  <c r="IL57" i="14"/>
  <c r="IT57" i="14"/>
  <c r="JB57" i="14"/>
  <c r="JJ57" i="14"/>
  <c r="JR57" i="14"/>
  <c r="JZ57" i="14"/>
  <c r="KH57" i="14"/>
  <c r="F58" i="14"/>
  <c r="Y58" i="14"/>
  <c r="AM58" i="14"/>
  <c r="AU58" i="14"/>
  <c r="BC58" i="14"/>
  <c r="BK58" i="14"/>
  <c r="BS58" i="14"/>
  <c r="CA58" i="14"/>
  <c r="CS58" i="14"/>
  <c r="DT58" i="14"/>
  <c r="EN58" i="14"/>
  <c r="FC58" i="14"/>
  <c r="FU58" i="14"/>
  <c r="GI58" i="14"/>
  <c r="HB58" i="14"/>
  <c r="HJ58" i="14"/>
  <c r="HR58" i="14"/>
  <c r="HZ58" i="14"/>
  <c r="IH58" i="14"/>
  <c r="IP58" i="14"/>
  <c r="IX58" i="14"/>
  <c r="JF58" i="14"/>
  <c r="JN58" i="14"/>
  <c r="JV58" i="14"/>
  <c r="KD58" i="14"/>
  <c r="KL58" i="14"/>
  <c r="M59" i="14"/>
  <c r="DG69" i="14"/>
  <c r="AU44" i="14"/>
  <c r="EW69" i="14"/>
  <c r="BV44" i="14"/>
  <c r="DZ70" i="14"/>
  <c r="BJ45" i="14"/>
  <c r="FH70" i="14"/>
  <c r="CB45" i="14"/>
  <c r="DL71" i="14"/>
  <c r="AX46" i="14"/>
  <c r="FN71" i="14"/>
  <c r="CF46" i="14"/>
  <c r="H72" i="14"/>
  <c r="G47" i="14"/>
  <c r="CF72" i="14"/>
  <c r="Y47" i="14"/>
  <c r="DI72" i="14"/>
  <c r="AV47" i="14"/>
  <c r="EW72" i="14"/>
  <c r="BV47" i="14"/>
  <c r="E73" i="14"/>
  <c r="E48" i="14"/>
  <c r="CP73" i="14"/>
  <c r="AE48" i="14"/>
  <c r="CW73" i="14"/>
  <c r="AK48" i="14"/>
  <c r="DJ73" i="14"/>
  <c r="AW48" i="14"/>
  <c r="DZ73" i="14"/>
  <c r="BJ48" i="14"/>
  <c r="FF73" i="14"/>
  <c r="BZ48" i="14"/>
  <c r="FJ73" i="14"/>
  <c r="CD48" i="14"/>
  <c r="GP73" i="14"/>
  <c r="CR48" i="14"/>
  <c r="GW73" i="14"/>
  <c r="CV48" i="14"/>
  <c r="A74" i="14"/>
  <c r="B49" i="14"/>
  <c r="J74" i="14"/>
  <c r="H49" i="14"/>
  <c r="W74" i="14"/>
  <c r="P49" i="14"/>
  <c r="AG74" i="14"/>
  <c r="T49" i="14"/>
  <c r="CG74" i="14"/>
  <c r="Z49" i="14"/>
  <c r="CV74" i="14"/>
  <c r="AJ49" i="14"/>
  <c r="DA74" i="14"/>
  <c r="AN49" i="14"/>
  <c r="DI74" i="14"/>
  <c r="AV49" i="14"/>
  <c r="DN74" i="14"/>
  <c r="AZ49" i="14"/>
  <c r="DQ74" i="14"/>
  <c r="BE49" i="14"/>
  <c r="DY74" i="14"/>
  <c r="BI49" i="14"/>
  <c r="EJ74" i="14"/>
  <c r="BO49" i="14"/>
  <c r="EW74" i="14"/>
  <c r="BV49" i="14"/>
  <c r="FJ74" i="14"/>
  <c r="CD49" i="14"/>
  <c r="GC74" i="14"/>
  <c r="CL49" i="14"/>
  <c r="GK74" i="14"/>
  <c r="CO49" i="14"/>
  <c r="Q54" i="14"/>
  <c r="AE54" i="14"/>
  <c r="AO54" i="14"/>
  <c r="AW54" i="14"/>
  <c r="BE54" i="14"/>
  <c r="BM54" i="14"/>
  <c r="BU54" i="14"/>
  <c r="CD54" i="14"/>
  <c r="CN54" i="14"/>
  <c r="CV54" i="14"/>
  <c r="DE54" i="14"/>
  <c r="DO54" i="14"/>
  <c r="DW54" i="14"/>
  <c r="EG54" i="14"/>
  <c r="EO54" i="14"/>
  <c r="EW54" i="14"/>
  <c r="FE54" i="14"/>
  <c r="FM54" i="14"/>
  <c r="FU54" i="14"/>
  <c r="GC54" i="14"/>
  <c r="GM54" i="14"/>
  <c r="HD54" i="14"/>
  <c r="HL54" i="14"/>
  <c r="HT54" i="14"/>
  <c r="IB54" i="14"/>
  <c r="IJ54" i="14"/>
  <c r="IR54" i="14"/>
  <c r="IZ54" i="14"/>
  <c r="JH54" i="14"/>
  <c r="JP54" i="14"/>
  <c r="JX54" i="14"/>
  <c r="KF54" i="14"/>
  <c r="KN54" i="14"/>
  <c r="U55" i="14"/>
  <c r="AI55" i="14"/>
  <c r="AS55" i="14"/>
  <c r="BA55" i="14"/>
  <c r="BI55" i="14"/>
  <c r="BQ55" i="14"/>
  <c r="BY55" i="14"/>
  <c r="CN55" i="14"/>
  <c r="DR55" i="14"/>
  <c r="EH55" i="14"/>
  <c r="EY55" i="14"/>
  <c r="FQ55" i="14"/>
  <c r="GG55" i="14"/>
  <c r="GV55" i="14"/>
  <c r="HH55" i="14"/>
  <c r="HP55" i="14"/>
  <c r="HX55" i="14"/>
  <c r="IF55" i="14"/>
  <c r="IN55" i="14"/>
  <c r="IV55" i="14"/>
  <c r="JD55" i="14"/>
  <c r="JL55" i="14"/>
  <c r="JT55" i="14"/>
  <c r="KB55" i="14"/>
  <c r="KJ55" i="14"/>
  <c r="K56" i="14"/>
  <c r="AA56" i="14"/>
  <c r="AO56" i="14"/>
  <c r="AW56" i="14"/>
  <c r="BE56" i="14"/>
  <c r="BM56" i="14"/>
  <c r="BU56" i="14"/>
  <c r="CD56" i="14"/>
  <c r="CY56" i="14"/>
  <c r="EB56" i="14"/>
  <c r="EP56" i="14"/>
  <c r="FK56" i="14"/>
  <c r="FY56" i="14"/>
  <c r="GJ56" i="14"/>
  <c r="HC56" i="14"/>
  <c r="HK56" i="14"/>
  <c r="HS56" i="14"/>
  <c r="IA56" i="14"/>
  <c r="II56" i="14"/>
  <c r="IQ56" i="14"/>
  <c r="IY56" i="14"/>
  <c r="JG56" i="14"/>
  <c r="JO56" i="14"/>
  <c r="JW56" i="14"/>
  <c r="KE56" i="14"/>
  <c r="KM56" i="14"/>
  <c r="R57" i="14"/>
  <c r="AH57" i="14"/>
  <c r="AR57" i="14"/>
  <c r="AZ57" i="14"/>
  <c r="BH57" i="14"/>
  <c r="BP57" i="14"/>
  <c r="BX57" i="14"/>
  <c r="CJ57" i="14"/>
  <c r="DK57" i="14"/>
  <c r="EG57" i="14"/>
  <c r="EX57" i="14"/>
  <c r="FP57" i="14"/>
  <c r="GD57" i="14"/>
  <c r="GT57" i="14"/>
  <c r="HG57" i="14"/>
  <c r="HO57" i="14"/>
  <c r="HW57" i="14"/>
  <c r="IE57" i="14"/>
  <c r="IM57" i="14"/>
  <c r="IU57" i="14"/>
  <c r="JC57" i="14"/>
  <c r="JK57" i="14"/>
  <c r="JS57" i="14"/>
  <c r="KA57" i="14"/>
  <c r="KI57" i="14"/>
  <c r="I58" i="14"/>
  <c r="Z58" i="14"/>
  <c r="AN58" i="14"/>
  <c r="AV58" i="14"/>
  <c r="BD58" i="14"/>
  <c r="BL58" i="14"/>
  <c r="BT58" i="14"/>
  <c r="CB58" i="14"/>
  <c r="CT58" i="14"/>
  <c r="DX58" i="14"/>
  <c r="EO58" i="14"/>
  <c r="FD58" i="14"/>
  <c r="FX58" i="14"/>
  <c r="GJ58" i="14"/>
  <c r="HC58" i="14"/>
  <c r="HK58" i="14"/>
  <c r="HS58" i="14"/>
  <c r="IA58" i="14"/>
  <c r="II58" i="14"/>
  <c r="IQ58" i="14"/>
  <c r="IY58" i="14"/>
  <c r="JG58" i="14"/>
  <c r="JO58" i="14"/>
  <c r="JW58" i="14"/>
  <c r="KE58" i="14"/>
  <c r="KM58" i="14"/>
  <c r="R59" i="14"/>
  <c r="AH59" i="14"/>
  <c r="AR59" i="14"/>
  <c r="AZ59" i="14"/>
  <c r="BH59" i="14"/>
  <c r="BP59" i="14"/>
  <c r="BX59" i="14"/>
  <c r="CJ59" i="14"/>
  <c r="DK59" i="14"/>
  <c r="EG59" i="14"/>
  <c r="EX59" i="14"/>
  <c r="FP59" i="14"/>
  <c r="GD59" i="14"/>
  <c r="GT59" i="14"/>
  <c r="HG59" i="14"/>
  <c r="HO59" i="14"/>
  <c r="HW59" i="14"/>
  <c r="IE59" i="14"/>
  <c r="IM59" i="14"/>
  <c r="IU59" i="14"/>
  <c r="JC59" i="14"/>
  <c r="JK59" i="14"/>
  <c r="JS59" i="14"/>
  <c r="KA59" i="14"/>
  <c r="KI59" i="14"/>
  <c r="I60" i="14"/>
  <c r="Z60" i="14"/>
  <c r="AN60" i="14"/>
  <c r="AV60" i="14"/>
  <c r="BD60" i="14"/>
  <c r="BL60" i="14"/>
  <c r="BT60" i="14"/>
  <c r="CB60" i="14"/>
  <c r="CR60" i="14"/>
  <c r="DS60" i="14"/>
  <c r="EK60" i="14"/>
  <c r="EZ60" i="14"/>
  <c r="FR60" i="14"/>
  <c r="GH60" i="14"/>
  <c r="GY60" i="14"/>
  <c r="HI60" i="14"/>
  <c r="HQ60" i="14"/>
  <c r="HY60" i="14"/>
  <c r="IG60" i="14"/>
  <c r="IO60" i="14"/>
  <c r="IW60" i="14"/>
  <c r="JE60" i="14"/>
  <c r="JM60" i="14"/>
  <c r="JU60" i="14"/>
  <c r="KC60" i="14"/>
  <c r="KK60" i="14"/>
  <c r="L61" i="14"/>
  <c r="AB61" i="14"/>
  <c r="AP61" i="14"/>
  <c r="AX61" i="14"/>
  <c r="BF61" i="14"/>
  <c r="BN61" i="14"/>
  <c r="BV61" i="14"/>
  <c r="CH61" i="14"/>
  <c r="CY61" i="14"/>
  <c r="EB61" i="14"/>
  <c r="EP61" i="14"/>
  <c r="FK61" i="14"/>
  <c r="FY61" i="14"/>
  <c r="GM61" i="14"/>
  <c r="HD61" i="14"/>
  <c r="HL61" i="14"/>
  <c r="HT61" i="14"/>
  <c r="IB61" i="14"/>
  <c r="IJ61" i="14"/>
  <c r="IR61" i="14"/>
  <c r="IZ61" i="14"/>
  <c r="JH61" i="14"/>
  <c r="JP61" i="14"/>
  <c r="JX61" i="14"/>
  <c r="KF61" i="14"/>
  <c r="KN61" i="14"/>
  <c r="U62" i="14"/>
  <c r="AI62" i="14"/>
  <c r="AS62" i="14"/>
  <c r="BA62" i="14"/>
  <c r="BI62" i="14"/>
  <c r="BQ62" i="14"/>
  <c r="BY62" i="14"/>
  <c r="CN62" i="14"/>
  <c r="DR62" i="14"/>
  <c r="EH62" i="14"/>
  <c r="EY62" i="14"/>
  <c r="FQ62" i="14"/>
  <c r="GG62" i="14"/>
  <c r="GV62" i="14"/>
  <c r="HH62" i="14"/>
  <c r="HP62" i="14"/>
  <c r="HX62" i="14"/>
  <c r="IF62" i="14"/>
  <c r="IN62" i="14"/>
  <c r="IV62" i="14"/>
  <c r="JD62" i="14"/>
  <c r="JL62" i="14"/>
  <c r="JT62" i="14"/>
  <c r="KB62" i="14"/>
  <c r="CO69" i="14"/>
  <c r="AD44" i="14"/>
  <c r="DM69" i="14"/>
  <c r="AY44" i="14"/>
  <c r="CM70" i="14"/>
  <c r="AC45" i="14"/>
  <c r="DP71" i="14"/>
  <c r="BB46" i="14"/>
  <c r="EM71" i="14"/>
  <c r="BQ46" i="14"/>
  <c r="FT71" i="14"/>
  <c r="CH46" i="14"/>
  <c r="DM72" i="14"/>
  <c r="AY47" i="14"/>
  <c r="FB72" i="14"/>
  <c r="BX47" i="14"/>
  <c r="P73" i="14"/>
  <c r="K48" i="14"/>
  <c r="CC73" i="14"/>
  <c r="W48" i="14"/>
  <c r="CK73" i="14"/>
  <c r="AA48" i="14"/>
  <c r="ES73" i="14"/>
  <c r="BS48" i="14"/>
  <c r="FA73" i="14"/>
  <c r="BW48" i="14"/>
  <c r="GK73" i="14"/>
  <c r="CO48" i="14"/>
  <c r="P74" i="14"/>
  <c r="K49" i="14"/>
  <c r="CM74" i="14"/>
  <c r="AC49" i="14"/>
  <c r="DE74" i="14"/>
  <c r="AS49" i="14"/>
  <c r="ES74" i="14"/>
  <c r="BS49" i="14"/>
  <c r="FE74" i="14"/>
  <c r="BY49" i="14"/>
  <c r="FS74" i="14"/>
  <c r="CG49" i="14"/>
  <c r="GQ74" i="14"/>
  <c r="CS49" i="14"/>
  <c r="GX74" i="14"/>
  <c r="CW49" i="14"/>
  <c r="R54" i="14"/>
  <c r="AH54" i="14"/>
  <c r="AP54" i="14"/>
  <c r="AX54" i="14"/>
  <c r="BF54" i="14"/>
  <c r="BN54" i="14"/>
  <c r="BV54" i="14"/>
  <c r="CG54" i="14"/>
  <c r="CO54" i="14"/>
  <c r="CW54" i="14"/>
  <c r="DH54" i="14"/>
  <c r="DP54" i="14"/>
  <c r="DX54" i="14"/>
  <c r="EH54" i="14"/>
  <c r="EP54" i="14"/>
  <c r="EX54" i="14"/>
  <c r="FF54" i="14"/>
  <c r="FN54" i="14"/>
  <c r="FV54" i="14"/>
  <c r="GD54" i="14"/>
  <c r="GN54" i="14"/>
  <c r="HE54" i="14"/>
  <c r="HM54" i="14"/>
  <c r="HU54" i="14"/>
  <c r="IC54" i="14"/>
  <c r="IK54" i="14"/>
  <c r="IS54" i="14"/>
  <c r="JA54" i="14"/>
  <c r="JI54" i="14"/>
  <c r="JQ54" i="14"/>
  <c r="JY54" i="14"/>
  <c r="KG54" i="14"/>
  <c r="B55" i="14"/>
  <c r="X55" i="14"/>
  <c r="AJ55" i="14"/>
  <c r="AT55" i="14"/>
  <c r="BB55" i="14"/>
  <c r="BJ55" i="14"/>
  <c r="BR55" i="14"/>
  <c r="BZ55" i="14"/>
  <c r="CR55" i="14"/>
  <c r="DS55" i="14"/>
  <c r="EK55" i="14"/>
  <c r="EZ55" i="14"/>
  <c r="FR55" i="14"/>
  <c r="GH55" i="14"/>
  <c r="GY55" i="14"/>
  <c r="HI55" i="14"/>
  <c r="HQ55" i="14"/>
  <c r="HY55" i="14"/>
  <c r="IG55" i="14"/>
  <c r="IO55" i="14"/>
  <c r="IW55" i="14"/>
  <c r="JE55" i="14"/>
  <c r="JM55" i="14"/>
  <c r="JU55" i="14"/>
  <c r="KC55" i="14"/>
  <c r="KK55" i="14"/>
  <c r="L56" i="14"/>
  <c r="AB56" i="14"/>
  <c r="AP56" i="14"/>
  <c r="AX56" i="14"/>
  <c r="BF56" i="14"/>
  <c r="BN56" i="14"/>
  <c r="BV56" i="14"/>
  <c r="CH56" i="14"/>
  <c r="DD56" i="14"/>
  <c r="EC56" i="14"/>
  <c r="ER56" i="14"/>
  <c r="FL56" i="14"/>
  <c r="FZ56" i="14"/>
  <c r="GM56" i="14"/>
  <c r="HD56" i="14"/>
  <c r="HL56" i="14"/>
  <c r="HT56" i="14"/>
  <c r="IB56" i="14"/>
  <c r="IJ56" i="14"/>
  <c r="IR56" i="14"/>
  <c r="IZ56" i="14"/>
  <c r="JH56" i="14"/>
  <c r="JP56" i="14"/>
  <c r="JX56" i="14"/>
  <c r="KF56" i="14"/>
  <c r="KN56" i="14"/>
  <c r="U57" i="14"/>
  <c r="AI57" i="14"/>
  <c r="AS57" i="14"/>
  <c r="BA57" i="14"/>
  <c r="BI57" i="14"/>
  <c r="BQ57" i="14"/>
  <c r="BY57" i="14"/>
  <c r="CN57" i="14"/>
  <c r="DR57" i="14"/>
  <c r="EH57" i="14"/>
  <c r="EY57" i="14"/>
  <c r="FQ57" i="14"/>
  <c r="GG57" i="14"/>
  <c r="GV57" i="14"/>
  <c r="HH57" i="14"/>
  <c r="HP57" i="14"/>
  <c r="HX57" i="14"/>
  <c r="IF57" i="14"/>
  <c r="IN57" i="14"/>
  <c r="IV57" i="14"/>
  <c r="JD57" i="14"/>
  <c r="JL57" i="14"/>
  <c r="JT57" i="14"/>
  <c r="KB57" i="14"/>
  <c r="KJ57" i="14"/>
  <c r="K58" i="14"/>
  <c r="AA58" i="14"/>
  <c r="AO58" i="14"/>
  <c r="AW58" i="14"/>
  <c r="BE58" i="14"/>
  <c r="BM58" i="14"/>
  <c r="BU58" i="14"/>
  <c r="CD58" i="14"/>
  <c r="CY58" i="14"/>
  <c r="EB58" i="14"/>
  <c r="EP58" i="14"/>
  <c r="FK58" i="14"/>
  <c r="FY58" i="14"/>
  <c r="GM58" i="14"/>
  <c r="HD58" i="14"/>
  <c r="HL58" i="14"/>
  <c r="HT58" i="14"/>
  <c r="IB58" i="14"/>
  <c r="IJ58" i="14"/>
  <c r="IR58" i="14"/>
  <c r="IZ58" i="14"/>
  <c r="JH58" i="14"/>
  <c r="JP58" i="14"/>
  <c r="JX58" i="14"/>
  <c r="KF58" i="14"/>
  <c r="KN58" i="14"/>
  <c r="U59" i="14"/>
  <c r="AI59" i="14"/>
  <c r="AS59" i="14"/>
  <c r="BA59" i="14"/>
  <c r="BI59" i="14"/>
  <c r="BQ59" i="14"/>
  <c r="BY59" i="14"/>
  <c r="CN59" i="14"/>
  <c r="DR59" i="14"/>
  <c r="EH59" i="14"/>
  <c r="EY59" i="14"/>
  <c r="FQ59" i="14"/>
  <c r="GG59" i="14"/>
  <c r="GV59" i="14"/>
  <c r="HH59" i="14"/>
  <c r="HP59" i="14"/>
  <c r="HX59" i="14"/>
  <c r="IF59" i="14"/>
  <c r="IN59" i="14"/>
  <c r="IV59" i="14"/>
  <c r="JD59" i="14"/>
  <c r="JL59" i="14"/>
  <c r="JT59" i="14"/>
  <c r="KB59" i="14"/>
  <c r="KJ59" i="14"/>
  <c r="K60" i="14"/>
  <c r="AA60" i="14"/>
  <c r="AO60" i="14"/>
  <c r="AW60" i="14"/>
  <c r="BE60" i="14"/>
  <c r="BM60" i="14"/>
  <c r="BU60" i="14"/>
  <c r="CD60" i="14"/>
  <c r="CS60" i="14"/>
  <c r="DT60" i="14"/>
  <c r="EN60" i="14"/>
  <c r="FC60" i="14"/>
  <c r="FU60" i="14"/>
  <c r="GI60" i="14"/>
  <c r="HB60" i="14"/>
  <c r="HJ60" i="14"/>
  <c r="HR60" i="14"/>
  <c r="HZ60" i="14"/>
  <c r="IH60" i="14"/>
  <c r="IP60" i="14"/>
  <c r="IX60" i="14"/>
  <c r="JF60" i="14"/>
  <c r="JN60" i="14"/>
  <c r="JV60" i="14"/>
  <c r="KD60" i="14"/>
  <c r="KL60" i="14"/>
  <c r="M61" i="14"/>
  <c r="AE61" i="14"/>
  <c r="AQ61" i="14"/>
  <c r="AY61" i="14"/>
  <c r="BG61" i="14"/>
  <c r="BO61" i="14"/>
  <c r="BW61" i="14"/>
  <c r="DD61" i="14"/>
  <c r="EC61" i="14"/>
  <c r="ER61" i="14"/>
  <c r="FL61" i="14"/>
  <c r="FZ61" i="14"/>
  <c r="GN61" i="14"/>
  <c r="HE61" i="14"/>
  <c r="HM61" i="14"/>
  <c r="HU61" i="14"/>
  <c r="IC61" i="14"/>
  <c r="IK61" i="14"/>
  <c r="IS61" i="14"/>
  <c r="JA61" i="14"/>
  <c r="JI61" i="14"/>
  <c r="JQ61" i="14"/>
  <c r="JY61" i="14"/>
  <c r="KG61" i="14"/>
  <c r="B62" i="14"/>
  <c r="X62" i="14"/>
  <c r="AJ62" i="14"/>
  <c r="AT62" i="14"/>
  <c r="BB62" i="14"/>
  <c r="BJ62" i="14"/>
  <c r="BR62" i="14"/>
  <c r="BZ62" i="14"/>
  <c r="CR62" i="14"/>
  <c r="DS62" i="14"/>
  <c r="EK62" i="14"/>
  <c r="EZ62" i="14"/>
  <c r="FR62" i="14"/>
  <c r="GH62" i="14"/>
  <c r="GY62" i="14"/>
  <c r="HI62" i="14"/>
  <c r="HQ62" i="14"/>
  <c r="ET71" i="14"/>
  <c r="BT46" i="14"/>
  <c r="DN72" i="14"/>
  <c r="AZ47" i="14"/>
  <c r="CQ73" i="14"/>
  <c r="AF48" i="14"/>
  <c r="DL73" i="14"/>
  <c r="AX48" i="14"/>
  <c r="DQ73" i="14"/>
  <c r="BE48" i="14"/>
  <c r="EA73" i="14"/>
  <c r="BK48" i="14"/>
  <c r="EJ73" i="14"/>
  <c r="BO48" i="14"/>
  <c r="FT73" i="14"/>
  <c r="CH48" i="14"/>
  <c r="GC73" i="14"/>
  <c r="CL48" i="14"/>
  <c r="GQ73" i="14"/>
  <c r="CS48" i="14"/>
  <c r="GX73" i="14"/>
  <c r="CW48" i="14"/>
  <c r="C74" i="14"/>
  <c r="C49" i="14"/>
  <c r="G74" i="14"/>
  <c r="F49" i="14"/>
  <c r="T74" i="14"/>
  <c r="N49" i="14"/>
  <c r="AC74" i="14"/>
  <c r="Q49" i="14"/>
  <c r="AK74" i="14"/>
  <c r="U49" i="14"/>
  <c r="CE74" i="14"/>
  <c r="X49" i="14"/>
  <c r="CQ74" i="14"/>
  <c r="AF49" i="14"/>
  <c r="CW74" i="14"/>
  <c r="AK49" i="14"/>
  <c r="DB74" i="14"/>
  <c r="AO49" i="14"/>
  <c r="DJ74" i="14"/>
  <c r="AW49" i="14"/>
  <c r="DO74" i="14"/>
  <c r="BA49" i="14"/>
  <c r="DU74" i="14"/>
  <c r="BF49" i="14"/>
  <c r="DZ74" i="14"/>
  <c r="BJ49" i="14"/>
  <c r="EE74" i="14"/>
  <c r="BM49" i="14"/>
  <c r="EL74" i="14"/>
  <c r="BP49" i="14"/>
  <c r="FH74" i="14"/>
  <c r="CB49" i="14"/>
  <c r="FW74" i="14"/>
  <c r="CJ49" i="14"/>
  <c r="GL74" i="14"/>
  <c r="CP49" i="14"/>
  <c r="B54" i="14"/>
  <c r="U54" i="14"/>
  <c r="AI54" i="14"/>
  <c r="AQ54" i="14"/>
  <c r="AY54" i="14"/>
  <c r="BG54" i="14"/>
  <c r="BO54" i="14"/>
  <c r="BW54" i="14"/>
  <c r="CH54" i="14"/>
  <c r="CP54" i="14"/>
  <c r="CX54" i="14"/>
  <c r="DI54" i="14"/>
  <c r="DQ54" i="14"/>
  <c r="DY54" i="14"/>
  <c r="EI54" i="14"/>
  <c r="EQ54" i="14"/>
  <c r="EY54" i="14"/>
  <c r="FG54" i="14"/>
  <c r="FO54" i="14"/>
  <c r="FW54" i="14"/>
  <c r="GE54" i="14"/>
  <c r="GR54" i="14"/>
  <c r="HF54" i="14"/>
  <c r="HN54" i="14"/>
  <c r="HV54" i="14"/>
  <c r="ID54" i="14"/>
  <c r="IL54" i="14"/>
  <c r="IT54" i="14"/>
  <c r="JB54" i="14"/>
  <c r="JJ54" i="14"/>
  <c r="JR54" i="14"/>
  <c r="JZ54" i="14"/>
  <c r="KH54" i="14"/>
  <c r="F55" i="14"/>
  <c r="Y55" i="14"/>
  <c r="AM55" i="14"/>
  <c r="AU55" i="14"/>
  <c r="BC55" i="14"/>
  <c r="BK55" i="14"/>
  <c r="BS55" i="14"/>
  <c r="CA55" i="14"/>
  <c r="CS55" i="14"/>
  <c r="DT55" i="14"/>
  <c r="EN55" i="14"/>
  <c r="FC55" i="14"/>
  <c r="FU55" i="14"/>
  <c r="GI55" i="14"/>
  <c r="HB55" i="14"/>
  <c r="HJ55" i="14"/>
  <c r="HR55" i="14"/>
  <c r="HZ55" i="14"/>
  <c r="IH55" i="14"/>
  <c r="IP55" i="14"/>
  <c r="IX55" i="14"/>
  <c r="JF55" i="14"/>
  <c r="JN55" i="14"/>
  <c r="JV55" i="14"/>
  <c r="KD55" i="14"/>
  <c r="KL55" i="14"/>
  <c r="M56" i="14"/>
  <c r="AE56" i="14"/>
  <c r="AQ56" i="14"/>
  <c r="AY56" i="14"/>
  <c r="BG56" i="14"/>
  <c r="BO56" i="14"/>
  <c r="BW56" i="14"/>
  <c r="CI56" i="14"/>
  <c r="DH56" i="14"/>
  <c r="EF56" i="14"/>
  <c r="EU56" i="14"/>
  <c r="FO56" i="14"/>
  <c r="GA56" i="14"/>
  <c r="GN56" i="14"/>
  <c r="HE56" i="14"/>
  <c r="HM56" i="14"/>
  <c r="HU56" i="14"/>
  <c r="IC56" i="14"/>
  <c r="IK56" i="14"/>
  <c r="IS56" i="14"/>
  <c r="JA56" i="14"/>
  <c r="JI56" i="14"/>
  <c r="JQ56" i="14"/>
  <c r="JY56" i="14"/>
  <c r="KG56" i="14"/>
  <c r="FJ69" i="14"/>
  <c r="CD44" i="14"/>
  <c r="DJ70" i="14"/>
  <c r="AW45" i="14"/>
  <c r="EE70" i="14"/>
  <c r="BM45" i="14"/>
  <c r="FW70" i="14"/>
  <c r="CJ45" i="14"/>
  <c r="N71" i="14"/>
  <c r="I46" i="14"/>
  <c r="GZ71" i="14"/>
  <c r="CX46" i="14"/>
  <c r="S73" i="14"/>
  <c r="M48" i="14"/>
  <c r="CE73" i="14"/>
  <c r="X48" i="14"/>
  <c r="DF73" i="14"/>
  <c r="AT48" i="14"/>
  <c r="DM73" i="14"/>
  <c r="AY48" i="14"/>
  <c r="DU73" i="14"/>
  <c r="BF48" i="14"/>
  <c r="FB73" i="14"/>
  <c r="BX48" i="14"/>
  <c r="FM73" i="14"/>
  <c r="CE48" i="14"/>
  <c r="GL73" i="14"/>
  <c r="CP48" i="14"/>
  <c r="N74" i="14"/>
  <c r="I49" i="14"/>
  <c r="CK74" i="14"/>
  <c r="AA49" i="14"/>
  <c r="DF74" i="14"/>
  <c r="AT49" i="14"/>
  <c r="FA74" i="14"/>
  <c r="BW49" i="14"/>
  <c r="FM74" i="14"/>
  <c r="CE49" i="14"/>
  <c r="GE74" i="14"/>
  <c r="CM49" i="14"/>
  <c r="GS74" i="14"/>
  <c r="CT49" i="14"/>
  <c r="F54" i="14"/>
  <c r="X54" i="14"/>
  <c r="AJ54" i="14"/>
  <c r="AR54" i="14"/>
  <c r="AZ54" i="14"/>
  <c r="BH54" i="14"/>
  <c r="BP54" i="14"/>
  <c r="BX54" i="14"/>
  <c r="CI54" i="14"/>
  <c r="CQ54" i="14"/>
  <c r="CY54" i="14"/>
  <c r="DJ54" i="14"/>
  <c r="DR54" i="14"/>
  <c r="DZ54" i="14"/>
  <c r="EJ54" i="14"/>
  <c r="ER54" i="14"/>
  <c r="EZ54" i="14"/>
  <c r="FH54" i="14"/>
  <c r="FP54" i="14"/>
  <c r="FX54" i="14"/>
  <c r="GF54" i="14"/>
  <c r="GT54" i="14"/>
  <c r="HG54" i="14"/>
  <c r="HO54" i="14"/>
  <c r="HW54" i="14"/>
  <c r="IE54" i="14"/>
  <c r="IM54" i="14"/>
  <c r="IU54" i="14"/>
  <c r="JC54" i="14"/>
  <c r="JK54" i="14"/>
  <c r="JS54" i="14"/>
  <c r="KA54" i="14"/>
  <c r="KI54" i="14"/>
  <c r="I55" i="14"/>
  <c r="Z55" i="14"/>
  <c r="AN55" i="14"/>
  <c r="AV55" i="14"/>
  <c r="BD55" i="14"/>
  <c r="BL55" i="14"/>
  <c r="BT55" i="14"/>
  <c r="CB55" i="14"/>
  <c r="CT55" i="14"/>
  <c r="DX55" i="14"/>
  <c r="EO55" i="14"/>
  <c r="FD55" i="14"/>
  <c r="FX55" i="14"/>
  <c r="GJ55" i="14"/>
  <c r="HC55" i="14"/>
  <c r="HK55" i="14"/>
  <c r="HS55" i="14"/>
  <c r="IA55" i="14"/>
  <c r="II55" i="14"/>
  <c r="IQ55" i="14"/>
  <c r="IY55" i="14"/>
  <c r="JG55" i="14"/>
  <c r="JO55" i="14"/>
  <c r="JW55" i="14"/>
  <c r="KE55" i="14"/>
  <c r="KM55" i="14"/>
  <c r="R56" i="14"/>
  <c r="AH56" i="14"/>
  <c r="AR56" i="14"/>
  <c r="AZ56" i="14"/>
  <c r="BH56" i="14"/>
  <c r="BP56" i="14"/>
  <c r="BX56" i="14"/>
  <c r="CJ56" i="14"/>
  <c r="DK56" i="14"/>
  <c r="EG56" i="14"/>
  <c r="EX56" i="14"/>
  <c r="FP56" i="14"/>
  <c r="GD56" i="14"/>
  <c r="GR56" i="14"/>
  <c r="HF56" i="14"/>
  <c r="HN56" i="14"/>
  <c r="HV56" i="14"/>
  <c r="ID56" i="14"/>
  <c r="IL56" i="14"/>
  <c r="IT56" i="14"/>
  <c r="JB56" i="14"/>
  <c r="JJ56" i="14"/>
  <c r="JR56" i="14"/>
  <c r="JZ56" i="14"/>
  <c r="KH56" i="14"/>
  <c r="F57" i="14"/>
  <c r="Y57" i="14"/>
  <c r="AM57" i="14"/>
  <c r="AU57" i="14"/>
  <c r="BC57" i="14"/>
  <c r="BK57" i="14"/>
  <c r="BS57" i="14"/>
  <c r="CA57" i="14"/>
  <c r="CS57" i="14"/>
  <c r="DT57" i="14"/>
  <c r="EN57" i="14"/>
  <c r="FC57" i="14"/>
  <c r="FU57" i="14"/>
  <c r="GI57" i="14"/>
  <c r="HB57" i="14"/>
  <c r="HJ57" i="14"/>
  <c r="HR57" i="14"/>
  <c r="HZ57" i="14"/>
  <c r="IH57" i="14"/>
  <c r="IP57" i="14"/>
  <c r="IX57" i="14"/>
  <c r="JF57" i="14"/>
  <c r="JN57" i="14"/>
  <c r="JV57" i="14"/>
  <c r="KD57" i="14"/>
  <c r="KL57" i="14"/>
  <c r="M58" i="14"/>
  <c r="AE58" i="14"/>
  <c r="AQ58" i="14"/>
  <c r="AY58" i="14"/>
  <c r="BG58" i="14"/>
  <c r="BO58" i="14"/>
  <c r="BW58" i="14"/>
  <c r="CI58" i="14"/>
  <c r="DH58" i="14"/>
  <c r="EF58" i="14"/>
  <c r="EU58" i="14"/>
  <c r="CX69" i="14"/>
  <c r="AL44" i="14"/>
  <c r="DW69" i="14"/>
  <c r="BH44" i="14"/>
  <c r="DO70" i="14"/>
  <c r="BA45" i="14"/>
  <c r="EL70" i="14"/>
  <c r="BP45" i="14"/>
  <c r="DV71" i="14"/>
  <c r="BG46" i="14"/>
  <c r="FF71" i="14"/>
  <c r="BZ46" i="14"/>
  <c r="EJ72" i="14"/>
  <c r="BO47" i="14"/>
  <c r="GC72" i="14"/>
  <c r="CL47" i="14"/>
  <c r="CM73" i="14"/>
  <c r="AC48" i="14"/>
  <c r="DN73" i="14"/>
  <c r="AZ48" i="14"/>
  <c r="EL73" i="14"/>
  <c r="BP48" i="14"/>
  <c r="ET73" i="14"/>
  <c r="BT48" i="14"/>
  <c r="FH73" i="14"/>
  <c r="CB48" i="14"/>
  <c r="GS73" i="14"/>
  <c r="CT48" i="14"/>
  <c r="Q74" i="14"/>
  <c r="L49" i="14"/>
  <c r="AD74" i="14"/>
  <c r="R49" i="14"/>
  <c r="AL74" i="14"/>
  <c r="V49" i="14"/>
  <c r="CO74" i="14"/>
  <c r="AD49" i="14"/>
  <c r="CX74" i="14"/>
  <c r="AL49" i="14"/>
  <c r="DC69" i="14"/>
  <c r="AP44" i="14"/>
  <c r="ED69" i="14"/>
  <c r="BL44" i="14"/>
  <c r="GL70" i="14"/>
  <c r="CP45" i="14"/>
  <c r="CK71" i="14"/>
  <c r="AA46" i="14"/>
  <c r="EA71" i="14"/>
  <c r="BK46" i="14"/>
  <c r="D72" i="14"/>
  <c r="D47" i="14"/>
  <c r="S72" i="14"/>
  <c r="M47" i="14"/>
  <c r="CP72" i="14"/>
  <c r="AE47" i="14"/>
  <c r="DQ72" i="14"/>
  <c r="BE47" i="14"/>
  <c r="EQ72" i="14"/>
  <c r="BR47" i="14"/>
  <c r="GF72" i="14"/>
  <c r="CN47" i="14"/>
  <c r="CF73" i="14"/>
  <c r="Y48" i="14"/>
  <c r="DO73" i="14"/>
  <c r="BA48" i="14"/>
  <c r="FE73" i="14"/>
  <c r="BY48" i="14"/>
  <c r="EM74" i="14"/>
  <c r="BQ49" i="14"/>
  <c r="AK54" i="14"/>
  <c r="BQ54" i="14"/>
  <c r="CZ54" i="14"/>
  <c r="EK54" i="14"/>
  <c r="FQ54" i="14"/>
  <c r="HH54" i="14"/>
  <c r="IN54" i="14"/>
  <c r="JT54" i="14"/>
  <c r="AA55" i="14"/>
  <c r="BM55" i="14"/>
  <c r="EB55" i="14"/>
  <c r="GM55" i="14"/>
  <c r="IB55" i="14"/>
  <c r="JH55" i="14"/>
  <c r="KN55" i="14"/>
  <c r="BA56" i="14"/>
  <c r="CN56" i="14"/>
  <c r="FQ56" i="14"/>
  <c r="HH56" i="14"/>
  <c r="IN56" i="14"/>
  <c r="JT56" i="14"/>
  <c r="X57" i="14"/>
  <c r="AW57" i="14"/>
  <c r="BT57" i="14"/>
  <c r="DS57" i="14"/>
  <c r="FK57" i="14"/>
  <c r="HC57" i="14"/>
  <c r="HY57" i="14"/>
  <c r="IR57" i="14"/>
  <c r="JO57" i="14"/>
  <c r="KK57" i="14"/>
  <c r="AI58" i="14"/>
  <c r="BH58" i="14"/>
  <c r="CH58" i="14"/>
  <c r="EH58" i="14"/>
  <c r="FZ58" i="14"/>
  <c r="HE58" i="14"/>
  <c r="HU58" i="14"/>
  <c r="IK58" i="14"/>
  <c r="JA58" i="14"/>
  <c r="JQ58" i="14"/>
  <c r="KG58" i="14"/>
  <c r="X59" i="14"/>
  <c r="AO59" i="14"/>
  <c r="BC59" i="14"/>
  <c r="BO59" i="14"/>
  <c r="CB59" i="14"/>
  <c r="DS59" i="14"/>
  <c r="EP59" i="14"/>
  <c r="FU59" i="14"/>
  <c r="GR59" i="14"/>
  <c r="HK59" i="14"/>
  <c r="HY59" i="14"/>
  <c r="IJ59" i="14"/>
  <c r="IX59" i="14"/>
  <c r="JJ59" i="14"/>
  <c r="JW59" i="14"/>
  <c r="KK59" i="14"/>
  <c r="U60" i="14"/>
  <c r="AQ60" i="14"/>
  <c r="BC60" i="14"/>
  <c r="BP60" i="14"/>
  <c r="CH60" i="14"/>
  <c r="DH60" i="14"/>
  <c r="EP60" i="14"/>
  <c r="FQ60" i="14"/>
  <c r="GN60" i="14"/>
  <c r="HK60" i="14"/>
  <c r="HV60" i="14"/>
  <c r="IJ60" i="14"/>
  <c r="IV60" i="14"/>
  <c r="JI60" i="14"/>
  <c r="JW60" i="14"/>
  <c r="KH60" i="14"/>
  <c r="U61" i="14"/>
  <c r="AO61" i="14"/>
  <c r="BB61" i="14"/>
  <c r="BP61" i="14"/>
  <c r="CA61" i="14"/>
  <c r="DK61" i="14"/>
  <c r="EO61" i="14"/>
  <c r="FQ61" i="14"/>
  <c r="GR61" i="14"/>
  <c r="HI61" i="14"/>
  <c r="HW61" i="14"/>
  <c r="II61" i="14"/>
  <c r="IV61" i="14"/>
  <c r="JJ61" i="14"/>
  <c r="JU61" i="14"/>
  <c r="KI61" i="14"/>
  <c r="R62" i="14"/>
  <c r="AO62" i="14"/>
  <c r="BC62" i="14"/>
  <c r="BN62" i="14"/>
  <c r="CB62" i="14"/>
  <c r="DD62" i="14"/>
  <c r="EG62" i="14"/>
  <c r="FD62" i="14"/>
  <c r="FZ62" i="14"/>
  <c r="GT62" i="14"/>
  <c r="HK62" i="14"/>
  <c r="HU62" i="14"/>
  <c r="ID62" i="14"/>
  <c r="IM62" i="14"/>
  <c r="IW62" i="14"/>
  <c r="JF62" i="14"/>
  <c r="JO62" i="14"/>
  <c r="JX62" i="14"/>
  <c r="KG62" i="14"/>
  <c r="B63" i="14"/>
  <c r="X63" i="14"/>
  <c r="AJ63" i="14"/>
  <c r="AT63" i="14"/>
  <c r="BB63" i="14"/>
  <c r="BJ63" i="14"/>
  <c r="BR63" i="14"/>
  <c r="BZ63" i="14"/>
  <c r="CR63" i="14"/>
  <c r="DS63" i="14"/>
  <c r="EK63" i="14"/>
  <c r="EZ63" i="14"/>
  <c r="FR63" i="14"/>
  <c r="GH63" i="14"/>
  <c r="GY63" i="14"/>
  <c r="HI63" i="14"/>
  <c r="HQ63" i="14"/>
  <c r="HY63" i="14"/>
  <c r="IG63" i="14"/>
  <c r="IO63" i="14"/>
  <c r="IW63" i="14"/>
  <c r="JE63" i="14"/>
  <c r="JM63" i="14"/>
  <c r="JU63" i="14"/>
  <c r="KC63" i="14"/>
  <c r="KK63" i="14"/>
  <c r="L64" i="14"/>
  <c r="AB64" i="14"/>
  <c r="AP64" i="14"/>
  <c r="AX64" i="14"/>
  <c r="BF64" i="14"/>
  <c r="BN64" i="14"/>
  <c r="BV64" i="14"/>
  <c r="CH64" i="14"/>
  <c r="DD64" i="14"/>
  <c r="EC64" i="14"/>
  <c r="ER64" i="14"/>
  <c r="FL64" i="14"/>
  <c r="FZ64" i="14"/>
  <c r="GN64" i="14"/>
  <c r="HE64" i="14"/>
  <c r="HM64" i="14"/>
  <c r="HU64" i="14"/>
  <c r="IC64" i="14"/>
  <c r="IK64" i="14"/>
  <c r="IS64" i="14"/>
  <c r="JA64" i="14"/>
  <c r="JI64" i="14"/>
  <c r="JQ64" i="14"/>
  <c r="JY64" i="14"/>
  <c r="KG64" i="14"/>
  <c r="B65" i="14"/>
  <c r="X65" i="14"/>
  <c r="AJ65" i="14"/>
  <c r="AT65" i="14"/>
  <c r="BB65" i="14"/>
  <c r="BJ65" i="14"/>
  <c r="BR65" i="14"/>
  <c r="BZ65" i="14"/>
  <c r="CR65" i="14"/>
  <c r="DS65" i="14"/>
  <c r="EK65" i="14"/>
  <c r="EZ65" i="14"/>
  <c r="FR65" i="14"/>
  <c r="GH65" i="14"/>
  <c r="GY65" i="14"/>
  <c r="HI65" i="14"/>
  <c r="HQ65" i="14"/>
  <c r="HY65" i="14"/>
  <c r="IG65" i="14"/>
  <c r="IO65" i="14"/>
  <c r="IW65" i="14"/>
  <c r="JE65" i="14"/>
  <c r="JM65" i="14"/>
  <c r="JU65" i="14"/>
  <c r="KC65" i="14"/>
  <c r="KK65" i="14"/>
  <c r="L66" i="14"/>
  <c r="AB66" i="14"/>
  <c r="AP66" i="14"/>
  <c r="AX66" i="14"/>
  <c r="BF66" i="14"/>
  <c r="BN66" i="14"/>
  <c r="BV66" i="14"/>
  <c r="CH66" i="14"/>
  <c r="DD66" i="14"/>
  <c r="EC66" i="14"/>
  <c r="ER66" i="14"/>
  <c r="FL66" i="14"/>
  <c r="FZ66" i="14"/>
  <c r="GN66" i="14"/>
  <c r="HE66" i="14"/>
  <c r="HM66" i="14"/>
  <c r="HU66" i="14"/>
  <c r="IC66" i="14"/>
  <c r="IK66" i="14"/>
  <c r="IS66" i="14"/>
  <c r="JA66" i="14"/>
  <c r="JI66" i="14"/>
  <c r="JQ66" i="14"/>
  <c r="JY66" i="14"/>
  <c r="KG66" i="14"/>
  <c r="B67" i="14"/>
  <c r="X67" i="14"/>
  <c r="AJ67" i="14"/>
  <c r="AT67" i="14"/>
  <c r="BB67" i="14"/>
  <c r="BJ67" i="14"/>
  <c r="BR67" i="14"/>
  <c r="BZ67" i="14"/>
  <c r="CR67" i="14"/>
  <c r="DS67" i="14"/>
  <c r="EK67" i="14"/>
  <c r="EZ67" i="14"/>
  <c r="FR67" i="14"/>
  <c r="GH67" i="14"/>
  <c r="GY67" i="14"/>
  <c r="HI67" i="14"/>
  <c r="HQ67" i="14"/>
  <c r="HY67" i="14"/>
  <c r="IG67" i="14"/>
  <c r="IO67" i="14"/>
  <c r="IW67" i="14"/>
  <c r="JE67" i="14"/>
  <c r="JM67" i="14"/>
  <c r="JU67" i="14"/>
  <c r="KC67" i="14"/>
  <c r="KK67" i="14"/>
  <c r="L68" i="14"/>
  <c r="AB68" i="14"/>
  <c r="AP68" i="14"/>
  <c r="AX68" i="14"/>
  <c r="BF68" i="14"/>
  <c r="BN68" i="14"/>
  <c r="BV68" i="14"/>
  <c r="CH68" i="14"/>
  <c r="DD68" i="14"/>
  <c r="EC68" i="14"/>
  <c r="ER68" i="14"/>
  <c r="FL68" i="14"/>
  <c r="FZ68" i="14"/>
  <c r="GN68" i="14"/>
  <c r="HE68" i="14"/>
  <c r="HM68" i="14"/>
  <c r="HU68" i="14"/>
  <c r="IC68" i="14"/>
  <c r="IK68" i="14"/>
  <c r="IS68" i="14"/>
  <c r="JA68" i="14"/>
  <c r="JI68" i="14"/>
  <c r="JQ68" i="14"/>
  <c r="JY68" i="14"/>
  <c r="KG68" i="14"/>
  <c r="B69" i="14"/>
  <c r="X69" i="14"/>
  <c r="AJ69" i="14"/>
  <c r="AT69" i="14"/>
  <c r="BB69" i="14"/>
  <c r="BJ69" i="14"/>
  <c r="BR69" i="14"/>
  <c r="BZ69" i="14"/>
  <c r="CR69" i="14"/>
  <c r="DS69" i="14"/>
  <c r="EK69" i="14"/>
  <c r="EZ69" i="14"/>
  <c r="FR69" i="14"/>
  <c r="GH69" i="14"/>
  <c r="GY69" i="14"/>
  <c r="HI69" i="14"/>
  <c r="HQ69" i="14"/>
  <c r="HY69" i="14"/>
  <c r="IG69" i="14"/>
  <c r="IO69" i="14"/>
  <c r="IW69" i="14"/>
  <c r="JE69" i="14"/>
  <c r="JM69" i="14"/>
  <c r="JU69" i="14"/>
  <c r="KC69" i="14"/>
  <c r="KK69" i="14"/>
  <c r="L70" i="14"/>
  <c r="AB70" i="14"/>
  <c r="AP70" i="14"/>
  <c r="AX70" i="14"/>
  <c r="BF70" i="14"/>
  <c r="BN70" i="14"/>
  <c r="BV70" i="14"/>
  <c r="CH70" i="14"/>
  <c r="DD70" i="14"/>
  <c r="EC70" i="14"/>
  <c r="ER70" i="14"/>
  <c r="FL70" i="14"/>
  <c r="FZ70" i="14"/>
  <c r="GN70" i="14"/>
  <c r="HE70" i="14"/>
  <c r="HM70" i="14"/>
  <c r="HU70" i="14"/>
  <c r="IC70" i="14"/>
  <c r="IK70" i="14"/>
  <c r="IS70" i="14"/>
  <c r="JA70" i="14"/>
  <c r="JI70" i="14"/>
  <c r="JQ70" i="14"/>
  <c r="JY70" i="14"/>
  <c r="KG70" i="14"/>
  <c r="B71" i="14"/>
  <c r="X71" i="14"/>
  <c r="AJ71" i="14"/>
  <c r="AT71" i="14"/>
  <c r="BB71" i="14"/>
  <c r="BJ71" i="14"/>
  <c r="BR71" i="14"/>
  <c r="BZ71" i="14"/>
  <c r="CR71" i="14"/>
  <c r="D74" i="14"/>
  <c r="D49" i="14"/>
  <c r="CF74" i="14"/>
  <c r="Y49" i="14"/>
  <c r="FI74" i="14"/>
  <c r="CC49" i="14"/>
  <c r="AL54" i="14"/>
  <c r="BR54" i="14"/>
  <c r="DA54" i="14"/>
  <c r="EL54" i="14"/>
  <c r="FR54" i="14"/>
  <c r="HI54" i="14"/>
  <c r="IO54" i="14"/>
  <c r="JU54" i="14"/>
  <c r="AB55" i="14"/>
  <c r="BN55" i="14"/>
  <c r="EC55" i="14"/>
  <c r="GN55" i="14"/>
  <c r="IC55" i="14"/>
  <c r="JI55" i="14"/>
  <c r="B56" i="14"/>
  <c r="BB56" i="14"/>
  <c r="CR56" i="14"/>
  <c r="FR56" i="14"/>
  <c r="HO56" i="14"/>
  <c r="IU56" i="14"/>
  <c r="KA56" i="14"/>
  <c r="Z57" i="14"/>
  <c r="BB57" i="14"/>
  <c r="BU57" i="14"/>
  <c r="DX57" i="14"/>
  <c r="FR57" i="14"/>
  <c r="HD57" i="14"/>
  <c r="IA57" i="14"/>
  <c r="IW57" i="14"/>
  <c r="JP57" i="14"/>
  <c r="KM57" i="14"/>
  <c r="AP58" i="14"/>
  <c r="BI58" i="14"/>
  <c r="CJ58" i="14"/>
  <c r="ER58" i="14"/>
  <c r="GA58" i="14"/>
  <c r="HF58" i="14"/>
  <c r="HV58" i="14"/>
  <c r="IL58" i="14"/>
  <c r="JB58" i="14"/>
  <c r="JR58" i="14"/>
  <c r="KH58" i="14"/>
  <c r="Y59" i="14"/>
  <c r="AQ59" i="14"/>
  <c r="BD59" i="14"/>
  <c r="BR59" i="14"/>
  <c r="CD59" i="14"/>
  <c r="DT59" i="14"/>
  <c r="EU59" i="14"/>
  <c r="FX59" i="14"/>
  <c r="GY59" i="14"/>
  <c r="HL59" i="14"/>
  <c r="HZ59" i="14"/>
  <c r="IL59" i="14"/>
  <c r="IY59" i="14"/>
  <c r="JM59" i="14"/>
  <c r="JX59" i="14"/>
  <c r="KL59" i="14"/>
  <c r="Y60" i="14"/>
  <c r="AR60" i="14"/>
  <c r="BF60" i="14"/>
  <c r="BQ60" i="14"/>
  <c r="DR60" i="14"/>
  <c r="ER60" i="14"/>
  <c r="FX60" i="14"/>
  <c r="GR60" i="14"/>
  <c r="HL60" i="14"/>
  <c r="HX60" i="14"/>
  <c r="IK60" i="14"/>
  <c r="IY60" i="14"/>
  <c r="JJ60" i="14"/>
  <c r="JX60" i="14"/>
  <c r="KJ60" i="14"/>
  <c r="X61" i="14"/>
  <c r="AR61" i="14"/>
  <c r="BC61" i="14"/>
  <c r="BQ61" i="14"/>
  <c r="CD61" i="14"/>
  <c r="DR61" i="14"/>
  <c r="EU61" i="14"/>
  <c r="FR61" i="14"/>
  <c r="GT61" i="14"/>
  <c r="HK61" i="14"/>
  <c r="HX61" i="14"/>
  <c r="IL61" i="14"/>
  <c r="IW61" i="14"/>
  <c r="JK61" i="14"/>
  <c r="JW61" i="14"/>
  <c r="KJ61" i="14"/>
  <c r="Y62" i="14"/>
  <c r="AP62" i="14"/>
  <c r="BD62" i="14"/>
  <c r="BP62" i="14"/>
  <c r="CD62" i="14"/>
  <c r="DH62" i="14"/>
  <c r="EN62" i="14"/>
  <c r="FK62" i="14"/>
  <c r="GA62" i="14"/>
  <c r="HB62" i="14"/>
  <c r="HL62" i="14"/>
  <c r="HV62" i="14"/>
  <c r="IE62" i="14"/>
  <c r="IO62" i="14"/>
  <c r="IX62" i="14"/>
  <c r="JG62" i="14"/>
  <c r="JP62" i="14"/>
  <c r="JY62" i="14"/>
  <c r="KH62" i="14"/>
  <c r="F63" i="14"/>
  <c r="Y63" i="14"/>
  <c r="AM63" i="14"/>
  <c r="AU63" i="14"/>
  <c r="BC63" i="14"/>
  <c r="BK63" i="14"/>
  <c r="BS63" i="14"/>
  <c r="CA63" i="14"/>
  <c r="CS63" i="14"/>
  <c r="DT63" i="14"/>
  <c r="EN63" i="14"/>
  <c r="FC63" i="14"/>
  <c r="FU63" i="14"/>
  <c r="GI63" i="14"/>
  <c r="HB63" i="14"/>
  <c r="HJ63" i="14"/>
  <c r="HR63" i="14"/>
  <c r="HZ63" i="14"/>
  <c r="IH63" i="14"/>
  <c r="IP63" i="14"/>
  <c r="IX63" i="14"/>
  <c r="JF63" i="14"/>
  <c r="JN63" i="14"/>
  <c r="JV63" i="14"/>
  <c r="KD63" i="14"/>
  <c r="KL63" i="14"/>
  <c r="M64" i="14"/>
  <c r="AE64" i="14"/>
  <c r="AQ64" i="14"/>
  <c r="AY64" i="14"/>
  <c r="BG64" i="14"/>
  <c r="BO64" i="14"/>
  <c r="BW64" i="14"/>
  <c r="CI64" i="14"/>
  <c r="DH64" i="14"/>
  <c r="EF64" i="14"/>
  <c r="EU64" i="14"/>
  <c r="FO64" i="14"/>
  <c r="GA64" i="14"/>
  <c r="GR64" i="14"/>
  <c r="HF64" i="14"/>
  <c r="HN64" i="14"/>
  <c r="HV64" i="14"/>
  <c r="ID64" i="14"/>
  <c r="IL64" i="14"/>
  <c r="IT64" i="14"/>
  <c r="JB64" i="14"/>
  <c r="JJ64" i="14"/>
  <c r="JR64" i="14"/>
  <c r="JZ64" i="14"/>
  <c r="KH64" i="14"/>
  <c r="F65" i="14"/>
  <c r="Y65" i="14"/>
  <c r="AM65" i="14"/>
  <c r="AU65" i="14"/>
  <c r="BC65" i="14"/>
  <c r="BK65" i="14"/>
  <c r="BS65" i="14"/>
  <c r="CA65" i="14"/>
  <c r="CS65" i="14"/>
  <c r="DT65" i="14"/>
  <c r="EN65" i="14"/>
  <c r="FC65" i="14"/>
  <c r="FU65" i="14"/>
  <c r="GI65" i="14"/>
  <c r="HB65" i="14"/>
  <c r="HJ65" i="14"/>
  <c r="HR65" i="14"/>
  <c r="HZ65" i="14"/>
  <c r="IH65" i="14"/>
  <c r="IP65" i="14"/>
  <c r="IX65" i="14"/>
  <c r="JF65" i="14"/>
  <c r="JN65" i="14"/>
  <c r="JV65" i="14"/>
  <c r="KD65" i="14"/>
  <c r="KL65" i="14"/>
  <c r="M66" i="14"/>
  <c r="AE66" i="14"/>
  <c r="AQ66" i="14"/>
  <c r="AY66" i="14"/>
  <c r="BG66" i="14"/>
  <c r="BO66" i="14"/>
  <c r="BW66" i="14"/>
  <c r="CI66" i="14"/>
  <c r="DH66" i="14"/>
  <c r="EF66" i="14"/>
  <c r="EU66" i="14"/>
  <c r="FO66" i="14"/>
  <c r="GA66" i="14"/>
  <c r="GR66" i="14"/>
  <c r="HF66" i="14"/>
  <c r="HN66" i="14"/>
  <c r="HV66" i="14"/>
  <c r="ID66" i="14"/>
  <c r="IL66" i="14"/>
  <c r="IT66" i="14"/>
  <c r="JB66" i="14"/>
  <c r="JJ66" i="14"/>
  <c r="JR66" i="14"/>
  <c r="JZ66" i="14"/>
  <c r="KH66" i="14"/>
  <c r="F67" i="14"/>
  <c r="Y67" i="14"/>
  <c r="AM67" i="14"/>
  <c r="AU67" i="14"/>
  <c r="BC67" i="14"/>
  <c r="BK67" i="14"/>
  <c r="BS67" i="14"/>
  <c r="CA67" i="14"/>
  <c r="CS67" i="14"/>
  <c r="DT67" i="14"/>
  <c r="EN67" i="14"/>
  <c r="FC67" i="14"/>
  <c r="FU67" i="14"/>
  <c r="GI67" i="14"/>
  <c r="HB67" i="14"/>
  <c r="HJ67" i="14"/>
  <c r="HR67" i="14"/>
  <c r="HZ67" i="14"/>
  <c r="IH67" i="14"/>
  <c r="IP67" i="14"/>
  <c r="IX67" i="14"/>
  <c r="JF67" i="14"/>
  <c r="JN67" i="14"/>
  <c r="JV67" i="14"/>
  <c r="KD67" i="14"/>
  <c r="KL67" i="14"/>
  <c r="M68" i="14"/>
  <c r="AE68" i="14"/>
  <c r="AQ68" i="14"/>
  <c r="AY68" i="14"/>
  <c r="BG68" i="14"/>
  <c r="BO68" i="14"/>
  <c r="BW68" i="14"/>
  <c r="CI68" i="14"/>
  <c r="DH68" i="14"/>
  <c r="EF68" i="14"/>
  <c r="EU68" i="14"/>
  <c r="FO68" i="14"/>
  <c r="GA68" i="14"/>
  <c r="GR68" i="14"/>
  <c r="HF68" i="14"/>
  <c r="HN68" i="14"/>
  <c r="HV68" i="14"/>
  <c r="ID68" i="14"/>
  <c r="IL68" i="14"/>
  <c r="IT68" i="14"/>
  <c r="JB68" i="14"/>
  <c r="JJ68" i="14"/>
  <c r="JR68" i="14"/>
  <c r="JZ68" i="14"/>
  <c r="KH68" i="14"/>
  <c r="F69" i="14"/>
  <c r="Y69" i="14"/>
  <c r="AM69" i="14"/>
  <c r="AU69" i="14"/>
  <c r="BC69" i="14"/>
  <c r="BK69" i="14"/>
  <c r="BS69" i="14"/>
  <c r="CA69" i="14"/>
  <c r="CS69" i="14"/>
  <c r="DT69" i="14"/>
  <c r="EN69" i="14"/>
  <c r="FC69" i="14"/>
  <c r="FU69" i="14"/>
  <c r="GI69" i="14"/>
  <c r="HB69" i="14"/>
  <c r="HJ69" i="14"/>
  <c r="HR69" i="14"/>
  <c r="HZ69" i="14"/>
  <c r="IH69" i="14"/>
  <c r="IP69" i="14"/>
  <c r="IX69" i="14"/>
  <c r="JF69" i="14"/>
  <c r="JN69" i="14"/>
  <c r="JV69" i="14"/>
  <c r="KD69" i="14"/>
  <c r="KL69" i="14"/>
  <c r="M70" i="14"/>
  <c r="AE70" i="14"/>
  <c r="AQ70" i="14"/>
  <c r="AY70" i="14"/>
  <c r="BG70" i="14"/>
  <c r="BO70" i="14"/>
  <c r="BW70" i="14"/>
  <c r="CI70" i="14"/>
  <c r="DH70" i="14"/>
  <c r="EF70" i="14"/>
  <c r="EU70" i="14"/>
  <c r="FO70" i="14"/>
  <c r="GA70" i="14"/>
  <c r="GR70" i="14"/>
  <c r="HF70" i="14"/>
  <c r="HN70" i="14"/>
  <c r="HV70" i="14"/>
  <c r="ID70" i="14"/>
  <c r="IL70" i="14"/>
  <c r="IT70" i="14"/>
  <c r="JB70" i="14"/>
  <c r="JJ70" i="14"/>
  <c r="JR70" i="14"/>
  <c r="JZ70" i="14"/>
  <c r="KH70" i="14"/>
  <c r="F71" i="14"/>
  <c r="Y71" i="14"/>
  <c r="AM71" i="14"/>
  <c r="AU71" i="14"/>
  <c r="BC71" i="14"/>
  <c r="BK71" i="14"/>
  <c r="BS71" i="14"/>
  <c r="CA71" i="14"/>
  <c r="CS71" i="14"/>
  <c r="DT71" i="14"/>
  <c r="EN71" i="14"/>
  <c r="FN73" i="14"/>
  <c r="CF48" i="14"/>
  <c r="DV74" i="14"/>
  <c r="BG49" i="14"/>
  <c r="ET74" i="14"/>
  <c r="BT49" i="14"/>
  <c r="GO74" i="14"/>
  <c r="CQ49" i="14"/>
  <c r="AS54" i="14"/>
  <c r="BY54" i="14"/>
  <c r="DK54" i="14"/>
  <c r="ES54" i="14"/>
  <c r="FY54" i="14"/>
  <c r="HP54" i="14"/>
  <c r="IV54" i="14"/>
  <c r="KB54" i="14"/>
  <c r="AO55" i="14"/>
  <c r="BU55" i="14"/>
  <c r="EP55" i="14"/>
  <c r="HD55" i="14"/>
  <c r="IJ55" i="14"/>
  <c r="JP55" i="14"/>
  <c r="U56" i="14"/>
  <c r="BI56" i="14"/>
  <c r="DR56" i="14"/>
  <c r="GG56" i="14"/>
  <c r="HP56" i="14"/>
  <c r="IV56" i="14"/>
  <c r="KB56" i="14"/>
  <c r="AA57" i="14"/>
  <c r="BD57" i="14"/>
  <c r="BZ57" i="14"/>
  <c r="EB57" i="14"/>
  <c r="FX57" i="14"/>
  <c r="HI57" i="14"/>
  <c r="IB57" i="14"/>
  <c r="IY57" i="14"/>
  <c r="JU57" i="14"/>
  <c r="KN57" i="14"/>
  <c r="AR58" i="14"/>
  <c r="BN58" i="14"/>
  <c r="CN58" i="14"/>
  <c r="EX58" i="14"/>
  <c r="GD58" i="14"/>
  <c r="HG58" i="14"/>
  <c r="HW58" i="14"/>
  <c r="IM58" i="14"/>
  <c r="JC58" i="14"/>
  <c r="JS58" i="14"/>
  <c r="KI58" i="14"/>
  <c r="Z59" i="14"/>
  <c r="AT59" i="14"/>
  <c r="BE59" i="14"/>
  <c r="BS59" i="14"/>
  <c r="CI59" i="14"/>
  <c r="DX59" i="14"/>
  <c r="EZ59" i="14"/>
  <c r="FY59" i="14"/>
  <c r="HB59" i="14"/>
  <c r="HN59" i="14"/>
  <c r="IA59" i="14"/>
  <c r="IO59" i="14"/>
  <c r="IZ59" i="14"/>
  <c r="JN59" i="14"/>
  <c r="JZ59" i="14"/>
  <c r="KM59" i="14"/>
  <c r="AB60" i="14"/>
  <c r="AS60" i="14"/>
  <c r="BG60" i="14"/>
  <c r="BS60" i="14"/>
  <c r="CI60" i="14"/>
  <c r="DX60" i="14"/>
  <c r="EU60" i="14"/>
  <c r="FY60" i="14"/>
  <c r="GV60" i="14"/>
  <c r="HM60" i="14"/>
  <c r="IA60" i="14"/>
  <c r="IL60" i="14"/>
  <c r="IZ60" i="14"/>
  <c r="JL60" i="14"/>
  <c r="JY60" i="14"/>
  <c r="KM60" i="14"/>
  <c r="Y61" i="14"/>
  <c r="AS61" i="14"/>
  <c r="BE61" i="14"/>
  <c r="BR61" i="14"/>
  <c r="CI61" i="14"/>
  <c r="DS61" i="14"/>
  <c r="EX61" i="14"/>
  <c r="FX61" i="14"/>
  <c r="GV61" i="14"/>
  <c r="HN61" i="14"/>
  <c r="HY61" i="14"/>
  <c r="IM61" i="14"/>
  <c r="IY61" i="14"/>
  <c r="JL61" i="14"/>
  <c r="JZ61" i="14"/>
  <c r="KK61" i="14"/>
  <c r="Z62" i="14"/>
  <c r="AR62" i="14"/>
  <c r="BE62" i="14"/>
  <c r="BS62" i="14"/>
  <c r="CH62" i="14"/>
  <c r="DK62" i="14"/>
  <c r="EO62" i="14"/>
  <c r="FL62" i="14"/>
  <c r="GD62" i="14"/>
  <c r="HC62" i="14"/>
  <c r="HM62" i="14"/>
  <c r="HW62" i="14"/>
  <c r="IG62" i="14"/>
  <c r="IP62" i="14"/>
  <c r="IY62" i="14"/>
  <c r="JH62" i="14"/>
  <c r="JQ62" i="14"/>
  <c r="JZ62" i="14"/>
  <c r="KI62" i="14"/>
  <c r="I63" i="14"/>
  <c r="Z63" i="14"/>
  <c r="AN63" i="14"/>
  <c r="AV63" i="14"/>
  <c r="BD63" i="14"/>
  <c r="BL63" i="14"/>
  <c r="BT63" i="14"/>
  <c r="CB63" i="14"/>
  <c r="CT63" i="14"/>
  <c r="DX63" i="14"/>
  <c r="EO63" i="14"/>
  <c r="FD63" i="14"/>
  <c r="FX63" i="14"/>
  <c r="GJ63" i="14"/>
  <c r="HC63" i="14"/>
  <c r="HK63" i="14"/>
  <c r="HS63" i="14"/>
  <c r="IA63" i="14"/>
  <c r="II63" i="14"/>
  <c r="IQ63" i="14"/>
  <c r="IY63" i="14"/>
  <c r="JG63" i="14"/>
  <c r="JO63" i="14"/>
  <c r="JW63" i="14"/>
  <c r="KE63" i="14"/>
  <c r="KM63" i="14"/>
  <c r="R64" i="14"/>
  <c r="AH64" i="14"/>
  <c r="AR64" i="14"/>
  <c r="AZ64" i="14"/>
  <c r="BH64" i="14"/>
  <c r="BP64" i="14"/>
  <c r="BX64" i="14"/>
  <c r="CJ64" i="14"/>
  <c r="DK64" i="14"/>
  <c r="EG64" i="14"/>
  <c r="EX64" i="14"/>
  <c r="FP64" i="14"/>
  <c r="GD64" i="14"/>
  <c r="GT64" i="14"/>
  <c r="HG64" i="14"/>
  <c r="HO64" i="14"/>
  <c r="HW64" i="14"/>
  <c r="IE64" i="14"/>
  <c r="IM64" i="14"/>
  <c r="IU64" i="14"/>
  <c r="JC64" i="14"/>
  <c r="JK64" i="14"/>
  <c r="JS64" i="14"/>
  <c r="KA64" i="14"/>
  <c r="KI64" i="14"/>
  <c r="I65" i="14"/>
  <c r="Z65" i="14"/>
  <c r="AN65" i="14"/>
  <c r="AV65" i="14"/>
  <c r="BD65" i="14"/>
  <c r="BL65" i="14"/>
  <c r="BT65" i="14"/>
  <c r="CB65" i="14"/>
  <c r="CT65" i="14"/>
  <c r="DX65" i="14"/>
  <c r="EO65" i="14"/>
  <c r="FD65" i="14"/>
  <c r="FX65" i="14"/>
  <c r="GJ65" i="14"/>
  <c r="HC65" i="14"/>
  <c r="HK65" i="14"/>
  <c r="HS65" i="14"/>
  <c r="IA65" i="14"/>
  <c r="II65" i="14"/>
  <c r="IQ65" i="14"/>
  <c r="IY65" i="14"/>
  <c r="JG65" i="14"/>
  <c r="JO65" i="14"/>
  <c r="JW65" i="14"/>
  <c r="KE65" i="14"/>
  <c r="KM65" i="14"/>
  <c r="R66" i="14"/>
  <c r="AH66" i="14"/>
  <c r="AR66" i="14"/>
  <c r="AZ66" i="14"/>
  <c r="BH66" i="14"/>
  <c r="BP66" i="14"/>
  <c r="BX66" i="14"/>
  <c r="CJ66" i="14"/>
  <c r="DK66" i="14"/>
  <c r="EG66" i="14"/>
  <c r="EX66" i="14"/>
  <c r="FP66" i="14"/>
  <c r="GD66" i="14"/>
  <c r="GT66" i="14"/>
  <c r="HG66" i="14"/>
  <c r="HO66" i="14"/>
  <c r="HW66" i="14"/>
  <c r="IE66" i="14"/>
  <c r="IM66" i="14"/>
  <c r="IU66" i="14"/>
  <c r="JC66" i="14"/>
  <c r="JK66" i="14"/>
  <c r="JS66" i="14"/>
  <c r="KA66" i="14"/>
  <c r="KI66" i="14"/>
  <c r="I67" i="14"/>
  <c r="Z67" i="14"/>
  <c r="AN67" i="14"/>
  <c r="AV67" i="14"/>
  <c r="BD67" i="14"/>
  <c r="BL67" i="14"/>
  <c r="BT67" i="14"/>
  <c r="CB67" i="14"/>
  <c r="CT67" i="14"/>
  <c r="DX67" i="14"/>
  <c r="EO67" i="14"/>
  <c r="FD67" i="14"/>
  <c r="FX67" i="14"/>
  <c r="GJ67" i="14"/>
  <c r="HC67" i="14"/>
  <c r="HK67" i="14"/>
  <c r="HS67" i="14"/>
  <c r="IA67" i="14"/>
  <c r="II67" i="14"/>
  <c r="IQ67" i="14"/>
  <c r="IY67" i="14"/>
  <c r="JG67" i="14"/>
  <c r="JO67" i="14"/>
  <c r="JW67" i="14"/>
  <c r="KE67" i="14"/>
  <c r="KM67" i="14"/>
  <c r="R68" i="14"/>
  <c r="AH68" i="14"/>
  <c r="AR68" i="14"/>
  <c r="AZ68" i="14"/>
  <c r="BH68" i="14"/>
  <c r="BP68" i="14"/>
  <c r="BX68" i="14"/>
  <c r="CJ68" i="14"/>
  <c r="DK68" i="14"/>
  <c r="EG68" i="14"/>
  <c r="EX68" i="14"/>
  <c r="FP68" i="14"/>
  <c r="GD68" i="14"/>
  <c r="GT68" i="14"/>
  <c r="HG68" i="14"/>
  <c r="HO68" i="14"/>
  <c r="HW68" i="14"/>
  <c r="IE68" i="14"/>
  <c r="IM68" i="14"/>
  <c r="IU68" i="14"/>
  <c r="JC68" i="14"/>
  <c r="JK68" i="14"/>
  <c r="JS68" i="14"/>
  <c r="KA68" i="14"/>
  <c r="KI68" i="14"/>
  <c r="I69" i="14"/>
  <c r="Z69" i="14"/>
  <c r="AN69" i="14"/>
  <c r="AV69" i="14"/>
  <c r="BD69" i="14"/>
  <c r="BL69" i="14"/>
  <c r="BT69" i="14"/>
  <c r="CB69" i="14"/>
  <c r="CT69" i="14"/>
  <c r="DX69" i="14"/>
  <c r="EO69" i="14"/>
  <c r="FD69" i="14"/>
  <c r="FX69" i="14"/>
  <c r="GJ69" i="14"/>
  <c r="HC69" i="14"/>
  <c r="HK69" i="14"/>
  <c r="HS69" i="14"/>
  <c r="IA69" i="14"/>
  <c r="II69" i="14"/>
  <c r="IQ69" i="14"/>
  <c r="IY69" i="14"/>
  <c r="JG69" i="14"/>
  <c r="JO69" i="14"/>
  <c r="JW69" i="14"/>
  <c r="KE69" i="14"/>
  <c r="KM69" i="14"/>
  <c r="R70" i="14"/>
  <c r="AH70" i="14"/>
  <c r="AR70" i="14"/>
  <c r="AZ70" i="14"/>
  <c r="BH70" i="14"/>
  <c r="BP70" i="14"/>
  <c r="BX70" i="14"/>
  <c r="CJ70" i="14"/>
  <c r="DK70" i="14"/>
  <c r="EG70" i="14"/>
  <c r="EX70" i="14"/>
  <c r="FP70" i="14"/>
  <c r="GD70" i="14"/>
  <c r="GT70" i="14"/>
  <c r="HG70" i="14"/>
  <c r="HO70" i="14"/>
  <c r="HW70" i="14"/>
  <c r="IE70" i="14"/>
  <c r="IM70" i="14"/>
  <c r="IU70" i="14"/>
  <c r="JC70" i="14"/>
  <c r="JK70" i="14"/>
  <c r="JS70" i="14"/>
  <c r="KA70" i="14"/>
  <c r="KI70" i="14"/>
  <c r="I71" i="14"/>
  <c r="Z71" i="14"/>
  <c r="AN71" i="14"/>
  <c r="AV71" i="14"/>
  <c r="BD71" i="14"/>
  <c r="BL71" i="14"/>
  <c r="BT71" i="14"/>
  <c r="CB71" i="14"/>
  <c r="CT71" i="14"/>
  <c r="DX71" i="14"/>
  <c r="EO71" i="14"/>
  <c r="DV73" i="14"/>
  <c r="BG48" i="14"/>
  <c r="H74" i="14"/>
  <c r="G49" i="14"/>
  <c r="AT54" i="14"/>
  <c r="BZ54" i="14"/>
  <c r="DL54" i="14"/>
  <c r="ET54" i="14"/>
  <c r="FZ54" i="14"/>
  <c r="HQ54" i="14"/>
  <c r="IW54" i="14"/>
  <c r="KC54" i="14"/>
  <c r="AP55" i="14"/>
  <c r="BV55" i="14"/>
  <c r="ER55" i="14"/>
  <c r="HE55" i="14"/>
  <c r="IK55" i="14"/>
  <c r="JQ55" i="14"/>
  <c r="X56" i="14"/>
  <c r="BJ56" i="14"/>
  <c r="DS56" i="14"/>
  <c r="GH56" i="14"/>
  <c r="HW56" i="14"/>
  <c r="JC56" i="14"/>
  <c r="KI56" i="14"/>
  <c r="AJ57" i="14"/>
  <c r="BE57" i="14"/>
  <c r="CB57" i="14"/>
  <c r="EK57" i="14"/>
  <c r="FY57" i="14"/>
  <c r="HK57" i="14"/>
  <c r="IG57" i="14"/>
  <c r="IZ57" i="14"/>
  <c r="JW57" i="14"/>
  <c r="L58" i="14"/>
  <c r="AS58" i="14"/>
  <c r="BP58" i="14"/>
  <c r="DD58" i="14"/>
  <c r="EY58" i="14"/>
  <c r="GG58" i="14"/>
  <c r="HH58" i="14"/>
  <c r="HX58" i="14"/>
  <c r="IN58" i="14"/>
  <c r="JD58" i="14"/>
  <c r="JT58" i="14"/>
  <c r="KJ58" i="14"/>
  <c r="AA59" i="14"/>
  <c r="AU59" i="14"/>
  <c r="BG59" i="14"/>
  <c r="BT59" i="14"/>
  <c r="CR59" i="14"/>
  <c r="EB59" i="14"/>
  <c r="FC59" i="14"/>
  <c r="GA59" i="14"/>
  <c r="HC59" i="14"/>
  <c r="HQ59" i="14"/>
  <c r="IB59" i="14"/>
  <c r="IP59" i="14"/>
  <c r="JB59" i="14"/>
  <c r="JO59" i="14"/>
  <c r="KC59" i="14"/>
  <c r="KN59" i="14"/>
  <c r="AE60" i="14"/>
  <c r="AU60" i="14"/>
  <c r="BH60" i="14"/>
  <c r="BV60" i="14"/>
  <c r="EB60" i="14"/>
  <c r="EY60" i="14"/>
  <c r="FZ60" i="14"/>
  <c r="HC60" i="14"/>
  <c r="HN60" i="14"/>
  <c r="IB60" i="14"/>
  <c r="IN60" i="14"/>
  <c r="JA60" i="14"/>
  <c r="JO60" i="14"/>
  <c r="JZ60" i="14"/>
  <c r="KN60" i="14"/>
  <c r="AA61" i="14"/>
  <c r="AT61" i="14"/>
  <c r="BH61" i="14"/>
  <c r="BS61" i="14"/>
  <c r="CJ61" i="14"/>
  <c r="DX61" i="14"/>
  <c r="EY61" i="14"/>
  <c r="GA61" i="14"/>
  <c r="GY61" i="14"/>
  <c r="HO61" i="14"/>
  <c r="IA61" i="14"/>
  <c r="IN61" i="14"/>
  <c r="JB61" i="14"/>
  <c r="JM61" i="14"/>
  <c r="KA61" i="14"/>
  <c r="KM61" i="14"/>
  <c r="AA62" i="14"/>
  <c r="AU62" i="14"/>
  <c r="BF62" i="14"/>
  <c r="BT62" i="14"/>
  <c r="CI62" i="14"/>
  <c r="DT62" i="14"/>
  <c r="EP62" i="14"/>
  <c r="FO62" i="14"/>
  <c r="GI62" i="14"/>
  <c r="HD62" i="14"/>
  <c r="HN62" i="14"/>
  <c r="HY62" i="14"/>
  <c r="IH62" i="14"/>
  <c r="IQ62" i="14"/>
  <c r="IZ62" i="14"/>
  <c r="JI62" i="14"/>
  <c r="JR62" i="14"/>
  <c r="KA62" i="14"/>
  <c r="KJ62" i="14"/>
  <c r="K63" i="14"/>
  <c r="AA63" i="14"/>
  <c r="AO63" i="14"/>
  <c r="AW63" i="14"/>
  <c r="BE63" i="14"/>
  <c r="BM63" i="14"/>
  <c r="BU63" i="14"/>
  <c r="CD63" i="14"/>
  <c r="CY63" i="14"/>
  <c r="EB63" i="14"/>
  <c r="EP63" i="14"/>
  <c r="FK63" i="14"/>
  <c r="FY63" i="14"/>
  <c r="GM63" i="14"/>
  <c r="HD63" i="14"/>
  <c r="HL63" i="14"/>
  <c r="HT63" i="14"/>
  <c r="IB63" i="14"/>
  <c r="IJ63" i="14"/>
  <c r="IR63" i="14"/>
  <c r="IZ63" i="14"/>
  <c r="JH63" i="14"/>
  <c r="JP63" i="14"/>
  <c r="JX63" i="14"/>
  <c r="KF63" i="14"/>
  <c r="KN63" i="14"/>
  <c r="U64" i="14"/>
  <c r="AI64" i="14"/>
  <c r="AS64" i="14"/>
  <c r="BA64" i="14"/>
  <c r="BI64" i="14"/>
  <c r="BQ64" i="14"/>
  <c r="BY64" i="14"/>
  <c r="CN64" i="14"/>
  <c r="DR64" i="14"/>
  <c r="EH64" i="14"/>
  <c r="EY64" i="14"/>
  <c r="FQ64" i="14"/>
  <c r="GG64" i="14"/>
  <c r="GV64" i="14"/>
  <c r="HH64" i="14"/>
  <c r="HP64" i="14"/>
  <c r="HX64" i="14"/>
  <c r="IF64" i="14"/>
  <c r="IN64" i="14"/>
  <c r="IV64" i="14"/>
  <c r="JD64" i="14"/>
  <c r="JL64" i="14"/>
  <c r="JT64" i="14"/>
  <c r="KB64" i="14"/>
  <c r="KJ64" i="14"/>
  <c r="K65" i="14"/>
  <c r="AA65" i="14"/>
  <c r="AO65" i="14"/>
  <c r="AW65" i="14"/>
  <c r="BE65" i="14"/>
  <c r="BM65" i="14"/>
  <c r="BU65" i="14"/>
  <c r="CD65" i="14"/>
  <c r="CY65" i="14"/>
  <c r="EB65" i="14"/>
  <c r="EP65" i="14"/>
  <c r="FK65" i="14"/>
  <c r="FY65" i="14"/>
  <c r="GM65" i="14"/>
  <c r="HD65" i="14"/>
  <c r="HL65" i="14"/>
  <c r="HT65" i="14"/>
  <c r="IB65" i="14"/>
  <c r="IJ65" i="14"/>
  <c r="IR65" i="14"/>
  <c r="IZ65" i="14"/>
  <c r="JH65" i="14"/>
  <c r="JP65" i="14"/>
  <c r="JX65" i="14"/>
  <c r="KF65" i="14"/>
  <c r="KN65" i="14"/>
  <c r="U66" i="14"/>
  <c r="AI66" i="14"/>
  <c r="AS66" i="14"/>
  <c r="BA66" i="14"/>
  <c r="BI66" i="14"/>
  <c r="BQ66" i="14"/>
  <c r="BY66" i="14"/>
  <c r="CN66" i="14"/>
  <c r="DR66" i="14"/>
  <c r="EH66" i="14"/>
  <c r="EY66" i="14"/>
  <c r="FQ66" i="14"/>
  <c r="GG66" i="14"/>
  <c r="GV66" i="14"/>
  <c r="HH66" i="14"/>
  <c r="HP66" i="14"/>
  <c r="HX66" i="14"/>
  <c r="IF66" i="14"/>
  <c r="IN66" i="14"/>
  <c r="IV66" i="14"/>
  <c r="JD66" i="14"/>
  <c r="JL66" i="14"/>
  <c r="DB73" i="14"/>
  <c r="AO48" i="14"/>
  <c r="GE73" i="14"/>
  <c r="CM48" i="14"/>
  <c r="DL74" i="14"/>
  <c r="AX49" i="14"/>
  <c r="EA74" i="14"/>
  <c r="BK49" i="14"/>
  <c r="FT74" i="14"/>
  <c r="CH49" i="14"/>
  <c r="I54" i="14"/>
  <c r="BA54" i="14"/>
  <c r="CJ54" i="14"/>
  <c r="DS54" i="14"/>
  <c r="FA54" i="14"/>
  <c r="GG54" i="14"/>
  <c r="HX54" i="14"/>
  <c r="JD54" i="14"/>
  <c r="KJ54" i="14"/>
  <c r="AW55" i="14"/>
  <c r="CD55" i="14"/>
  <c r="FK55" i="14"/>
  <c r="HL55" i="14"/>
  <c r="IR55" i="14"/>
  <c r="JX55" i="14"/>
  <c r="AI56" i="14"/>
  <c r="BQ56" i="14"/>
  <c r="EH56" i="14"/>
  <c r="HX56" i="14"/>
  <c r="JD56" i="14"/>
  <c r="KJ56" i="14"/>
  <c r="AN57" i="14"/>
  <c r="BJ57" i="14"/>
  <c r="CD57" i="14"/>
  <c r="EO57" i="14"/>
  <c r="GH57" i="14"/>
  <c r="HL57" i="14"/>
  <c r="II57" i="14"/>
  <c r="JE57" i="14"/>
  <c r="JX57" i="14"/>
  <c r="R58" i="14"/>
  <c r="AX58" i="14"/>
  <c r="BQ58" i="14"/>
  <c r="DK58" i="14"/>
  <c r="FL58" i="14"/>
  <c r="GN58" i="14"/>
  <c r="HM58" i="14"/>
  <c r="IC58" i="14"/>
  <c r="IS58" i="14"/>
  <c r="JI58" i="14"/>
  <c r="JY58" i="14"/>
  <c r="B59" i="14"/>
  <c r="AE59" i="14"/>
  <c r="AV59" i="14"/>
  <c r="BJ59" i="14"/>
  <c r="BU59" i="14"/>
  <c r="CS59" i="14"/>
  <c r="EF59" i="14"/>
  <c r="FD59" i="14"/>
  <c r="GH59" i="14"/>
  <c r="HD59" i="14"/>
  <c r="HR59" i="14"/>
  <c r="ID59" i="14"/>
  <c r="IQ59" i="14"/>
  <c r="JE59" i="14"/>
  <c r="JP59" i="14"/>
  <c r="KD59" i="14"/>
  <c r="F60" i="14"/>
  <c r="AH60" i="14"/>
  <c r="AX60" i="14"/>
  <c r="BI60" i="14"/>
  <c r="BW60" i="14"/>
  <c r="CN60" i="14"/>
  <c r="EC60" i="14"/>
  <c r="FD60" i="14"/>
  <c r="GA60" i="14"/>
  <c r="HD60" i="14"/>
  <c r="HP60" i="14"/>
  <c r="IC60" i="14"/>
  <c r="IQ60" i="14"/>
  <c r="JB60" i="14"/>
  <c r="JP60" i="14"/>
  <c r="KB60" i="14"/>
  <c r="B61" i="14"/>
  <c r="AH61" i="14"/>
  <c r="AU61" i="14"/>
  <c r="BI61" i="14"/>
  <c r="BU61" i="14"/>
  <c r="CN61" i="14"/>
  <c r="EF61" i="14"/>
  <c r="EZ61" i="14"/>
  <c r="GD61" i="14"/>
  <c r="HC61" i="14"/>
  <c r="HP61" i="14"/>
  <c r="ID61" i="14"/>
  <c r="IO61" i="14"/>
  <c r="JC61" i="14"/>
  <c r="JO61" i="14"/>
  <c r="KB61" i="14"/>
  <c r="F62" i="14"/>
  <c r="AB62" i="14"/>
  <c r="AV62" i="14"/>
  <c r="BH62" i="14"/>
  <c r="BU62" i="14"/>
  <c r="CJ62" i="14"/>
  <c r="DX62" i="14"/>
  <c r="ER62" i="14"/>
  <c r="FP62" i="14"/>
  <c r="GJ62" i="14"/>
  <c r="HE62" i="14"/>
  <c r="HO62" i="14"/>
  <c r="HZ62" i="14"/>
  <c r="II62" i="14"/>
  <c r="IR62" i="14"/>
  <c r="JA62" i="14"/>
  <c r="JJ62" i="14"/>
  <c r="JS62" i="14"/>
  <c r="KC62" i="14"/>
  <c r="KK62" i="14"/>
  <c r="L63" i="14"/>
  <c r="AB63" i="14"/>
  <c r="AP63" i="14"/>
  <c r="AX63" i="14"/>
  <c r="BF63" i="14"/>
  <c r="BN63" i="14"/>
  <c r="BV63" i="14"/>
  <c r="CH63" i="14"/>
  <c r="DD63" i="14"/>
  <c r="EC63" i="14"/>
  <c r="ER63" i="14"/>
  <c r="FL63" i="14"/>
  <c r="FZ63" i="14"/>
  <c r="GN63" i="14"/>
  <c r="HE63" i="14"/>
  <c r="HM63" i="14"/>
  <c r="HU63" i="14"/>
  <c r="IC63" i="14"/>
  <c r="IK63" i="14"/>
  <c r="IS63" i="14"/>
  <c r="JA63" i="14"/>
  <c r="JI63" i="14"/>
  <c r="JQ63" i="14"/>
  <c r="JY63" i="14"/>
  <c r="KG63" i="14"/>
  <c r="B64" i="14"/>
  <c r="X64" i="14"/>
  <c r="AJ64" i="14"/>
  <c r="AT64" i="14"/>
  <c r="BB64" i="14"/>
  <c r="BJ64" i="14"/>
  <c r="BR64" i="14"/>
  <c r="BZ64" i="14"/>
  <c r="CR64" i="14"/>
  <c r="DS64" i="14"/>
  <c r="EK64" i="14"/>
  <c r="EZ64" i="14"/>
  <c r="FR64" i="14"/>
  <c r="GH64" i="14"/>
  <c r="GY64" i="14"/>
  <c r="HI64" i="14"/>
  <c r="HQ64" i="14"/>
  <c r="HY64" i="14"/>
  <c r="IG64" i="14"/>
  <c r="IO64" i="14"/>
  <c r="IW64" i="14"/>
  <c r="JE64" i="14"/>
  <c r="JM64" i="14"/>
  <c r="JU64" i="14"/>
  <c r="KC64" i="14"/>
  <c r="KK64" i="14"/>
  <c r="L65" i="14"/>
  <c r="AB65" i="14"/>
  <c r="AP65" i="14"/>
  <c r="AX65" i="14"/>
  <c r="BF65" i="14"/>
  <c r="BN65" i="14"/>
  <c r="BV65" i="14"/>
  <c r="CH65" i="14"/>
  <c r="DD65" i="14"/>
  <c r="EC65" i="14"/>
  <c r="ER65" i="14"/>
  <c r="FL65" i="14"/>
  <c r="FZ65" i="14"/>
  <c r="GN65" i="14"/>
  <c r="HE65" i="14"/>
  <c r="HM65" i="14"/>
  <c r="HU65" i="14"/>
  <c r="IC65" i="14"/>
  <c r="IK65" i="14"/>
  <c r="IS65" i="14"/>
  <c r="JA65" i="14"/>
  <c r="JI65" i="14"/>
  <c r="JQ65" i="14"/>
  <c r="JY65" i="14"/>
  <c r="KG65" i="14"/>
  <c r="B66" i="14"/>
  <c r="X66" i="14"/>
  <c r="AJ66" i="14"/>
  <c r="AT66" i="14"/>
  <c r="BB66" i="14"/>
  <c r="BJ66" i="14"/>
  <c r="BR66" i="14"/>
  <c r="BZ66" i="14"/>
  <c r="CR66" i="14"/>
  <c r="DS66" i="14"/>
  <c r="EK66" i="14"/>
  <c r="EZ66" i="14"/>
  <c r="FR66" i="14"/>
  <c r="GH66" i="14"/>
  <c r="GY66" i="14"/>
  <c r="HI66" i="14"/>
  <c r="HQ66" i="14"/>
  <c r="HY66" i="14"/>
  <c r="IG66" i="14"/>
  <c r="IO66" i="14"/>
  <c r="IW66" i="14"/>
  <c r="JE66" i="14"/>
  <c r="JM66" i="14"/>
  <c r="JU66" i="14"/>
  <c r="KC66" i="14"/>
  <c r="KK66" i="14"/>
  <c r="L67" i="14"/>
  <c r="AB67" i="14"/>
  <c r="AP67" i="14"/>
  <c r="AX67" i="14"/>
  <c r="BF67" i="14"/>
  <c r="BN67" i="14"/>
  <c r="BV67" i="14"/>
  <c r="CH67" i="14"/>
  <c r="DD67" i="14"/>
  <c r="EC67" i="14"/>
  <c r="ER67" i="14"/>
  <c r="FL67" i="14"/>
  <c r="FZ67" i="14"/>
  <c r="GN67" i="14"/>
  <c r="HE67" i="14"/>
  <c r="HM67" i="14"/>
  <c r="HU67" i="14"/>
  <c r="IC67" i="14"/>
  <c r="IK67" i="14"/>
  <c r="IS67" i="14"/>
  <c r="JA67" i="14"/>
  <c r="JI67" i="14"/>
  <c r="JQ67" i="14"/>
  <c r="JY67" i="14"/>
  <c r="KG67" i="14"/>
  <c r="B68" i="14"/>
  <c r="X68" i="14"/>
  <c r="AJ68" i="14"/>
  <c r="AT68" i="14"/>
  <c r="BB68" i="14"/>
  <c r="BJ68" i="14"/>
  <c r="BR68" i="14"/>
  <c r="BZ68" i="14"/>
  <c r="CR68" i="14"/>
  <c r="DS68" i="14"/>
  <c r="EK68" i="14"/>
  <c r="EZ68" i="14"/>
  <c r="FR68" i="14"/>
  <c r="GH68" i="14"/>
  <c r="GY68" i="14"/>
  <c r="HI68" i="14"/>
  <c r="HQ68" i="14"/>
  <c r="HY68" i="14"/>
  <c r="IG68" i="14"/>
  <c r="IO68" i="14"/>
  <c r="IW68" i="14"/>
  <c r="JE68" i="14"/>
  <c r="JM68" i="14"/>
  <c r="JU68" i="14"/>
  <c r="KC68" i="14"/>
  <c r="KK68" i="14"/>
  <c r="L69" i="14"/>
  <c r="AB69" i="14"/>
  <c r="AP69" i="14"/>
  <c r="AX69" i="14"/>
  <c r="BF69" i="14"/>
  <c r="BN69" i="14"/>
  <c r="BV69" i="14"/>
  <c r="CH69" i="14"/>
  <c r="DD69" i="14"/>
  <c r="EC69" i="14"/>
  <c r="ER69" i="14"/>
  <c r="FL69" i="14"/>
  <c r="FZ69" i="14"/>
  <c r="GN69" i="14"/>
  <c r="HE69" i="14"/>
  <c r="HM69" i="14"/>
  <c r="HU69" i="14"/>
  <c r="IC69" i="14"/>
  <c r="IK69" i="14"/>
  <c r="IS69" i="14"/>
  <c r="JA69" i="14"/>
  <c r="JI69" i="14"/>
  <c r="JQ69" i="14"/>
  <c r="JY69" i="14"/>
  <c r="KG69" i="14"/>
  <c r="B70" i="14"/>
  <c r="X70" i="14"/>
  <c r="AJ70" i="14"/>
  <c r="AT70" i="14"/>
  <c r="BB70" i="14"/>
  <c r="BJ70" i="14"/>
  <c r="BR70" i="14"/>
  <c r="BZ70" i="14"/>
  <c r="CR70" i="14"/>
  <c r="DS70" i="14"/>
  <c r="EK70" i="14"/>
  <c r="EZ70" i="14"/>
  <c r="FR70" i="14"/>
  <c r="GH70" i="14"/>
  <c r="GY70" i="14"/>
  <c r="HI70" i="14"/>
  <c r="HQ70" i="14"/>
  <c r="HY70" i="14"/>
  <c r="IG70" i="14"/>
  <c r="IO70" i="14"/>
  <c r="IW70" i="14"/>
  <c r="JE70" i="14"/>
  <c r="JM70" i="14"/>
  <c r="JU70" i="14"/>
  <c r="KC70" i="14"/>
  <c r="KK70" i="14"/>
  <c r="L71" i="14"/>
  <c r="AB71" i="14"/>
  <c r="AP71" i="14"/>
  <c r="AX71" i="14"/>
  <c r="BF71" i="14"/>
  <c r="BN71" i="14"/>
  <c r="BV71" i="14"/>
  <c r="CH71" i="14"/>
  <c r="DD71" i="14"/>
  <c r="EC71" i="14"/>
  <c r="ER71" i="14"/>
  <c r="GO73" i="14"/>
  <c r="CQ48" i="14"/>
  <c r="GU74" i="14"/>
  <c r="CU49" i="14"/>
  <c r="K54" i="14"/>
  <c r="BB54" i="14"/>
  <c r="CK54" i="14"/>
  <c r="DT54" i="14"/>
  <c r="FB54" i="14"/>
  <c r="GH54" i="14"/>
  <c r="HY54" i="14"/>
  <c r="JE54" i="14"/>
  <c r="KK54" i="14"/>
  <c r="AX55" i="14"/>
  <c r="CH55" i="14"/>
  <c r="FL55" i="14"/>
  <c r="HM55" i="14"/>
  <c r="IS55" i="14"/>
  <c r="JY55" i="14"/>
  <c r="AJ56" i="14"/>
  <c r="BR56" i="14"/>
  <c r="EK56" i="14"/>
  <c r="GT56" i="14"/>
  <c r="IE56" i="14"/>
  <c r="JK56" i="14"/>
  <c r="B57" i="14"/>
  <c r="AO57" i="14"/>
  <c r="BL57" i="14"/>
  <c r="CR57" i="14"/>
  <c r="EP57" i="14"/>
  <c r="GJ57" i="14"/>
  <c r="HQ57" i="14"/>
  <c r="IJ57" i="14"/>
  <c r="JG57" i="14"/>
  <c r="KC57" i="14"/>
  <c r="U58" i="14"/>
  <c r="AZ58" i="14"/>
  <c r="BV58" i="14"/>
  <c r="DR58" i="14"/>
  <c r="FO58" i="14"/>
  <c r="GR58" i="14"/>
  <c r="HN58" i="14"/>
  <c r="ID58" i="14"/>
  <c r="IT58" i="14"/>
  <c r="JJ58" i="14"/>
  <c r="JZ58" i="14"/>
  <c r="F59" i="14"/>
  <c r="AJ59" i="14"/>
  <c r="AW59" i="14"/>
  <c r="BK59" i="14"/>
  <c r="BW59" i="14"/>
  <c r="CT59" i="14"/>
  <c r="EK59" i="14"/>
  <c r="FK59" i="14"/>
  <c r="GI59" i="14"/>
  <c r="HF59" i="14"/>
  <c r="HS59" i="14"/>
  <c r="IG59" i="14"/>
  <c r="IR59" i="14"/>
  <c r="JF59" i="14"/>
  <c r="JR59" i="14"/>
  <c r="KE59" i="14"/>
  <c r="L60" i="14"/>
  <c r="AI60" i="14"/>
  <c r="AY60" i="14"/>
  <c r="BK60" i="14"/>
  <c r="BX60" i="14"/>
  <c r="CT60" i="14"/>
  <c r="EF60" i="14"/>
  <c r="FK60" i="14"/>
  <c r="GG60" i="14"/>
  <c r="HE60" i="14"/>
  <c r="HS60" i="14"/>
  <c r="ID60" i="14"/>
  <c r="IR60" i="14"/>
  <c r="JD60" i="14"/>
  <c r="JQ60" i="14"/>
  <c r="KE60" i="14"/>
  <c r="F61" i="14"/>
  <c r="AI61" i="14"/>
  <c r="AW61" i="14"/>
  <c r="BJ61" i="14"/>
  <c r="BX61" i="14"/>
  <c r="CR61" i="14"/>
  <c r="EG61" i="14"/>
  <c r="FD61" i="14"/>
  <c r="GG61" i="14"/>
  <c r="HF61" i="14"/>
  <c r="HQ61" i="14"/>
  <c r="IE61" i="14"/>
  <c r="IQ61" i="14"/>
  <c r="JD61" i="14"/>
  <c r="JR61" i="14"/>
  <c r="KC61" i="14"/>
  <c r="I62" i="14"/>
  <c r="AH62" i="14"/>
  <c r="AW62" i="14"/>
  <c r="BK62" i="14"/>
  <c r="BV62" i="14"/>
  <c r="CS62" i="14"/>
  <c r="EB62" i="14"/>
  <c r="EU62" i="14"/>
  <c r="FU62" i="14"/>
  <c r="GM62" i="14"/>
  <c r="HF62" i="14"/>
  <c r="HR62" i="14"/>
  <c r="IA62" i="14"/>
  <c r="IJ62" i="14"/>
  <c r="IS62" i="14"/>
  <c r="JB62" i="14"/>
  <c r="JK62" i="14"/>
  <c r="JU62" i="14"/>
  <c r="KD62" i="14"/>
  <c r="KL62" i="14"/>
  <c r="M63" i="14"/>
  <c r="AE63" i="14"/>
  <c r="AQ63" i="14"/>
  <c r="AY63" i="14"/>
  <c r="BG63" i="14"/>
  <c r="BO63" i="14"/>
  <c r="BW63" i="14"/>
  <c r="CI63" i="14"/>
  <c r="DH63" i="14"/>
  <c r="EF63" i="14"/>
  <c r="EU63" i="14"/>
  <c r="FO63" i="14"/>
  <c r="GA63" i="14"/>
  <c r="GR63" i="14"/>
  <c r="HF63" i="14"/>
  <c r="HN63" i="14"/>
  <c r="HV63" i="14"/>
  <c r="ID63" i="14"/>
  <c r="IL63" i="14"/>
  <c r="IT63" i="14"/>
  <c r="JB63" i="14"/>
  <c r="JJ63" i="14"/>
  <c r="JR63" i="14"/>
  <c r="JZ63" i="14"/>
  <c r="KH63" i="14"/>
  <c r="F64" i="14"/>
  <c r="Y64" i="14"/>
  <c r="AM64" i="14"/>
  <c r="AU64" i="14"/>
  <c r="BC64" i="14"/>
  <c r="BK64" i="14"/>
  <c r="BS64" i="14"/>
  <c r="CA64" i="14"/>
  <c r="CS64" i="14"/>
  <c r="DT64" i="14"/>
  <c r="EN64" i="14"/>
  <c r="FC64" i="14"/>
  <c r="FU64" i="14"/>
  <c r="GI64" i="14"/>
  <c r="HB64" i="14"/>
  <c r="HJ64" i="14"/>
  <c r="HR64" i="14"/>
  <c r="HZ64" i="14"/>
  <c r="IH64" i="14"/>
  <c r="IP64" i="14"/>
  <c r="IX64" i="14"/>
  <c r="JF64" i="14"/>
  <c r="JN64" i="14"/>
  <c r="JV64" i="14"/>
  <c r="KD64" i="14"/>
  <c r="KL64" i="14"/>
  <c r="M65" i="14"/>
  <c r="AE65" i="14"/>
  <c r="AQ65" i="14"/>
  <c r="AY65" i="14"/>
  <c r="BG65" i="14"/>
  <c r="BO65" i="14"/>
  <c r="BW65" i="14"/>
  <c r="CI65" i="14"/>
  <c r="DH65" i="14"/>
  <c r="EF65" i="14"/>
  <c r="EU65" i="14"/>
  <c r="FO65" i="14"/>
  <c r="GA65" i="14"/>
  <c r="GR65" i="14"/>
  <c r="HF65" i="14"/>
  <c r="HN65" i="14"/>
  <c r="HV65" i="14"/>
  <c r="ID65" i="14"/>
  <c r="IL65" i="14"/>
  <c r="IT65" i="14"/>
  <c r="JB65" i="14"/>
  <c r="JJ65" i="14"/>
  <c r="JR65" i="14"/>
  <c r="JZ65" i="14"/>
  <c r="KH65" i="14"/>
  <c r="F66" i="14"/>
  <c r="Y66" i="14"/>
  <c r="AM66" i="14"/>
  <c r="AU66" i="14"/>
  <c r="BC66" i="14"/>
  <c r="BK66" i="14"/>
  <c r="BS66" i="14"/>
  <c r="CA66" i="14"/>
  <c r="CS66" i="14"/>
  <c r="DT66" i="14"/>
  <c r="EN66" i="14"/>
  <c r="FC66" i="14"/>
  <c r="FU66" i="14"/>
  <c r="GI66" i="14"/>
  <c r="HB66" i="14"/>
  <c r="HJ66" i="14"/>
  <c r="HR66" i="14"/>
  <c r="HZ66" i="14"/>
  <c r="IH66" i="14"/>
  <c r="IP66" i="14"/>
  <c r="IX66" i="14"/>
  <c r="JF66" i="14"/>
  <c r="JN66" i="14"/>
  <c r="JV66" i="14"/>
  <c r="KD66" i="14"/>
  <c r="KL66" i="14"/>
  <c r="M67" i="14"/>
  <c r="AE67" i="14"/>
  <c r="AQ67" i="14"/>
  <c r="AY67" i="14"/>
  <c r="BG67" i="14"/>
  <c r="BO67" i="14"/>
  <c r="BW67" i="14"/>
  <c r="CI67" i="14"/>
  <c r="DH67" i="14"/>
  <c r="EF67" i="14"/>
  <c r="EU67" i="14"/>
  <c r="FO67" i="14"/>
  <c r="GA67" i="14"/>
  <c r="GR67" i="14"/>
  <c r="HF67" i="14"/>
  <c r="HN67" i="14"/>
  <c r="HV67" i="14"/>
  <c r="ID67" i="14"/>
  <c r="IL67" i="14"/>
  <c r="IT67" i="14"/>
  <c r="JB67" i="14"/>
  <c r="JJ67" i="14"/>
  <c r="JR67" i="14"/>
  <c r="JZ67" i="14"/>
  <c r="KH67" i="14"/>
  <c r="F68" i="14"/>
  <c r="Y68" i="14"/>
  <c r="AM68" i="14"/>
  <c r="AU68" i="14"/>
  <c r="BC68" i="14"/>
  <c r="BK68" i="14"/>
  <c r="BS68" i="14"/>
  <c r="CA68" i="14"/>
  <c r="CS68" i="14"/>
  <c r="DT68" i="14"/>
  <c r="EN68" i="14"/>
  <c r="FC68" i="14"/>
  <c r="FU68" i="14"/>
  <c r="GI68" i="14"/>
  <c r="HB68" i="14"/>
  <c r="HJ68" i="14"/>
  <c r="HR68" i="14"/>
  <c r="HZ68" i="14"/>
  <c r="IH68" i="14"/>
  <c r="IP68" i="14"/>
  <c r="IX68" i="14"/>
  <c r="JF68" i="14"/>
  <c r="JN68" i="14"/>
  <c r="JV68" i="14"/>
  <c r="KD68" i="14"/>
  <c r="KL68" i="14"/>
  <c r="M69" i="14"/>
  <c r="AE69" i="14"/>
  <c r="AQ69" i="14"/>
  <c r="AY69" i="14"/>
  <c r="BG69" i="14"/>
  <c r="BO69" i="14"/>
  <c r="BW69" i="14"/>
  <c r="CI69" i="14"/>
  <c r="GB74" i="14"/>
  <c r="CK49" i="14"/>
  <c r="EB54" i="14"/>
  <c r="JM54" i="14"/>
  <c r="FZ55" i="14"/>
  <c r="AT56" i="14"/>
  <c r="IF56" i="14"/>
  <c r="BM57" i="14"/>
  <c r="HS57" i="14"/>
  <c r="AB58" i="14"/>
  <c r="FP58" i="14"/>
  <c r="IU58" i="14"/>
  <c r="AM59" i="14"/>
  <c r="CY59" i="14"/>
  <c r="HI59" i="14"/>
  <c r="JG59" i="14"/>
  <c r="AM60" i="14"/>
  <c r="GM60" i="14"/>
  <c r="IT60" i="14"/>
  <c r="R61" i="14"/>
  <c r="BZ61" i="14"/>
  <c r="GJ61" i="14"/>
  <c r="IU61" i="14"/>
  <c r="L62" i="14"/>
  <c r="CA62" i="14"/>
  <c r="FY62" i="14"/>
  <c r="IC62" i="14"/>
  <c r="JN62" i="14"/>
  <c r="U63" i="14"/>
  <c r="BI63" i="14"/>
  <c r="DR63" i="14"/>
  <c r="GG63" i="14"/>
  <c r="HX63" i="14"/>
  <c r="JD63" i="14"/>
  <c r="KJ63" i="14"/>
  <c r="AW64" i="14"/>
  <c r="CD64" i="14"/>
  <c r="FK64" i="14"/>
  <c r="HL64" i="14"/>
  <c r="IR64" i="14"/>
  <c r="JX64" i="14"/>
  <c r="AI65" i="14"/>
  <c r="BQ65" i="14"/>
  <c r="EH65" i="14"/>
  <c r="GV65" i="14"/>
  <c r="IF65" i="14"/>
  <c r="JL65" i="14"/>
  <c r="K66" i="14"/>
  <c r="BE66" i="14"/>
  <c r="CY66" i="14"/>
  <c r="FY66" i="14"/>
  <c r="HT66" i="14"/>
  <c r="IZ66" i="14"/>
  <c r="KB66" i="14"/>
  <c r="U67" i="14"/>
  <c r="AZ67" i="14"/>
  <c r="BU67" i="14"/>
  <c r="DR67" i="14"/>
  <c r="FP67" i="14"/>
  <c r="HD67" i="14"/>
  <c r="HX67" i="14"/>
  <c r="IU67" i="14"/>
  <c r="JP67" i="14"/>
  <c r="KJ67" i="14"/>
  <c r="AN68" i="14"/>
  <c r="BI68" i="14"/>
  <c r="CD68" i="14"/>
  <c r="EO68" i="14"/>
  <c r="GG68" i="14"/>
  <c r="HL68" i="14"/>
  <c r="II68" i="14"/>
  <c r="JD68" i="14"/>
  <c r="JX68" i="14"/>
  <c r="R69" i="14"/>
  <c r="AW69" i="14"/>
  <c r="BQ69" i="14"/>
  <c r="DH69" i="14"/>
  <c r="EU69" i="14"/>
  <c r="GA69" i="14"/>
  <c r="HF69" i="14"/>
  <c r="HV69" i="14"/>
  <c r="IL69" i="14"/>
  <c r="JB69" i="14"/>
  <c r="JR69" i="14"/>
  <c r="KH69" i="14"/>
  <c r="Y70" i="14"/>
  <c r="AU70" i="14"/>
  <c r="BK70" i="14"/>
  <c r="CA70" i="14"/>
  <c r="DT70" i="14"/>
  <c r="FC70" i="14"/>
  <c r="GI70" i="14"/>
  <c r="HJ70" i="14"/>
  <c r="HZ70" i="14"/>
  <c r="IP70" i="14"/>
  <c r="JF70" i="14"/>
  <c r="JV70" i="14"/>
  <c r="KL70" i="14"/>
  <c r="AE71" i="14"/>
  <c r="AY71" i="14"/>
  <c r="BO71" i="14"/>
  <c r="CI71" i="14"/>
  <c r="EB71" i="14"/>
  <c r="EY71" i="14"/>
  <c r="FQ71" i="14"/>
  <c r="GG71" i="14"/>
  <c r="GV71" i="14"/>
  <c r="HH71" i="14"/>
  <c r="HP71" i="14"/>
  <c r="HX71" i="14"/>
  <c r="IF71" i="14"/>
  <c r="IN71" i="14"/>
  <c r="IV71" i="14"/>
  <c r="JD71" i="14"/>
  <c r="JL71" i="14"/>
  <c r="JT71" i="14"/>
  <c r="KB71" i="14"/>
  <c r="KJ71" i="14"/>
  <c r="K72" i="14"/>
  <c r="AA72" i="14"/>
  <c r="AO72" i="14"/>
  <c r="AW72" i="14"/>
  <c r="BE72" i="14"/>
  <c r="BM72" i="14"/>
  <c r="BU72" i="14"/>
  <c r="CD72" i="14"/>
  <c r="CY72" i="14"/>
  <c r="EB72" i="14"/>
  <c r="EP72" i="14"/>
  <c r="FK72" i="14"/>
  <c r="FY72" i="14"/>
  <c r="GM72" i="14"/>
  <c r="HD72" i="14"/>
  <c r="HL72" i="14"/>
  <c r="HT72" i="14"/>
  <c r="IB72" i="14"/>
  <c r="IJ72" i="14"/>
  <c r="IR72" i="14"/>
  <c r="IZ72" i="14"/>
  <c r="JH72" i="14"/>
  <c r="JP72" i="14"/>
  <c r="JX72" i="14"/>
  <c r="KF72" i="14"/>
  <c r="KN72" i="14"/>
  <c r="U73" i="14"/>
  <c r="AI73" i="14"/>
  <c r="AS73" i="14"/>
  <c r="BA73" i="14"/>
  <c r="BI73" i="14"/>
  <c r="BQ73" i="14"/>
  <c r="BY73" i="14"/>
  <c r="CN73" i="14"/>
  <c r="DR73" i="14"/>
  <c r="EH73" i="14"/>
  <c r="EY73" i="14"/>
  <c r="FQ73" i="14"/>
  <c r="GG73" i="14"/>
  <c r="GV73" i="14"/>
  <c r="HH73" i="14"/>
  <c r="HP73" i="14"/>
  <c r="HX73" i="14"/>
  <c r="IF73" i="14"/>
  <c r="IN73" i="14"/>
  <c r="IV73" i="14"/>
  <c r="JD73" i="14"/>
  <c r="JL73" i="14"/>
  <c r="JT73" i="14"/>
  <c r="KB73" i="14"/>
  <c r="KJ73" i="14"/>
  <c r="K74" i="14"/>
  <c r="AA74" i="14"/>
  <c r="AO74" i="14"/>
  <c r="AW74" i="14"/>
  <c r="BE74" i="14"/>
  <c r="BM74" i="14"/>
  <c r="BU74" i="14"/>
  <c r="CD74" i="14"/>
  <c r="CY74" i="14"/>
  <c r="EB74" i="14"/>
  <c r="EP74" i="14"/>
  <c r="FK74" i="14"/>
  <c r="FY74" i="14"/>
  <c r="GM74" i="14"/>
  <c r="HD74" i="14"/>
  <c r="HL74" i="14"/>
  <c r="HT74" i="14"/>
  <c r="IB74" i="14"/>
  <c r="IJ74" i="14"/>
  <c r="IR74" i="14"/>
  <c r="IZ74" i="14"/>
  <c r="JH74" i="14"/>
  <c r="JP74" i="14"/>
  <c r="JX74" i="14"/>
  <c r="KF74" i="14"/>
  <c r="KN74" i="14"/>
  <c r="GZ74" i="14"/>
  <c r="CX49" i="14"/>
  <c r="Y54" i="14"/>
  <c r="FI54" i="14"/>
  <c r="K55" i="14"/>
  <c r="HT55" i="14"/>
  <c r="BY56" i="14"/>
  <c r="IM56" i="14"/>
  <c r="BR57" i="14"/>
  <c r="HT57" i="14"/>
  <c r="AH58" i="14"/>
  <c r="FQ58" i="14"/>
  <c r="IV58" i="14"/>
  <c r="AN59" i="14"/>
  <c r="DH59" i="14"/>
  <c r="HJ59" i="14"/>
  <c r="JH59" i="14"/>
  <c r="AP60" i="14"/>
  <c r="CY60" i="14"/>
  <c r="HF60" i="14"/>
  <c r="JG60" i="14"/>
  <c r="AJ61" i="14"/>
  <c r="CT61" i="14"/>
  <c r="HG61" i="14"/>
  <c r="JE61" i="14"/>
  <c r="AM62" i="14"/>
  <c r="CT62" i="14"/>
  <c r="GN62" i="14"/>
  <c r="IK62" i="14"/>
  <c r="JV62" i="14"/>
  <c r="AH63" i="14"/>
  <c r="BP63" i="14"/>
  <c r="EG63" i="14"/>
  <c r="GT63" i="14"/>
  <c r="IE63" i="14"/>
  <c r="JK63" i="14"/>
  <c r="I64" i="14"/>
  <c r="BD64" i="14"/>
  <c r="CT64" i="14"/>
  <c r="FX64" i="14"/>
  <c r="HS64" i="14"/>
  <c r="IY64" i="14"/>
  <c r="KE64" i="14"/>
  <c r="AR65" i="14"/>
  <c r="BX65" i="14"/>
  <c r="EX65" i="14"/>
  <c r="HG65" i="14"/>
  <c r="IM65" i="14"/>
  <c r="JS65" i="14"/>
  <c r="Z66" i="14"/>
  <c r="BL66" i="14"/>
  <c r="DX66" i="14"/>
  <c r="GJ66" i="14"/>
  <c r="IA66" i="14"/>
  <c r="JG66" i="14"/>
  <c r="KE66" i="14"/>
  <c r="AA67" i="14"/>
  <c r="BA67" i="14"/>
  <c r="BX67" i="14"/>
  <c r="EB67" i="14"/>
  <c r="FQ67" i="14"/>
  <c r="HG67" i="14"/>
  <c r="IB67" i="14"/>
  <c r="IV67" i="14"/>
  <c r="JS67" i="14"/>
  <c r="KN67" i="14"/>
  <c r="AO68" i="14"/>
  <c r="BL68" i="14"/>
  <c r="CN68" i="14"/>
  <c r="EP68" i="14"/>
  <c r="GJ68" i="14"/>
  <c r="HP68" i="14"/>
  <c r="IJ68" i="14"/>
  <c r="JG68" i="14"/>
  <c r="KB68" i="14"/>
  <c r="U69" i="14"/>
  <c r="AZ69" i="14"/>
  <c r="BU69" i="14"/>
  <c r="DK69" i="14"/>
  <c r="EX69" i="14"/>
  <c r="GD69" i="14"/>
  <c r="HG69" i="14"/>
  <c r="HW69" i="14"/>
  <c r="IM69" i="14"/>
  <c r="JC69" i="14"/>
  <c r="JS69" i="14"/>
  <c r="KI69" i="14"/>
  <c r="Z70" i="14"/>
  <c r="AV70" i="14"/>
  <c r="BL70" i="14"/>
  <c r="CB70" i="14"/>
  <c r="DX70" i="14"/>
  <c r="FD70" i="14"/>
  <c r="GJ70" i="14"/>
  <c r="HK70" i="14"/>
  <c r="IA70" i="14"/>
  <c r="IQ70" i="14"/>
  <c r="JG70" i="14"/>
  <c r="JW70" i="14"/>
  <c r="KM70" i="14"/>
  <c r="AH71" i="14"/>
  <c r="AZ71" i="14"/>
  <c r="BP71" i="14"/>
  <c r="CJ71" i="14"/>
  <c r="EF71" i="14"/>
  <c r="EZ71" i="14"/>
  <c r="FR71" i="14"/>
  <c r="GH71" i="14"/>
  <c r="GY71" i="14"/>
  <c r="HI71" i="14"/>
  <c r="HQ71" i="14"/>
  <c r="HY71" i="14"/>
  <c r="IG71" i="14"/>
  <c r="IO71" i="14"/>
  <c r="IW71" i="14"/>
  <c r="JE71" i="14"/>
  <c r="JM71" i="14"/>
  <c r="JU71" i="14"/>
  <c r="KC71" i="14"/>
  <c r="KK71" i="14"/>
  <c r="L72" i="14"/>
  <c r="AB72" i="14"/>
  <c r="AP72" i="14"/>
  <c r="AX72" i="14"/>
  <c r="BF72" i="14"/>
  <c r="BN72" i="14"/>
  <c r="BV72" i="14"/>
  <c r="CH72" i="14"/>
  <c r="DD72" i="14"/>
  <c r="EC72" i="14"/>
  <c r="ER72" i="14"/>
  <c r="FL72" i="14"/>
  <c r="FZ72" i="14"/>
  <c r="GN72" i="14"/>
  <c r="HE72" i="14"/>
  <c r="HM72" i="14"/>
  <c r="HU72" i="14"/>
  <c r="IC72" i="14"/>
  <c r="IK72" i="14"/>
  <c r="IS72" i="14"/>
  <c r="JA72" i="14"/>
  <c r="JI72" i="14"/>
  <c r="JQ72" i="14"/>
  <c r="JY72" i="14"/>
  <c r="KG72" i="14"/>
  <c r="B73" i="14"/>
  <c r="X73" i="14"/>
  <c r="AJ73" i="14"/>
  <c r="AT73" i="14"/>
  <c r="BB73" i="14"/>
  <c r="BJ73" i="14"/>
  <c r="BR73" i="14"/>
  <c r="BZ73" i="14"/>
  <c r="CR73" i="14"/>
  <c r="DS73" i="14"/>
  <c r="EK73" i="14"/>
  <c r="EZ73" i="14"/>
  <c r="FR73" i="14"/>
  <c r="GH73" i="14"/>
  <c r="GY73" i="14"/>
  <c r="HI73" i="14"/>
  <c r="HQ73" i="14"/>
  <c r="HY73" i="14"/>
  <c r="IG73" i="14"/>
  <c r="IO73" i="14"/>
  <c r="IW73" i="14"/>
  <c r="JE73" i="14"/>
  <c r="JM73" i="14"/>
  <c r="JU73" i="14"/>
  <c r="KC73" i="14"/>
  <c r="KK73" i="14"/>
  <c r="L74" i="14"/>
  <c r="AB74" i="14"/>
  <c r="AP74" i="14"/>
  <c r="AX74" i="14"/>
  <c r="BF74" i="14"/>
  <c r="BN74" i="14"/>
  <c r="BV74" i="14"/>
  <c r="CH74" i="14"/>
  <c r="DD74" i="14"/>
  <c r="EC74" i="14"/>
  <c r="ER74" i="14"/>
  <c r="FL74" i="14"/>
  <c r="FZ74" i="14"/>
  <c r="GN74" i="14"/>
  <c r="HE74" i="14"/>
  <c r="HM74" i="14"/>
  <c r="HU74" i="14"/>
  <c r="IC74" i="14"/>
  <c r="IK74" i="14"/>
  <c r="IS74" i="14"/>
  <c r="JA74" i="14"/>
  <c r="JI74" i="14"/>
  <c r="JQ74" i="14"/>
  <c r="JY74" i="14"/>
  <c r="KG74" i="14"/>
  <c r="V74" i="14"/>
  <c r="O49" i="14"/>
  <c r="Z54" i="14"/>
  <c r="FJ54" i="14"/>
  <c r="L55" i="14"/>
  <c r="HU55" i="14"/>
  <c r="BZ56" i="14"/>
  <c r="JL56" i="14"/>
  <c r="CT57" i="14"/>
  <c r="IO57" i="14"/>
  <c r="BA58" i="14"/>
  <c r="GT58" i="14"/>
  <c r="JK58" i="14"/>
  <c r="AY59" i="14"/>
  <c r="EN59" i="14"/>
  <c r="HT59" i="14"/>
  <c r="JU59" i="14"/>
  <c r="AZ60" i="14"/>
  <c r="DD60" i="14"/>
  <c r="HH60" i="14"/>
  <c r="JH60" i="14"/>
  <c r="AM61" i="14"/>
  <c r="DH61" i="14"/>
  <c r="HH61" i="14"/>
  <c r="JG61" i="14"/>
  <c r="AN62" i="14"/>
  <c r="CY62" i="14"/>
  <c r="GR62" i="14"/>
  <c r="IL62" i="14"/>
  <c r="JW62" i="14"/>
  <c r="AI63" i="14"/>
  <c r="BQ63" i="14"/>
  <c r="EH63" i="14"/>
  <c r="GV63" i="14"/>
  <c r="IF63" i="14"/>
  <c r="JL63" i="14"/>
  <c r="K64" i="14"/>
  <c r="BE64" i="14"/>
  <c r="CY64" i="14"/>
  <c r="FY64" i="14"/>
  <c r="HT64" i="14"/>
  <c r="IZ64" i="14"/>
  <c r="KF64" i="14"/>
  <c r="AS65" i="14"/>
  <c r="BY65" i="14"/>
  <c r="EY65" i="14"/>
  <c r="HH65" i="14"/>
  <c r="IN65" i="14"/>
  <c r="JT65" i="14"/>
  <c r="AA66" i="14"/>
  <c r="BM66" i="14"/>
  <c r="EB66" i="14"/>
  <c r="GM66" i="14"/>
  <c r="IB66" i="14"/>
  <c r="JH66" i="14"/>
  <c r="KF66" i="14"/>
  <c r="AH67" i="14"/>
  <c r="BE67" i="14"/>
  <c r="BY67" i="14"/>
  <c r="EG67" i="14"/>
  <c r="FY67" i="14"/>
  <c r="HH67" i="14"/>
  <c r="IE67" i="14"/>
  <c r="IZ67" i="14"/>
  <c r="JT67" i="14"/>
  <c r="I68" i="14"/>
  <c r="AS68" i="14"/>
  <c r="BM68" i="14"/>
  <c r="CT68" i="14"/>
  <c r="EY68" i="14"/>
  <c r="GM68" i="14"/>
  <c r="HS68" i="14"/>
  <c r="IN68" i="14"/>
  <c r="JH68" i="14"/>
  <c r="KE68" i="14"/>
  <c r="AA69" i="14"/>
  <c r="BA69" i="14"/>
  <c r="BX69" i="14"/>
  <c r="DR69" i="14"/>
  <c r="EY69" i="14"/>
  <c r="GG69" i="14"/>
  <c r="HH69" i="14"/>
  <c r="HX69" i="14"/>
  <c r="IN69" i="14"/>
  <c r="JD69" i="14"/>
  <c r="JT69" i="14"/>
  <c r="KJ69" i="14"/>
  <c r="AA70" i="14"/>
  <c r="AW70" i="14"/>
  <c r="BM70" i="14"/>
  <c r="CD70" i="14"/>
  <c r="EB70" i="14"/>
  <c r="FK70" i="14"/>
  <c r="GM70" i="14"/>
  <c r="HL70" i="14"/>
  <c r="IB70" i="14"/>
  <c r="IR70" i="14"/>
  <c r="JH70" i="14"/>
  <c r="JX70" i="14"/>
  <c r="KN70" i="14"/>
  <c r="AI71" i="14"/>
  <c r="BA71" i="14"/>
  <c r="BQ71" i="14"/>
  <c r="CN71" i="14"/>
  <c r="EG71" i="14"/>
  <c r="FC71" i="14"/>
  <c r="FU71" i="14"/>
  <c r="GI71" i="14"/>
  <c r="HB71" i="14"/>
  <c r="HJ71" i="14"/>
  <c r="HR71" i="14"/>
  <c r="HZ71" i="14"/>
  <c r="IH71" i="14"/>
  <c r="IP71" i="14"/>
  <c r="IX71" i="14"/>
  <c r="JF71" i="14"/>
  <c r="JN71" i="14"/>
  <c r="JV71" i="14"/>
  <c r="KD71" i="14"/>
  <c r="KL71" i="14"/>
  <c r="M72" i="14"/>
  <c r="AE72" i="14"/>
  <c r="AQ72" i="14"/>
  <c r="AY72" i="14"/>
  <c r="BG72" i="14"/>
  <c r="BO72" i="14"/>
  <c r="BW72" i="14"/>
  <c r="CI72" i="14"/>
  <c r="DH72" i="14"/>
  <c r="EF72" i="14"/>
  <c r="EU72" i="14"/>
  <c r="FO72" i="14"/>
  <c r="GA72" i="14"/>
  <c r="GR72" i="14"/>
  <c r="HF72" i="14"/>
  <c r="HN72" i="14"/>
  <c r="HV72" i="14"/>
  <c r="ID72" i="14"/>
  <c r="IL72" i="14"/>
  <c r="IT72" i="14"/>
  <c r="JB72" i="14"/>
  <c r="JJ72" i="14"/>
  <c r="JR72" i="14"/>
  <c r="JZ72" i="14"/>
  <c r="KH72" i="14"/>
  <c r="F73" i="14"/>
  <c r="Y73" i="14"/>
  <c r="AM73" i="14"/>
  <c r="AU73" i="14"/>
  <c r="BC73" i="14"/>
  <c r="BK73" i="14"/>
  <c r="BS73" i="14"/>
  <c r="CA73" i="14"/>
  <c r="CS73" i="14"/>
  <c r="DT73" i="14"/>
  <c r="EN73" i="14"/>
  <c r="FC73" i="14"/>
  <c r="FU73" i="14"/>
  <c r="GI73" i="14"/>
  <c r="HB73" i="14"/>
  <c r="HJ73" i="14"/>
  <c r="HR73" i="14"/>
  <c r="HZ73" i="14"/>
  <c r="IH73" i="14"/>
  <c r="IP73" i="14"/>
  <c r="IX73" i="14"/>
  <c r="JF73" i="14"/>
  <c r="JN73" i="14"/>
  <c r="JV73" i="14"/>
  <c r="KD73" i="14"/>
  <c r="KL73" i="14"/>
  <c r="M74" i="14"/>
  <c r="AE74" i="14"/>
  <c r="AQ74" i="14"/>
  <c r="AY74" i="14"/>
  <c r="BG74" i="14"/>
  <c r="BO74" i="14"/>
  <c r="BW74" i="14"/>
  <c r="CI74" i="14"/>
  <c r="DH74" i="14"/>
  <c r="EF74" i="14"/>
  <c r="EU74" i="14"/>
  <c r="FO74" i="14"/>
  <c r="GA74" i="14"/>
  <c r="GR74" i="14"/>
  <c r="HF74" i="14"/>
  <c r="HN74" i="14"/>
  <c r="HV74" i="14"/>
  <c r="ID74" i="14"/>
  <c r="IL74" i="14"/>
  <c r="IT74" i="14"/>
  <c r="JB74" i="14"/>
  <c r="JJ74" i="14"/>
  <c r="JR74" i="14"/>
  <c r="JZ74" i="14"/>
  <c r="KH74" i="14"/>
  <c r="EV73" i="14"/>
  <c r="BU48" i="14"/>
  <c r="DC74" i="14"/>
  <c r="AP49" i="14"/>
  <c r="BI54" i="14"/>
  <c r="GV54" i="14"/>
  <c r="BE55" i="14"/>
  <c r="IZ55" i="14"/>
  <c r="EY56" i="14"/>
  <c r="JS56" i="14"/>
  <c r="CY57" i="14"/>
  <c r="IQ57" i="14"/>
  <c r="BF58" i="14"/>
  <c r="GV58" i="14"/>
  <c r="JL58" i="14"/>
  <c r="BB59" i="14"/>
  <c r="EO59" i="14"/>
  <c r="HV59" i="14"/>
  <c r="JV59" i="14"/>
  <c r="BA60" i="14"/>
  <c r="EH60" i="14"/>
  <c r="HT60" i="14"/>
  <c r="JR60" i="14"/>
  <c r="AZ61" i="14"/>
  <c r="EH61" i="14"/>
  <c r="HS61" i="14"/>
  <c r="JS61" i="14"/>
  <c r="AX62" i="14"/>
  <c r="EC62" i="14"/>
  <c r="HG62" i="14"/>
  <c r="IT62" i="14"/>
  <c r="KE62" i="14"/>
  <c r="AR63" i="14"/>
  <c r="BX63" i="14"/>
  <c r="EX63" i="14"/>
  <c r="HG63" i="14"/>
  <c r="IM63" i="14"/>
  <c r="JS63" i="14"/>
  <c r="Z64" i="14"/>
  <c r="BL64" i="14"/>
  <c r="DX64" i="14"/>
  <c r="GJ64" i="14"/>
  <c r="IA64" i="14"/>
  <c r="JG64" i="14"/>
  <c r="KM64" i="14"/>
  <c r="AZ65" i="14"/>
  <c r="CJ65" i="14"/>
  <c r="FP65" i="14"/>
  <c r="HO65" i="14"/>
  <c r="IU65" i="14"/>
  <c r="KA65" i="14"/>
  <c r="AN66" i="14"/>
  <c r="BT66" i="14"/>
  <c r="EO66" i="14"/>
  <c r="HC66" i="14"/>
  <c r="II66" i="14"/>
  <c r="JO66" i="14"/>
  <c r="KJ66" i="14"/>
  <c r="AI67" i="14"/>
  <c r="BH67" i="14"/>
  <c r="CD67" i="14"/>
  <c r="EH67" i="14"/>
  <c r="GD67" i="14"/>
  <c r="HL67" i="14"/>
  <c r="IF67" i="14"/>
  <c r="JC67" i="14"/>
  <c r="JX67" i="14"/>
  <c r="K68" i="14"/>
  <c r="AV68" i="14"/>
  <c r="BQ68" i="14"/>
  <c r="CY68" i="14"/>
  <c r="FD68" i="14"/>
  <c r="GV68" i="14"/>
  <c r="HT68" i="14"/>
  <c r="IQ68" i="14"/>
  <c r="JL68" i="14"/>
  <c r="KF68" i="14"/>
  <c r="AH69" i="14"/>
  <c r="BE69" i="14"/>
  <c r="BY69" i="14"/>
  <c r="EB69" i="14"/>
  <c r="FK69" i="14"/>
  <c r="GM69" i="14"/>
  <c r="HL69" i="14"/>
  <c r="IB69" i="14"/>
  <c r="IR69" i="14"/>
  <c r="JH69" i="14"/>
  <c r="JX69" i="14"/>
  <c r="KN69" i="14"/>
  <c r="AI70" i="14"/>
  <c r="BA70" i="14"/>
  <c r="BQ70" i="14"/>
  <c r="CN70" i="14"/>
  <c r="EH70" i="14"/>
  <c r="FQ70" i="14"/>
  <c r="GV70" i="14"/>
  <c r="HP70" i="14"/>
  <c r="IF70" i="14"/>
  <c r="IV70" i="14"/>
  <c r="JL70" i="14"/>
  <c r="KB70" i="14"/>
  <c r="K71" i="14"/>
  <c r="AO71" i="14"/>
  <c r="BE71" i="14"/>
  <c r="BU71" i="14"/>
  <c r="CY71" i="14"/>
  <c r="EH71" i="14"/>
  <c r="FD71" i="14"/>
  <c r="FX71" i="14"/>
  <c r="GJ71" i="14"/>
  <c r="HC71" i="14"/>
  <c r="HK71" i="14"/>
  <c r="HS71" i="14"/>
  <c r="IA71" i="14"/>
  <c r="II71" i="14"/>
  <c r="IQ71" i="14"/>
  <c r="IY71" i="14"/>
  <c r="JG71" i="14"/>
  <c r="JO71" i="14"/>
  <c r="JW71" i="14"/>
  <c r="KE71" i="14"/>
  <c r="KM71" i="14"/>
  <c r="R72" i="14"/>
  <c r="AH72" i="14"/>
  <c r="AR72" i="14"/>
  <c r="AZ72" i="14"/>
  <c r="BH72" i="14"/>
  <c r="BP72" i="14"/>
  <c r="BX72" i="14"/>
  <c r="CJ72" i="14"/>
  <c r="DK72" i="14"/>
  <c r="EG72" i="14"/>
  <c r="EX72" i="14"/>
  <c r="FP72" i="14"/>
  <c r="GD72" i="14"/>
  <c r="GT72" i="14"/>
  <c r="HG72" i="14"/>
  <c r="HO72" i="14"/>
  <c r="HW72" i="14"/>
  <c r="IE72" i="14"/>
  <c r="IM72" i="14"/>
  <c r="IU72" i="14"/>
  <c r="JC72" i="14"/>
  <c r="JK72" i="14"/>
  <c r="JS72" i="14"/>
  <c r="KA72" i="14"/>
  <c r="KI72" i="14"/>
  <c r="I73" i="14"/>
  <c r="Z73" i="14"/>
  <c r="AN73" i="14"/>
  <c r="AV73" i="14"/>
  <c r="BD73" i="14"/>
  <c r="BL73" i="14"/>
  <c r="BT73" i="14"/>
  <c r="CB73" i="14"/>
  <c r="CT73" i="14"/>
  <c r="DX73" i="14"/>
  <c r="EO73" i="14"/>
  <c r="FD73" i="14"/>
  <c r="FX73" i="14"/>
  <c r="GJ73" i="14"/>
  <c r="HC73" i="14"/>
  <c r="HK73" i="14"/>
  <c r="HS73" i="14"/>
  <c r="IA73" i="14"/>
  <c r="II73" i="14"/>
  <c r="IQ73" i="14"/>
  <c r="IY73" i="14"/>
  <c r="JG73" i="14"/>
  <c r="JO73" i="14"/>
  <c r="JW73" i="14"/>
  <c r="KE73" i="14"/>
  <c r="KM73" i="14"/>
  <c r="R74" i="14"/>
  <c r="AH74" i="14"/>
  <c r="AR74" i="14"/>
  <c r="AZ74" i="14"/>
  <c r="BH74" i="14"/>
  <c r="BP74" i="14"/>
  <c r="BX74" i="14"/>
  <c r="CJ74" i="14"/>
  <c r="DK74" i="14"/>
  <c r="EG74" i="14"/>
  <c r="EX74" i="14"/>
  <c r="FP74" i="14"/>
  <c r="GD74" i="14"/>
  <c r="GT74" i="14"/>
  <c r="HG74" i="14"/>
  <c r="HO74" i="14"/>
  <c r="HW74" i="14"/>
  <c r="IE74" i="14"/>
  <c r="IM74" i="14"/>
  <c r="IU74" i="14"/>
  <c r="JC74" i="14"/>
  <c r="JK74" i="14"/>
  <c r="JS74" i="14"/>
  <c r="KA74" i="14"/>
  <c r="KI74" i="14"/>
  <c r="EI74" i="14"/>
  <c r="BN49" i="14"/>
  <c r="BJ54" i="14"/>
  <c r="GY54" i="14"/>
  <c r="BF55" i="14"/>
  <c r="JA55" i="14"/>
  <c r="EZ56" i="14"/>
  <c r="I57" i="14"/>
  <c r="EZ57" i="14"/>
  <c r="JH57" i="14"/>
  <c r="BX58" i="14"/>
  <c r="HO58" i="14"/>
  <c r="KA58" i="14"/>
  <c r="BL59" i="14"/>
  <c r="FO59" i="14"/>
  <c r="IH59" i="14"/>
  <c r="KF59" i="14"/>
  <c r="BN60" i="14"/>
  <c r="EO60" i="14"/>
  <c r="HU60" i="14"/>
  <c r="JT60" i="14"/>
  <c r="BA61" i="14"/>
  <c r="EK61" i="14"/>
  <c r="HV61" i="14"/>
  <c r="JT61" i="14"/>
  <c r="AZ62" i="14"/>
  <c r="EF62" i="14"/>
  <c r="HJ62" i="14"/>
  <c r="IU62" i="14"/>
  <c r="KF62" i="14"/>
  <c r="AS63" i="14"/>
  <c r="BY63" i="14"/>
  <c r="EY63" i="14"/>
  <c r="HH63" i="14"/>
  <c r="IN63" i="14"/>
  <c r="JT63" i="14"/>
  <c r="AA64" i="14"/>
  <c r="BM64" i="14"/>
  <c r="EB64" i="14"/>
  <c r="GM64" i="14"/>
  <c r="IB64" i="14"/>
  <c r="JH64" i="14"/>
  <c r="KN64" i="14"/>
  <c r="BA65" i="14"/>
  <c r="CN65" i="14"/>
  <c r="FQ65" i="14"/>
  <c r="HP65" i="14"/>
  <c r="IV65" i="14"/>
  <c r="KB65" i="14"/>
  <c r="AO66" i="14"/>
  <c r="BU66" i="14"/>
  <c r="EP66" i="14"/>
  <c r="HD66" i="14"/>
  <c r="IJ66" i="14"/>
  <c r="JP66" i="14"/>
  <c r="KM66" i="14"/>
  <c r="AO67" i="14"/>
  <c r="BI67" i="14"/>
  <c r="CJ67" i="14"/>
  <c r="EP67" i="14"/>
  <c r="GG67" i="14"/>
  <c r="HO67" i="14"/>
  <c r="IJ67" i="14"/>
  <c r="JD67" i="14"/>
  <c r="KA67" i="14"/>
  <c r="U68" i="14"/>
  <c r="AW68" i="14"/>
  <c r="BT68" i="14"/>
  <c r="DR68" i="14"/>
  <c r="FK68" i="14"/>
  <c r="HC68" i="14"/>
  <c r="HX68" i="14"/>
  <c r="IR68" i="14"/>
  <c r="JO68" i="14"/>
  <c r="KJ68" i="14"/>
  <c r="AI69" i="14"/>
  <c r="BH69" i="14"/>
  <c r="CD69" i="14"/>
  <c r="EF69" i="14"/>
  <c r="FO69" i="14"/>
  <c r="GR69" i="14"/>
  <c r="HN69" i="14"/>
  <c r="ID69" i="14"/>
  <c r="IT69" i="14"/>
  <c r="JJ69" i="14"/>
  <c r="JZ69" i="14"/>
  <c r="F70" i="14"/>
  <c r="AM70" i="14"/>
  <c r="BC70" i="14"/>
  <c r="BS70" i="14"/>
  <c r="CS70" i="14"/>
  <c r="EN70" i="14"/>
  <c r="FU70" i="14"/>
  <c r="HB70" i="14"/>
  <c r="HR70" i="14"/>
  <c r="IH70" i="14"/>
  <c r="IX70" i="14"/>
  <c r="JN70" i="14"/>
  <c r="KD70" i="14"/>
  <c r="M71" i="14"/>
  <c r="AQ71" i="14"/>
  <c r="BG71" i="14"/>
  <c r="BW71" i="14"/>
  <c r="DH71" i="14"/>
  <c r="EK71" i="14"/>
  <c r="FK71" i="14"/>
  <c r="FY71" i="14"/>
  <c r="GM71" i="14"/>
  <c r="HD71" i="14"/>
  <c r="HL71" i="14"/>
  <c r="HT71" i="14"/>
  <c r="IB71" i="14"/>
  <c r="IJ71" i="14"/>
  <c r="IR71" i="14"/>
  <c r="IZ71" i="14"/>
  <c r="JH71" i="14"/>
  <c r="JP71" i="14"/>
  <c r="JX71" i="14"/>
  <c r="KF71" i="14"/>
  <c r="KN71" i="14"/>
  <c r="U72" i="14"/>
  <c r="AI72" i="14"/>
  <c r="AS72" i="14"/>
  <c r="BA72" i="14"/>
  <c r="BI72" i="14"/>
  <c r="BQ72" i="14"/>
  <c r="BY72" i="14"/>
  <c r="CN72" i="14"/>
  <c r="DR72" i="14"/>
  <c r="EH72" i="14"/>
  <c r="EY72" i="14"/>
  <c r="FQ72" i="14"/>
  <c r="GG72" i="14"/>
  <c r="GV72" i="14"/>
  <c r="HH72" i="14"/>
  <c r="HP72" i="14"/>
  <c r="HX72" i="14"/>
  <c r="IF72" i="14"/>
  <c r="IN72" i="14"/>
  <c r="IV72" i="14"/>
  <c r="JD72" i="14"/>
  <c r="JL72" i="14"/>
  <c r="JT72" i="14"/>
  <c r="KB72" i="14"/>
  <c r="KJ72" i="14"/>
  <c r="K73" i="14"/>
  <c r="AA73" i="14"/>
  <c r="AO73" i="14"/>
  <c r="AW73" i="14"/>
  <c r="BE73" i="14"/>
  <c r="BM73" i="14"/>
  <c r="BU73" i="14"/>
  <c r="CD73" i="14"/>
  <c r="CY73" i="14"/>
  <c r="EB73" i="14"/>
  <c r="EP73" i="14"/>
  <c r="FK73" i="14"/>
  <c r="FY73" i="14"/>
  <c r="GM73" i="14"/>
  <c r="HD73" i="14"/>
  <c r="HL73" i="14"/>
  <c r="HT73" i="14"/>
  <c r="IB73" i="14"/>
  <c r="IJ73" i="14"/>
  <c r="IR73" i="14"/>
  <c r="IZ73" i="14"/>
  <c r="JH73" i="14"/>
  <c r="JP73" i="14"/>
  <c r="JX73" i="14"/>
  <c r="KF73" i="14"/>
  <c r="KN73" i="14"/>
  <c r="U74" i="14"/>
  <c r="AI74" i="14"/>
  <c r="AS74" i="14"/>
  <c r="BA74" i="14"/>
  <c r="BI74" i="14"/>
  <c r="BQ74" i="14"/>
  <c r="BY74" i="14"/>
  <c r="CN74" i="14"/>
  <c r="DR74" i="14"/>
  <c r="EH74" i="14"/>
  <c r="EY74" i="14"/>
  <c r="FQ74" i="14"/>
  <c r="GG74" i="14"/>
  <c r="GV74" i="14"/>
  <c r="HH74" i="14"/>
  <c r="HP74" i="14"/>
  <c r="HX74" i="14"/>
  <c r="IF74" i="14"/>
  <c r="IN74" i="14"/>
  <c r="IV74" i="14"/>
  <c r="JD74" i="14"/>
  <c r="JL74" i="14"/>
  <c r="JT74" i="14"/>
  <c r="KB74" i="14"/>
  <c r="KJ74" i="14"/>
  <c r="GZ73" i="14"/>
  <c r="CX48" i="14"/>
  <c r="FF74" i="14"/>
  <c r="BZ49" i="14"/>
  <c r="CR54" i="14"/>
  <c r="IF54" i="14"/>
  <c r="CY55" i="14"/>
  <c r="KF55" i="14"/>
  <c r="K57" i="14"/>
  <c r="FD57" i="14"/>
  <c r="JM57" i="14"/>
  <c r="BY58" i="14"/>
  <c r="HP58" i="14"/>
  <c r="KB58" i="14"/>
  <c r="BM59" i="14"/>
  <c r="FR59" i="14"/>
  <c r="II59" i="14"/>
  <c r="KH59" i="14"/>
  <c r="BO60" i="14"/>
  <c r="FL60" i="14"/>
  <c r="IF60" i="14"/>
  <c r="KF60" i="14"/>
  <c r="BK61" i="14"/>
  <c r="FO61" i="14"/>
  <c r="IF61" i="14"/>
  <c r="KE61" i="14"/>
  <c r="BL62" i="14"/>
  <c r="EX62" i="14"/>
  <c r="HS62" i="14"/>
  <c r="JC62" i="14"/>
  <c r="KM62" i="14"/>
  <c r="AZ63" i="14"/>
  <c r="CJ63" i="14"/>
  <c r="FP63" i="14"/>
  <c r="HO63" i="14"/>
  <c r="IU63" i="14"/>
  <c r="KA63" i="14"/>
  <c r="AN64" i="14"/>
  <c r="BT64" i="14"/>
  <c r="EO64" i="14"/>
  <c r="HC64" i="14"/>
  <c r="II64" i="14"/>
  <c r="JO64" i="14"/>
  <c r="R65" i="14"/>
  <c r="BH65" i="14"/>
  <c r="DK65" i="14"/>
  <c r="GD65" i="14"/>
  <c r="HW65" i="14"/>
  <c r="JC65" i="14"/>
  <c r="KI65" i="14"/>
  <c r="AV66" i="14"/>
  <c r="CB66" i="14"/>
  <c r="FD66" i="14"/>
  <c r="HK66" i="14"/>
  <c r="IQ66" i="14"/>
  <c r="JT66" i="14"/>
  <c r="KN66" i="14"/>
  <c r="AR67" i="14"/>
  <c r="BM67" i="14"/>
  <c r="CN67" i="14"/>
  <c r="EX67" i="14"/>
  <c r="GM67" i="14"/>
  <c r="HP67" i="14"/>
  <c r="IM67" i="14"/>
  <c r="JH67" i="14"/>
  <c r="KB67" i="14"/>
  <c r="Z68" i="14"/>
  <c r="BA68" i="14"/>
  <c r="BU68" i="14"/>
  <c r="DX68" i="14"/>
  <c r="FQ68" i="14"/>
  <c r="HD68" i="14"/>
  <c r="IA68" i="14"/>
  <c r="IV68" i="14"/>
  <c r="JP68" i="14"/>
  <c r="KM68" i="14"/>
  <c r="AO69" i="14"/>
  <c r="BI69" i="14"/>
  <c r="CJ69" i="14"/>
  <c r="EG69" i="14"/>
  <c r="FP69" i="14"/>
  <c r="GT69" i="14"/>
  <c r="HO69" i="14"/>
  <c r="IE69" i="14"/>
  <c r="IU69" i="14"/>
  <c r="JK69" i="14"/>
  <c r="KA69" i="14"/>
  <c r="I70" i="14"/>
  <c r="AN70" i="14"/>
  <c r="BD70" i="14"/>
  <c r="BT70" i="14"/>
  <c r="CT70" i="14"/>
  <c r="EO70" i="14"/>
  <c r="FX70" i="14"/>
  <c r="HC70" i="14"/>
  <c r="HS70" i="14"/>
  <c r="II70" i="14"/>
  <c r="IY70" i="14"/>
  <c r="JO70" i="14"/>
  <c r="KE70" i="14"/>
  <c r="R71" i="14"/>
  <c r="AR71" i="14"/>
  <c r="BH71" i="14"/>
  <c r="BX71" i="14"/>
  <c r="DK71" i="14"/>
  <c r="EP71" i="14"/>
  <c r="FL71" i="14"/>
  <c r="FZ71" i="14"/>
  <c r="GN71" i="14"/>
  <c r="HE71" i="14"/>
  <c r="HM71" i="14"/>
  <c r="HU71" i="14"/>
  <c r="IC71" i="14"/>
  <c r="IK71" i="14"/>
  <c r="IS71" i="14"/>
  <c r="JA71" i="14"/>
  <c r="JI71" i="14"/>
  <c r="JQ71" i="14"/>
  <c r="JY71" i="14"/>
  <c r="KG71" i="14"/>
  <c r="B72" i="14"/>
  <c r="X72" i="14"/>
  <c r="AJ72" i="14"/>
  <c r="AT72" i="14"/>
  <c r="BB72" i="14"/>
  <c r="BJ72" i="14"/>
  <c r="BR72" i="14"/>
  <c r="BZ72" i="14"/>
  <c r="CR72" i="14"/>
  <c r="DS72" i="14"/>
  <c r="EK72" i="14"/>
  <c r="EZ72" i="14"/>
  <c r="FR72" i="14"/>
  <c r="GH72" i="14"/>
  <c r="GY72" i="14"/>
  <c r="HI72" i="14"/>
  <c r="HQ72" i="14"/>
  <c r="HY72" i="14"/>
  <c r="IG72" i="14"/>
  <c r="IO72" i="14"/>
  <c r="IW72" i="14"/>
  <c r="JE72" i="14"/>
  <c r="JM72" i="14"/>
  <c r="JU72" i="14"/>
  <c r="KC72" i="14"/>
  <c r="KK72" i="14"/>
  <c r="L73" i="14"/>
  <c r="AB73" i="14"/>
  <c r="AP73" i="14"/>
  <c r="AX73" i="14"/>
  <c r="BF73" i="14"/>
  <c r="BN73" i="14"/>
  <c r="BV73" i="14"/>
  <c r="CH73" i="14"/>
  <c r="DD73" i="14"/>
  <c r="EC73" i="14"/>
  <c r="ER73" i="14"/>
  <c r="FL73" i="14"/>
  <c r="FZ73" i="14"/>
  <c r="GN73" i="14"/>
  <c r="HE73" i="14"/>
  <c r="HM73" i="14"/>
  <c r="HU73" i="14"/>
  <c r="IC73" i="14"/>
  <c r="IK73" i="14"/>
  <c r="IS73" i="14"/>
  <c r="JA73" i="14"/>
  <c r="JI73" i="14"/>
  <c r="JQ73" i="14"/>
  <c r="JY73" i="14"/>
  <c r="KG73" i="14"/>
  <c r="B74" i="14"/>
  <c r="X74" i="14"/>
  <c r="AJ74" i="14"/>
  <c r="AT74" i="14"/>
  <c r="BB74" i="14"/>
  <c r="BJ74" i="14"/>
  <c r="BR74" i="14"/>
  <c r="BZ74" i="14"/>
  <c r="CR74" i="14"/>
  <c r="DS74" i="14"/>
  <c r="EK74" i="14"/>
  <c r="EZ74" i="14"/>
  <c r="FR74" i="14"/>
  <c r="GH74" i="14"/>
  <c r="GY74" i="14"/>
  <c r="HI74" i="14"/>
  <c r="HQ74" i="14"/>
  <c r="HY74" i="14"/>
  <c r="IG74" i="14"/>
  <c r="IO74" i="14"/>
  <c r="IW74" i="14"/>
  <c r="JE74" i="14"/>
  <c r="JM74" i="14"/>
  <c r="JU74" i="14"/>
  <c r="KC74" i="14"/>
  <c r="KK74" i="14"/>
  <c r="CS54" i="14"/>
  <c r="IG54" i="14"/>
  <c r="DD55" i="14"/>
  <c r="KG55" i="14"/>
  <c r="GV56" i="14"/>
  <c r="AT57" i="14"/>
  <c r="GM57" i="14"/>
  <c r="KE57" i="14"/>
  <c r="EC58" i="14"/>
  <c r="IE58" i="14"/>
  <c r="I59" i="14"/>
  <c r="BZ59" i="14"/>
  <c r="GJ59" i="14"/>
  <c r="IT59" i="14"/>
  <c r="M60" i="14"/>
  <c r="BY60" i="14"/>
  <c r="FO60" i="14"/>
  <c r="II60" i="14"/>
  <c r="KG60" i="14"/>
  <c r="BM61" i="14"/>
  <c r="FP61" i="14"/>
  <c r="IG61" i="14"/>
  <c r="KH61" i="14"/>
  <c r="BM62" i="14"/>
  <c r="FC62" i="14"/>
  <c r="HT62" i="14"/>
  <c r="JE62" i="14"/>
  <c r="KN62" i="14"/>
  <c r="BA63" i="14"/>
  <c r="CN63" i="14"/>
  <c r="FQ63" i="14"/>
  <c r="HP63" i="14"/>
  <c r="IV63" i="14"/>
  <c r="KB63" i="14"/>
  <c r="AO64" i="14"/>
  <c r="BU64" i="14"/>
  <c r="EP64" i="14"/>
  <c r="HD64" i="14"/>
  <c r="IJ64" i="14"/>
  <c r="JP64" i="14"/>
  <c r="U65" i="14"/>
  <c r="BI65" i="14"/>
  <c r="DR65" i="14"/>
  <c r="GG65" i="14"/>
  <c r="HX65" i="14"/>
  <c r="JD65" i="14"/>
  <c r="KJ65" i="14"/>
  <c r="AW66" i="14"/>
  <c r="CD66" i="14"/>
  <c r="FK66" i="14"/>
  <c r="HL66" i="14"/>
  <c r="IR66" i="14"/>
  <c r="JW66" i="14"/>
  <c r="K67" i="14"/>
  <c r="AS67" i="14"/>
  <c r="BP67" i="14"/>
  <c r="CY67" i="14"/>
  <c r="EY67" i="14"/>
  <c r="GT67" i="14"/>
  <c r="HT67" i="14"/>
  <c r="IN67" i="14"/>
  <c r="JK67" i="14"/>
  <c r="KF67" i="14"/>
  <c r="AA68" i="14"/>
  <c r="BD68" i="14"/>
  <c r="BY68" i="14"/>
  <c r="EB68" i="14"/>
  <c r="FX68" i="14"/>
  <c r="HH68" i="14"/>
  <c r="IB68" i="14"/>
  <c r="IY68" i="14"/>
  <c r="JT68" i="14"/>
  <c r="KN68" i="14"/>
  <c r="AR69" i="14"/>
  <c r="BM69" i="14"/>
  <c r="CN69" i="14"/>
  <c r="EH69" i="14"/>
  <c r="FQ69" i="14"/>
  <c r="GV69" i="14"/>
  <c r="HP69" i="14"/>
  <c r="IF69" i="14"/>
  <c r="IV69" i="14"/>
  <c r="JL69" i="14"/>
  <c r="KB69" i="14"/>
  <c r="K70" i="14"/>
  <c r="AO70" i="14"/>
  <c r="BE70" i="14"/>
  <c r="BU70" i="14"/>
  <c r="CY70" i="14"/>
  <c r="EP70" i="14"/>
  <c r="FY70" i="14"/>
  <c r="HD70" i="14"/>
  <c r="HT70" i="14"/>
  <c r="IJ70" i="14"/>
  <c r="IZ70" i="14"/>
  <c r="JP70" i="14"/>
  <c r="KF70" i="14"/>
  <c r="U71" i="14"/>
  <c r="AS71" i="14"/>
  <c r="BI71" i="14"/>
  <c r="BY71" i="14"/>
  <c r="DR71" i="14"/>
  <c r="EU71" i="14"/>
  <c r="FO71" i="14"/>
  <c r="GA71" i="14"/>
  <c r="GR71" i="14"/>
  <c r="HF71" i="14"/>
  <c r="HN71" i="14"/>
  <c r="HV71" i="14"/>
  <c r="ID71" i="14"/>
  <c r="IL71" i="14"/>
  <c r="IT71" i="14"/>
  <c r="JB71" i="14"/>
  <c r="JJ71" i="14"/>
  <c r="JR71" i="14"/>
  <c r="JZ71" i="14"/>
  <c r="KH71" i="14"/>
  <c r="F72" i="14"/>
  <c r="Y72" i="14"/>
  <c r="AM72" i="14"/>
  <c r="AU72" i="14"/>
  <c r="BC72" i="14"/>
  <c r="BK72" i="14"/>
  <c r="BS72" i="14"/>
  <c r="CA72" i="14"/>
  <c r="CS72" i="14"/>
  <c r="DT72" i="14"/>
  <c r="EN72" i="14"/>
  <c r="FC72" i="14"/>
  <c r="FU72" i="14"/>
  <c r="GI72" i="14"/>
  <c r="HB72" i="14"/>
  <c r="HJ72" i="14"/>
  <c r="HR72" i="14"/>
  <c r="HZ72" i="14"/>
  <c r="IH72" i="14"/>
  <c r="IP72" i="14"/>
  <c r="IX72" i="14"/>
  <c r="JF72" i="14"/>
  <c r="JN72" i="14"/>
  <c r="JV72" i="14"/>
  <c r="KD72" i="14"/>
  <c r="KL72" i="14"/>
  <c r="M73" i="14"/>
  <c r="AE73" i="14"/>
  <c r="AQ73" i="14"/>
  <c r="AY73" i="14"/>
  <c r="BG73" i="14"/>
  <c r="BO73" i="14"/>
  <c r="BW73" i="14"/>
  <c r="CI73" i="14"/>
  <c r="DH73" i="14"/>
  <c r="EF73" i="14"/>
  <c r="EU73" i="14"/>
  <c r="FO73" i="14"/>
  <c r="GA73" i="14"/>
  <c r="GR73" i="14"/>
  <c r="HF73" i="14"/>
  <c r="HN73" i="14"/>
  <c r="HV73" i="14"/>
  <c r="ID73" i="14"/>
  <c r="IL73" i="14"/>
  <c r="IT73" i="14"/>
  <c r="JB73" i="14"/>
  <c r="JJ73" i="14"/>
  <c r="JR73" i="14"/>
  <c r="JZ73" i="14"/>
  <c r="KH73" i="14"/>
  <c r="F74" i="14"/>
  <c r="Y74" i="14"/>
  <c r="AM74" i="14"/>
  <c r="AU74" i="14"/>
  <c r="BC74" i="14"/>
  <c r="BK74" i="14"/>
  <c r="BS74" i="14"/>
  <c r="CA74" i="14"/>
  <c r="CS74" i="14"/>
  <c r="DT74" i="14"/>
  <c r="EN74" i="14"/>
  <c r="FC74" i="14"/>
  <c r="FU74" i="14"/>
  <c r="GI74" i="14"/>
  <c r="HB74" i="14"/>
  <c r="HJ74" i="14"/>
  <c r="HR74" i="14"/>
  <c r="HZ74" i="14"/>
  <c r="IH74" i="14"/>
  <c r="IP74" i="14"/>
  <c r="IX74" i="14"/>
  <c r="JF74" i="14"/>
  <c r="JN74" i="14"/>
  <c r="JV74" i="14"/>
  <c r="KD74" i="14"/>
  <c r="KL74" i="14"/>
  <c r="DP74" i="14"/>
  <c r="BB49" i="14"/>
  <c r="EA54" i="14"/>
  <c r="JL54" i="14"/>
  <c r="FY55" i="14"/>
  <c r="AS56" i="14"/>
  <c r="HG56" i="14"/>
  <c r="AV57" i="14"/>
  <c r="GY57" i="14"/>
  <c r="KF57" i="14"/>
  <c r="EG58" i="14"/>
  <c r="IF58" i="14"/>
  <c r="K59" i="14"/>
  <c r="CA59" i="14"/>
  <c r="GM59" i="14"/>
  <c r="IW59" i="14"/>
  <c r="R60" i="14"/>
  <c r="CA60" i="14"/>
  <c r="GJ60" i="14"/>
  <c r="IS60" i="14"/>
  <c r="K61" i="14"/>
  <c r="BY61" i="14"/>
  <c r="GH61" i="14"/>
  <c r="IT61" i="14"/>
  <c r="K62" i="14"/>
  <c r="BX62" i="14"/>
  <c r="FX62" i="14"/>
  <c r="IB62" i="14"/>
  <c r="JM62" i="14"/>
  <c r="R63" i="14"/>
  <c r="BH63" i="14"/>
  <c r="DK63" i="14"/>
  <c r="GD63" i="14"/>
  <c r="HW63" i="14"/>
  <c r="JC63" i="14"/>
  <c r="KI63" i="14"/>
  <c r="AV64" i="14"/>
  <c r="CB64" i="14"/>
  <c r="FD64" i="14"/>
  <c r="HK64" i="14"/>
  <c r="IQ64" i="14"/>
  <c r="JW64" i="14"/>
  <c r="AH65" i="14"/>
  <c r="BP65" i="14"/>
  <c r="EG65" i="14"/>
  <c r="GT65" i="14"/>
  <c r="IE65" i="14"/>
  <c r="JK65" i="14"/>
  <c r="I66" i="14"/>
  <c r="BD66" i="14"/>
  <c r="CT66" i="14"/>
  <c r="FX66" i="14"/>
  <c r="HS66" i="14"/>
  <c r="IY66" i="14"/>
  <c r="JX66" i="14"/>
  <c r="R67" i="14"/>
  <c r="AW67" i="14"/>
  <c r="BQ67" i="14"/>
  <c r="DK67" i="14"/>
  <c r="FK67" i="14"/>
  <c r="GV67" i="14"/>
  <c r="HW67" i="14"/>
  <c r="IR67" i="14"/>
  <c r="JL67" i="14"/>
  <c r="KI67" i="14"/>
  <c r="AI68" i="14"/>
  <c r="BE68" i="14"/>
  <c r="CB68" i="14"/>
  <c r="EH68" i="14"/>
  <c r="FY68" i="14"/>
  <c r="HK68" i="14"/>
  <c r="IF68" i="14"/>
  <c r="IZ68" i="14"/>
  <c r="JW68" i="14"/>
  <c r="K69" i="14"/>
  <c r="AS69" i="14"/>
  <c r="BP69" i="14"/>
  <c r="CY69" i="14"/>
  <c r="EP69" i="14"/>
  <c r="FY69" i="14"/>
  <c r="HD69" i="14"/>
  <c r="HT69" i="14"/>
  <c r="IJ69" i="14"/>
  <c r="IZ69" i="14"/>
  <c r="JP69" i="14"/>
  <c r="KF69" i="14"/>
  <c r="U70" i="14"/>
  <c r="AS70" i="14"/>
  <c r="BI70" i="14"/>
  <c r="BY70" i="14"/>
  <c r="DR70" i="14"/>
  <c r="EY70" i="14"/>
  <c r="GG70" i="14"/>
  <c r="HH70" i="14"/>
  <c r="HX70" i="14"/>
  <c r="IN70" i="14"/>
  <c r="JD70" i="14"/>
  <c r="JT70" i="14"/>
  <c r="KJ70" i="14"/>
  <c r="AA71" i="14"/>
  <c r="AW71" i="14"/>
  <c r="BM71" i="14"/>
  <c r="CD71" i="14"/>
  <c r="DS71" i="14"/>
  <c r="EX71" i="14"/>
  <c r="FP71" i="14"/>
  <c r="GD71" i="14"/>
  <c r="GT71" i="14"/>
  <c r="HG71" i="14"/>
  <c r="HO71" i="14"/>
  <c r="HW71" i="14"/>
  <c r="IE71" i="14"/>
  <c r="IM71" i="14"/>
  <c r="IU71" i="14"/>
  <c r="JC71" i="14"/>
  <c r="JK71" i="14"/>
  <c r="JS71" i="14"/>
  <c r="KA71" i="14"/>
  <c r="KI71" i="14"/>
  <c r="I72" i="14"/>
  <c r="Z72" i="14"/>
  <c r="AN72" i="14"/>
  <c r="AV72" i="14"/>
  <c r="BD72" i="14"/>
  <c r="BL72" i="14"/>
  <c r="BT72" i="14"/>
  <c r="CB72" i="14"/>
  <c r="CT72" i="14"/>
  <c r="DX72" i="14"/>
  <c r="EO72" i="14"/>
  <c r="FD72" i="14"/>
  <c r="FX72" i="14"/>
  <c r="GJ72" i="14"/>
  <c r="HC72" i="14"/>
  <c r="HK72" i="14"/>
  <c r="HS72" i="14"/>
  <c r="IA72" i="14"/>
  <c r="II72" i="14"/>
  <c r="IQ72" i="14"/>
  <c r="IY72" i="14"/>
  <c r="JG72" i="14"/>
  <c r="JO72" i="14"/>
  <c r="JW72" i="14"/>
  <c r="KE72" i="14"/>
  <c r="KM72" i="14"/>
  <c r="R73" i="14"/>
  <c r="AH73" i="14"/>
  <c r="AR73" i="14"/>
  <c r="AZ73" i="14"/>
  <c r="BH73" i="14"/>
  <c r="BP73" i="14"/>
  <c r="BX73" i="14"/>
  <c r="CJ73" i="14"/>
  <c r="DK73" i="14"/>
  <c r="EG73" i="14"/>
  <c r="EX73" i="14"/>
  <c r="FP73" i="14"/>
  <c r="GD73" i="14"/>
  <c r="GT73" i="14"/>
  <c r="HG73" i="14"/>
  <c r="HO73" i="14"/>
  <c r="HW73" i="14"/>
  <c r="IE73" i="14"/>
  <c r="IM73" i="14"/>
  <c r="IU73" i="14"/>
  <c r="JC73" i="14"/>
  <c r="JK73" i="14"/>
  <c r="JS73" i="14"/>
  <c r="KA73" i="14"/>
  <c r="KI73" i="14"/>
  <c r="I74" i="14"/>
  <c r="Z74" i="14"/>
  <c r="AN74" i="14"/>
  <c r="AV74" i="14"/>
  <c r="BD74" i="14"/>
  <c r="BL74" i="14"/>
  <c r="BT74" i="14"/>
  <c r="CB74" i="14"/>
  <c r="CT74" i="14"/>
  <c r="DX74" i="14"/>
  <c r="EO74" i="14"/>
  <c r="FD74" i="14"/>
  <c r="FX74" i="14"/>
  <c r="GJ74" i="14"/>
  <c r="HC74" i="14"/>
  <c r="HK74" i="14"/>
  <c r="HS74" i="14"/>
  <c r="IA74" i="14"/>
  <c r="II74" i="14"/>
  <c r="IQ74" i="14"/>
  <c r="IY74" i="14"/>
  <c r="JG74" i="14"/>
  <c r="JO74" i="14"/>
  <c r="JW74" i="14"/>
  <c r="KE74" i="14"/>
  <c r="KM74" i="14"/>
  <c r="AC101" i="23"/>
  <c r="AC103" i="23"/>
  <c r="AD100" i="23"/>
  <c r="AC102" i="23"/>
  <c r="AD103" i="23"/>
  <c r="AD101" i="23"/>
  <c r="AE100" i="23"/>
  <c r="AD102" i="23"/>
  <c r="AE101" i="23"/>
  <c r="AE103" i="23"/>
  <c r="AE102" i="23"/>
  <c r="AF100" i="23"/>
  <c r="AF103" i="23"/>
  <c r="AF101" i="23"/>
  <c r="AG100" i="23"/>
  <c r="AF102" i="23"/>
  <c r="AG101" i="23"/>
  <c r="AG103" i="23"/>
  <c r="AH100" i="23"/>
  <c r="AG102" i="23"/>
  <c r="AH103" i="23"/>
  <c r="AH101" i="23"/>
  <c r="AI100" i="23"/>
  <c r="AH102" i="23"/>
  <c r="AI101" i="23"/>
  <c r="AI103" i="23"/>
  <c r="AI102" i="23"/>
  <c r="AJ100" i="23"/>
  <c r="AJ103" i="23"/>
  <c r="AJ101" i="23"/>
  <c r="AK100" i="23"/>
  <c r="AJ102" i="23"/>
  <c r="AK101" i="23"/>
  <c r="AK103" i="23"/>
  <c r="AL100" i="23"/>
  <c r="AK102" i="23"/>
  <c r="AL103" i="23"/>
  <c r="AL101" i="23"/>
  <c r="AM100" i="23"/>
  <c r="AL102" i="23"/>
  <c r="AM101" i="23"/>
  <c r="AM103" i="23"/>
  <c r="AM102" i="23"/>
  <c r="AN100" i="23"/>
  <c r="AN103" i="23"/>
  <c r="AN101" i="23"/>
  <c r="AO100" i="23"/>
  <c r="AN102" i="23"/>
  <c r="AO101" i="23"/>
  <c r="AO103" i="23"/>
  <c r="AP100" i="23"/>
  <c r="AO102" i="23"/>
  <c r="AP103" i="23"/>
  <c r="AP101" i="23"/>
  <c r="AQ100" i="23"/>
  <c r="AP102" i="23"/>
  <c r="AQ101" i="23"/>
  <c r="AQ103" i="23"/>
  <c r="AQ102" i="23"/>
  <c r="AR100" i="23"/>
  <c r="AR103" i="23"/>
  <c r="AR101" i="23"/>
  <c r="AR102" i="2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Helen Lay</author>
  </authors>
  <commentList>
    <comment ref="D3" authorId="0" shapeId="0" xr:uid="{00000000-0006-0000-0500-000001000000}">
      <text>
        <r>
          <rPr>
            <b/>
            <sz val="10"/>
            <color indexed="81"/>
            <rFont val="Arial"/>
            <family val="2"/>
          </rPr>
          <t>Results - No risk:</t>
        </r>
        <r>
          <rPr>
            <sz val="10"/>
            <color indexed="81"/>
            <rFont val="Arial"/>
            <family val="2"/>
          </rPr>
          <t xml:space="preserve">
Debt-service ratio is the total cash flow of the operator divided by financing costs. If the operator has no responsibility in the financing of coverage extension, this ratio is undefined.</t>
        </r>
      </text>
    </comment>
    <comment ref="F3" authorId="0" shapeId="0" xr:uid="{00000000-0006-0000-0500-000002000000}">
      <text>
        <r>
          <rPr>
            <b/>
            <sz val="10"/>
            <color indexed="81"/>
            <rFont val="Arial"/>
            <family val="2"/>
          </rPr>
          <t>Results - No risk:</t>
        </r>
        <r>
          <rPr>
            <sz val="10"/>
            <color indexed="81"/>
            <rFont val="Arial"/>
            <family val="2"/>
          </rPr>
          <t xml:space="preserve">
Debt-service ratio is the total cash flow of the operator divided by financing costs. If the operator has no responsibility in the financing of coverage extension, this ratio is undefined.</t>
        </r>
      </text>
    </comment>
    <comment ref="F6" authorId="0" shapeId="0" xr:uid="{00000000-0006-0000-0500-000003000000}">
      <text>
        <r>
          <rPr>
            <b/>
            <sz val="10"/>
            <color indexed="81"/>
            <rFont val="Arial"/>
            <family val="2"/>
          </rPr>
          <t>Results - No risk:</t>
        </r>
        <r>
          <rPr>
            <sz val="10"/>
            <color indexed="81"/>
            <rFont val="Arial"/>
            <family val="2"/>
          </rPr>
          <t xml:space="preserve">
Debt-service ratio is the total cash flow of the operator divided by financing costs. If the operator has no responsibility in the financing of coverage extension, this ratio is undefined.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Helen Lay</author>
    <author>Windows User</author>
  </authors>
  <commentList>
    <comment ref="B2" authorId="0" shapeId="0" xr:uid="{00000000-0006-0000-0000-000001000000}">
      <text>
        <r>
          <rPr>
            <b/>
            <sz val="10"/>
            <color rgb="FF000000"/>
            <rFont val="Arial"/>
            <family val="2"/>
          </rPr>
          <t>Other assumptions:</t>
        </r>
        <r>
          <rPr>
            <sz val="10"/>
            <color rgb="FF000000"/>
            <rFont val="Arial"/>
            <family val="2"/>
          </rPr>
          <t xml:space="preserve">
</t>
        </r>
        <r>
          <rPr>
            <sz val="10"/>
            <color rgb="FF000000"/>
            <rFont val="Arial"/>
            <family val="2"/>
          </rPr>
          <t>Current value of inflation. It is the rate of change of the Consumer Price Index.</t>
        </r>
      </text>
    </comment>
    <comment ref="B3" authorId="0" shapeId="0" xr:uid="{00000000-0006-0000-0000-000002000000}">
      <text>
        <r>
          <rPr>
            <b/>
            <sz val="10"/>
            <color rgb="FF000000"/>
            <rFont val="Arial"/>
            <family val="2"/>
          </rPr>
          <t>Other assumptions:</t>
        </r>
        <r>
          <rPr>
            <sz val="10"/>
            <color rgb="FF000000"/>
            <rFont val="Arial"/>
            <family val="2"/>
          </rPr>
          <t xml:space="preserve">
</t>
        </r>
        <r>
          <rPr>
            <sz val="10"/>
            <color rgb="FF000000"/>
            <rFont val="Arial"/>
            <family val="2"/>
          </rPr>
          <t>The rate at which current inflation will tend towards its long term value.</t>
        </r>
      </text>
    </comment>
    <comment ref="B4" authorId="0" shapeId="0" xr:uid="{00000000-0006-0000-0000-000003000000}">
      <text>
        <r>
          <rPr>
            <b/>
            <sz val="10"/>
            <color rgb="FF000000"/>
            <rFont val="Arial"/>
            <family val="2"/>
          </rPr>
          <t>Other assumptions:</t>
        </r>
        <r>
          <rPr>
            <sz val="10"/>
            <color rgb="FF000000"/>
            <rFont val="Arial"/>
            <family val="2"/>
          </rPr>
          <t xml:space="preserve">
</t>
        </r>
        <r>
          <rPr>
            <sz val="10"/>
            <color rgb="FF000000"/>
            <rFont val="Arial"/>
            <family val="2"/>
          </rPr>
          <t>Long term value of inflation. This is the long term rate that the current inflation will tend towards.</t>
        </r>
      </text>
    </comment>
    <comment ref="B5" authorId="0" shapeId="0" xr:uid="{00000000-0006-0000-0000-000004000000}">
      <text>
        <r>
          <rPr>
            <b/>
            <sz val="10"/>
            <color indexed="81"/>
            <rFont val="Arial"/>
            <family val="2"/>
          </rPr>
          <t>Other assumptions:</t>
        </r>
        <r>
          <rPr>
            <sz val="10"/>
            <color indexed="81"/>
            <rFont val="Arial"/>
            <family val="2"/>
          </rPr>
          <t xml:space="preserve">
Uncertainty around the inflation over one-year period. A 1% volatility means that over the period of one year, inflation has the potential to go up or down by 1%. </t>
        </r>
      </text>
    </comment>
    <comment ref="B8" authorId="0" shapeId="0" xr:uid="{00000000-0006-0000-0000-000005000000}">
      <text>
        <r>
          <rPr>
            <b/>
            <sz val="10"/>
            <color indexed="81"/>
            <rFont val="Arial"/>
            <family val="2"/>
          </rPr>
          <t>Other assumptions:</t>
        </r>
        <r>
          <rPr>
            <sz val="10"/>
            <color indexed="81"/>
            <rFont val="Arial"/>
            <family val="2"/>
          </rPr>
          <t xml:space="preserve">
Current value of the exchange rate, expressed in terms of pesos per dollar.</t>
        </r>
      </text>
    </comment>
    <comment ref="B9" authorId="0" shapeId="0" xr:uid="{00000000-0006-0000-0000-000006000000}">
      <text>
        <r>
          <rPr>
            <b/>
            <sz val="10"/>
            <color rgb="FF000000"/>
            <rFont val="Arial"/>
            <family val="2"/>
          </rPr>
          <t>Other assumptions:</t>
        </r>
        <r>
          <rPr>
            <sz val="10"/>
            <color rgb="FF000000"/>
            <rFont val="Arial"/>
            <family val="2"/>
          </rPr>
          <t xml:space="preserve">
</t>
        </r>
        <r>
          <rPr>
            <sz val="10"/>
            <color rgb="FF000000"/>
            <rFont val="Arial"/>
            <family val="2"/>
          </rPr>
          <t>Expected annual change in the exchange rate. A positive change is a depreciation of the currency (more pesos per dollar), and a negative change is an appreciation of the peso.</t>
        </r>
      </text>
    </comment>
    <comment ref="B10" authorId="0" shapeId="0" xr:uid="{00000000-0006-0000-0000-000007000000}">
      <text>
        <r>
          <rPr>
            <b/>
            <sz val="10"/>
            <color indexed="81"/>
            <rFont val="Arial"/>
            <family val="2"/>
          </rPr>
          <t>Other assumptions:</t>
        </r>
        <r>
          <rPr>
            <sz val="10"/>
            <color indexed="81"/>
            <rFont val="Arial"/>
            <family val="2"/>
          </rPr>
          <t xml:space="preserve">
Uncertainty around the exchange rate over one-year period. A 1% volatility means that over the period of one year, the exchange rate has the potential to go up or down by 1%. </t>
        </r>
      </text>
    </comment>
    <comment ref="B12" authorId="0" shapeId="0" xr:uid="{00000000-0006-0000-0000-000008000000}">
      <text>
        <r>
          <rPr>
            <b/>
            <sz val="10"/>
            <color indexed="81"/>
            <rFont val="Arial"/>
            <family val="2"/>
          </rPr>
          <t>Other assumptions:</t>
        </r>
        <r>
          <rPr>
            <sz val="10"/>
            <color indexed="81"/>
            <rFont val="Arial"/>
            <family val="2"/>
          </rPr>
          <t xml:space="preserve">
Discount rate applied to determine net present values. This is also the Weighted Average Cost of Capital.</t>
        </r>
      </text>
    </comment>
    <comment ref="B13" authorId="0" shapeId="0" xr:uid="{00000000-0006-0000-0000-000009000000}">
      <text>
        <r>
          <rPr>
            <b/>
            <sz val="10"/>
            <color indexed="81"/>
            <rFont val="Arial"/>
            <family val="2"/>
          </rPr>
          <t>Other assumptions:</t>
        </r>
        <r>
          <rPr>
            <sz val="10"/>
            <color indexed="81"/>
            <rFont val="Arial"/>
            <family val="2"/>
          </rPr>
          <t xml:space="preserve">
Current value of the number of households in the economy. This is the maximum number of connections that the private operator can hope to gain.</t>
        </r>
      </text>
    </comment>
    <comment ref="B15" authorId="0" shapeId="0" xr:uid="{00000000-0006-0000-0000-00000A000000}">
      <text>
        <r>
          <rPr>
            <b/>
            <sz val="10"/>
            <color indexed="81"/>
            <rFont val="Arial"/>
            <family val="2"/>
          </rPr>
          <t>Existing service coverage:</t>
        </r>
        <r>
          <rPr>
            <sz val="10"/>
            <color indexed="81"/>
            <rFont val="Arial"/>
            <family val="2"/>
          </rPr>
          <t xml:space="preserve">
Current service coverage is the number of households that are currently connected divided by the total number of households.</t>
        </r>
      </text>
    </comment>
    <comment ref="B16" authorId="1" shapeId="0" xr:uid="{00000000-0006-0000-0000-00000B000000}">
      <text>
        <r>
          <rPr>
            <b/>
            <sz val="9"/>
            <color indexed="81"/>
            <rFont val="Tahoma"/>
            <family val="2"/>
          </rPr>
          <t>Windows User:</t>
        </r>
        <r>
          <rPr>
            <sz val="9"/>
            <color indexed="81"/>
            <rFont val="Tahoma"/>
            <family val="2"/>
          </rPr>
          <t xml:space="preserve">
Coverage extension target coverage. Existing service coverage is 50%</t>
        </r>
      </text>
    </comment>
    <comment ref="B17" authorId="1" shapeId="0" xr:uid="{00000000-0006-0000-0000-00000C000000}">
      <text>
        <r>
          <rPr>
            <b/>
            <sz val="9"/>
            <color indexed="81"/>
            <rFont val="Tahoma"/>
            <family val="2"/>
          </rPr>
          <t>Windows User:</t>
        </r>
        <r>
          <rPr>
            <sz val="9"/>
            <color indexed="81"/>
            <rFont val="Tahoma"/>
            <family val="2"/>
          </rPr>
          <t xml:space="preserve">
Year in which service target is to be achieved</t>
        </r>
      </text>
    </comment>
    <comment ref="B18" authorId="0" shapeId="0" xr:uid="{00000000-0006-0000-0000-00000D000000}">
      <text>
        <r>
          <rPr>
            <b/>
            <sz val="10"/>
            <color rgb="FF000000"/>
            <rFont val="Arial"/>
            <family val="2"/>
          </rPr>
          <t>Household connection:</t>
        </r>
        <r>
          <rPr>
            <sz val="10"/>
            <color rgb="FF000000"/>
            <rFont val="Arial"/>
            <family val="2"/>
          </rPr>
          <t xml:space="preserve">
</t>
        </r>
        <r>
          <rPr>
            <sz val="10"/>
            <color rgb="FF000000"/>
            <rFont val="Arial"/>
            <family val="2"/>
          </rPr>
          <t xml:space="preserve">Current demand per connection per day, expressed in litres.
</t>
        </r>
      </text>
    </comment>
    <comment ref="B19" authorId="0" shapeId="0" xr:uid="{00000000-0006-0000-0000-00000E000000}">
      <text>
        <r>
          <rPr>
            <b/>
            <sz val="10"/>
            <color rgb="FF000000"/>
            <rFont val="Arial"/>
            <family val="2"/>
          </rPr>
          <t>Other assumptions:</t>
        </r>
        <r>
          <rPr>
            <sz val="10"/>
            <color rgb="FF000000"/>
            <rFont val="Arial"/>
            <family val="2"/>
          </rPr>
          <t xml:space="preserve">
</t>
        </r>
        <r>
          <rPr>
            <sz val="10"/>
            <color rgb="FF000000"/>
            <rFont val="Arial"/>
            <family val="2"/>
          </rPr>
          <t xml:space="preserve">Current usage of water from other sources, expressed as litres per household per day.
</t>
        </r>
        <r>
          <rPr>
            <sz val="10"/>
            <color rgb="FF000000"/>
            <rFont val="Arial"/>
            <family val="2"/>
          </rPr>
          <t>This demand is assumed to stay constant.</t>
        </r>
      </text>
    </comment>
    <comment ref="B20" authorId="0" shapeId="0" xr:uid="{00000000-0006-0000-0000-00000F000000}">
      <text>
        <r>
          <rPr>
            <b/>
            <sz val="10"/>
            <color indexed="81"/>
            <rFont val="Arial"/>
            <family val="2"/>
          </rPr>
          <t>Other assumptions:</t>
        </r>
        <r>
          <rPr>
            <sz val="10"/>
            <color indexed="81"/>
            <rFont val="Arial"/>
            <family val="2"/>
          </rPr>
          <t xml:space="preserve">
Household demand is assumed to grow at a constant rate, with some variability around this.</t>
        </r>
      </text>
    </comment>
    <comment ref="B23" authorId="0" shapeId="0" xr:uid="{00000000-0006-0000-0000-000010000000}">
      <text>
        <r>
          <rPr>
            <b/>
            <sz val="10"/>
            <color indexed="81"/>
            <rFont val="Arial"/>
            <family val="2"/>
          </rPr>
          <t>Other assumptions:</t>
        </r>
        <r>
          <rPr>
            <sz val="10"/>
            <color indexed="81"/>
            <rFont val="Arial"/>
            <family val="2"/>
          </rPr>
          <t xml:space="preserve">
Non-revenue water include Unaccounted for water (UFW) and water used for public services (such as firefighting).</t>
        </r>
      </text>
    </comment>
    <comment ref="B24" authorId="0" shapeId="0" xr:uid="{00000000-0006-0000-0000-000011000000}">
      <text>
        <r>
          <rPr>
            <b/>
            <sz val="10"/>
            <color indexed="81"/>
            <rFont val="Arial"/>
            <family val="2"/>
          </rPr>
          <t>Other assumptions:</t>
        </r>
        <r>
          <rPr>
            <sz val="10"/>
            <color indexed="81"/>
            <rFont val="Arial"/>
            <family val="2"/>
          </rPr>
          <t xml:space="preserve">
Non-revenue water is assumed to decrease from current level to a target level. The minimum value this can take is 0%.</t>
        </r>
      </text>
    </comment>
    <comment ref="B25" authorId="0" shapeId="0" xr:uid="{00000000-0006-0000-0000-000012000000}">
      <text>
        <r>
          <rPr>
            <b/>
            <sz val="10"/>
            <color indexed="81"/>
            <rFont val="Arial"/>
            <family val="2"/>
          </rPr>
          <t>Other assumptions:</t>
        </r>
        <r>
          <rPr>
            <sz val="10"/>
            <color indexed="81"/>
            <rFont val="Arial"/>
            <family val="2"/>
          </rPr>
          <t xml:space="preserve">
The year in which the target level of non-revenue water is to be reached.</t>
        </r>
      </text>
    </comment>
    <comment ref="B26" authorId="0" shapeId="0" xr:uid="{00000000-0006-0000-0000-000013000000}">
      <text>
        <r>
          <rPr>
            <b/>
            <sz val="10"/>
            <color indexed="81"/>
            <rFont val="Arial"/>
            <family val="2"/>
          </rPr>
          <t>Other assumptions:</t>
        </r>
        <r>
          <rPr>
            <sz val="10"/>
            <color indexed="81"/>
            <rFont val="Arial"/>
            <family val="2"/>
          </rPr>
          <t xml:space="preserve">
Collection rate is the proportion of total billed demand that the operator can collect. The remainder is assumed to be bad debt.</t>
        </r>
      </text>
    </comment>
    <comment ref="B27" authorId="0" shapeId="0" xr:uid="{00000000-0006-0000-0000-000014000000}">
      <text>
        <r>
          <rPr>
            <b/>
            <sz val="10"/>
            <color indexed="81"/>
            <rFont val="Arial"/>
            <family val="2"/>
          </rPr>
          <t>Other assumptions:</t>
        </r>
        <r>
          <rPr>
            <sz val="10"/>
            <color indexed="81"/>
            <rFont val="Arial"/>
            <family val="2"/>
          </rPr>
          <t xml:space="preserve">
Collection rate is assumed to gradually increase from current level to a target level.</t>
        </r>
      </text>
    </comment>
    <comment ref="B28" authorId="0" shapeId="0" xr:uid="{00000000-0006-0000-0000-000015000000}">
      <text>
        <r>
          <rPr>
            <b/>
            <sz val="10"/>
            <color indexed="81"/>
            <rFont val="Arial"/>
            <family val="2"/>
          </rPr>
          <t>Other assumptions:</t>
        </r>
        <r>
          <rPr>
            <sz val="10"/>
            <color indexed="81"/>
            <rFont val="Arial"/>
            <family val="2"/>
          </rPr>
          <t xml:space="preserve">
Year in which the collection target is to be achieved.</t>
        </r>
      </text>
    </comment>
    <comment ref="B30" authorId="0" shapeId="0" xr:uid="{00000000-0006-0000-0000-000016000000}">
      <text>
        <r>
          <rPr>
            <b/>
            <sz val="10"/>
            <color indexed="81"/>
            <rFont val="Arial"/>
            <family val="2"/>
          </rPr>
          <t>Other assumptions:</t>
        </r>
        <r>
          <rPr>
            <sz val="10"/>
            <color indexed="81"/>
            <rFont val="Arial"/>
            <family val="2"/>
          </rPr>
          <t xml:space="preserve">
Investment cost per connection, expressed in pesos. This is a one-off charge.</t>
        </r>
      </text>
    </comment>
    <comment ref="B31" authorId="0" shapeId="0" xr:uid="{00000000-0006-0000-0000-000017000000}">
      <text>
        <r>
          <rPr>
            <b/>
            <sz val="10"/>
            <color indexed="81"/>
            <rFont val="Arial"/>
            <family val="2"/>
          </rPr>
          <t>Other assumptions:</t>
        </r>
        <r>
          <rPr>
            <sz val="10"/>
            <color indexed="81"/>
            <rFont val="Arial"/>
            <family val="2"/>
          </rPr>
          <t xml:space="preserve">
Proportion of investment cost assumed to be fixed operating cost.</t>
        </r>
      </text>
    </comment>
    <comment ref="B32" authorId="0" shapeId="0" xr:uid="{00000000-0006-0000-0000-000018000000}">
      <text>
        <r>
          <rPr>
            <b/>
            <sz val="10"/>
            <color rgb="FF000000"/>
            <rFont val="Arial"/>
            <family val="2"/>
          </rPr>
          <t>Other assumptions:</t>
        </r>
        <r>
          <rPr>
            <sz val="10"/>
            <color rgb="FF000000"/>
            <rFont val="Arial"/>
            <family val="2"/>
          </rPr>
          <t xml:space="preserve">
</t>
        </r>
        <r>
          <rPr>
            <sz val="10"/>
            <color rgb="FF000000"/>
            <rFont val="Arial"/>
            <family val="2"/>
          </rPr>
          <t>Current level of fixed operating cost = Proportion of investment assumed to be fixed * Investment cost * Current level of connections.</t>
        </r>
      </text>
    </comment>
    <comment ref="B33" authorId="0" shapeId="0" xr:uid="{00000000-0006-0000-0000-000019000000}">
      <text>
        <r>
          <rPr>
            <b/>
            <sz val="10"/>
            <color indexed="81"/>
            <rFont val="Arial"/>
            <family val="2"/>
          </rPr>
          <t>Other assumptions:</t>
        </r>
        <r>
          <rPr>
            <sz val="10"/>
            <color indexed="81"/>
            <rFont val="Arial"/>
            <family val="2"/>
          </rPr>
          <t xml:space="preserve">
Annual real growth rate of fixed operating costs.</t>
        </r>
      </text>
    </comment>
    <comment ref="B34" authorId="0" shapeId="0" xr:uid="{00000000-0006-0000-0000-00001A000000}">
      <text>
        <r>
          <rPr>
            <b/>
            <sz val="10"/>
            <color indexed="81"/>
            <rFont val="Arial"/>
            <family val="2"/>
          </rPr>
          <t>Other assumptions:</t>
        </r>
        <r>
          <rPr>
            <sz val="10"/>
            <color indexed="81"/>
            <rFont val="Arial"/>
            <family val="2"/>
          </rPr>
          <t xml:space="preserve">
Proportion of fixed costs that is assumed to be denominated in dollars, and are therefore affected by changes in the exchange rate.</t>
        </r>
      </text>
    </comment>
    <comment ref="B35" authorId="0" shapeId="0" xr:uid="{00000000-0006-0000-0000-00001B000000}">
      <text>
        <r>
          <rPr>
            <b/>
            <sz val="10"/>
            <color indexed="81"/>
            <rFont val="Arial"/>
            <family val="2"/>
          </rPr>
          <t>Other assumptions:</t>
        </r>
        <r>
          <rPr>
            <sz val="10"/>
            <color indexed="81"/>
            <rFont val="Arial"/>
            <family val="2"/>
          </rPr>
          <t xml:space="preserve">
Variable costs per cubic meter.</t>
        </r>
      </text>
    </comment>
    <comment ref="B36" authorId="0" shapeId="0" xr:uid="{00000000-0006-0000-0000-00001C000000}">
      <text>
        <r>
          <rPr>
            <b/>
            <sz val="10"/>
            <color rgb="FF000000"/>
            <rFont val="Arial"/>
            <family val="2"/>
          </rPr>
          <t>Other assumptions:</t>
        </r>
        <r>
          <rPr>
            <sz val="10"/>
            <color rgb="FF000000"/>
            <rFont val="Arial"/>
            <family val="2"/>
          </rPr>
          <t xml:space="preserve">
</t>
        </r>
        <r>
          <rPr>
            <sz val="10"/>
            <color rgb="FF000000"/>
            <rFont val="Arial"/>
            <family val="2"/>
          </rPr>
          <t>Annual real growth rate of operating operating costs.</t>
        </r>
      </text>
    </comment>
    <comment ref="B37" authorId="0" shapeId="0" xr:uid="{00000000-0006-0000-0000-00001D000000}">
      <text>
        <r>
          <rPr>
            <b/>
            <sz val="10"/>
            <color indexed="81"/>
            <rFont val="Arial"/>
            <family val="2"/>
          </rPr>
          <t>Other assumptions:</t>
        </r>
        <r>
          <rPr>
            <sz val="10"/>
            <color indexed="81"/>
            <rFont val="Arial"/>
            <family val="2"/>
          </rPr>
          <t xml:space="preserve">
Proportion of variable costs that is assumed to be denominated in dollars, and are therefore affected by changes in the exchange rate.</t>
        </r>
      </text>
    </comment>
    <comment ref="B38" authorId="0" shapeId="0" xr:uid="{00000000-0006-0000-0000-00001E000000}">
      <text>
        <r>
          <rPr>
            <b/>
            <sz val="10"/>
            <color indexed="81"/>
            <rFont val="Arial"/>
            <family val="2"/>
          </rPr>
          <t>Policy choices:</t>
        </r>
        <r>
          <rPr>
            <sz val="10"/>
            <color indexed="81"/>
            <rFont val="Arial"/>
            <family val="2"/>
          </rPr>
          <t xml:space="preserve">
The costs of coverage extension can be funded through debt (for example, taking out a loan), or through equity (that is, equity injections by the private operator, the contracting authority, or both)</t>
        </r>
      </text>
    </comment>
    <comment ref="B39" authorId="0" shapeId="0" xr:uid="{00000000-0006-0000-0000-00001F000000}">
      <text>
        <r>
          <rPr>
            <b/>
            <sz val="10"/>
            <color indexed="81"/>
            <rFont val="Arial"/>
            <family val="2"/>
          </rPr>
          <t>Policy choices:</t>
        </r>
        <r>
          <rPr>
            <sz val="10"/>
            <color indexed="81"/>
            <rFont val="Arial"/>
            <family val="2"/>
          </rPr>
          <t xml:space="preserve">
If the investment is funded by debt, then there is an option of either issuing this loan in domestic currency (pesos) or foreign currency (dollars).</t>
        </r>
      </text>
    </comment>
    <comment ref="B42" authorId="0" shapeId="0" xr:uid="{00000000-0006-0000-0000-000020000000}">
      <text>
        <r>
          <rPr>
            <b/>
            <sz val="10"/>
            <color indexed="81"/>
            <rFont val="Arial"/>
            <family val="2"/>
          </rPr>
          <t>Policy choices:</t>
        </r>
        <r>
          <rPr>
            <sz val="10"/>
            <color indexed="81"/>
            <rFont val="Arial"/>
            <family val="2"/>
          </rPr>
          <t xml:space="preserve">
If the private operator pays for all  investment, then this is set to 100%. If the contracting authority is fully responsbile, then this is 0%. </t>
        </r>
      </text>
    </comment>
    <comment ref="B44" authorId="0" shapeId="0" xr:uid="{00000000-0006-0000-0000-000021000000}">
      <text>
        <r>
          <rPr>
            <b/>
            <sz val="10"/>
            <color indexed="81"/>
            <rFont val="Arial"/>
            <family val="2"/>
          </rPr>
          <t>Other assumptions:</t>
        </r>
        <r>
          <rPr>
            <sz val="10"/>
            <color indexed="81"/>
            <rFont val="Arial"/>
            <family val="2"/>
          </rPr>
          <t xml:space="preserve">
Real interest rate, assumed to remain constant over the life of the contract.</t>
        </r>
      </text>
    </comment>
    <comment ref="B45" authorId="0" shapeId="0" xr:uid="{00000000-0006-0000-0000-000022000000}">
      <text>
        <r>
          <rPr>
            <b/>
            <sz val="10"/>
            <color indexed="81"/>
            <rFont val="Arial"/>
            <family val="2"/>
          </rPr>
          <t>Other assumptions:</t>
        </r>
        <r>
          <rPr>
            <sz val="10"/>
            <color indexed="81"/>
            <rFont val="Arial"/>
            <family val="2"/>
          </rPr>
          <t xml:space="preserve">
Initial asset base, expressed in pesos.</t>
        </r>
      </text>
    </comment>
    <comment ref="B46" authorId="0" shapeId="0" xr:uid="{00000000-0006-0000-0000-000023000000}">
      <text>
        <r>
          <rPr>
            <b/>
            <sz val="10"/>
            <color rgb="FF000000"/>
            <rFont val="Arial"/>
            <family val="2"/>
          </rPr>
          <t>Other assumptions:</t>
        </r>
        <r>
          <rPr>
            <sz val="10"/>
            <color rgb="FF000000"/>
            <rFont val="Arial"/>
            <family val="2"/>
          </rPr>
          <t xml:space="preserve">
</t>
        </r>
        <r>
          <rPr>
            <sz val="10"/>
            <color rgb="FF000000"/>
            <rFont val="Arial"/>
            <family val="2"/>
          </rPr>
          <t>Annual depreciation rate. Depreciation charge in each year is Depreciate rate * Value of opening assets.</t>
        </r>
      </text>
    </comment>
    <comment ref="B47" authorId="0" shapeId="0" xr:uid="{00000000-0006-0000-0000-000024000000}">
      <text>
        <r>
          <rPr>
            <b/>
            <sz val="10"/>
            <color indexed="81"/>
            <rFont val="Arial"/>
            <family val="2"/>
          </rPr>
          <t>Policy choices:</t>
        </r>
        <r>
          <rPr>
            <sz val="10"/>
            <color indexed="81"/>
            <rFont val="Arial"/>
            <family val="2"/>
          </rPr>
          <t xml:space="preserve">
Frequency of tariff resets.</t>
        </r>
      </text>
    </comment>
    <comment ref="B48" authorId="0" shapeId="0" xr:uid="{00000000-0006-0000-0000-000025000000}">
      <text>
        <r>
          <rPr>
            <b/>
            <sz val="10"/>
            <color rgb="FF000000"/>
            <rFont val="Arial"/>
            <family val="2"/>
          </rPr>
          <t>Policy choices:</t>
        </r>
        <r>
          <rPr>
            <sz val="10"/>
            <color rgb="FF000000"/>
            <rFont val="Arial"/>
            <family val="2"/>
          </rPr>
          <t xml:space="preserve">
</t>
        </r>
        <r>
          <rPr>
            <sz val="10"/>
            <color rgb="FF000000"/>
            <rFont val="Arial"/>
            <family val="2"/>
          </rPr>
          <t>Lease payments, concession fees and license fees can be represented by negative annual payments, i.e. payments from the operator to the contracting authority.</t>
        </r>
      </text>
    </comment>
    <comment ref="B49" authorId="0" shapeId="0" xr:uid="{6BA5950B-C0B3-47E3-ABCD-83D2B9FF4A5B}">
      <text>
        <r>
          <rPr>
            <b/>
            <sz val="10"/>
            <color rgb="FF000000"/>
            <rFont val="Arial"/>
            <family val="2"/>
          </rPr>
          <t>Policy choices:</t>
        </r>
        <r>
          <rPr>
            <sz val="10"/>
            <color rgb="FF000000"/>
            <rFont val="Arial"/>
            <family val="2"/>
          </rPr>
          <t xml:space="preserve">
</t>
        </r>
        <r>
          <rPr>
            <sz val="10"/>
            <color rgb="FF000000"/>
            <rFont val="Arial"/>
            <family val="2"/>
          </rPr>
          <t>Tariff charged to households that are connected to the water system prior to the introduction of the private operator, expressed in terms of pesos per cubic meter.</t>
        </r>
      </text>
    </comment>
    <comment ref="B50" authorId="0" shapeId="0" xr:uid="{D3DC0C40-DCFA-4DE5-B664-AC0C0DFCF6CD}">
      <text>
        <r>
          <rPr>
            <b/>
            <sz val="10"/>
            <color rgb="FF000000"/>
            <rFont val="Arial"/>
            <family val="2"/>
          </rPr>
          <t>Policy choices:</t>
        </r>
        <r>
          <rPr>
            <sz val="10"/>
            <color rgb="FF000000"/>
            <rFont val="Arial"/>
            <family val="2"/>
          </rPr>
          <t xml:space="preserve">
</t>
        </r>
        <r>
          <rPr>
            <sz val="10"/>
            <color rgb="FF000000"/>
            <rFont val="Arial"/>
            <family val="2"/>
          </rPr>
          <t>Tariff charged to households that obtain water from other methods (e.g. water tankers, river sources), expressed in terms of pesos per cubic meter.</t>
        </r>
      </text>
    </comment>
    <comment ref="B51" authorId="0" shapeId="0" xr:uid="{AE67BC00-4FDD-4417-80A3-BDC97BDBBCB0}">
      <text>
        <r>
          <rPr>
            <b/>
            <sz val="10"/>
            <color rgb="FF000000"/>
            <rFont val="Arial"/>
            <family val="2"/>
          </rPr>
          <t>Policy choices:</t>
        </r>
        <r>
          <rPr>
            <sz val="10"/>
            <color rgb="FF000000"/>
            <rFont val="Arial"/>
            <family val="2"/>
          </rPr>
          <t xml:space="preserve">
</t>
        </r>
        <r>
          <rPr>
            <sz val="10"/>
            <color rgb="FF000000"/>
            <rFont val="Arial"/>
            <family val="2"/>
          </rPr>
          <t>Additional cost incurred by unconnected households in order to obtain water, such as time traveled to river source, cost of installing water storage.</t>
        </r>
      </text>
    </comment>
    <comment ref="B52" authorId="0" shapeId="0" xr:uid="{605DFB13-D1C6-49BA-A378-1D4AF58037A2}">
      <text>
        <r>
          <rPr>
            <sz val="10"/>
            <color indexed="81"/>
            <rFont val="Arial"/>
            <family val="2"/>
          </rPr>
          <t>Willingness to pay (per cubic meter) for a household connections versus other sources, expressed as a percentage of what is currently charged.</t>
        </r>
      </text>
    </comment>
    <comment ref="B53" authorId="0" shapeId="0" xr:uid="{D25883B7-8ABA-4D28-B2D2-0E3A7ECF5FED}">
      <text>
        <r>
          <rPr>
            <sz val="10"/>
            <color indexed="81"/>
            <rFont val="Arial"/>
            <family val="2"/>
          </rPr>
          <t>Willingness to pay (per cubic meter) for a household connections versus other sources, expressed as a percentage of what is currently charged.</t>
        </r>
      </text>
    </comment>
    <comment ref="B54" authorId="0" shapeId="0" xr:uid="{842AA2F5-5890-4015-A1C5-D21D2C4CF518}">
      <text>
        <r>
          <rPr>
            <sz val="10"/>
            <color indexed="81"/>
            <rFont val="Arial"/>
            <family val="2"/>
          </rPr>
          <t>Willingness to incur coping costs to remain unconnected to the water system.</t>
        </r>
      </text>
    </comment>
    <comment ref="E57" authorId="0" shapeId="0" xr:uid="{C19848B8-AC04-47B2-8DFE-80B4168A804F}">
      <text>
        <r>
          <rPr>
            <b/>
            <sz val="10"/>
            <color rgb="FF000000"/>
            <rFont val="Arial"/>
            <family val="2"/>
          </rPr>
          <t>Other assumptions:</t>
        </r>
        <r>
          <rPr>
            <sz val="10"/>
            <color rgb="FF000000"/>
            <rFont val="Arial"/>
            <family val="2"/>
          </rPr>
          <t xml:space="preserve">
</t>
        </r>
        <r>
          <rPr>
            <sz val="10"/>
            <color rgb="FF000000"/>
            <rFont val="Arial"/>
            <family val="2"/>
          </rPr>
          <t>Willingness to pay (per cubic meter) for a household connections versus other sources, expressed as a percentage of what is currently charged.</t>
        </r>
      </text>
    </comment>
    <comment ref="F57" authorId="0" shapeId="0" xr:uid="{911142D0-B500-4F34-B80C-DDC8568A99AF}">
      <text>
        <r>
          <rPr>
            <b/>
            <sz val="10"/>
            <color indexed="81"/>
            <rFont val="Arial"/>
            <family val="2"/>
          </rPr>
          <t>Other assumptions:</t>
        </r>
        <r>
          <rPr>
            <sz val="10"/>
            <color indexed="81"/>
            <rFont val="Arial"/>
            <family val="2"/>
          </rPr>
          <t xml:space="preserve">
Willingness to incur coping costs to remain unconnected to the water system.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Helen Lay</author>
  </authors>
  <commentList>
    <comment ref="C4" authorId="0" shapeId="0" xr:uid="{00000000-0006-0000-0100-000001000000}">
      <text>
        <r>
          <rPr>
            <b/>
            <sz val="10"/>
            <color indexed="81"/>
            <rFont val="Arial"/>
            <family val="2"/>
          </rPr>
          <t>Results - No risk:</t>
        </r>
        <r>
          <rPr>
            <sz val="10"/>
            <color indexed="81"/>
            <rFont val="Arial"/>
            <family val="2"/>
          </rPr>
          <t xml:space="preserve">
Inflation (i.e. the rate of growth of the Consumer Price Index) is assumed to have a long-run average level to which it tends to converge.</t>
        </r>
      </text>
    </comment>
    <comment ref="C8" authorId="0" shapeId="0" xr:uid="{00000000-0006-0000-0100-000002000000}">
      <text>
        <r>
          <rPr>
            <b/>
            <sz val="10"/>
            <color indexed="81"/>
            <rFont val="Arial"/>
            <family val="2"/>
          </rPr>
          <t>Results - No risk:</t>
        </r>
        <r>
          <rPr>
            <sz val="10"/>
            <color indexed="81"/>
            <rFont val="Arial"/>
            <family val="2"/>
          </rPr>
          <t xml:space="preserve">
Real exchange rate is assumed to depreciate (or appreciate) at a constant rate per year.</t>
        </r>
      </text>
    </comment>
    <comment ref="C9" authorId="0" shapeId="0" xr:uid="{00000000-0006-0000-0100-000003000000}">
      <text>
        <r>
          <rPr>
            <b/>
            <sz val="10"/>
            <color indexed="81"/>
            <rFont val="Arial"/>
            <family val="2"/>
          </rPr>
          <t>Results - No risk:</t>
        </r>
        <r>
          <rPr>
            <sz val="10"/>
            <color indexed="81"/>
            <rFont val="Arial"/>
            <family val="2"/>
          </rPr>
          <t xml:space="preserve">
Nominal exchange rate is assumed to the Real exchange rate, inflated at the current inflation.</t>
        </r>
      </text>
    </comment>
    <comment ref="C11" authorId="0" shapeId="0" xr:uid="{00000000-0006-0000-0100-000004000000}">
      <text>
        <r>
          <rPr>
            <b/>
            <sz val="10"/>
            <color indexed="81"/>
            <rFont val="Arial"/>
            <family val="2"/>
          </rPr>
          <t>Results - No risk:</t>
        </r>
        <r>
          <rPr>
            <sz val="10"/>
            <color indexed="81"/>
            <rFont val="Arial"/>
            <family val="2"/>
          </rPr>
          <t xml:space="preserve">
Discount factor used to calculate the discounted cash flows.</t>
        </r>
      </text>
    </comment>
    <comment ref="C15" authorId="0" shapeId="0" xr:uid="{00000000-0006-0000-0100-000005000000}">
      <text>
        <r>
          <rPr>
            <b/>
            <sz val="10"/>
            <color indexed="81"/>
            <rFont val="Arial"/>
            <family val="2"/>
          </rPr>
          <t>Results - No risk:</t>
        </r>
        <r>
          <rPr>
            <sz val="10"/>
            <color indexed="81"/>
            <rFont val="Arial"/>
            <family val="2"/>
          </rPr>
          <t xml:space="preserve">
Potential connections is the total number of households, whether they are currently connected to the network or not. This is assumed to grow at a constant rate per year</t>
        </r>
      </text>
    </comment>
    <comment ref="C16" authorId="0" shapeId="0" xr:uid="{00000000-0006-0000-0100-000006000000}">
      <text>
        <r>
          <rPr>
            <b/>
            <sz val="10"/>
            <color indexed="81"/>
            <rFont val="Arial"/>
            <family val="2"/>
          </rPr>
          <t>Results - No risk:</t>
        </r>
        <r>
          <rPr>
            <sz val="10"/>
            <color indexed="81"/>
            <rFont val="Arial"/>
            <family val="2"/>
          </rPr>
          <t xml:space="preserve">
Coverage is the proportion of connected households to potential connections (i.e. total households). Coverage is assumed to increase from existing level to the Target level following an S-shaped curve.</t>
        </r>
      </text>
    </comment>
    <comment ref="C17" authorId="0" shapeId="0" xr:uid="{00000000-0006-0000-0100-000007000000}">
      <text>
        <r>
          <rPr>
            <b/>
            <sz val="10"/>
            <color indexed="81"/>
            <rFont val="Arial"/>
            <family val="2"/>
          </rPr>
          <t>Results - No risk:</t>
        </r>
        <r>
          <rPr>
            <sz val="10"/>
            <color indexed="81"/>
            <rFont val="Arial"/>
            <family val="2"/>
          </rPr>
          <t xml:space="preserve">
Number of connections is calculated as:
Potential connections * Coverage</t>
        </r>
      </text>
    </comment>
    <comment ref="C18" authorId="0" shapeId="0" xr:uid="{00000000-0006-0000-0100-000008000000}">
      <text>
        <r>
          <rPr>
            <b/>
            <sz val="10"/>
            <color indexed="81"/>
            <rFont val="Arial"/>
            <family val="2"/>
          </rPr>
          <t>Results - No risk:</t>
        </r>
        <r>
          <rPr>
            <sz val="10"/>
            <color indexed="81"/>
            <rFont val="Arial"/>
            <family val="2"/>
          </rPr>
          <t xml:space="preserve">
New connections over a year is the difference between Connections in the current period and Connections in the previous period.</t>
        </r>
      </text>
    </comment>
    <comment ref="C20" authorId="0" shapeId="0" xr:uid="{00000000-0006-0000-0100-000009000000}">
      <text>
        <r>
          <rPr>
            <b/>
            <sz val="10"/>
            <color indexed="81"/>
            <rFont val="Arial"/>
            <family val="2"/>
          </rPr>
          <t>Results - No risk:</t>
        </r>
        <r>
          <rPr>
            <sz val="10"/>
            <color indexed="81"/>
            <rFont val="Arial"/>
            <family val="2"/>
          </rPr>
          <t xml:space="preserve">
Demand is expressed as litres per connection per day, and is assumed to grow at a constant rate per year.</t>
        </r>
      </text>
    </comment>
    <comment ref="C21" authorId="0" shapeId="0" xr:uid="{00000000-0006-0000-0100-00000A000000}">
      <text>
        <r>
          <rPr>
            <b/>
            <sz val="10"/>
            <color indexed="81"/>
            <rFont val="Arial"/>
            <family val="2"/>
          </rPr>
          <t>Results - No risk:</t>
        </r>
        <r>
          <rPr>
            <sz val="10"/>
            <color indexed="81"/>
            <rFont val="Arial"/>
            <family val="2"/>
          </rPr>
          <t xml:space="preserve">
Total demand, expressed in millions of cubic meters is:
Demand * 365 days / 1000 / 1000000</t>
        </r>
      </text>
    </comment>
    <comment ref="C23" authorId="0" shapeId="0" xr:uid="{00000000-0006-0000-0100-00000B000000}">
      <text>
        <r>
          <rPr>
            <b/>
            <sz val="10"/>
            <color indexed="81"/>
            <rFont val="Arial"/>
            <family val="2"/>
          </rPr>
          <t>Results - No risk:</t>
        </r>
        <r>
          <rPr>
            <sz val="10"/>
            <color indexed="81"/>
            <rFont val="Arial"/>
            <family val="2"/>
          </rPr>
          <t xml:space="preserve">
Non-revenue water is assumed to decrease from existing levels to a Target level following an S-shaped curve.</t>
        </r>
      </text>
    </comment>
    <comment ref="C24" authorId="0" shapeId="0" xr:uid="{00000000-0006-0000-0100-00000C000000}">
      <text>
        <r>
          <rPr>
            <b/>
            <sz val="10"/>
            <color indexed="81"/>
            <rFont val="Arial"/>
            <family val="2"/>
          </rPr>
          <t>Results - No risk:</t>
        </r>
        <r>
          <rPr>
            <sz val="10"/>
            <color indexed="81"/>
            <rFont val="Arial"/>
            <family val="2"/>
          </rPr>
          <t xml:space="preserve">
Collection rate is the proportion of total billed demand that is collected, i.e. the remainder is assumed to be bad debt. This rate is assumed to grow from existing levels to a Target level following an S-shaped curve.</t>
        </r>
      </text>
    </comment>
    <comment ref="C27" authorId="0" shapeId="0" xr:uid="{00000000-0006-0000-0100-00000D000000}">
      <text>
        <r>
          <rPr>
            <b/>
            <sz val="10"/>
            <color indexed="81"/>
            <rFont val="Arial"/>
            <family val="2"/>
          </rPr>
          <t>Results - No risk:</t>
        </r>
        <r>
          <rPr>
            <sz val="10"/>
            <color indexed="81"/>
            <rFont val="Arial"/>
            <family val="2"/>
          </rPr>
          <t xml:space="preserve">
Costs and subsidies are expressed in real terms.</t>
        </r>
      </text>
    </comment>
    <comment ref="C30" authorId="0" shapeId="0" xr:uid="{00000000-0006-0000-0100-00000E000000}">
      <text>
        <r>
          <rPr>
            <b/>
            <sz val="10"/>
            <color indexed="81"/>
            <rFont val="Arial"/>
            <family val="2"/>
          </rPr>
          <t>Results - No risk:</t>
        </r>
        <r>
          <rPr>
            <sz val="10"/>
            <color indexed="81"/>
            <rFont val="Arial"/>
            <family val="2"/>
          </rPr>
          <t xml:space="preserve">
Fixed costs that are denominated in pesos, expressed in millions of pesos.</t>
        </r>
      </text>
    </comment>
    <comment ref="C31" authorId="0" shapeId="0" xr:uid="{00000000-0006-0000-0100-00000F000000}">
      <text>
        <r>
          <rPr>
            <b/>
            <sz val="10"/>
            <color indexed="81"/>
            <rFont val="Arial"/>
            <family val="2"/>
          </rPr>
          <t>Results - No risk:</t>
        </r>
        <r>
          <rPr>
            <sz val="10"/>
            <color indexed="81"/>
            <rFont val="Arial"/>
            <family val="2"/>
          </rPr>
          <t xml:space="preserve">
Fixed costs that are denominated in dollars, expressed in millions of dollars.</t>
        </r>
      </text>
    </comment>
    <comment ref="C33" authorId="0" shapeId="0" xr:uid="{00000000-0006-0000-0100-000010000000}">
      <text>
        <r>
          <rPr>
            <b/>
            <sz val="10"/>
            <color indexed="81"/>
            <rFont val="Arial"/>
            <family val="2"/>
          </rPr>
          <t>Results - No risk:</t>
        </r>
        <r>
          <rPr>
            <sz val="10"/>
            <color indexed="81"/>
            <rFont val="Arial"/>
            <family val="2"/>
          </rPr>
          <t xml:space="preserve">
Variable cost per cubic meter, expressed in pesos per cubic meter.</t>
        </r>
      </text>
    </comment>
    <comment ref="C34" authorId="0" shapeId="0" xr:uid="{00000000-0006-0000-0100-000011000000}">
      <text>
        <r>
          <rPr>
            <b/>
            <sz val="10"/>
            <color indexed="81"/>
            <rFont val="Arial"/>
            <family val="2"/>
          </rPr>
          <t>Results - No risk:</t>
        </r>
        <r>
          <rPr>
            <sz val="10"/>
            <color indexed="81"/>
            <rFont val="Arial"/>
            <family val="2"/>
          </rPr>
          <t xml:space="preserve">
Variable cost per cubic meter, expressed in dollars per cubic meter.</t>
        </r>
      </text>
    </comment>
    <comment ref="C37" authorId="0" shapeId="0" xr:uid="{00000000-0006-0000-0100-000012000000}">
      <text>
        <r>
          <rPr>
            <b/>
            <sz val="10"/>
            <color indexed="81"/>
            <rFont val="Arial"/>
            <family val="2"/>
          </rPr>
          <t>Results - No risk:</t>
        </r>
        <r>
          <rPr>
            <sz val="10"/>
            <color indexed="81"/>
            <rFont val="Arial"/>
            <family val="2"/>
          </rPr>
          <t xml:space="preserve">
Financing costs are expressed in nominal terms.</t>
        </r>
      </text>
    </comment>
    <comment ref="C38" authorId="0" shapeId="0" xr:uid="{00000000-0006-0000-0100-000013000000}">
      <text>
        <r>
          <rPr>
            <b/>
            <sz val="10"/>
            <color indexed="81"/>
            <rFont val="Arial"/>
            <family val="2"/>
          </rPr>
          <t>Results - No risk:</t>
        </r>
        <r>
          <rPr>
            <sz val="10"/>
            <color indexed="81"/>
            <rFont val="Arial"/>
            <family val="2"/>
          </rPr>
          <t xml:space="preserve">
Total cost of coverage extension, expressed in millions of pesos. This is calculated as Investment cost per connection * Number of new connections.</t>
        </r>
      </text>
    </comment>
    <comment ref="C39" authorId="0" shapeId="0" xr:uid="{00000000-0006-0000-0100-000014000000}">
      <text>
        <r>
          <rPr>
            <b/>
            <sz val="10"/>
            <color indexed="81"/>
            <rFont val="Arial"/>
            <family val="2"/>
          </rPr>
          <t>Results - No risk:</t>
        </r>
        <r>
          <rPr>
            <sz val="10"/>
            <color indexed="81"/>
            <rFont val="Arial"/>
            <family val="2"/>
          </rPr>
          <t xml:space="preserve">
Proportion of coverage extension costs that will be financed by debt. This is calculated as Coverage extension costs * Proportion financed by debt.</t>
        </r>
      </text>
    </comment>
    <comment ref="C41" authorId="0" shapeId="0" xr:uid="{00000000-0006-0000-0100-000015000000}">
      <text>
        <r>
          <rPr>
            <b/>
            <sz val="10"/>
            <color rgb="FF000000"/>
            <rFont val="Arial"/>
            <family val="2"/>
          </rPr>
          <t>Results - No risk:</t>
        </r>
        <r>
          <rPr>
            <sz val="10"/>
            <color rgb="FF000000"/>
            <rFont val="Arial"/>
            <family val="2"/>
          </rPr>
          <t xml:space="preserve">
</t>
        </r>
        <r>
          <rPr>
            <sz val="10"/>
            <color rgb="FF000000"/>
            <rFont val="Arial"/>
            <family val="2"/>
          </rPr>
          <t>Loan repayment calculations, assuming loans are taken out "as needed" in each year. Annual loan repayment is Total loan amount for the year divided by Loan period, starting from the year it is taken out, and goes on for the duration of the loan.</t>
        </r>
      </text>
    </comment>
    <comment ref="C82" authorId="0" shapeId="0" xr:uid="{00000000-0006-0000-0100-000016000000}">
      <text>
        <r>
          <rPr>
            <b/>
            <sz val="10"/>
            <color rgb="FF000000"/>
            <rFont val="Arial"/>
            <family val="2"/>
          </rPr>
          <t>Results - No risk:</t>
        </r>
        <r>
          <rPr>
            <sz val="10"/>
            <color rgb="FF000000"/>
            <rFont val="Arial"/>
            <family val="2"/>
          </rPr>
          <t xml:space="preserve">
</t>
        </r>
        <r>
          <rPr>
            <sz val="10"/>
            <color rgb="FF000000"/>
            <rFont val="Arial"/>
            <family val="2"/>
          </rPr>
          <t>Total loan repayment in each year.</t>
        </r>
      </text>
    </comment>
    <comment ref="C84" authorId="0" shapeId="0" xr:uid="{00000000-0006-0000-0100-000017000000}">
      <text>
        <r>
          <rPr>
            <b/>
            <sz val="10"/>
            <color indexed="81"/>
            <rFont val="Arial"/>
            <family val="2"/>
          </rPr>
          <t>Results - No risk:</t>
        </r>
        <r>
          <rPr>
            <sz val="10"/>
            <color indexed="81"/>
            <rFont val="Arial"/>
            <family val="2"/>
          </rPr>
          <t xml:space="preserve">
Principal part of the loan that is still outstanding.</t>
        </r>
      </text>
    </comment>
    <comment ref="C85" authorId="0" shapeId="0" xr:uid="{00000000-0006-0000-0100-000018000000}">
      <text>
        <r>
          <rPr>
            <b/>
            <sz val="10"/>
            <color indexed="81"/>
            <rFont val="Arial"/>
            <family val="2"/>
          </rPr>
          <t>Results - No risk:</t>
        </r>
        <r>
          <rPr>
            <sz val="10"/>
            <color indexed="81"/>
            <rFont val="Arial"/>
            <family val="2"/>
          </rPr>
          <t xml:space="preserve">
Loan repayment in each year.</t>
        </r>
      </text>
    </comment>
    <comment ref="C86" authorId="0" shapeId="0" xr:uid="{00000000-0006-0000-0100-000019000000}">
      <text>
        <r>
          <rPr>
            <b/>
            <sz val="10"/>
            <color indexed="81"/>
            <rFont val="Arial"/>
            <family val="2"/>
          </rPr>
          <t>Results - No risk:</t>
        </r>
        <r>
          <rPr>
            <sz val="10"/>
            <color indexed="81"/>
            <rFont val="Arial"/>
            <family val="2"/>
          </rPr>
          <t xml:space="preserve">
Interest is paid on the outstanding principal, i.e. Interest payment = Outstanding principal * Interest rate. The interest rate is assumed to be constant.</t>
        </r>
      </text>
    </comment>
    <comment ref="C88" authorId="0" shapeId="0" xr:uid="{00000000-0006-0000-0100-00001A000000}">
      <text>
        <r>
          <rPr>
            <b/>
            <sz val="10"/>
            <color indexed="81"/>
            <rFont val="Arial"/>
            <family val="2"/>
          </rPr>
          <t>Results - No risk:</t>
        </r>
        <r>
          <rPr>
            <sz val="10"/>
            <color indexed="81"/>
            <rFont val="Arial"/>
            <family val="2"/>
          </rPr>
          <t xml:space="preserve">
Financing cost is split between the operator and the contracting authority.</t>
        </r>
      </text>
    </comment>
    <comment ref="C98" authorId="0" shapeId="0" xr:uid="{00000000-0006-0000-0100-00001B000000}">
      <text>
        <r>
          <rPr>
            <b/>
            <sz val="10"/>
            <color indexed="81"/>
            <rFont val="Arial"/>
            <family val="2"/>
          </rPr>
          <t>Results - No risk:</t>
        </r>
        <r>
          <rPr>
            <sz val="10"/>
            <color indexed="81"/>
            <rFont val="Arial"/>
            <family val="2"/>
          </rPr>
          <t xml:space="preserve">
Tariff resets are calculated as the net present value of revenue requirement over the reset period divided by the net present value of billed demand. The revenue requirement is expressed in real terms, so that the calculated tariff is in real terms.</t>
        </r>
      </text>
    </comment>
    <comment ref="C99" authorId="0" shapeId="0" xr:uid="{00000000-0006-0000-0100-00001C000000}">
      <text>
        <r>
          <rPr>
            <b/>
            <sz val="10"/>
            <color indexed="81"/>
            <rFont val="Arial"/>
            <family val="2"/>
          </rPr>
          <t>Results - No risk:</t>
        </r>
        <r>
          <rPr>
            <sz val="10"/>
            <color indexed="81"/>
            <rFont val="Arial"/>
            <family val="2"/>
          </rPr>
          <t xml:space="preserve">
Asset base is calculated in nominal terms, expressed in millions of pesos.</t>
        </r>
      </text>
    </comment>
    <comment ref="C101" authorId="0" shapeId="0" xr:uid="{00000000-0006-0000-0100-00001D000000}">
      <text>
        <r>
          <rPr>
            <b/>
            <sz val="10"/>
            <color rgb="FF000000"/>
            <rFont val="Arial"/>
            <family val="2"/>
          </rPr>
          <t>Results - No risk:</t>
        </r>
        <r>
          <rPr>
            <sz val="10"/>
            <color rgb="FF000000"/>
            <rFont val="Arial"/>
            <family val="2"/>
          </rPr>
          <t xml:space="preserve">
</t>
        </r>
        <r>
          <rPr>
            <sz val="10"/>
            <color rgb="FF000000"/>
            <rFont val="Arial"/>
            <family val="2"/>
          </rPr>
          <t>Depreciation is calculated as Initial asset base * Depreciation rate.</t>
        </r>
      </text>
    </comment>
    <comment ref="C102" authorId="0" shapeId="0" xr:uid="{00000000-0006-0000-0100-00001E000000}">
      <text>
        <r>
          <rPr>
            <b/>
            <sz val="10"/>
            <color indexed="81"/>
            <rFont val="Arial"/>
            <family val="2"/>
          </rPr>
          <t>Results - No risk:</t>
        </r>
        <r>
          <rPr>
            <sz val="10"/>
            <color indexed="81"/>
            <rFont val="Arial"/>
            <family val="2"/>
          </rPr>
          <t xml:space="preserve">
The model assumes that maintenance costs are necessary to keep the exisitng asset base constant in real terms.</t>
        </r>
      </text>
    </comment>
    <comment ref="C103" authorId="0" shapeId="0" xr:uid="{00000000-0006-0000-0100-00001F000000}">
      <text>
        <r>
          <rPr>
            <b/>
            <sz val="10"/>
            <color rgb="FF000000"/>
            <rFont val="Arial"/>
            <family val="2"/>
          </rPr>
          <t>Results - No risk:</t>
        </r>
        <r>
          <rPr>
            <sz val="10"/>
            <color rgb="FF000000"/>
            <rFont val="Arial"/>
            <family val="2"/>
          </rPr>
          <t xml:space="preserve">
</t>
        </r>
        <r>
          <rPr>
            <sz val="10"/>
            <color rgb="FF000000"/>
            <rFont val="Arial"/>
            <family val="2"/>
          </rPr>
          <t>Final asset base is Initial asset base - Depreciation + Maintenance costs.</t>
        </r>
      </text>
    </comment>
    <comment ref="C105" authorId="0" shapeId="0" xr:uid="{00000000-0006-0000-0100-000020000000}">
      <text>
        <r>
          <rPr>
            <b/>
            <sz val="10"/>
            <color indexed="81"/>
            <rFont val="Arial"/>
            <family val="2"/>
          </rPr>
          <t>Results - No risk:</t>
        </r>
        <r>
          <rPr>
            <sz val="10"/>
            <color indexed="81"/>
            <rFont val="Arial"/>
            <family val="2"/>
          </rPr>
          <t xml:space="preserve">
The same is calculated for the new assets, arising from coverage extension investments.</t>
        </r>
      </text>
    </comment>
    <comment ref="C112" authorId="0" shapeId="0" xr:uid="{00000000-0006-0000-0100-000021000000}">
      <text>
        <r>
          <rPr>
            <b/>
            <sz val="10"/>
            <color indexed="81"/>
            <rFont val="Arial"/>
            <family val="2"/>
          </rPr>
          <t>Results - No risk:</t>
        </r>
        <r>
          <rPr>
            <sz val="10"/>
            <color indexed="81"/>
            <rFont val="Arial"/>
            <family val="2"/>
          </rPr>
          <t xml:space="preserve">
Demand is discounted at the beginning of each reset period for the following reset period. This is used as the denominator in the tariff reset calculations.</t>
        </r>
      </text>
    </comment>
    <comment ref="C113" authorId="0" shapeId="0" xr:uid="{00000000-0006-0000-0100-000022000000}">
      <text>
        <r>
          <rPr>
            <b/>
            <sz val="10"/>
            <color indexed="81"/>
            <rFont val="Arial"/>
            <family val="2"/>
          </rPr>
          <t>Results - No risk:</t>
        </r>
        <r>
          <rPr>
            <sz val="10"/>
            <color indexed="81"/>
            <rFont val="Arial"/>
            <family val="2"/>
          </rPr>
          <t xml:space="preserve">
The return on new assets is split between the operator and contracting authority, depending on the proportion financed by each party.</t>
        </r>
      </text>
    </comment>
    <comment ref="C116" authorId="0" shapeId="0" xr:uid="{00000000-0006-0000-0100-000023000000}">
      <text>
        <r>
          <rPr>
            <b/>
            <sz val="10"/>
            <color indexed="81"/>
            <rFont val="Arial"/>
            <family val="2"/>
          </rPr>
          <t>Results - No risk:</t>
        </r>
        <r>
          <rPr>
            <sz val="10"/>
            <color indexed="81"/>
            <rFont val="Arial"/>
            <family val="2"/>
          </rPr>
          <t xml:space="preserve">
The depreciation on new assets is split between the operator and contracting authority, depending on the proportion financed by each party.</t>
        </r>
      </text>
    </comment>
    <comment ref="C122" authorId="0" shapeId="0" xr:uid="{00000000-0006-0000-0100-000024000000}">
      <text>
        <r>
          <rPr>
            <b/>
            <sz val="10"/>
            <color indexed="81"/>
            <rFont val="Arial"/>
            <family val="2"/>
          </rPr>
          <t>Results - No risk:</t>
        </r>
        <r>
          <rPr>
            <sz val="10"/>
            <color indexed="81"/>
            <rFont val="Arial"/>
            <family val="2"/>
          </rPr>
          <t xml:space="preserve">
Subsidies paid to the operator from the contracting authority lowers the tariff paid by customers.
Payments from operator to the contracting authority do not lower tariffs, and are not included in the revenue requirement.</t>
        </r>
      </text>
    </comment>
    <comment ref="C124" authorId="0" shapeId="0" xr:uid="{00000000-0006-0000-0100-000025000000}">
      <text>
        <r>
          <rPr>
            <b/>
            <sz val="10"/>
            <color indexed="81"/>
            <rFont val="Arial"/>
            <family val="2"/>
          </rPr>
          <t>Results - No risk:</t>
        </r>
        <r>
          <rPr>
            <sz val="10"/>
            <color indexed="81"/>
            <rFont val="Arial"/>
            <family val="2"/>
          </rPr>
          <t xml:space="preserve">
Annual revenue requirement for the two parties. The contracting authority collects the return and depreciation on existing assets and new assets. The operator collects all other cost items.</t>
        </r>
      </text>
    </comment>
    <comment ref="C134" authorId="0" shapeId="0" xr:uid="{00000000-0006-0000-0100-000026000000}">
      <text>
        <r>
          <rPr>
            <b/>
            <sz val="10"/>
            <color indexed="81"/>
            <rFont val="Arial"/>
            <family val="2"/>
          </rPr>
          <t>Results - No risk:</t>
        </r>
        <r>
          <rPr>
            <sz val="10"/>
            <color indexed="81"/>
            <rFont val="Arial"/>
            <family val="2"/>
          </rPr>
          <t xml:space="preserve">
Revenue requirement is discounted at the beginning of each reset period for the following reset period. This is used as the numerator in the tariff reset calculations.</t>
        </r>
      </text>
    </comment>
    <comment ref="C138" authorId="0" shapeId="0" xr:uid="{00000000-0006-0000-0100-000027000000}">
      <text>
        <r>
          <rPr>
            <b/>
            <sz val="10"/>
            <color indexed="81"/>
            <rFont val="Arial"/>
            <family val="2"/>
          </rPr>
          <t>Results - No risk:</t>
        </r>
        <r>
          <rPr>
            <sz val="10"/>
            <color indexed="81"/>
            <rFont val="Arial"/>
            <family val="2"/>
          </rPr>
          <t xml:space="preserve">
Revenue required per cubic meter is the discounted revenue requirement divided by discounted demand.</t>
        </r>
      </text>
    </comment>
    <comment ref="C147" authorId="0" shapeId="0" xr:uid="{00000000-0006-0000-0100-000028000000}">
      <text>
        <r>
          <rPr>
            <b/>
            <sz val="10"/>
            <color indexed="81"/>
            <rFont val="Arial"/>
            <family val="2"/>
          </rPr>
          <t>Results - No risk:</t>
        </r>
        <r>
          <rPr>
            <sz val="10"/>
            <color indexed="81"/>
            <rFont val="Arial"/>
            <family val="2"/>
          </rPr>
          <t xml:space="preserve">
Revenue required determined in real terms, so tariff indexation, if chosen, allows the tariffs to increase at the rate of inflation. Tariffs calculated here are in nominal terms.</t>
        </r>
      </text>
    </comment>
    <comment ref="C156" authorId="0" shapeId="0" xr:uid="{00000000-0006-0000-0100-000029000000}">
      <text>
        <r>
          <rPr>
            <b/>
            <sz val="10"/>
            <color indexed="81"/>
            <rFont val="Arial"/>
            <family val="2"/>
          </rPr>
          <t>Results - No risk:</t>
        </r>
        <r>
          <rPr>
            <sz val="10"/>
            <color indexed="81"/>
            <rFont val="Arial"/>
            <family val="2"/>
          </rPr>
          <t xml:space="preserve">
The tariff reset methodology above allows the operator to earn zero profit in real terms over the reset period (the methodology has already allowed for a return on its investments).</t>
        </r>
      </text>
    </comment>
    <comment ref="C157" authorId="0" shapeId="0" xr:uid="{00000000-0006-0000-0100-00002A000000}">
      <text>
        <r>
          <rPr>
            <b/>
            <sz val="10"/>
            <color indexed="81"/>
            <rFont val="Arial"/>
            <family val="2"/>
          </rPr>
          <t>Results - No risk:</t>
        </r>
        <r>
          <rPr>
            <sz val="10"/>
            <color indexed="81"/>
            <rFont val="Arial"/>
            <family val="2"/>
          </rPr>
          <t xml:space="preserve">
Total revenue collected is Tariff (in nominal terms) * Billed demand * Collection rate.</t>
        </r>
      </text>
    </comment>
    <comment ref="C161" authorId="0" shapeId="0" xr:uid="{00000000-0006-0000-0100-00002B000000}">
      <text>
        <r>
          <rPr>
            <b/>
            <sz val="10"/>
            <color indexed="81"/>
            <rFont val="Arial"/>
            <family val="2"/>
          </rPr>
          <t>Results - No risk:</t>
        </r>
        <r>
          <rPr>
            <sz val="10"/>
            <color indexed="81"/>
            <rFont val="Arial"/>
            <family val="2"/>
          </rPr>
          <t xml:space="preserve">
Cost items included in the revenue requirement.</t>
        </r>
      </text>
    </comment>
    <comment ref="C169" authorId="0" shapeId="0" xr:uid="{00000000-0006-0000-0100-00002C000000}">
      <text>
        <r>
          <rPr>
            <b/>
            <sz val="10"/>
            <color indexed="81"/>
            <rFont val="Arial"/>
            <family val="2"/>
          </rPr>
          <t>Results - No risk:</t>
        </r>
        <r>
          <rPr>
            <sz val="10"/>
            <color indexed="81"/>
            <rFont val="Arial"/>
            <family val="2"/>
          </rPr>
          <t xml:space="preserve">
Check that the sum of NPV profit in real terms is equal to zero.</t>
        </r>
      </text>
    </comment>
    <comment ref="C174" authorId="0" shapeId="0" xr:uid="{00000000-0006-0000-0100-00002D000000}">
      <text>
        <r>
          <rPr>
            <b/>
            <sz val="10"/>
            <color indexed="81"/>
            <rFont val="Arial"/>
            <family val="2"/>
          </rPr>
          <t>Results - No risk:</t>
        </r>
        <r>
          <rPr>
            <sz val="10"/>
            <color indexed="81"/>
            <rFont val="Arial"/>
            <family val="2"/>
          </rPr>
          <t xml:space="preserve">
Present value of cash flows to the operator and the contracting authority, expressed in millions of pesos.</t>
        </r>
      </text>
    </comment>
    <comment ref="C184" authorId="0" shapeId="0" xr:uid="{00000000-0006-0000-0100-00002E000000}">
      <text>
        <r>
          <rPr>
            <b/>
            <sz val="10"/>
            <color indexed="81"/>
            <rFont val="Arial"/>
            <family val="2"/>
          </rPr>
          <t>Results - No risk:</t>
        </r>
        <r>
          <rPr>
            <sz val="10"/>
            <color indexed="81"/>
            <rFont val="Arial"/>
            <family val="2"/>
          </rPr>
          <t xml:space="preserve">
Debt-service ratio is the total cash flow of the operator divided by financing costs. If the operator has no responsibility in the financing of coverage extension, this ratio is undefined.</t>
        </r>
      </text>
    </comment>
    <comment ref="C187" authorId="0" shapeId="0" xr:uid="{00000000-0006-0000-0100-00002F000000}">
      <text>
        <r>
          <rPr>
            <b/>
            <sz val="10"/>
            <color indexed="81"/>
            <rFont val="Arial"/>
            <family val="2"/>
          </rPr>
          <t>Results - No risk:</t>
        </r>
        <r>
          <rPr>
            <sz val="10"/>
            <color indexed="81"/>
            <rFont val="Arial"/>
            <family val="2"/>
          </rPr>
          <t xml:space="preserve">
Debt-service ratio is the total cash flow of the operator divided by financing costs. If the operator has no responsibility in the financing of coverage extension, this ratio is undefined.</t>
        </r>
      </text>
    </comment>
    <comment ref="C192" authorId="0" shapeId="0" xr:uid="{00000000-0006-0000-0100-000030000000}">
      <text>
        <r>
          <rPr>
            <b/>
            <sz val="10"/>
            <color indexed="81"/>
            <rFont val="Arial"/>
            <family val="2"/>
          </rPr>
          <t>Results - No risk:</t>
        </r>
        <r>
          <rPr>
            <sz val="10"/>
            <color indexed="81"/>
            <rFont val="Arial"/>
            <family val="2"/>
          </rPr>
          <t xml:space="preserve">
Compares welfare change for currently connected and currently unconnected households.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Helen Lay</author>
  </authors>
  <commentList>
    <comment ref="C4" authorId="0" shapeId="0" xr:uid="{00000000-0006-0000-0300-000001000000}">
      <text>
        <r>
          <rPr>
            <b/>
            <sz val="10"/>
            <color indexed="81"/>
            <rFont val="Arial"/>
            <family val="2"/>
          </rPr>
          <t>Results - Risk:</t>
        </r>
        <r>
          <rPr>
            <sz val="10"/>
            <color indexed="81"/>
            <rFont val="Arial"/>
            <family val="2"/>
          </rPr>
          <t xml:space="preserve">
In any period, inflation will vary randomly around its expected value given in the "No risk" calculations.</t>
        </r>
      </text>
    </comment>
    <comment ref="C8" authorId="0" shapeId="0" xr:uid="{00000000-0006-0000-0300-000002000000}">
      <text>
        <r>
          <rPr>
            <b/>
            <sz val="10"/>
            <color rgb="FF000000"/>
            <rFont val="Arial"/>
            <family val="2"/>
          </rPr>
          <t>Results - Risk:</t>
        </r>
        <r>
          <rPr>
            <sz val="10"/>
            <color rgb="FF000000"/>
            <rFont val="Arial"/>
            <family val="2"/>
          </rPr>
          <t xml:space="preserve">
</t>
        </r>
        <r>
          <rPr>
            <sz val="10"/>
            <color rgb="FF000000"/>
            <rFont val="Arial"/>
            <family val="2"/>
          </rPr>
          <t>Real exchange rate is assumed to vary randomly around the expected values calculated in the "No Risk" sheet.</t>
        </r>
      </text>
    </comment>
    <comment ref="C9" authorId="0" shapeId="0" xr:uid="{00000000-0006-0000-0300-000003000000}">
      <text>
        <r>
          <rPr>
            <b/>
            <sz val="10"/>
            <color rgb="FF000000"/>
            <rFont val="Arial"/>
            <family val="2"/>
          </rPr>
          <t>Results - Risk:</t>
        </r>
        <r>
          <rPr>
            <sz val="10"/>
            <color rgb="FF000000"/>
            <rFont val="Arial"/>
            <family val="2"/>
          </rPr>
          <t xml:space="preserve">
</t>
        </r>
        <r>
          <rPr>
            <sz val="10"/>
            <color rgb="FF000000"/>
            <rFont val="Arial"/>
            <family val="2"/>
          </rPr>
          <t>Nominal exchange rate will vary randomly due to changes in the real exchange rate and changes in inflation.</t>
        </r>
      </text>
    </comment>
    <comment ref="C11" authorId="0" shapeId="0" xr:uid="{00000000-0006-0000-0300-000004000000}">
      <text>
        <r>
          <rPr>
            <b/>
            <sz val="10"/>
            <color rgb="FF000000"/>
            <rFont val="Arial"/>
            <family val="2"/>
          </rPr>
          <t>Results - Risk:</t>
        </r>
        <r>
          <rPr>
            <sz val="10"/>
            <color rgb="FF000000"/>
            <rFont val="Arial"/>
            <family val="2"/>
          </rPr>
          <t xml:space="preserve">
</t>
        </r>
        <r>
          <rPr>
            <sz val="10"/>
            <color rgb="FF000000"/>
            <rFont val="Arial"/>
            <family val="2"/>
          </rPr>
          <t>This is the same discount factor as the one used in the "No Risk" calculations. It is presented here for ease of referencing.</t>
        </r>
      </text>
    </comment>
    <comment ref="C14" authorId="0" shapeId="0" xr:uid="{00000000-0006-0000-0300-000005000000}">
      <text>
        <r>
          <rPr>
            <b/>
            <sz val="10"/>
            <color indexed="81"/>
            <rFont val="Arial"/>
            <family val="2"/>
          </rPr>
          <t>Results - Risk:</t>
        </r>
        <r>
          <rPr>
            <sz val="10"/>
            <color indexed="81"/>
            <rFont val="Arial"/>
            <family val="2"/>
          </rPr>
          <t xml:space="preserve">
Demand per connection per day is assumed to vary randomly around its expected value given in the "No risk" sheet.</t>
        </r>
      </text>
    </comment>
    <comment ref="C18" authorId="0" shapeId="0" xr:uid="{00000000-0006-0000-0300-000006000000}">
      <text>
        <r>
          <rPr>
            <b/>
            <sz val="10"/>
            <color rgb="FF000000"/>
            <rFont val="Arial"/>
            <family val="2"/>
          </rPr>
          <t>Results - Rrisk:</t>
        </r>
        <r>
          <rPr>
            <sz val="10"/>
            <color rgb="FF000000"/>
            <rFont val="Arial"/>
            <family val="2"/>
          </rPr>
          <t xml:space="preserve">
</t>
        </r>
        <r>
          <rPr>
            <sz val="10"/>
            <color rgb="FF000000"/>
            <rFont val="Arial"/>
            <family val="2"/>
          </rPr>
          <t>Costs and subsidies are expressed in real terms.</t>
        </r>
      </text>
    </comment>
    <comment ref="C21" authorId="0" shapeId="0" xr:uid="{00000000-0006-0000-0300-000007000000}">
      <text>
        <r>
          <rPr>
            <b/>
            <sz val="10"/>
            <color indexed="81"/>
            <rFont val="Arial"/>
            <family val="2"/>
          </rPr>
          <t>Results - Risk:</t>
        </r>
        <r>
          <rPr>
            <sz val="10"/>
            <color indexed="81"/>
            <rFont val="Arial"/>
            <family val="2"/>
          </rPr>
          <t xml:space="preserve">
Fixed costs denominated in local currency does not change unexpectedly, i.e. it is the same as the "No risk" calculations.</t>
        </r>
      </text>
    </comment>
    <comment ref="C22" authorId="0" shapeId="0" xr:uid="{00000000-0006-0000-0300-000008000000}">
      <text>
        <r>
          <rPr>
            <b/>
            <sz val="10"/>
            <color indexed="81"/>
            <rFont val="Arial"/>
            <family val="2"/>
          </rPr>
          <t>Results - Risk:</t>
        </r>
        <r>
          <rPr>
            <sz val="10"/>
            <color indexed="81"/>
            <rFont val="Arial"/>
            <family val="2"/>
          </rPr>
          <t xml:space="preserve">
Fixed operating costs (in foreign currency terms) is assumed to grow at a constant rate per year. Due to fluctuations in the exchange rate, these fixed operating costs will fluctuate when expressed in pesos.</t>
        </r>
      </text>
    </comment>
    <comment ref="C28" authorId="0" shapeId="0" xr:uid="{00000000-0006-0000-0300-000009000000}">
      <text>
        <r>
          <rPr>
            <b/>
            <sz val="10"/>
            <color indexed="81"/>
            <rFont val="Arial"/>
            <family val="2"/>
          </rPr>
          <t>Results - Risk:</t>
        </r>
        <r>
          <rPr>
            <sz val="10"/>
            <color indexed="81"/>
            <rFont val="Arial"/>
            <family val="2"/>
          </rPr>
          <t xml:space="preserve">
Financing costs are expressed in nominal terms.</t>
        </r>
      </text>
    </comment>
    <comment ref="C73" authorId="0" shapeId="0" xr:uid="{00000000-0006-0000-0300-00000A000000}">
      <text>
        <r>
          <rPr>
            <b/>
            <sz val="10"/>
            <color indexed="81"/>
            <rFont val="Arial"/>
            <family val="2"/>
          </rPr>
          <t>Results - Risk:</t>
        </r>
        <r>
          <rPr>
            <sz val="10"/>
            <color indexed="81"/>
            <rFont val="Arial"/>
            <family val="2"/>
          </rPr>
          <t xml:space="preserve">
Total loan repayment in each year. This varies due to random (or unexpected) changes in inflation.</t>
        </r>
      </text>
    </comment>
    <comment ref="C90" authorId="0" shapeId="0" xr:uid="{00000000-0006-0000-0300-00000B000000}">
      <text>
        <r>
          <rPr>
            <b/>
            <sz val="10"/>
            <color indexed="81"/>
            <rFont val="Arial"/>
            <family val="2"/>
          </rPr>
          <t>Results - Risk:</t>
        </r>
        <r>
          <rPr>
            <sz val="10"/>
            <color indexed="81"/>
            <rFont val="Arial"/>
            <family val="2"/>
          </rPr>
          <t xml:space="preserve">
Tariff reset calculations are based on four different objectives as discussed in the </t>
        </r>
        <r>
          <rPr>
            <i/>
            <sz val="10"/>
            <color indexed="81"/>
            <rFont val="Arial"/>
            <family val="2"/>
          </rPr>
          <t>Toolkit</t>
        </r>
        <r>
          <rPr>
            <sz val="10"/>
            <color indexed="81"/>
            <rFont val="Arial"/>
            <family val="2"/>
          </rPr>
          <t>. All four sets of tariffs are calculated to allow the user to switch easily between the different objectives.</t>
        </r>
      </text>
    </comment>
    <comment ref="C92" authorId="0" shapeId="0" xr:uid="{00000000-0006-0000-0300-00000C000000}">
      <text>
        <r>
          <rPr>
            <b/>
            <sz val="10"/>
            <color indexed="81"/>
            <rFont val="Arial"/>
            <family val="2"/>
          </rPr>
          <t>Results - Risk:</t>
        </r>
        <r>
          <rPr>
            <sz val="10"/>
            <color indexed="81"/>
            <rFont val="Arial"/>
            <family val="2"/>
          </rPr>
          <t xml:space="preserve">
At the beginning of every reset period, actual inflation is used to forecast the expected inflation during the reset period. During this period the actual inflation may  differ from expected if the volatility on inflation is greater than 0.</t>
        </r>
      </text>
    </comment>
    <comment ref="C95" authorId="0" shapeId="0" xr:uid="{00000000-0006-0000-0300-00000D000000}">
      <text>
        <r>
          <rPr>
            <b/>
            <sz val="10"/>
            <color indexed="81"/>
            <rFont val="Arial"/>
            <family val="2"/>
          </rPr>
          <t>Results - Risk:</t>
        </r>
        <r>
          <rPr>
            <sz val="10"/>
            <color indexed="81"/>
            <rFont val="Arial"/>
            <family val="2"/>
          </rPr>
          <t xml:space="preserve">
The asset base for existing and new assets is calculated in nominal terms. </t>
        </r>
      </text>
    </comment>
    <comment ref="C106" authorId="0" shapeId="0" xr:uid="{00000000-0006-0000-0300-00000E000000}">
      <text>
        <r>
          <rPr>
            <b/>
            <sz val="10"/>
            <color indexed="81"/>
            <rFont val="Arial"/>
            <family val="2"/>
          </rPr>
          <t>Results - Risk:</t>
        </r>
        <r>
          <rPr>
            <sz val="10"/>
            <color indexed="81"/>
            <rFont val="Arial"/>
            <family val="2"/>
          </rPr>
          <t xml:space="preserve">
No reset: After the introduction of the private operator, no further adjustment is allowed for unexpected changes in demand for the duration of the contract.</t>
        </r>
      </text>
    </comment>
    <comment ref="C107" authorId="0" shapeId="0" xr:uid="{00000000-0006-0000-0300-00000F000000}">
      <text>
        <r>
          <rPr>
            <b/>
            <sz val="10"/>
            <color rgb="FF000000"/>
            <rFont val="Arial"/>
            <family val="2"/>
          </rPr>
          <t>Results - Risk:</t>
        </r>
        <r>
          <rPr>
            <sz val="10"/>
            <color rgb="FF000000"/>
            <rFont val="Arial"/>
            <family val="2"/>
          </rPr>
          <t xml:space="preserve">
</t>
        </r>
        <r>
          <rPr>
            <sz val="10"/>
            <color rgb="FF000000"/>
            <rFont val="Arial"/>
            <family val="2"/>
          </rPr>
          <t>Full reset: At the beginning of each reset period, actual demand is used to forecast for the next reset period. Previous unexpected changes are therefore fully adjusted for.</t>
        </r>
      </text>
    </comment>
    <comment ref="C111" authorId="0" shapeId="0" xr:uid="{00000000-0006-0000-0300-000010000000}">
      <text>
        <r>
          <rPr>
            <b/>
            <sz val="10"/>
            <color indexed="81"/>
            <rFont val="Arial"/>
            <family val="2"/>
          </rPr>
          <t>Results - No risk:</t>
        </r>
        <r>
          <rPr>
            <sz val="10"/>
            <color indexed="81"/>
            <rFont val="Arial"/>
            <family val="2"/>
          </rPr>
          <t xml:space="preserve">
Demand is discounted at the beginning of each reset period for the following reset period. This is used as the denominator in the tariff reset calculations.</t>
        </r>
      </text>
    </comment>
    <comment ref="C120" authorId="0" shapeId="0" xr:uid="{00000000-0006-0000-0300-000011000000}">
      <text>
        <r>
          <rPr>
            <b/>
            <sz val="10"/>
            <color indexed="81"/>
            <rFont val="Arial"/>
            <family val="2"/>
          </rPr>
          <t>Results - Risk:</t>
        </r>
        <r>
          <rPr>
            <sz val="10"/>
            <color indexed="81"/>
            <rFont val="Arial"/>
            <family val="2"/>
          </rPr>
          <t xml:space="preserve">
Fixed operating costs, expressed in millions of pesos.</t>
        </r>
      </text>
    </comment>
    <comment ref="C123" authorId="0" shapeId="0" xr:uid="{00000000-0006-0000-0300-000012000000}">
      <text>
        <r>
          <rPr>
            <b/>
            <sz val="10"/>
            <color indexed="81"/>
            <rFont val="Arial"/>
            <family val="2"/>
          </rPr>
          <t>Results - Risk:</t>
        </r>
        <r>
          <rPr>
            <sz val="10"/>
            <color indexed="81"/>
            <rFont val="Arial"/>
            <family val="2"/>
          </rPr>
          <t xml:space="preserve">
Subsidies paid to the operator from the contracting authority are different under different reset objectives.
Payments from operator to the contracting authority are not included in the revenue requirement.</t>
        </r>
      </text>
    </comment>
    <comment ref="C125" authorId="0" shapeId="0" xr:uid="{00000000-0006-0000-0300-000013000000}">
      <text>
        <r>
          <rPr>
            <b/>
            <sz val="10"/>
            <color indexed="81"/>
            <rFont val="Arial"/>
            <family val="2"/>
          </rPr>
          <t>Results - No risk:</t>
        </r>
        <r>
          <rPr>
            <sz val="10"/>
            <color indexed="81"/>
            <rFont val="Arial"/>
            <family val="2"/>
          </rPr>
          <t xml:space="preserve">
Annual revenue requirement for the two parties. The contracting authority collects the return and depreciation on existing assets and new assets. The operator collects all other cost items.</t>
        </r>
      </text>
    </comment>
    <comment ref="C135" authorId="0" shapeId="0" xr:uid="{00000000-0006-0000-0300-000014000000}">
      <text>
        <r>
          <rPr>
            <b/>
            <sz val="10"/>
            <color indexed="81"/>
            <rFont val="Arial"/>
            <family val="2"/>
          </rPr>
          <t>Results - No risk:</t>
        </r>
        <r>
          <rPr>
            <sz val="10"/>
            <color indexed="81"/>
            <rFont val="Arial"/>
            <family val="2"/>
          </rPr>
          <t xml:space="preserve">
Revenue requirement is discounted at the beginning of each reset period for the following reset period. This is used as the numerator in the tariff reset calculations.</t>
        </r>
      </text>
    </comment>
    <comment ref="C139" authorId="0" shapeId="0" xr:uid="{00000000-0006-0000-0300-000015000000}">
      <text>
        <r>
          <rPr>
            <b/>
            <sz val="10"/>
            <color indexed="81"/>
            <rFont val="Arial"/>
            <family val="2"/>
          </rPr>
          <t>Results - No risk:</t>
        </r>
        <r>
          <rPr>
            <sz val="10"/>
            <color indexed="81"/>
            <rFont val="Arial"/>
            <family val="2"/>
          </rPr>
          <t xml:space="preserve">
Revenue required per cubic meter is the discounted revenue requirement divided by discounted demand.</t>
        </r>
      </text>
    </comment>
    <comment ref="C186" authorId="0" shapeId="0" xr:uid="{00000000-0006-0000-0300-000016000000}">
      <text>
        <r>
          <rPr>
            <b/>
            <sz val="10"/>
            <color indexed="81"/>
            <rFont val="Arial"/>
            <family val="2"/>
          </rPr>
          <t>Results - No risk:</t>
        </r>
        <r>
          <rPr>
            <sz val="10"/>
            <color indexed="81"/>
            <rFont val="Arial"/>
            <family val="2"/>
          </rPr>
          <t xml:space="preserve">
Debt-service ratio is the total cash flow of the operator divided by financing costs. If the operator has no responsibility in the financing of coverage extension, this ratio is undefined.</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<sst xmlns="http://schemas.openxmlformats.org/spreadsheetml/2006/main" count="411" uniqueCount="180">
  <si>
    <t>Economic factors</t>
  </si>
  <si>
    <t>Exchange rate</t>
  </si>
  <si>
    <t>Inflation</t>
  </si>
  <si>
    <t>Billable demand</t>
  </si>
  <si>
    <t>Demand</t>
  </si>
  <si>
    <t>Non-revenue water</t>
  </si>
  <si>
    <t>Risk case</t>
  </si>
  <si>
    <t>Consumer price index</t>
  </si>
  <si>
    <t>Deflation factor</t>
  </si>
  <si>
    <t>Real exchange rate</t>
  </si>
  <si>
    <t>Nominal exchange rate</t>
  </si>
  <si>
    <t>Consumption</t>
  </si>
  <si>
    <t>Demand (L/connection/day)</t>
  </si>
  <si>
    <t>Forecast (No risk case)</t>
  </si>
  <si>
    <t>Forecast (Risk case)</t>
  </si>
  <si>
    <t>Consumer price index (%)</t>
  </si>
  <si>
    <t>No risk analysis</t>
  </si>
  <si>
    <t>Potential connections</t>
  </si>
  <si>
    <t>Coverage</t>
  </si>
  <si>
    <t>Connections</t>
  </si>
  <si>
    <t>New connections</t>
  </si>
  <si>
    <t>Collection rate forecast</t>
  </si>
  <si>
    <t>Years</t>
  </si>
  <si>
    <t>Discount factor</t>
  </si>
  <si>
    <t>Operating costs</t>
  </si>
  <si>
    <t>Fixed</t>
  </si>
  <si>
    <t>Domestic denomination</t>
  </si>
  <si>
    <t>Foreign denomination</t>
  </si>
  <si>
    <t>Variable</t>
  </si>
  <si>
    <t>Coverage extension costs</t>
  </si>
  <si>
    <t>Amount financed by debt</t>
  </si>
  <si>
    <t>Loan repayment</t>
  </si>
  <si>
    <t>Total</t>
  </si>
  <si>
    <t>Outstanding principal</t>
  </si>
  <si>
    <t>Prinicpal repayment</t>
  </si>
  <si>
    <t>Interest payment</t>
  </si>
  <si>
    <t>Financing costs</t>
  </si>
  <si>
    <t>Operator</t>
  </si>
  <si>
    <t>Contracting authority</t>
  </si>
  <si>
    <t>Tariff reset calculations</t>
  </si>
  <si>
    <t>Expected inflation rate</t>
  </si>
  <si>
    <t>Forecast used for tariff setting</t>
  </si>
  <si>
    <t>Existing asset base (nominal)</t>
  </si>
  <si>
    <t>Initial asset base</t>
  </si>
  <si>
    <t>Depreciation</t>
  </si>
  <si>
    <t>Maintenance costs</t>
  </si>
  <si>
    <t>Final asset base</t>
  </si>
  <si>
    <t>New asset base (nominal)</t>
  </si>
  <si>
    <t>Initial new asset base</t>
  </si>
  <si>
    <t>Investment</t>
  </si>
  <si>
    <t>Final new asset base</t>
  </si>
  <si>
    <t>Discounted demand</t>
  </si>
  <si>
    <t>Cumulative discounted demand</t>
  </si>
  <si>
    <t>Return on new assets (real)</t>
  </si>
  <si>
    <t>Depreciation (real)</t>
  </si>
  <si>
    <t>Maintenance costs (real)</t>
  </si>
  <si>
    <t>Foreign exchange rate</t>
  </si>
  <si>
    <t>Subsidies (real)</t>
  </si>
  <si>
    <t>Revenue requirement (real)</t>
  </si>
  <si>
    <t>Revenue requirement</t>
  </si>
  <si>
    <t>Discounted revenue requirement</t>
  </si>
  <si>
    <t>Cumulative discounted revenue requirement</t>
  </si>
  <si>
    <t>No reset</t>
  </si>
  <si>
    <t>Tariff indexation</t>
  </si>
  <si>
    <t>Indexation</t>
  </si>
  <si>
    <t>Total revenue collected</t>
  </si>
  <si>
    <t>Costs</t>
  </si>
  <si>
    <t>Return on capital</t>
  </si>
  <si>
    <t>Subsidies</t>
  </si>
  <si>
    <t>Present value profit (Real)</t>
  </si>
  <si>
    <t>Debt service ratio</t>
  </si>
  <si>
    <t>Cash flow before loan repayment</t>
  </si>
  <si>
    <t>Graph data</t>
  </si>
  <si>
    <t>Other assumptions</t>
  </si>
  <si>
    <t>Data</t>
  </si>
  <si>
    <t>No risk case</t>
  </si>
  <si>
    <t>Policy choices</t>
  </si>
  <si>
    <t>Customer tariff (No reset)</t>
  </si>
  <si>
    <t>Customer tariff (Forecast = No risk case)</t>
  </si>
  <si>
    <t>Customer tariff (Forecast = Risk case)</t>
  </si>
  <si>
    <t>Service coverage</t>
  </si>
  <si>
    <t>Percentage coverage (%)</t>
  </si>
  <si>
    <t>Currently unconnected</t>
  </si>
  <si>
    <t>Total change</t>
  </si>
  <si>
    <t>Change in social welfare</t>
  </si>
  <si>
    <t>Asset base (nominal)</t>
  </si>
  <si>
    <t>Initial existing asset base</t>
  </si>
  <si>
    <t>Final existing asset base</t>
  </si>
  <si>
    <t>Domestic-denominated opex (real)</t>
  </si>
  <si>
    <t>Foreign-denominated opex (real)</t>
  </si>
  <si>
    <t>Present value profit (real)</t>
  </si>
  <si>
    <t>Water use &amp; consumption</t>
  </si>
  <si>
    <t>Private household connection</t>
  </si>
  <si>
    <t>Other sources</t>
  </si>
  <si>
    <t>Monthly cost</t>
  </si>
  <si>
    <t>Existing tariffs</t>
  </si>
  <si>
    <t>Monthly coping cost</t>
  </si>
  <si>
    <t>Willingness to pay</t>
  </si>
  <si>
    <t>Change in social welfare (Real)</t>
  </si>
  <si>
    <t>CONTRACT_LENGTH_VAL</t>
  </si>
  <si>
    <t>INFLATION_CURRENT_VAL</t>
  </si>
  <si>
    <t>INFLATION_SPEED_ADJUSTMENT_VAL</t>
  </si>
  <si>
    <t>INFLATION_LONG_TERM_VAL</t>
  </si>
  <si>
    <t>INFLATION_INTIAL_CPI_VAL</t>
  </si>
  <si>
    <t>INFLATION_INTIAL_DEFLATION_FACTOR_VAL</t>
  </si>
  <si>
    <t>EXCHANGE_RATE_CURRENT_VAL</t>
  </si>
  <si>
    <t>EXCHANGE_RATE_DEPRECIATION_VAL</t>
  </si>
  <si>
    <t>DISCOUNT_INITIAL_FACTOR_VAL</t>
  </si>
  <si>
    <t>DISCOUNT_RATE_VAL</t>
  </si>
  <si>
    <t>CUSTOMERS_CURRENT_VAL</t>
  </si>
  <si>
    <t>CUSTOMERS_ANNUAL_GROWTH_VAL</t>
  </si>
  <si>
    <t>SERVICE_COVERAGE_CURRENT_VAL</t>
  </si>
  <si>
    <t>SERVICE_COVERAGE_TARGET_VAL</t>
  </si>
  <si>
    <t>SERVICE_COVERAGE_YEAR_VAL</t>
  </si>
  <si>
    <t>DEMAND_CURRENT_VAL</t>
  </si>
  <si>
    <t>DEMAND_ANNUAL_GROWTH_VAL</t>
  </si>
  <si>
    <t>NON_REVENUE_WATER_CURRENT_VAL</t>
  </si>
  <si>
    <t>NON_REVENUE_WATER_TARGET_VAL</t>
  </si>
  <si>
    <t>NON_REVENUE_WATER_YEAR_VAL</t>
  </si>
  <si>
    <t>COLLECTION_RATE_CURRENT_VAL</t>
  </si>
  <si>
    <t>COLLECTION_RATE_TARGET_VAL</t>
  </si>
  <si>
    <t>COLLECTION_RATE_YEAR_VAL</t>
  </si>
  <si>
    <r>
      <t>Revenue required per m</t>
    </r>
    <r>
      <rPr>
        <b/>
        <u/>
        <vertAlign val="superscript"/>
        <sz val="10"/>
        <rFont val="Arial"/>
        <family val="2"/>
      </rPr>
      <t>3</t>
    </r>
  </si>
  <si>
    <t>Stakeholder analysis</t>
  </si>
  <si>
    <t>FIXED_OPERATING_COSTS_EXISTING_COST_VAL</t>
  </si>
  <si>
    <t>FIXED_OPERATING_COSTS_ANNUAL_REAL_GROWTH_RATE_VAL</t>
  </si>
  <si>
    <t>VARIABLE_OPERATING_COSTS_ANNUAL_REAL_GROWTH_RATE_VAL</t>
  </si>
  <si>
    <t>FIXED_OPERATING_COSTS_EXISTING_PERCENT_INVESTMENT_COST_PER_CONNECTION_VAL</t>
  </si>
  <si>
    <t>INVESTMENT_COST_PER_NEW_CONNECTION_LOCAL_CURRENCY_VAL</t>
  </si>
  <si>
    <t>DENOMINATIONS_WATER_VOLUMES_VAL</t>
  </si>
  <si>
    <t>DENOMINATIONS_MONETARY_VAL</t>
  </si>
  <si>
    <t>VARIABLE_OPERATING_COSTS_EXISTING_COST_VAL</t>
  </si>
  <si>
    <t>FIXED_OPERATING_COSTS_PROPORTION_OF_COSTS_DENOMINATED_IN_FOREIGN_CURRENCY_VAL</t>
  </si>
  <si>
    <t>VARIABLE_OPERATING_COSTS_PROPORTION_OF_COSTS_DENOMINATED_IN_FOREIGN_CURRENCY_VAL</t>
  </si>
  <si>
    <t>PERCENTAGE_FUNDED_BY_DEBT_VAL</t>
  </si>
  <si>
    <t>LOAN_FOREIGN_CURRENCY_VAL</t>
  </si>
  <si>
    <t>LOAN_PERIOD_VAL</t>
  </si>
  <si>
    <t>LOAN_PERIOD_GRACE_VAL</t>
  </si>
  <si>
    <t>FINANCING_RESPONSIBILITY_COVERAGE_EXTENSION_OPERATOR_VAL</t>
  </si>
  <si>
    <t>FINANCING_RESPONSIBILITY_COVERAGE_EXTENSION_CONTRACTING_AUTHORITY_VAL</t>
  </si>
  <si>
    <t>INTEREST_RATE_VAL</t>
  </si>
  <si>
    <t>5 year reset period</t>
  </si>
  <si>
    <t xml:space="preserve"> </t>
  </si>
  <si>
    <t>:</t>
  </si>
  <si>
    <t>-</t>
  </si>
  <si>
    <t>ASSET_BASE_INITIAL_LOCAL_CURRENCY_VAL</t>
  </si>
  <si>
    <t>ASSET_BASE_DEPRECIATION_RATE_VAL</t>
  </si>
  <si>
    <t>xx</t>
  </si>
  <si>
    <t>TARIFF_REVIEW_PERIOD_VAL</t>
  </si>
  <si>
    <t>ANNUAL_FIXED_FEES_PAYMENT_LOCAL_CURRENCY_VAL</t>
  </si>
  <si>
    <t>xxxx</t>
  </si>
  <si>
    <t>x</t>
  </si>
  <si>
    <t xml:space="preserve"> 5 year reset period</t>
  </si>
  <si>
    <t xml:space="preserve"> Existing tariffs</t>
  </si>
  <si>
    <t>Change in social welfare (100% coverage target over 10 years)</t>
  </si>
  <si>
    <t>Currently connected (50%)</t>
  </si>
  <si>
    <t>XI)</t>
  </si>
  <si>
    <t>Include this in the Stakeholder analysis</t>
  </si>
  <si>
    <t>Add Risk vs. No risk case here</t>
  </si>
  <si>
    <t>DEMAND_OTHER_SOURCES_VAL</t>
  </si>
  <si>
    <t>(1) Finish stakeholder</t>
  </si>
  <si>
    <t>(2) Build function for graphs</t>
  </si>
  <si>
    <t>EXISTING_TARIFF_CONNECTED_VAL</t>
  </si>
  <si>
    <t>EXISTING_TARIFF_OTHER_VAL</t>
  </si>
  <si>
    <t>(3) Finish documentation</t>
  </si>
  <si>
    <t>WTP_Connection</t>
  </si>
  <si>
    <t>Monthly coping costs (e.g. time, health)</t>
  </si>
  <si>
    <t>Household connection</t>
  </si>
  <si>
    <t>WTP_CONNECTION_VAL</t>
  </si>
  <si>
    <t>WTP_OTHER_VAL</t>
  </si>
  <si>
    <t>WTP_COPYING_COST_VAL</t>
  </si>
  <si>
    <t>EXISTING_TARIFF_COPYING_COST_VAL</t>
  </si>
  <si>
    <t>HEADINGS_STR = HEADINGS_STR &amp; "XI) GRAPH DATA: OTHER ASSUMPTIONS - PRIVATE HOUSEHOLD CONNECTION,XI) GRAPH DATA: OTHER ASSUMPTIONS - OTHER SOURCES,XI) GRAPH DATA: OTHER ASSUMPTIONS - PRIVATE HOUSEHOLD CONNECTION - 5 YEAR RESET PERIOD,XI) GRAPH DATA: OTHER ASSUMPTIONS - PRIVATE HOUSEHOLD CONNECTION - EXISTING TARIFFS,XI) GRAPH DATA: OTHER ASSUMPTIONS,XI) GRAPH DATA: OTHER ASSUMPTIONS - OTHER SOURCES,XI) GRAPH DATA: OTHER ASSUMPTIONS - PRIVATE HOUSEHOLD CONNECTION,XI) GRAPH DATA: OTHER ASSUMPTIONS - OTHER SOURCES - MONTHLY COST,XI) GRAPH DATA: OTHER ASSUMPTIONS - OTHER SOURCES - MONTHLY COPING COST,XI) GRAPH DATA: OTHER ASSUMPTIONS - PRIVATE HOUSEHOLD CONNECTION,XI) GRAPH DATA: OTHER ASSUMPTIONS - OTHER SOURCES,"</t>
  </si>
  <si>
    <t>SUMMARY FUNCTION</t>
  </si>
  <si>
    <t>65+66</t>
  </si>
  <si>
    <t>67+68</t>
  </si>
  <si>
    <t>?</t>
  </si>
  <si>
    <t>DEMAND_VOLATILITY_VAL</t>
  </si>
  <si>
    <t>EXCHANGE_RATE_VOLATILITY_VAL</t>
  </si>
  <si>
    <t>INFLATION_VOLATILITY_VAL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</si>
</sst>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4">
    <numFmt numFmtId="164" formatCode="_-* #,##0.00_-;\-* #,##0.00_-;_-* &quot;-&quot;??_-;_-@_-"/>
    <numFmt numFmtId="165" formatCode="0.0"/>
    <numFmt numFmtId="166" formatCode="#,##0.0"/>
    <numFmt numFmtId="167" formatCode="#,##0.000"/>
    <numFmt numFmtId="168" formatCode="#,##0.0000"/>
    <numFmt numFmtId="169" formatCode="#,##0.000000"/>
    <numFmt numFmtId="170" formatCode="#,##0.00000"/>
    <numFmt numFmtId="171" formatCode="0.00000000"/>
    <numFmt numFmtId="172" formatCode="0.000"/>
    <numFmt numFmtId="173" formatCode="0.0000"/>
    <numFmt numFmtId="174" formatCode="0.000000"/>
    <numFmt numFmtId="175" formatCode="#,##0.0000000"/>
    <numFmt numFmtId="176" formatCode="#,##0.000000000"/>
    <numFmt numFmtId="177" formatCode="_-* #,##0.00000_-;\-* #,##0.00000_-;_-* &quot;-&quot;??_-;_-@_-"/>
    <numFmt numFmtId="178" formatCode="_-* #,##0.00000000_-;\-* #,##0.00000000_-;_-* &quot;-&quot;??_-;_-@_-"/>
    <numFmt numFmtId="179" formatCode="0.0%"/>
    <numFmt numFmtId="180" formatCode="_-* #,##0.0000_-;\-* #,##0.0000_-;_-* &quot;-&quot;??_-;_-@_-"/>
    <numFmt numFmtId="181" formatCode="_-* #,##0.000_-;\-* #,##0.000_-;_-* &quot;-&quot;??_-;_-@_-"/>
    <numFmt numFmtId="182" formatCode="_-* #,##0.000000_-;\-* #,##0.000000_-;_-* &quot;-&quot;??_-;_-@_-"/>
    <numFmt numFmtId="183" formatCode="0.00000"/>
    <numFmt numFmtId="184" formatCode="0.00000%"/>
    <numFmt numFmtId="185" formatCode="#,##0.00000000"/>
    <numFmt numFmtId="186" formatCode="_-* #,##0.000000000_-;\-* #,##0.000000000_-;_-* &quot;-&quot;??_-;_-@_-"/>
    <numFmt numFmtId="187" formatCode="_-* #,##0.0000000_-;\-* #,##0.0000000_-;_-* &quot;-&quot;??_-;_-@_-"/>
  </numFmts>
  <fonts count="35" x14ac:knownFonts="1">
    <font>
      <sz val="10"/>
      <name val="Arial"/>
    </font>
    <font>
      <sz val="10"/>
      <name val="Arial"/>
      <family val="2"/>
    </font>
    <font>
      <b/>
      <sz val="10"/>
      <color indexed="81"/>
      <name val="Arial"/>
      <family val="2"/>
    </font>
    <font>
      <sz val="10"/>
      <color indexed="81"/>
      <name val="Arial"/>
      <family val="2"/>
    </font>
    <font>
      <u/>
      <sz val="10"/>
      <color theme="10"/>
      <name val="Arial"/>
      <family val="2"/>
    </font>
    <font>
      <u/>
      <sz val="10"/>
      <color theme="11"/>
      <name val="Arial"/>
      <family val="2"/>
    </font>
    <font>
      <b/>
      <sz val="10"/>
      <name val="Arial"/>
      <family val="2"/>
    </font>
    <font>
      <i/>
      <sz val="10"/>
      <color indexed="81"/>
      <name val="Arial"/>
      <family val="2"/>
    </font>
    <font>
      <sz val="10"/>
      <color theme="0"/>
      <name val="Arial"/>
      <family val="2"/>
    </font>
    <font>
      <sz val="10"/>
      <color rgb="FFFF0000"/>
      <name val="Arial"/>
      <family val="2"/>
    </font>
    <font>
      <sz val="9"/>
      <name val="Arial"/>
      <family val="2"/>
    </font>
    <font>
      <sz val="10"/>
      <color rgb="FF0070C0"/>
      <name val="Arial"/>
      <family val="2"/>
    </font>
    <font>
      <sz val="9"/>
      <color indexed="81"/>
      <name val="Tahoma"/>
      <family val="2"/>
    </font>
    <font>
      <b/>
      <sz val="9"/>
      <color indexed="81"/>
      <name val="Tahoma"/>
      <family val="2"/>
    </font>
    <font>
      <sz val="10"/>
      <name val="Arial"/>
      <family val="2"/>
    </font>
    <font>
      <sz val="10"/>
      <color indexed="18"/>
      <name val="Arial"/>
      <family val="2"/>
    </font>
    <font>
      <b/>
      <sz val="20"/>
      <color indexed="18"/>
      <name val="Arial"/>
      <family val="2"/>
    </font>
    <font>
      <b/>
      <sz val="14"/>
      <color indexed="9"/>
      <name val="Arial"/>
      <family val="2"/>
    </font>
    <font>
      <sz val="10"/>
      <color indexed="9"/>
      <name val="Arial"/>
      <family val="2"/>
    </font>
    <font>
      <sz val="10"/>
      <color indexed="10"/>
      <name val="Arial"/>
      <family val="2"/>
    </font>
    <font>
      <b/>
      <u/>
      <sz val="10"/>
      <name val="Arial"/>
      <family val="2"/>
    </font>
    <font>
      <b/>
      <u/>
      <vertAlign val="superscript"/>
      <sz val="10"/>
      <name val="Arial"/>
      <family val="2"/>
    </font>
    <font>
      <b/>
      <sz val="9"/>
      <name val="Arial"/>
      <family val="2"/>
    </font>
    <font>
      <b/>
      <sz val="9"/>
      <color indexed="9"/>
      <name val="Arial"/>
      <family val="2"/>
    </font>
    <font>
      <sz val="10"/>
      <color theme="1"/>
      <name val="Arial"/>
      <family val="2"/>
    </font>
    <font>
      <b/>
      <sz val="10"/>
      <color theme="0"/>
      <name val="Arial"/>
      <family val="2"/>
    </font>
    <font>
      <i/>
      <u/>
      <sz val="10"/>
      <name val="Arial"/>
      <family val="2"/>
    </font>
    <font>
      <b/>
      <sz val="10"/>
      <color rgb="FFFF0000"/>
      <name val="Arial"/>
      <family val="2"/>
    </font>
    <font>
      <sz val="10"/>
      <name val="Arial"/>
      <family val="2"/>
    </font>
    <font>
      <b/>
      <u/>
      <sz val="10"/>
      <color rgb="FFFF0000"/>
      <name val="Arial"/>
      <family val="2"/>
    </font>
    <font>
      <i/>
      <sz val="10"/>
      <name val="Arial"/>
      <family val="2"/>
    </font>
    <font>
      <sz val="9"/>
      <color rgb="FFFF0000"/>
      <name val="Arial"/>
      <family val="2"/>
    </font>
    <font>
      <sz val="9"/>
      <color theme="1"/>
      <name val="Arial"/>
      <family val="2"/>
    </font>
    <font>
      <b/>
      <sz val="10"/>
      <color rgb="FF000000"/>
      <name val="Arial"/>
      <family val="2"/>
    </font>
    <font>
      <sz val="10"/>
      <color rgb="FF000000"/>
      <name val="Arial"/>
      <family val="2"/>
    </font>
  </fonts>
  <fills count="13">
    <fill>
      <patternFill patternType="none"/>
    </fill>
    <fill>
      <patternFill patternType="gray125"/>
    </fill>
    <fill>
      <patternFill patternType="solid">
        <fgColor theme="6" tint="0.79998168889431442"/>
        <bgColor indexed="64"/>
      </patternFill>
    </fill>
    <fill>
      <patternFill patternType="solid">
        <fgColor theme="1"/>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indexed="31"/>
        <bgColor indexed="64"/>
      </patternFill>
    </fill>
    <fill>
      <patternFill patternType="solid">
        <fgColor indexed="9"/>
        <bgColor indexed="64"/>
      </patternFill>
    </fill>
    <fill>
      <patternFill patternType="solid">
        <fgColor indexed="18"/>
        <bgColor indexed="64"/>
      </patternFill>
    </fill>
    <fill>
      <patternFill patternType="solid">
        <fgColor indexed="43"/>
        <bgColor indexed="64"/>
      </patternFill>
    </fill>
    <fill>
      <patternFill patternType="solid">
        <fgColor rgb="FFFFFF00"/>
        <bgColor indexed="64"/>
      </patternFill>
    </fill>
    <fill>
      <patternFill patternType="solid">
        <fgColor theme="5" tint="0.79998168889431442"/>
        <bgColor indexed="64"/>
      </patternFill>
    </fill>
    <fill>
      <patternFill patternType="solid">
        <fgColor indexed="41"/>
        <bgColor indexed="64"/>
      </patternFill>
    </fill>
  </fills>
  <borders count="42">
    <border>
      <left/>
      <right/>
      <top/>
      <bottom/>
      <diagonal/>
    </border>
    <border>
      <left style="hair">
        <color auto="1"/>
      </left>
      <right style="hair">
        <color auto="1"/>
      </right>
      <top style="hair">
        <color auto="1"/>
      </top>
      <bottom style="hair">
        <color auto="1"/>
      </bottom>
      <diagonal/>
    </border>
    <border>
      <left/>
      <right/>
      <top/>
      <bottom style="medium">
        <color indexed="64"/>
      </bottom>
      <diagonal/>
    </border>
    <border>
      <left/>
      <right/>
      <top/>
      <bottom style="thin">
        <color indexed="64"/>
      </bottom>
      <diagonal/>
    </border>
    <border>
      <left style="thin">
        <color indexed="64"/>
      </left>
      <right style="dashed">
        <color indexed="64"/>
      </right>
      <top style="thin">
        <color indexed="64"/>
      </top>
      <bottom style="dashed">
        <color indexed="64"/>
      </bottom>
      <diagonal/>
    </border>
    <border>
      <left style="dashed">
        <color indexed="64"/>
      </left>
      <right style="dashed">
        <color indexed="64"/>
      </right>
      <top style="thin">
        <color indexed="64"/>
      </top>
      <bottom style="dashed">
        <color indexed="64"/>
      </bottom>
      <diagonal/>
    </border>
    <border>
      <left style="dashed">
        <color indexed="64"/>
      </left>
      <right style="thin">
        <color indexed="64"/>
      </right>
      <top style="thin">
        <color indexed="64"/>
      </top>
      <bottom style="dashed">
        <color indexed="64"/>
      </bottom>
      <diagonal/>
    </border>
    <border>
      <left style="thin">
        <color indexed="64"/>
      </left>
      <right style="dashed">
        <color indexed="64"/>
      </right>
      <top/>
      <bottom style="dashed">
        <color indexed="64"/>
      </bottom>
      <diagonal/>
    </border>
    <border>
      <left style="dashed">
        <color indexed="64"/>
      </left>
      <right style="dashed">
        <color indexed="64"/>
      </right>
      <top/>
      <bottom style="dashed">
        <color indexed="64"/>
      </bottom>
      <diagonal/>
    </border>
    <border>
      <left style="dashed">
        <color indexed="64"/>
      </left>
      <right style="thin">
        <color indexed="64"/>
      </right>
      <top/>
      <bottom style="dashed">
        <color indexed="64"/>
      </bottom>
      <diagonal/>
    </border>
    <border>
      <left style="thin">
        <color indexed="64"/>
      </left>
      <right style="dashed">
        <color indexed="64"/>
      </right>
      <top style="dashed">
        <color indexed="64"/>
      </top>
      <bottom style="thin">
        <color indexed="64"/>
      </bottom>
      <diagonal/>
    </border>
    <border>
      <left style="dashed">
        <color indexed="64"/>
      </left>
      <right style="dashed">
        <color indexed="64"/>
      </right>
      <top style="dashed">
        <color indexed="64"/>
      </top>
      <bottom style="thin">
        <color indexed="64"/>
      </bottom>
      <diagonal/>
    </border>
    <border>
      <left style="dashed">
        <color indexed="64"/>
      </left>
      <right style="thin">
        <color indexed="64"/>
      </right>
      <top style="dashed">
        <color indexed="64"/>
      </top>
      <bottom style="thin">
        <color indexed="64"/>
      </bottom>
      <diagonal/>
    </border>
    <border>
      <left style="thin">
        <color indexed="64"/>
      </left>
      <right style="dashed">
        <color indexed="64"/>
      </right>
      <top style="thin">
        <color indexed="64"/>
      </top>
      <bottom style="thin">
        <color indexed="64"/>
      </bottom>
      <diagonal/>
    </border>
    <border>
      <left style="dashed">
        <color indexed="64"/>
      </left>
      <right style="dashed">
        <color indexed="64"/>
      </right>
      <top style="thin">
        <color indexed="64"/>
      </top>
      <bottom style="thin">
        <color indexed="64"/>
      </bottom>
      <diagonal/>
    </border>
    <border>
      <left style="dashed">
        <color indexed="64"/>
      </left>
      <right style="thin">
        <color indexed="64"/>
      </right>
      <top style="thin">
        <color indexed="64"/>
      </top>
      <bottom style="thin">
        <color indexed="64"/>
      </bottom>
      <diagonal/>
    </border>
    <border>
      <left style="thin">
        <color indexed="64"/>
      </left>
      <right style="dashed">
        <color indexed="64"/>
      </right>
      <top style="dashed">
        <color indexed="64"/>
      </top>
      <bottom style="dashed">
        <color indexed="64"/>
      </bottom>
      <diagonal/>
    </border>
    <border>
      <left style="dashed">
        <color indexed="64"/>
      </left>
      <right style="dashed">
        <color indexed="64"/>
      </right>
      <top style="dashed">
        <color indexed="64"/>
      </top>
      <bottom style="dashed">
        <color indexed="64"/>
      </bottom>
      <diagonal/>
    </border>
    <border>
      <left style="dashed">
        <color indexed="64"/>
      </left>
      <right style="thin">
        <color indexed="64"/>
      </right>
      <top style="dashed">
        <color indexed="64"/>
      </top>
      <bottom style="dashed">
        <color indexed="64"/>
      </bottom>
      <diagonal/>
    </border>
    <border>
      <left style="thin">
        <color indexed="64"/>
      </left>
      <right style="dashed">
        <color indexed="64"/>
      </right>
      <top style="dashed">
        <color indexed="64"/>
      </top>
      <bottom/>
      <diagonal/>
    </border>
    <border>
      <left/>
      <right style="thin">
        <color indexed="64"/>
      </right>
      <top style="thin">
        <color indexed="64"/>
      </top>
      <bottom/>
      <diagonal/>
    </border>
    <border>
      <left/>
      <right style="dashed">
        <color indexed="64"/>
      </right>
      <top style="dashed">
        <color indexed="64"/>
      </top>
      <bottom style="thin">
        <color indexed="64"/>
      </bottom>
      <diagonal/>
    </border>
    <border>
      <left style="thin">
        <color indexed="64"/>
      </left>
      <right style="double">
        <color indexed="64"/>
      </right>
      <top style="thin">
        <color indexed="64"/>
      </top>
      <bottom style="dashed">
        <color indexed="64"/>
      </bottom>
      <diagonal/>
    </border>
    <border>
      <left/>
      <right style="dashed">
        <color indexed="64"/>
      </right>
      <top style="thin">
        <color indexed="64"/>
      </top>
      <bottom style="dashed">
        <color indexed="64"/>
      </bottom>
      <diagonal/>
    </border>
    <border>
      <left style="thin">
        <color indexed="64"/>
      </left>
      <right style="double">
        <color indexed="64"/>
      </right>
      <top style="dashed">
        <color indexed="64"/>
      </top>
      <bottom style="dashed">
        <color indexed="64"/>
      </bottom>
      <diagonal/>
    </border>
    <border>
      <left/>
      <right style="dashed">
        <color indexed="64"/>
      </right>
      <top style="dashed">
        <color indexed="64"/>
      </top>
      <bottom style="dashed">
        <color indexed="64"/>
      </bottom>
      <diagonal/>
    </border>
    <border>
      <left style="thin">
        <color indexed="64"/>
      </left>
      <right style="double">
        <color indexed="64"/>
      </right>
      <top style="dashed">
        <color indexed="64"/>
      </top>
      <bottom style="thin">
        <color indexed="64"/>
      </bottom>
      <diagonal/>
    </border>
    <border>
      <left style="thin">
        <color indexed="64"/>
      </left>
      <right style="dashed">
        <color indexed="64"/>
      </right>
      <top/>
      <bottom/>
      <diagonal/>
    </border>
    <border>
      <left style="dashed">
        <color indexed="64"/>
      </left>
      <right style="dashed">
        <color indexed="64"/>
      </right>
      <top/>
      <bottom/>
      <diagonal/>
    </border>
    <border>
      <left style="dashed">
        <color indexed="64"/>
      </left>
      <right style="thin">
        <color indexed="64"/>
      </right>
      <top/>
      <bottom/>
      <diagonal/>
    </border>
    <border>
      <left/>
      <right style="thin">
        <color indexed="64"/>
      </right>
      <top/>
      <bottom/>
      <diagonal/>
    </border>
    <border>
      <left/>
      <right style="thin">
        <color indexed="64"/>
      </right>
      <top/>
      <bottom style="thin">
        <color indexed="64"/>
      </bottom>
      <diagonal/>
    </border>
    <border>
      <left style="thin">
        <color indexed="64"/>
      </left>
      <right style="dashed">
        <color indexed="64"/>
      </right>
      <top/>
      <bottom style="thin">
        <color indexed="64"/>
      </bottom>
      <diagonal/>
    </border>
    <border>
      <left style="dashed">
        <color indexed="64"/>
      </left>
      <right style="dashed">
        <color indexed="64"/>
      </right>
      <top/>
      <bottom style="thin">
        <color indexed="64"/>
      </bottom>
      <diagonal/>
    </border>
    <border>
      <left style="dashed">
        <color indexed="64"/>
      </left>
      <right style="thin">
        <color indexed="64"/>
      </right>
      <top/>
      <bottom style="thin">
        <color indexed="64"/>
      </bottom>
      <diagonal/>
    </border>
    <border>
      <left style="thin">
        <color indexed="64"/>
      </left>
      <right style="dashed">
        <color indexed="64"/>
      </right>
      <top style="double">
        <color indexed="64"/>
      </top>
      <bottom style="double">
        <color indexed="64"/>
      </bottom>
      <diagonal/>
    </border>
    <border>
      <left style="dashed">
        <color indexed="64"/>
      </left>
      <right style="dashed">
        <color indexed="64"/>
      </right>
      <top style="double">
        <color indexed="64"/>
      </top>
      <bottom style="double">
        <color indexed="64"/>
      </bottom>
      <diagonal/>
    </border>
    <border>
      <left style="dashed">
        <color indexed="64"/>
      </left>
      <right style="thin">
        <color indexed="64"/>
      </right>
      <top style="double">
        <color indexed="64"/>
      </top>
      <bottom style="double">
        <color indexed="64"/>
      </bottom>
      <diagonal/>
    </border>
    <border>
      <left/>
      <right/>
      <top style="medium">
        <color indexed="64"/>
      </top>
      <bottom/>
      <diagonal/>
    </border>
    <border>
      <left style="thin">
        <color auto="1"/>
      </left>
      <right style="thin">
        <color auto="1"/>
      </right>
      <top style="thin">
        <color auto="1"/>
      </top>
      <bottom style="dashed">
        <color auto="1"/>
      </bottom>
      <diagonal/>
    </border>
    <border>
      <left style="thin">
        <color auto="1"/>
      </left>
      <right style="thin">
        <color auto="1"/>
      </right>
      <top style="dashed">
        <color auto="1"/>
      </top>
      <bottom style="thin">
        <color auto="1"/>
      </bottom>
      <diagonal/>
    </border>
    <border>
      <left style="thin">
        <color auto="1"/>
      </left>
      <right style="thin">
        <color auto="1"/>
      </right>
      <top style="thin">
        <color auto="1"/>
      </top>
      <bottom style="thin">
        <color auto="1"/>
      </bottom>
      <diagonal/>
    </border>
  </borders>
  <cellStyleXfs count="364">
    <xf numFmtId="0" fontId="0" fillId="0" borderId="0"/>
    <xf numFmtId="164" fontId="1" fillId="0" borderId="0" applyFon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9" fontId="14" fillId="0" borderId="0" applyFont="0" applyFill="0" applyBorder="0" applyAlignment="0" applyProtection="0"/>
    <xf numFmtId="9" fontId="28" fillId="0" borderId="0" applyFont="0" applyFill="0" applyBorder="0" applyAlignment="0" applyProtection="0"/>
  </cellStyleXfs>
  <cellXfs count="349">
    <xf numFmtId="0" fontId="0" fillId="0" borderId="0" xfId="0"/>
    <xf numFmtId="0" fontId="1" fillId="0" borderId="0" xfId="0" applyFont="1"/>
    <xf numFmtId="0" fontId="8" fillId="3" borderId="1" xfId="0" applyFont="1" applyFill="1" applyBorder="1" applyAlignment="1">
      <alignment horizontal="center" vertical="center" wrapText="1"/>
    </xf>
    <xf numFmtId="164" fontId="0" fillId="0" borderId="0" xfId="1" applyFont="1"/>
    <xf numFmtId="0" fontId="9" fillId="0" borderId="0" xfId="0" applyFont="1"/>
    <xf numFmtId="0" fontId="0" fillId="0" borderId="0" xfId="0" applyAlignment="1">
      <alignment horizontal="center"/>
    </xf>
    <xf numFmtId="177" fontId="0" fillId="0" borderId="0" xfId="1" applyNumberFormat="1" applyFont="1"/>
    <xf numFmtId="178" fontId="0" fillId="0" borderId="0" xfId="1" applyNumberFormat="1" applyFont="1"/>
    <xf numFmtId="0" fontId="6" fillId="4" borderId="0" xfId="0" applyFont="1" applyFill="1"/>
    <xf numFmtId="0" fontId="11" fillId="4" borderId="0" xfId="0" applyFont="1" applyFill="1"/>
    <xf numFmtId="0" fontId="0" fillId="0" borderId="0" xfId="0" applyFill="1"/>
    <xf numFmtId="0" fontId="6" fillId="0" borderId="0" xfId="0" quotePrefix="1" applyFont="1" applyFill="1"/>
    <xf numFmtId="0" fontId="6" fillId="0" borderId="0" xfId="0" applyFont="1" applyFill="1"/>
    <xf numFmtId="0" fontId="11" fillId="0" borderId="0" xfId="0" applyFont="1" applyFill="1"/>
    <xf numFmtId="164" fontId="9" fillId="5" borderId="0" xfId="1" applyFont="1" applyFill="1"/>
    <xf numFmtId="0" fontId="0" fillId="5" borderId="0" xfId="0" applyFill="1"/>
    <xf numFmtId="0" fontId="0" fillId="2" borderId="0" xfId="0" applyFill="1" applyAlignment="1">
      <alignment horizontal="center"/>
    </xf>
    <xf numFmtId="0" fontId="0" fillId="2" borderId="0" xfId="0" applyFill="1"/>
    <xf numFmtId="0" fontId="15" fillId="6" borderId="2" xfId="0" applyFont="1" applyFill="1" applyBorder="1" applyProtection="1"/>
    <xf numFmtId="0" fontId="16" fillId="6" borderId="2" xfId="0" applyFont="1" applyFill="1" applyBorder="1" applyAlignment="1" applyProtection="1">
      <alignment vertical="center"/>
    </xf>
    <xf numFmtId="0" fontId="6" fillId="7" borderId="3" xfId="0" applyFont="1" applyFill="1" applyBorder="1" applyAlignment="1" applyProtection="1">
      <alignment vertical="center"/>
    </xf>
    <xf numFmtId="0" fontId="6" fillId="7" borderId="3" xfId="0" applyFont="1" applyFill="1" applyBorder="1" applyAlignment="1" applyProtection="1">
      <alignment horizontal="left" vertical="center"/>
    </xf>
    <xf numFmtId="0" fontId="0" fillId="7" borderId="3" xfId="0" applyFill="1" applyBorder="1" applyAlignment="1" applyProtection="1">
      <alignment horizontal="center" vertical="center"/>
    </xf>
    <xf numFmtId="0" fontId="6" fillId="7" borderId="3" xfId="0" applyFont="1" applyFill="1" applyBorder="1" applyAlignment="1" applyProtection="1">
      <alignment horizontal="center" vertical="center"/>
    </xf>
    <xf numFmtId="0" fontId="17" fillId="8" borderId="0" xfId="0" applyFont="1" applyFill="1" applyProtection="1"/>
    <xf numFmtId="0" fontId="18" fillId="8" borderId="0" xfId="0" applyFont="1" applyFill="1" applyProtection="1"/>
    <xf numFmtId="0" fontId="15" fillId="7" borderId="0" xfId="0" applyFont="1" applyFill="1" applyProtection="1"/>
    <xf numFmtId="9" fontId="0" fillId="7" borderId="0" xfId="362" applyFont="1" applyFill="1" applyProtection="1"/>
    <xf numFmtId="0" fontId="1" fillId="7" borderId="0" xfId="0" applyFont="1" applyFill="1" applyProtection="1"/>
    <xf numFmtId="9" fontId="1" fillId="7" borderId="0" xfId="362" applyFont="1" applyFill="1" applyProtection="1"/>
    <xf numFmtId="9" fontId="0" fillId="9" borderId="4" xfId="362" applyNumberFormat="1" applyFont="1" applyFill="1" applyBorder="1" applyProtection="1"/>
    <xf numFmtId="9" fontId="0" fillId="9" borderId="5" xfId="362" applyNumberFormat="1" applyFont="1" applyFill="1" applyBorder="1" applyProtection="1"/>
    <xf numFmtId="9" fontId="0" fillId="9" borderId="5" xfId="362" applyFont="1" applyFill="1" applyBorder="1" applyProtection="1"/>
    <xf numFmtId="9" fontId="0" fillId="9" borderId="6" xfId="362" applyFont="1" applyFill="1" applyBorder="1" applyProtection="1"/>
    <xf numFmtId="3" fontId="0" fillId="7" borderId="0" xfId="362" applyNumberFormat="1" applyFont="1" applyFill="1" applyProtection="1"/>
    <xf numFmtId="3" fontId="1" fillId="7" borderId="0" xfId="0" applyNumberFormat="1" applyFont="1" applyFill="1" applyProtection="1"/>
    <xf numFmtId="3" fontId="1" fillId="7" borderId="0" xfId="362" applyNumberFormat="1" applyFont="1" applyFill="1" applyProtection="1"/>
    <xf numFmtId="3" fontId="0" fillId="9" borderId="7" xfId="362" applyNumberFormat="1" applyFont="1" applyFill="1" applyBorder="1" applyProtection="1"/>
    <xf numFmtId="3" fontId="0" fillId="9" borderId="8" xfId="362" applyNumberFormat="1" applyFont="1" applyFill="1" applyBorder="1" applyProtection="1"/>
    <xf numFmtId="3" fontId="0" fillId="9" borderId="9" xfId="362" applyNumberFormat="1" applyFont="1" applyFill="1" applyBorder="1" applyProtection="1"/>
    <xf numFmtId="9" fontId="0" fillId="9" borderId="10" xfId="362" applyFont="1" applyFill="1" applyBorder="1" applyProtection="1"/>
    <xf numFmtId="9" fontId="0" fillId="9" borderId="11" xfId="362" applyFont="1" applyFill="1" applyBorder="1" applyProtection="1"/>
    <xf numFmtId="9" fontId="0" fillId="9" borderId="12" xfId="362" applyFont="1" applyFill="1" applyBorder="1" applyProtection="1"/>
    <xf numFmtId="0" fontId="0" fillId="7" borderId="0" xfId="0" applyFill="1" applyProtection="1"/>
    <xf numFmtId="179" fontId="0" fillId="7" borderId="0" xfId="362" applyNumberFormat="1" applyFont="1" applyFill="1" applyProtection="1"/>
    <xf numFmtId="3" fontId="0" fillId="7" borderId="0" xfId="0" applyNumberFormat="1" applyFill="1" applyProtection="1"/>
    <xf numFmtId="3" fontId="0" fillId="9" borderId="4" xfId="0" applyNumberFormat="1" applyFill="1" applyBorder="1" applyProtection="1"/>
    <xf numFmtId="3" fontId="0" fillId="9" borderId="5" xfId="0" applyNumberFormat="1" applyFill="1" applyBorder="1" applyProtection="1"/>
    <xf numFmtId="3" fontId="0" fillId="9" borderId="6" xfId="0" applyNumberFormat="1" applyFill="1" applyBorder="1" applyProtection="1"/>
    <xf numFmtId="3" fontId="0" fillId="9" borderId="10" xfId="0" applyNumberFormat="1" applyFill="1" applyBorder="1" applyProtection="1"/>
    <xf numFmtId="3" fontId="0" fillId="9" borderId="11" xfId="0" applyNumberFormat="1" applyFill="1" applyBorder="1" applyProtection="1"/>
    <xf numFmtId="3" fontId="0" fillId="9" borderId="12" xfId="0" applyNumberFormat="1" applyFill="1" applyBorder="1" applyProtection="1"/>
    <xf numFmtId="9" fontId="19" fillId="7" borderId="0" xfId="362" applyFont="1" applyFill="1" applyBorder="1" applyProtection="1"/>
    <xf numFmtId="9" fontId="19" fillId="7" borderId="0" xfId="362" applyNumberFormat="1" applyFont="1" applyFill="1" applyBorder="1" applyProtection="1"/>
    <xf numFmtId="9" fontId="0" fillId="7" borderId="0" xfId="0" applyNumberFormat="1" applyFill="1" applyProtection="1"/>
    <xf numFmtId="9" fontId="1" fillId="7" borderId="0" xfId="0" applyNumberFormat="1" applyFont="1" applyFill="1" applyProtection="1"/>
    <xf numFmtId="9" fontId="0" fillId="9" borderId="13" xfId="0" applyNumberFormat="1" applyFill="1" applyBorder="1" applyProtection="1"/>
    <xf numFmtId="9" fontId="0" fillId="9" borderId="14" xfId="0" applyNumberFormat="1" applyFill="1" applyBorder="1" applyProtection="1"/>
    <xf numFmtId="9" fontId="0" fillId="9" borderId="15" xfId="0" applyNumberFormat="1" applyFill="1" applyBorder="1" applyProtection="1"/>
    <xf numFmtId="0" fontId="1" fillId="7" borderId="0" xfId="0" applyFont="1" applyFill="1" applyBorder="1" applyProtection="1"/>
    <xf numFmtId="3" fontId="0" fillId="9" borderId="19" xfId="0" applyNumberFormat="1" applyFill="1" applyBorder="1" applyProtection="1"/>
    <xf numFmtId="3" fontId="0" fillId="9" borderId="17" xfId="0" applyNumberFormat="1" applyFill="1" applyBorder="1" applyProtection="1"/>
    <xf numFmtId="3" fontId="0" fillId="9" borderId="18" xfId="0" applyNumberFormat="1" applyFill="1" applyBorder="1" applyProtection="1"/>
    <xf numFmtId="3" fontId="0" fillId="7" borderId="20" xfId="362" applyNumberFormat="1" applyFont="1" applyFill="1" applyBorder="1" applyProtection="1"/>
    <xf numFmtId="3" fontId="0" fillId="9" borderId="21" xfId="362" applyNumberFormat="1" applyFont="1" applyFill="1" applyBorder="1" applyProtection="1"/>
    <xf numFmtId="3" fontId="0" fillId="9" borderId="11" xfId="362" applyNumberFormat="1" applyFont="1" applyFill="1" applyBorder="1" applyProtection="1"/>
    <xf numFmtId="3" fontId="0" fillId="9" borderId="12" xfId="362" applyNumberFormat="1" applyFont="1" applyFill="1" applyBorder="1" applyProtection="1"/>
    <xf numFmtId="1" fontId="0" fillId="7" borderId="0" xfId="0" applyNumberFormat="1" applyFill="1" applyProtection="1"/>
    <xf numFmtId="0" fontId="6" fillId="7" borderId="0" xfId="0" applyFont="1" applyFill="1" applyProtection="1"/>
    <xf numFmtId="4" fontId="0" fillId="7" borderId="0" xfId="0" applyNumberFormat="1" applyFill="1" applyProtection="1"/>
    <xf numFmtId="9" fontId="0" fillId="9" borderId="13" xfId="362" applyFont="1" applyFill="1" applyBorder="1" applyProtection="1"/>
    <xf numFmtId="0" fontId="17" fillId="8" borderId="0" xfId="0" applyFont="1" applyFill="1" applyAlignment="1" applyProtection="1"/>
    <xf numFmtId="0" fontId="18" fillId="8" borderId="0" xfId="0" applyFont="1" applyFill="1" applyAlignment="1" applyProtection="1">
      <alignment horizontal="centerContinuous"/>
    </xf>
    <xf numFmtId="173" fontId="15" fillId="7" borderId="0" xfId="0" applyNumberFormat="1" applyFont="1" applyFill="1" applyProtection="1"/>
    <xf numFmtId="0" fontId="20" fillId="7" borderId="0" xfId="0" applyFont="1" applyFill="1" applyProtection="1"/>
    <xf numFmtId="3" fontId="6" fillId="7" borderId="0" xfId="0" applyNumberFormat="1" applyFont="1" applyFill="1" applyProtection="1"/>
    <xf numFmtId="10" fontId="0" fillId="7" borderId="0" xfId="362" applyNumberFormat="1" applyFont="1" applyFill="1" applyProtection="1"/>
    <xf numFmtId="3" fontId="20" fillId="7" borderId="0" xfId="0" applyNumberFormat="1" applyFont="1" applyFill="1" applyProtection="1"/>
    <xf numFmtId="167" fontId="0" fillId="7" borderId="0" xfId="0" applyNumberFormat="1" applyFill="1" applyProtection="1"/>
    <xf numFmtId="166" fontId="0" fillId="9" borderId="14" xfId="0" applyNumberFormat="1" applyFill="1" applyBorder="1" applyProtection="1"/>
    <xf numFmtId="166" fontId="0" fillId="9" borderId="15" xfId="0" applyNumberFormat="1" applyFill="1" applyBorder="1" applyProtection="1"/>
    <xf numFmtId="3" fontId="1" fillId="7" borderId="0" xfId="0" applyNumberFormat="1" applyFont="1" applyFill="1" applyAlignment="1" applyProtection="1"/>
    <xf numFmtId="166" fontId="0" fillId="9" borderId="10" xfId="0" applyNumberFormat="1" applyFill="1" applyBorder="1" applyProtection="1"/>
    <xf numFmtId="166" fontId="0" fillId="9" borderId="11" xfId="0" applyNumberFormat="1" applyFill="1" applyBorder="1" applyProtection="1"/>
    <xf numFmtId="166" fontId="0" fillId="9" borderId="12" xfId="0" applyNumberFormat="1" applyFill="1" applyBorder="1" applyProtection="1"/>
    <xf numFmtId="3" fontId="6" fillId="7" borderId="0" xfId="0" applyNumberFormat="1" applyFont="1" applyFill="1" applyAlignment="1" applyProtection="1">
      <alignment horizontal="center"/>
    </xf>
    <xf numFmtId="166" fontId="0" fillId="7" borderId="0" xfId="0" applyNumberFormat="1" applyFill="1" applyProtection="1"/>
    <xf numFmtId="3" fontId="18" fillId="7" borderId="0" xfId="0" applyNumberFormat="1" applyFont="1" applyFill="1" applyProtection="1"/>
    <xf numFmtId="3" fontId="1" fillId="7" borderId="0" xfId="0" applyNumberFormat="1" applyFont="1" applyFill="1" applyAlignment="1" applyProtection="1">
      <alignment horizontal="left" indent="1"/>
    </xf>
    <xf numFmtId="166" fontId="0" fillId="9" borderId="22" xfId="0" applyNumberFormat="1" applyFill="1" applyBorder="1" applyAlignment="1" applyProtection="1">
      <alignment horizontal="center" vertical="top"/>
    </xf>
    <xf numFmtId="166" fontId="0" fillId="9" borderId="23" xfId="0" applyNumberFormat="1" applyFill="1" applyBorder="1" applyProtection="1"/>
    <xf numFmtId="166" fontId="0" fillId="9" borderId="5" xfId="0" applyNumberFormat="1" applyFill="1" applyBorder="1" applyProtection="1"/>
    <xf numFmtId="166" fontId="0" fillId="9" borderId="6" xfId="0" applyNumberFormat="1" applyFill="1" applyBorder="1" applyProtection="1"/>
    <xf numFmtId="166" fontId="0" fillId="9" borderId="24" xfId="0" applyNumberFormat="1" applyFill="1" applyBorder="1" applyAlignment="1" applyProtection="1">
      <alignment horizontal="center" vertical="top"/>
    </xf>
    <xf numFmtId="166" fontId="0" fillId="9" borderId="25" xfId="0" applyNumberFormat="1" applyFill="1" applyBorder="1" applyProtection="1"/>
    <xf numFmtId="166" fontId="0" fillId="9" borderId="17" xfId="0" applyNumberFormat="1" applyFill="1" applyBorder="1" applyProtection="1"/>
    <xf numFmtId="166" fontId="0" fillId="9" borderId="18" xfId="0" applyNumberFormat="1" applyFill="1" applyBorder="1" applyProtection="1"/>
    <xf numFmtId="166" fontId="0" fillId="9" borderId="26" xfId="0" applyNumberFormat="1" applyFill="1" applyBorder="1" applyAlignment="1" applyProtection="1">
      <alignment horizontal="center" vertical="top"/>
    </xf>
    <xf numFmtId="166" fontId="0" fillId="9" borderId="21" xfId="0" applyNumberFormat="1" applyFill="1" applyBorder="1" applyProtection="1"/>
    <xf numFmtId="169" fontId="0" fillId="7" borderId="0" xfId="0" applyNumberFormat="1" applyFill="1" applyProtection="1"/>
    <xf numFmtId="166" fontId="0" fillId="9" borderId="4" xfId="0" applyNumberFormat="1" applyFill="1" applyBorder="1" applyProtection="1"/>
    <xf numFmtId="166" fontId="0" fillId="9" borderId="27" xfId="0" applyNumberFormat="1" applyFill="1" applyBorder="1" applyProtection="1"/>
    <xf numFmtId="166" fontId="0" fillId="9" borderId="28" xfId="0" applyNumberFormat="1" applyFill="1" applyBorder="1" applyProtection="1"/>
    <xf numFmtId="166" fontId="0" fillId="9" borderId="29" xfId="0" applyNumberFormat="1" applyFill="1" applyBorder="1" applyProtection="1"/>
    <xf numFmtId="3" fontId="0" fillId="7" borderId="0" xfId="0" applyNumberFormat="1" applyFill="1" applyAlignment="1" applyProtection="1"/>
    <xf numFmtId="3" fontId="0" fillId="7" borderId="0" xfId="0" applyNumberFormat="1" applyFill="1" applyBorder="1" applyProtection="1"/>
    <xf numFmtId="167" fontId="0" fillId="7" borderId="0" xfId="0" applyNumberFormat="1" applyFill="1" applyBorder="1" applyProtection="1"/>
    <xf numFmtId="168" fontId="0" fillId="7" borderId="0" xfId="0" applyNumberFormat="1" applyFill="1" applyProtection="1"/>
    <xf numFmtId="170" fontId="0" fillId="7" borderId="0" xfId="0" applyNumberFormat="1" applyFill="1" applyProtection="1"/>
    <xf numFmtId="3" fontId="0" fillId="9" borderId="16" xfId="0" applyNumberFormat="1" applyFill="1" applyBorder="1" applyProtection="1"/>
    <xf numFmtId="166" fontId="1" fillId="7" borderId="0" xfId="0" applyNumberFormat="1" applyFont="1" applyFill="1" applyProtection="1"/>
    <xf numFmtId="3" fontId="0" fillId="7" borderId="30" xfId="0" applyNumberFormat="1" applyFill="1" applyBorder="1" applyProtection="1"/>
    <xf numFmtId="3" fontId="0" fillId="9" borderId="23" xfId="0" applyNumberFormat="1" applyFill="1" applyBorder="1" applyProtection="1"/>
    <xf numFmtId="3" fontId="0" fillId="7" borderId="31" xfId="0" applyNumberFormat="1" applyFill="1" applyBorder="1" applyProtection="1"/>
    <xf numFmtId="3" fontId="0" fillId="9" borderId="21" xfId="0" applyNumberFormat="1" applyFill="1" applyBorder="1" applyProtection="1"/>
    <xf numFmtId="3" fontId="0" fillId="9" borderId="13" xfId="0" applyNumberFormat="1" applyFill="1" applyBorder="1" applyProtection="1"/>
    <xf numFmtId="174" fontId="0" fillId="7" borderId="0" xfId="0" applyNumberFormat="1" applyFill="1" applyProtection="1"/>
    <xf numFmtId="3" fontId="0" fillId="9" borderId="32" xfId="0" applyNumberFormat="1" applyFill="1" applyBorder="1" applyProtection="1"/>
    <xf numFmtId="3" fontId="0" fillId="9" borderId="33" xfId="0" applyNumberFormat="1" applyFill="1" applyBorder="1" applyProtection="1"/>
    <xf numFmtId="3" fontId="0" fillId="9" borderId="34" xfId="0" applyNumberFormat="1" applyFill="1" applyBorder="1" applyProtection="1"/>
    <xf numFmtId="1" fontId="0" fillId="9" borderId="16" xfId="0" applyNumberFormat="1" applyFill="1" applyBorder="1" applyProtection="1"/>
    <xf numFmtId="1" fontId="0" fillId="9" borderId="17" xfId="0" applyNumberFormat="1" applyFill="1" applyBorder="1" applyProtection="1"/>
    <xf numFmtId="1" fontId="0" fillId="9" borderId="18" xfId="0" applyNumberFormat="1" applyFill="1" applyBorder="1" applyProtection="1"/>
    <xf numFmtId="1" fontId="0" fillId="9" borderId="10" xfId="0" applyNumberFormat="1" applyFill="1" applyBorder="1" applyProtection="1"/>
    <xf numFmtId="1" fontId="0" fillId="9" borderId="11" xfId="0" applyNumberFormat="1" applyFill="1" applyBorder="1" applyProtection="1"/>
    <xf numFmtId="1" fontId="0" fillId="9" borderId="12" xfId="0" applyNumberFormat="1" applyFill="1" applyBorder="1" applyProtection="1"/>
    <xf numFmtId="171" fontId="0" fillId="7" borderId="0" xfId="0" applyNumberFormat="1" applyFill="1" applyProtection="1"/>
    <xf numFmtId="166" fontId="6" fillId="7" borderId="0" xfId="0" applyNumberFormat="1" applyFont="1" applyFill="1" applyBorder="1" applyProtection="1"/>
    <xf numFmtId="166" fontId="20" fillId="7" borderId="0" xfId="0" applyNumberFormat="1" applyFont="1" applyFill="1" applyBorder="1" applyProtection="1"/>
    <xf numFmtId="1" fontId="0" fillId="9" borderId="4" xfId="0" applyNumberFormat="1" applyFill="1" applyBorder="1" applyProtection="1"/>
    <xf numFmtId="1" fontId="0" fillId="9" borderId="5" xfId="0" applyNumberFormat="1" applyFill="1" applyBorder="1" applyProtection="1"/>
    <xf numFmtId="1" fontId="0" fillId="9" borderId="6" xfId="0" applyNumberFormat="1" applyFill="1" applyBorder="1" applyProtection="1"/>
    <xf numFmtId="2" fontId="0" fillId="7" borderId="0" xfId="0" applyNumberFormat="1" applyFill="1" applyProtection="1"/>
    <xf numFmtId="4" fontId="0" fillId="9" borderId="13" xfId="0" applyNumberFormat="1" applyFill="1" applyBorder="1" applyProtection="1"/>
    <xf numFmtId="4" fontId="0" fillId="9" borderId="14" xfId="0" applyNumberFormat="1" applyFill="1" applyBorder="1" applyProtection="1"/>
    <xf numFmtId="4" fontId="0" fillId="9" borderId="15" xfId="0" applyNumberFormat="1" applyFill="1" applyBorder="1" applyProtection="1"/>
    <xf numFmtId="3" fontId="6" fillId="7" borderId="0" xfId="0" applyNumberFormat="1" applyFont="1" applyFill="1" applyBorder="1" applyProtection="1"/>
    <xf numFmtId="3" fontId="17" fillId="8" borderId="0" xfId="0" applyNumberFormat="1" applyFont="1" applyFill="1" applyProtection="1"/>
    <xf numFmtId="3" fontId="18" fillId="8" borderId="0" xfId="0" applyNumberFormat="1" applyFont="1" applyFill="1" applyProtection="1"/>
    <xf numFmtId="3" fontId="15" fillId="7" borderId="0" xfId="0" applyNumberFormat="1" applyFont="1" applyFill="1" applyProtection="1"/>
    <xf numFmtId="3" fontId="0" fillId="9" borderId="35" xfId="0" applyNumberFormat="1" applyFill="1" applyBorder="1" applyProtection="1"/>
    <xf numFmtId="3" fontId="0" fillId="9" borderId="36" xfId="0" applyNumberFormat="1" applyFill="1" applyBorder="1" applyProtection="1"/>
    <xf numFmtId="3" fontId="0" fillId="9" borderId="37" xfId="0" applyNumberFormat="1" applyFill="1" applyBorder="1" applyProtection="1"/>
    <xf numFmtId="175" fontId="0" fillId="7" borderId="0" xfId="0" applyNumberFormat="1" applyFill="1" applyProtection="1"/>
    <xf numFmtId="176" fontId="0" fillId="7" borderId="0" xfId="0" applyNumberFormat="1" applyFill="1" applyProtection="1"/>
    <xf numFmtId="168" fontId="15" fillId="7" borderId="0" xfId="0" applyNumberFormat="1" applyFont="1" applyFill="1" applyProtection="1"/>
    <xf numFmtId="176" fontId="15" fillId="7" borderId="0" xfId="0" applyNumberFormat="1" applyFont="1" applyFill="1" applyProtection="1"/>
    <xf numFmtId="166" fontId="20" fillId="7" borderId="0" xfId="0" applyNumberFormat="1" applyFont="1" applyFill="1" applyProtection="1"/>
    <xf numFmtId="3" fontId="0" fillId="9" borderId="14" xfId="0" applyNumberFormat="1" applyFill="1" applyBorder="1" applyProtection="1"/>
    <xf numFmtId="3" fontId="0" fillId="9" borderId="15" xfId="0" applyNumberFormat="1" applyFill="1" applyBorder="1" applyProtection="1"/>
    <xf numFmtId="0" fontId="0" fillId="6" borderId="38" xfId="0" applyFill="1" applyBorder="1" applyProtection="1"/>
    <xf numFmtId="0" fontId="0" fillId="6" borderId="0" xfId="0" applyFill="1" applyProtection="1"/>
    <xf numFmtId="1" fontId="0" fillId="7" borderId="0" xfId="362" applyNumberFormat="1" applyFont="1" applyFill="1" applyProtection="1"/>
    <xf numFmtId="1" fontId="1" fillId="7" borderId="0" xfId="0" applyNumberFormat="1" applyFont="1" applyFill="1" applyProtection="1"/>
    <xf numFmtId="1" fontId="1" fillId="7" borderId="0" xfId="362" applyNumberFormat="1" applyFont="1" applyFill="1" applyProtection="1"/>
    <xf numFmtId="1" fontId="0" fillId="9" borderId="5" xfId="362" applyNumberFormat="1" applyFont="1" applyFill="1" applyBorder="1" applyProtection="1"/>
    <xf numFmtId="1" fontId="0" fillId="9" borderId="6" xfId="362" applyNumberFormat="1" applyFont="1" applyFill="1" applyBorder="1" applyProtection="1"/>
    <xf numFmtId="1" fontId="0" fillId="9" borderId="11" xfId="362" applyNumberFormat="1" applyFont="1" applyFill="1" applyBorder="1" applyProtection="1"/>
    <xf numFmtId="1" fontId="0" fillId="9" borderId="12" xfId="362" applyNumberFormat="1" applyFont="1" applyFill="1" applyBorder="1" applyProtection="1"/>
    <xf numFmtId="4" fontId="1" fillId="7" borderId="0" xfId="0" applyNumberFormat="1" applyFont="1" applyFill="1" applyProtection="1"/>
    <xf numFmtId="3" fontId="0" fillId="9" borderId="24" xfId="0" applyNumberFormat="1" applyFill="1" applyBorder="1" applyAlignment="1" applyProtection="1">
      <alignment horizontal="center" vertical="top"/>
    </xf>
    <xf numFmtId="3" fontId="0" fillId="9" borderId="26" xfId="0" applyNumberFormat="1" applyFill="1" applyBorder="1" applyAlignment="1" applyProtection="1">
      <alignment horizontal="center" vertical="top"/>
    </xf>
    <xf numFmtId="10" fontId="0" fillId="9" borderId="5" xfId="362" applyNumberFormat="1" applyFont="1" applyFill="1" applyBorder="1" applyProtection="1"/>
    <xf numFmtId="9" fontId="0" fillId="9" borderId="11" xfId="362" applyNumberFormat="1" applyFont="1" applyFill="1" applyBorder="1" applyProtection="1"/>
    <xf numFmtId="1" fontId="6" fillId="7" borderId="0" xfId="0" applyNumberFormat="1" applyFont="1" applyFill="1" applyProtection="1"/>
    <xf numFmtId="166" fontId="1" fillId="7" borderId="0" xfId="0" applyNumberFormat="1" applyFont="1" applyFill="1" applyAlignment="1" applyProtection="1">
      <alignment horizontal="left" indent="1"/>
    </xf>
    <xf numFmtId="0" fontId="22" fillId="7" borderId="0" xfId="0" applyFont="1" applyFill="1" applyBorder="1" applyAlignment="1" applyProtection="1">
      <alignment horizontal="center" vertical="center"/>
    </xf>
    <xf numFmtId="0" fontId="6" fillId="7" borderId="0" xfId="0" applyFont="1" applyFill="1" applyBorder="1" applyProtection="1"/>
    <xf numFmtId="0" fontId="18" fillId="7" borderId="0" xfId="0" applyFont="1" applyFill="1" applyProtection="1"/>
    <xf numFmtId="165" fontId="18" fillId="7" borderId="0" xfId="0" applyNumberFormat="1" applyFont="1" applyFill="1" applyProtection="1"/>
    <xf numFmtId="165" fontId="0" fillId="7" borderId="0" xfId="0" applyNumberFormat="1" applyFill="1" applyProtection="1"/>
    <xf numFmtId="0" fontId="22" fillId="7" borderId="0" xfId="0" applyFont="1" applyFill="1" applyBorder="1" applyAlignment="1" applyProtection="1">
      <alignment horizontal="left" vertical="center"/>
    </xf>
    <xf numFmtId="9" fontId="22" fillId="7" borderId="0" xfId="0" applyNumberFormat="1" applyFont="1" applyFill="1" applyBorder="1" applyAlignment="1" applyProtection="1">
      <alignment horizontal="left" vertical="center"/>
    </xf>
    <xf numFmtId="0" fontId="23" fillId="7" borderId="0" xfId="0" applyFont="1" applyFill="1" applyBorder="1" applyAlignment="1" applyProtection="1">
      <alignment horizontal="center" vertical="center"/>
    </xf>
    <xf numFmtId="0" fontId="15" fillId="7" borderId="0" xfId="0" applyFont="1" applyFill="1" applyBorder="1" applyProtection="1"/>
    <xf numFmtId="2" fontId="18" fillId="7" borderId="0" xfId="0" applyNumberFormat="1" applyFont="1" applyFill="1" applyProtection="1"/>
    <xf numFmtId="166" fontId="18" fillId="7" borderId="0" xfId="0" applyNumberFormat="1" applyFont="1" applyFill="1" applyBorder="1" applyProtection="1"/>
    <xf numFmtId="166" fontId="18" fillId="7" borderId="0" xfId="0" applyNumberFormat="1" applyFont="1" applyFill="1" applyProtection="1"/>
    <xf numFmtId="0" fontId="15" fillId="7" borderId="0" xfId="0" applyFont="1" applyFill="1" applyBorder="1" applyAlignment="1" applyProtection="1">
      <alignment wrapText="1"/>
    </xf>
    <xf numFmtId="1" fontId="22" fillId="7" borderId="0" xfId="0" applyNumberFormat="1" applyFont="1" applyFill="1" applyBorder="1" applyAlignment="1" applyProtection="1">
      <alignment horizontal="center" vertical="center" wrapText="1"/>
    </xf>
    <xf numFmtId="0" fontId="22" fillId="7" borderId="0" xfId="0" applyFont="1" applyFill="1" applyBorder="1" applyAlignment="1" applyProtection="1">
      <alignment horizontal="center" vertical="center" wrapText="1"/>
    </xf>
    <xf numFmtId="172" fontId="0" fillId="7" borderId="0" xfId="0" applyNumberFormat="1" applyFill="1" applyProtection="1"/>
    <xf numFmtId="3" fontId="0" fillId="6" borderId="38" xfId="0" applyNumberFormat="1" applyFill="1" applyBorder="1" applyProtection="1"/>
    <xf numFmtId="3" fontId="0" fillId="6" borderId="0" xfId="0" applyNumberFormat="1" applyFill="1" applyProtection="1"/>
    <xf numFmtId="0" fontId="6" fillId="5" borderId="0" xfId="0" applyFont="1" applyFill="1"/>
    <xf numFmtId="0" fontId="11" fillId="5" borderId="0" xfId="0" applyFont="1" applyFill="1"/>
    <xf numFmtId="177" fontId="0" fillId="9" borderId="22" xfId="1" applyNumberFormat="1" applyFont="1" applyFill="1" applyBorder="1" applyAlignment="1" applyProtection="1">
      <alignment horizontal="center" vertical="top"/>
    </xf>
    <xf numFmtId="177" fontId="0" fillId="9" borderId="23" xfId="1" applyNumberFormat="1" applyFont="1" applyFill="1" applyBorder="1" applyProtection="1"/>
    <xf numFmtId="177" fontId="0" fillId="9" borderId="24" xfId="1" applyNumberFormat="1" applyFont="1" applyFill="1" applyBorder="1" applyAlignment="1" applyProtection="1">
      <alignment horizontal="center" vertical="top"/>
    </xf>
    <xf numFmtId="177" fontId="0" fillId="9" borderId="25" xfId="1" applyNumberFormat="1" applyFont="1" applyFill="1" applyBorder="1" applyProtection="1"/>
    <xf numFmtId="0" fontId="20" fillId="0" borderId="0" xfId="0" applyFont="1" applyFill="1" applyProtection="1"/>
    <xf numFmtId="3" fontId="1" fillId="0" borderId="0" xfId="0" applyNumberFormat="1" applyFont="1" applyFill="1" applyProtection="1"/>
    <xf numFmtId="168" fontId="0" fillId="0" borderId="0" xfId="0" applyNumberFormat="1" applyFill="1" applyProtection="1"/>
    <xf numFmtId="3" fontId="0" fillId="0" borderId="0" xfId="0" applyNumberFormat="1" applyFill="1" applyProtection="1"/>
    <xf numFmtId="0" fontId="9" fillId="4" borderId="0" xfId="0" applyFont="1" applyFill="1"/>
    <xf numFmtId="0" fontId="1" fillId="0" borderId="0" xfId="0" applyFont="1" applyFill="1"/>
    <xf numFmtId="0" fontId="24" fillId="4" borderId="0" xfId="0" applyFont="1" applyFill="1"/>
    <xf numFmtId="164" fontId="0" fillId="9" borderId="4" xfId="1" applyFont="1" applyFill="1" applyBorder="1" applyProtection="1"/>
    <xf numFmtId="164" fontId="0" fillId="9" borderId="5" xfId="1" applyFont="1" applyFill="1" applyBorder="1" applyProtection="1"/>
    <xf numFmtId="180" fontId="0" fillId="9" borderId="4" xfId="1" applyNumberFormat="1" applyFont="1" applyFill="1" applyBorder="1" applyProtection="1"/>
    <xf numFmtId="180" fontId="0" fillId="9" borderId="5" xfId="1" applyNumberFormat="1" applyFont="1" applyFill="1" applyBorder="1" applyProtection="1"/>
    <xf numFmtId="180" fontId="0" fillId="9" borderId="6" xfId="1" applyNumberFormat="1" applyFont="1" applyFill="1" applyBorder="1" applyProtection="1"/>
    <xf numFmtId="3" fontId="1" fillId="2" borderId="0" xfId="0" applyNumberFormat="1" applyFont="1" applyFill="1" applyAlignment="1" applyProtection="1"/>
    <xf numFmtId="3" fontId="0" fillId="2" borderId="0" xfId="0" applyNumberFormat="1" applyFill="1" applyProtection="1"/>
    <xf numFmtId="4" fontId="0" fillId="9" borderId="17" xfId="0" applyNumberFormat="1" applyFill="1" applyBorder="1" applyProtection="1"/>
    <xf numFmtId="4" fontId="0" fillId="9" borderId="18" xfId="0" applyNumberFormat="1" applyFill="1" applyBorder="1" applyProtection="1"/>
    <xf numFmtId="3" fontId="1" fillId="5" borderId="0" xfId="0" applyNumberFormat="1" applyFont="1" applyFill="1" applyProtection="1"/>
    <xf numFmtId="0" fontId="20" fillId="5" borderId="0" xfId="0" applyFont="1" applyFill="1" applyProtection="1"/>
    <xf numFmtId="0" fontId="1" fillId="5" borderId="0" xfId="0" applyFont="1" applyFill="1" applyProtection="1"/>
    <xf numFmtId="3" fontId="0" fillId="5" borderId="0" xfId="0" applyNumberFormat="1" applyFill="1" applyProtection="1"/>
    <xf numFmtId="9" fontId="0" fillId="5" borderId="0" xfId="362" applyFont="1" applyFill="1" applyProtection="1"/>
    <xf numFmtId="9" fontId="1" fillId="5" borderId="0" xfId="362" applyFont="1" applyFill="1" applyProtection="1"/>
    <xf numFmtId="0" fontId="6" fillId="5" borderId="0" xfId="0" applyFont="1" applyFill="1" applyProtection="1"/>
    <xf numFmtId="181" fontId="0" fillId="9" borderId="4" xfId="1" applyNumberFormat="1" applyFont="1" applyFill="1" applyBorder="1" applyProtection="1"/>
    <xf numFmtId="181" fontId="0" fillId="9" borderId="5" xfId="1" applyNumberFormat="1" applyFont="1" applyFill="1" applyBorder="1" applyProtection="1"/>
    <xf numFmtId="181" fontId="0" fillId="9" borderId="6" xfId="1" applyNumberFormat="1" applyFont="1" applyFill="1" applyBorder="1" applyProtection="1"/>
    <xf numFmtId="180" fontId="0" fillId="9" borderId="32" xfId="1" applyNumberFormat="1" applyFont="1" applyFill="1" applyBorder="1" applyProtection="1"/>
    <xf numFmtId="180" fontId="0" fillId="9" borderId="33" xfId="1" applyNumberFormat="1" applyFont="1" applyFill="1" applyBorder="1" applyProtection="1"/>
    <xf numFmtId="180" fontId="0" fillId="9" borderId="34" xfId="1" applyNumberFormat="1" applyFont="1" applyFill="1" applyBorder="1" applyProtection="1"/>
    <xf numFmtId="180" fontId="0" fillId="9" borderId="13" xfId="1" applyNumberFormat="1" applyFont="1" applyFill="1" applyBorder="1" applyProtection="1"/>
    <xf numFmtId="180" fontId="0" fillId="9" borderId="14" xfId="1" applyNumberFormat="1" applyFont="1" applyFill="1" applyBorder="1" applyProtection="1"/>
    <xf numFmtId="180" fontId="0" fillId="9" borderId="15" xfId="1" applyNumberFormat="1" applyFont="1" applyFill="1" applyBorder="1" applyProtection="1"/>
    <xf numFmtId="177" fontId="9" fillId="9" borderId="11" xfId="1" applyNumberFormat="1" applyFont="1" applyFill="1" applyBorder="1" applyProtection="1"/>
    <xf numFmtId="177" fontId="9" fillId="9" borderId="12" xfId="1" applyNumberFormat="1" applyFont="1" applyFill="1" applyBorder="1" applyProtection="1"/>
    <xf numFmtId="168" fontId="0" fillId="9" borderId="4" xfId="0" applyNumberFormat="1" applyFill="1" applyBorder="1" applyProtection="1"/>
    <xf numFmtId="168" fontId="0" fillId="9" borderId="5" xfId="0" applyNumberFormat="1" applyFill="1" applyBorder="1" applyProtection="1"/>
    <xf numFmtId="168" fontId="0" fillId="9" borderId="32" xfId="0" applyNumberFormat="1" applyFill="1" applyBorder="1" applyProtection="1"/>
    <xf numFmtId="168" fontId="0" fillId="9" borderId="33" xfId="0" applyNumberFormat="1" applyFill="1" applyBorder="1" applyProtection="1"/>
    <xf numFmtId="168" fontId="0" fillId="9" borderId="10" xfId="0" applyNumberFormat="1" applyFill="1" applyBorder="1" applyProtection="1"/>
    <xf numFmtId="168" fontId="0" fillId="9" borderId="11" xfId="0" applyNumberFormat="1" applyFill="1" applyBorder="1" applyProtection="1"/>
    <xf numFmtId="170" fontId="0" fillId="9" borderId="11" xfId="0" applyNumberFormat="1" applyFill="1" applyBorder="1" applyProtection="1"/>
    <xf numFmtId="3" fontId="1" fillId="7" borderId="0" xfId="0" quotePrefix="1" applyNumberFormat="1" applyFont="1" applyFill="1" applyProtection="1"/>
    <xf numFmtId="177" fontId="0" fillId="9" borderId="4" xfId="1" applyNumberFormat="1" applyFont="1" applyFill="1" applyBorder="1" applyProtection="1"/>
    <xf numFmtId="177" fontId="0" fillId="9" borderId="5" xfId="1" applyNumberFormat="1" applyFont="1" applyFill="1" applyBorder="1" applyProtection="1"/>
    <xf numFmtId="177" fontId="0" fillId="9" borderId="6" xfId="1" applyNumberFormat="1" applyFont="1" applyFill="1" applyBorder="1" applyProtection="1"/>
    <xf numFmtId="180" fontId="0" fillId="9" borderId="10" xfId="1" applyNumberFormat="1" applyFont="1" applyFill="1" applyBorder="1" applyProtection="1"/>
    <xf numFmtId="180" fontId="0" fillId="9" borderId="11" xfId="1" applyNumberFormat="1" applyFont="1" applyFill="1" applyBorder="1" applyProtection="1"/>
    <xf numFmtId="177" fontId="0" fillId="9" borderId="10" xfId="1" applyNumberFormat="1" applyFont="1" applyFill="1" applyBorder="1" applyProtection="1"/>
    <xf numFmtId="177" fontId="0" fillId="9" borderId="11" xfId="1" applyNumberFormat="1" applyFont="1" applyFill="1" applyBorder="1" applyProtection="1"/>
    <xf numFmtId="177" fontId="0" fillId="9" borderId="12" xfId="1" applyNumberFormat="1" applyFont="1" applyFill="1" applyBorder="1" applyProtection="1"/>
    <xf numFmtId="164" fontId="0" fillId="9" borderId="6" xfId="1" applyFont="1" applyFill="1" applyBorder="1" applyProtection="1"/>
    <xf numFmtId="164" fontId="0" fillId="9" borderId="16" xfId="1" applyFont="1" applyFill="1" applyBorder="1" applyProtection="1"/>
    <xf numFmtId="164" fontId="0" fillId="9" borderId="17" xfId="1" applyFont="1" applyFill="1" applyBorder="1" applyProtection="1"/>
    <xf numFmtId="164" fontId="0" fillId="9" borderId="18" xfId="1" applyFont="1" applyFill="1" applyBorder="1" applyProtection="1"/>
    <xf numFmtId="164" fontId="0" fillId="9" borderId="21" xfId="1" applyFont="1" applyFill="1" applyBorder="1" applyProtection="1"/>
    <xf numFmtId="164" fontId="0" fillId="9" borderId="11" xfId="1" applyFont="1" applyFill="1" applyBorder="1" applyProtection="1"/>
    <xf numFmtId="164" fontId="0" fillId="9" borderId="12" xfId="1" applyFont="1" applyFill="1" applyBorder="1" applyProtection="1"/>
    <xf numFmtId="180" fontId="0" fillId="9" borderId="16" xfId="1" applyNumberFormat="1" applyFont="1" applyFill="1" applyBorder="1" applyProtection="1"/>
    <xf numFmtId="180" fontId="0" fillId="9" borderId="17" xfId="1" applyNumberFormat="1" applyFont="1" applyFill="1" applyBorder="1" applyProtection="1"/>
    <xf numFmtId="180" fontId="0" fillId="9" borderId="18" xfId="1" applyNumberFormat="1" applyFont="1" applyFill="1" applyBorder="1" applyProtection="1"/>
    <xf numFmtId="180" fontId="0" fillId="9" borderId="21" xfId="1" applyNumberFormat="1" applyFont="1" applyFill="1" applyBorder="1" applyProtection="1"/>
    <xf numFmtId="180" fontId="0" fillId="9" borderId="12" xfId="1" applyNumberFormat="1" applyFont="1" applyFill="1" applyBorder="1" applyProtection="1"/>
    <xf numFmtId="0" fontId="25" fillId="3" borderId="1" xfId="0" applyFont="1" applyFill="1" applyBorder="1" applyAlignment="1">
      <alignment horizontal="center" vertical="center" wrapText="1"/>
    </xf>
    <xf numFmtId="0" fontId="1" fillId="7" borderId="0" xfId="0" quotePrefix="1" applyFont="1" applyFill="1" applyProtection="1"/>
    <xf numFmtId="0" fontId="20" fillId="10" borderId="0" xfId="0" applyFont="1" applyFill="1" applyProtection="1"/>
    <xf numFmtId="0" fontId="0" fillId="10" borderId="0" xfId="0" applyFill="1" applyProtection="1"/>
    <xf numFmtId="3" fontId="0" fillId="10" borderId="0" xfId="0" applyNumberFormat="1" applyFill="1" applyProtection="1"/>
    <xf numFmtId="3" fontId="1" fillId="10" borderId="0" xfId="0" applyNumberFormat="1" applyFont="1" applyFill="1" applyProtection="1"/>
    <xf numFmtId="166" fontId="20" fillId="11" borderId="0" xfId="0" applyNumberFormat="1" applyFont="1" applyFill="1" applyProtection="1"/>
    <xf numFmtId="165" fontId="18" fillId="11" borderId="0" xfId="0" applyNumberFormat="1" applyFont="1" applyFill="1" applyProtection="1"/>
    <xf numFmtId="3" fontId="0" fillId="11" borderId="0" xfId="0" applyNumberFormat="1" applyFill="1" applyProtection="1"/>
    <xf numFmtId="166" fontId="1" fillId="11" borderId="0" xfId="0" applyNumberFormat="1" applyFont="1" applyFill="1" applyProtection="1"/>
    <xf numFmtId="0" fontId="1" fillId="0" borderId="0" xfId="0" quotePrefix="1" applyFont="1"/>
    <xf numFmtId="0" fontId="26" fillId="7" borderId="0" xfId="0" quotePrefix="1" applyFont="1" applyFill="1" applyAlignment="1" applyProtection="1">
      <alignment horizontal="right"/>
    </xf>
    <xf numFmtId="177" fontId="0" fillId="10" borderId="0" xfId="1" applyNumberFormat="1" applyFont="1" applyFill="1"/>
    <xf numFmtId="177" fontId="0" fillId="0" borderId="0" xfId="1" applyNumberFormat="1" applyFont="1" applyFill="1"/>
    <xf numFmtId="3" fontId="9" fillId="7" borderId="0" xfId="0" applyNumberFormat="1" applyFont="1" applyFill="1" applyProtection="1"/>
    <xf numFmtId="3" fontId="15" fillId="7" borderId="0" xfId="0" quotePrefix="1" applyNumberFormat="1" applyFont="1" applyFill="1" applyProtection="1"/>
    <xf numFmtId="9" fontId="9" fillId="7" borderId="0" xfId="362" applyFont="1" applyFill="1" applyProtection="1"/>
    <xf numFmtId="3" fontId="27" fillId="7" borderId="0" xfId="0" applyNumberFormat="1" applyFont="1" applyFill="1" applyProtection="1"/>
    <xf numFmtId="0" fontId="1" fillId="7" borderId="0" xfId="0" applyFont="1" applyFill="1" applyAlignment="1" applyProtection="1">
      <alignment vertical="center"/>
    </xf>
    <xf numFmtId="9" fontId="28" fillId="12" borderId="39" xfId="363" applyFill="1" applyBorder="1" applyAlignment="1" applyProtection="1">
      <alignment vertical="center"/>
      <protection locked="0"/>
    </xf>
    <xf numFmtId="1" fontId="28" fillId="7" borderId="0" xfId="363" applyNumberFormat="1" applyFill="1" applyBorder="1" applyAlignment="1" applyProtection="1">
      <alignment vertical="center"/>
    </xf>
    <xf numFmtId="9" fontId="28" fillId="12" borderId="40" xfId="363" applyFill="1" applyBorder="1" applyAlignment="1" applyProtection="1">
      <alignment vertical="center"/>
      <protection locked="0"/>
    </xf>
    <xf numFmtId="9" fontId="28" fillId="12" borderId="41" xfId="363" applyFill="1" applyBorder="1" applyAlignment="1" applyProtection="1">
      <alignment vertical="center"/>
      <protection locked="0"/>
    </xf>
    <xf numFmtId="9" fontId="11" fillId="4" borderId="0" xfId="363" applyFont="1" applyFill="1"/>
    <xf numFmtId="3" fontId="29" fillId="7" borderId="0" xfId="0" applyNumberFormat="1" applyFont="1" applyFill="1" applyProtection="1"/>
    <xf numFmtId="3" fontId="9" fillId="7" borderId="0" xfId="0" applyNumberFormat="1" applyFont="1" applyFill="1" applyAlignment="1" applyProtection="1">
      <alignment horizontal="left" indent="1"/>
    </xf>
    <xf numFmtId="0" fontId="9" fillId="7" borderId="0" xfId="0" applyFont="1" applyFill="1" applyProtection="1"/>
    <xf numFmtId="0" fontId="9" fillId="7" borderId="0" xfId="0" applyFont="1" applyFill="1" applyBorder="1" applyAlignment="1" applyProtection="1">
      <alignment wrapText="1"/>
    </xf>
    <xf numFmtId="168" fontId="0" fillId="9" borderId="16" xfId="0" applyNumberFormat="1" applyFill="1" applyBorder="1" applyProtection="1"/>
    <xf numFmtId="168" fontId="0" fillId="9" borderId="17" xfId="0" applyNumberFormat="1" applyFill="1" applyBorder="1" applyProtection="1"/>
    <xf numFmtId="173" fontId="0" fillId="9" borderId="4" xfId="0" applyNumberFormat="1" applyFill="1" applyBorder="1" applyProtection="1"/>
    <xf numFmtId="173" fontId="0" fillId="9" borderId="10" xfId="0" applyNumberFormat="1" applyFill="1" applyBorder="1" applyProtection="1"/>
    <xf numFmtId="173" fontId="0" fillId="9" borderId="5" xfId="0" applyNumberFormat="1" applyFill="1" applyBorder="1" applyProtection="1"/>
    <xf numFmtId="173" fontId="0" fillId="9" borderId="11" xfId="0" applyNumberFormat="1" applyFill="1" applyBorder="1" applyProtection="1"/>
    <xf numFmtId="3" fontId="9" fillId="9" borderId="4" xfId="0" applyNumberFormat="1" applyFont="1" applyFill="1" applyBorder="1" applyProtection="1"/>
    <xf numFmtId="168" fontId="9" fillId="9" borderId="16" xfId="0" applyNumberFormat="1" applyFont="1" applyFill="1" applyBorder="1" applyProtection="1"/>
    <xf numFmtId="3" fontId="9" fillId="9" borderId="10" xfId="0" applyNumberFormat="1" applyFont="1" applyFill="1" applyBorder="1" applyProtection="1"/>
    <xf numFmtId="0" fontId="30" fillId="7" borderId="0" xfId="0" applyFont="1" applyFill="1" applyProtection="1"/>
    <xf numFmtId="165" fontId="30" fillId="7" borderId="0" xfId="0" applyNumberFormat="1" applyFont="1" applyFill="1" applyProtection="1"/>
    <xf numFmtId="3" fontId="30" fillId="7" borderId="0" xfId="0" quotePrefix="1" applyNumberFormat="1" applyFont="1" applyFill="1" applyProtection="1"/>
    <xf numFmtId="3" fontId="30" fillId="7" borderId="0" xfId="0" applyNumberFormat="1" applyFont="1" applyFill="1" applyProtection="1"/>
    <xf numFmtId="166" fontId="31" fillId="7" borderId="0" xfId="0" applyNumberFormat="1" applyFont="1" applyFill="1" applyBorder="1" applyAlignment="1" applyProtection="1">
      <alignment horizontal="center" vertical="center"/>
    </xf>
    <xf numFmtId="165" fontId="1" fillId="7" borderId="0" xfId="0" quotePrefix="1" applyNumberFormat="1" applyFont="1" applyFill="1" applyProtection="1"/>
    <xf numFmtId="0" fontId="32" fillId="7" borderId="0" xfId="0" applyFont="1" applyFill="1" applyProtection="1"/>
    <xf numFmtId="3" fontId="32" fillId="7" borderId="0" xfId="0" applyNumberFormat="1" applyFont="1" applyFill="1" applyProtection="1"/>
    <xf numFmtId="171" fontId="0" fillId="9" borderId="4" xfId="362" applyNumberFormat="1" applyFont="1" applyFill="1" applyBorder="1" applyProtection="1"/>
    <xf numFmtId="171" fontId="0" fillId="9" borderId="5" xfId="362" applyNumberFormat="1" applyFont="1" applyFill="1" applyBorder="1" applyProtection="1"/>
    <xf numFmtId="183" fontId="0" fillId="9" borderId="4" xfId="362" applyNumberFormat="1" applyFont="1" applyFill="1" applyBorder="1" applyProtection="1"/>
    <xf numFmtId="183" fontId="0" fillId="9" borderId="5" xfId="362" applyNumberFormat="1" applyFont="1" applyFill="1" applyBorder="1" applyProtection="1"/>
    <xf numFmtId="183" fontId="0" fillId="9" borderId="10" xfId="362" applyNumberFormat="1" applyFont="1" applyFill="1" applyBorder="1" applyProtection="1"/>
    <xf numFmtId="183" fontId="0" fillId="9" borderId="11" xfId="362" applyNumberFormat="1" applyFont="1" applyFill="1" applyBorder="1" applyProtection="1"/>
    <xf numFmtId="170" fontId="0" fillId="9" borderId="4" xfId="0" applyNumberFormat="1" applyFill="1" applyBorder="1" applyProtection="1"/>
    <xf numFmtId="170" fontId="0" fillId="9" borderId="5" xfId="0" applyNumberFormat="1" applyFill="1" applyBorder="1" applyProtection="1"/>
    <xf numFmtId="168" fontId="0" fillId="9" borderId="7" xfId="362" applyNumberFormat="1" applyFont="1" applyFill="1" applyBorder="1" applyProtection="1"/>
    <xf numFmtId="168" fontId="0" fillId="9" borderId="8" xfId="362" applyNumberFormat="1" applyFont="1" applyFill="1" applyBorder="1" applyProtection="1"/>
    <xf numFmtId="184" fontId="0" fillId="9" borderId="10" xfId="362" applyNumberFormat="1" applyFont="1" applyFill="1" applyBorder="1" applyProtection="1"/>
    <xf numFmtId="184" fontId="0" fillId="9" borderId="11" xfId="362" applyNumberFormat="1" applyFont="1" applyFill="1" applyBorder="1" applyProtection="1"/>
    <xf numFmtId="184" fontId="0" fillId="9" borderId="13" xfId="0" applyNumberFormat="1" applyFill="1" applyBorder="1" applyProtection="1"/>
    <xf numFmtId="184" fontId="0" fillId="9" borderId="14" xfId="0" applyNumberFormat="1" applyFill="1" applyBorder="1" applyProtection="1"/>
    <xf numFmtId="184" fontId="0" fillId="9" borderId="16" xfId="362" applyNumberFormat="1" applyFont="1" applyFill="1" applyBorder="1" applyProtection="1"/>
    <xf numFmtId="184" fontId="0" fillId="9" borderId="17" xfId="362" applyNumberFormat="1" applyFont="1" applyFill="1" applyBorder="1" applyProtection="1"/>
    <xf numFmtId="184" fontId="0" fillId="9" borderId="18" xfId="362" applyNumberFormat="1" applyFont="1" applyFill="1" applyBorder="1" applyProtection="1"/>
    <xf numFmtId="182" fontId="0" fillId="9" borderId="14" xfId="1" applyNumberFormat="1" applyFont="1" applyFill="1" applyBorder="1" applyProtection="1"/>
    <xf numFmtId="184" fontId="0" fillId="9" borderId="13" xfId="362" applyNumberFormat="1" applyFont="1" applyFill="1" applyBorder="1" applyProtection="1"/>
    <xf numFmtId="175" fontId="0" fillId="9" borderId="11" xfId="0" applyNumberFormat="1" applyFill="1" applyBorder="1" applyProtection="1"/>
    <xf numFmtId="169" fontId="0" fillId="9" borderId="5" xfId="0" applyNumberFormat="1" applyFill="1" applyBorder="1" applyProtection="1"/>
    <xf numFmtId="185" fontId="0" fillId="9" borderId="11" xfId="0" applyNumberFormat="1" applyFill="1" applyBorder="1" applyProtection="1"/>
    <xf numFmtId="175" fontId="0" fillId="9" borderId="13" xfId="0" applyNumberFormat="1" applyFill="1" applyBorder="1" applyProtection="1"/>
    <xf numFmtId="175" fontId="0" fillId="9" borderId="14" xfId="0" applyNumberFormat="1" applyFill="1" applyBorder="1" applyProtection="1"/>
    <xf numFmtId="175" fontId="0" fillId="9" borderId="10" xfId="0" applyNumberFormat="1" applyFill="1" applyBorder="1" applyProtection="1"/>
    <xf numFmtId="176" fontId="0" fillId="9" borderId="13" xfId="0" applyNumberFormat="1" applyFill="1" applyBorder="1" applyProtection="1"/>
    <xf numFmtId="176" fontId="0" fillId="9" borderId="14" xfId="0" applyNumberFormat="1" applyFill="1" applyBorder="1" applyProtection="1"/>
    <xf numFmtId="176" fontId="0" fillId="9" borderId="15" xfId="0" applyNumberFormat="1" applyFill="1" applyBorder="1" applyProtection="1"/>
    <xf numFmtId="176" fontId="0" fillId="9" borderId="10" xfId="0" applyNumberFormat="1" applyFill="1" applyBorder="1" applyProtection="1"/>
    <xf numFmtId="176" fontId="0" fillId="9" borderId="11" xfId="0" applyNumberFormat="1" applyFill="1" applyBorder="1" applyProtection="1"/>
    <xf numFmtId="176" fontId="0" fillId="9" borderId="12" xfId="0" applyNumberFormat="1" applyFill="1" applyBorder="1" applyProtection="1"/>
    <xf numFmtId="186" fontId="0" fillId="9" borderId="4" xfId="1" applyNumberFormat="1" applyFont="1" applyFill="1" applyBorder="1" applyProtection="1"/>
    <xf numFmtId="186" fontId="0" fillId="9" borderId="5" xfId="1" applyNumberFormat="1" applyFont="1" applyFill="1" applyBorder="1" applyProtection="1"/>
    <xf numFmtId="186" fontId="0" fillId="9" borderId="6" xfId="1" applyNumberFormat="1" applyFont="1" applyFill="1" applyBorder="1" applyProtection="1"/>
    <xf numFmtId="186" fontId="0" fillId="9" borderId="27" xfId="1" applyNumberFormat="1" applyFont="1" applyFill="1" applyBorder="1" applyProtection="1"/>
    <xf numFmtId="186" fontId="0" fillId="9" borderId="28" xfId="1" applyNumberFormat="1" applyFont="1" applyFill="1" applyBorder="1" applyProtection="1"/>
    <xf numFmtId="186" fontId="0" fillId="9" borderId="29" xfId="1" applyNumberFormat="1" applyFont="1" applyFill="1" applyBorder="1" applyProtection="1"/>
    <xf numFmtId="186" fontId="0" fillId="9" borderId="10" xfId="1" applyNumberFormat="1" applyFont="1" applyFill="1" applyBorder="1" applyProtection="1"/>
    <xf numFmtId="186" fontId="0" fillId="9" borderId="11" xfId="1" applyNumberFormat="1" applyFont="1" applyFill="1" applyBorder="1" applyProtection="1"/>
    <xf numFmtId="186" fontId="0" fillId="9" borderId="12" xfId="1" applyNumberFormat="1" applyFont="1" applyFill="1" applyBorder="1" applyProtection="1"/>
    <xf numFmtId="176" fontId="0" fillId="9" borderId="26" xfId="0" applyNumberFormat="1" applyFill="1" applyBorder="1" applyAlignment="1" applyProtection="1">
      <alignment horizontal="center" vertical="top"/>
    </xf>
    <xf numFmtId="176" fontId="0" fillId="9" borderId="21" xfId="0" applyNumberFormat="1" applyFill="1" applyBorder="1" applyProtection="1"/>
    <xf numFmtId="170" fontId="0" fillId="7" borderId="0" xfId="0" applyNumberFormat="1" applyFill="1" applyBorder="1" applyProtection="1"/>
    <xf numFmtId="183" fontId="0" fillId="9" borderId="4" xfId="1" applyNumberFormat="1" applyFont="1" applyFill="1" applyBorder="1" applyProtection="1"/>
    <xf numFmtId="183" fontId="0" fillId="9" borderId="5" xfId="1" applyNumberFormat="1" applyFont="1" applyFill="1" applyBorder="1" applyProtection="1"/>
    <xf numFmtId="183" fontId="0" fillId="9" borderId="27" xfId="0" applyNumberFormat="1" applyFill="1" applyBorder="1" applyProtection="1"/>
    <xf numFmtId="183" fontId="0" fillId="9" borderId="28" xfId="0" applyNumberFormat="1" applyFill="1" applyBorder="1" applyProtection="1"/>
    <xf numFmtId="183" fontId="0" fillId="9" borderId="10" xfId="0" applyNumberFormat="1" applyFill="1" applyBorder="1" applyProtection="1"/>
    <xf numFmtId="183" fontId="0" fillId="9" borderId="11" xfId="0" applyNumberFormat="1" applyFill="1" applyBorder="1" applyProtection="1"/>
    <xf numFmtId="187" fontId="0" fillId="0" borderId="0" xfId="1" applyNumberFormat="1" applyFont="1"/>
    <xf numFmtId="183" fontId="0" fillId="0" borderId="0" xfId="0" applyNumberFormat="1"/>
    <xf numFmtId="187" fontId="0" fillId="0" borderId="0" xfId="0" applyNumberFormat="1"/>
  </cellXfs>
  <cellStyles count="364">
    <cellStyle name="Comma" xfId="1" builtinId="3"/>
    <cellStyle name="Followed Hyperlink" xfId="3" builtinId="9" hidden="1"/>
    <cellStyle name="Followed Hyperlink" xfId="5" builtinId="9" hidden="1"/>
    <cellStyle name="Followed Hyperlink" xfId="7" builtinId="9" hidden="1"/>
    <cellStyle name="Followed Hyperlink" xfId="9" builtinId="9" hidden="1"/>
    <cellStyle name="Followed Hyperlink" xfId="11" builtinId="9" hidden="1"/>
    <cellStyle name="Followed Hyperlink" xfId="13" builtinId="9" hidden="1"/>
    <cellStyle name="Followed Hyperlink" xfId="15" builtinId="9" hidden="1"/>
    <cellStyle name="Followed Hyperlink" xfId="17" builtinId="9" hidden="1"/>
    <cellStyle name="Followed Hyperlink" xfId="19" builtinId="9" hidden="1"/>
    <cellStyle name="Followed Hyperlink" xfId="21" builtinId="9" hidden="1"/>
    <cellStyle name="Followed Hyperlink" xfId="23" builtinId="9" hidden="1"/>
    <cellStyle name="Followed Hyperlink" xfId="25" builtinId="9" hidden="1"/>
    <cellStyle name="Followed Hyperlink" xfId="27" builtinId="9" hidden="1"/>
    <cellStyle name="Followed Hyperlink" xfId="29" builtinId="9" hidden="1"/>
    <cellStyle name="Followed Hyperlink" xfId="31" builtinId="9" hidden="1"/>
    <cellStyle name="Followed Hyperlink" xfId="33" builtinId="9" hidden="1"/>
    <cellStyle name="Followed Hyperlink" xfId="35" builtinId="9" hidden="1"/>
    <cellStyle name="Followed Hyperlink" xfId="37" builtinId="9" hidden="1"/>
    <cellStyle name="Followed Hyperlink" xfId="39" builtinId="9" hidden="1"/>
    <cellStyle name="Followed Hyperlink" xfId="41" builtinId="9" hidden="1"/>
    <cellStyle name="Followed Hyperlink" xfId="43" builtinId="9" hidden="1"/>
    <cellStyle name="Followed Hyperlink" xfId="45" builtinId="9" hidden="1"/>
    <cellStyle name="Followed Hyperlink" xfId="47" builtinId="9" hidden="1"/>
    <cellStyle name="Followed Hyperlink" xfId="49" builtinId="9" hidden="1"/>
    <cellStyle name="Followed Hyperlink" xfId="51" builtinId="9" hidden="1"/>
    <cellStyle name="Followed Hyperlink" xfId="53" builtinId="9" hidden="1"/>
    <cellStyle name="Followed Hyperlink" xfId="55" builtinId="9" hidden="1"/>
    <cellStyle name="Followed Hyperlink" xfId="57" builtinId="9" hidden="1"/>
    <cellStyle name="Followed Hyperlink" xfId="59" builtinId="9" hidden="1"/>
    <cellStyle name="Followed Hyperlink" xfId="61" builtinId="9" hidden="1"/>
    <cellStyle name="Followed Hyperlink" xfId="63" builtinId="9" hidden="1"/>
    <cellStyle name="Followed Hyperlink" xfId="65" builtinId="9" hidden="1"/>
    <cellStyle name="Followed Hyperlink" xfId="67" builtinId="9" hidden="1"/>
    <cellStyle name="Followed Hyperlink" xfId="69" builtinId="9" hidden="1"/>
    <cellStyle name="Followed Hyperlink" xfId="71" builtinId="9" hidden="1"/>
    <cellStyle name="Followed Hyperlink" xfId="73" builtinId="9" hidden="1"/>
    <cellStyle name="Followed Hyperlink" xfId="75" builtinId="9" hidden="1"/>
    <cellStyle name="Followed Hyperlink" xfId="77" builtinId="9" hidden="1"/>
    <cellStyle name="Followed Hyperlink" xfId="79" builtinId="9" hidden="1"/>
    <cellStyle name="Followed Hyperlink" xfId="81" builtinId="9" hidden="1"/>
    <cellStyle name="Followed Hyperlink" xfId="83" builtinId="9" hidden="1"/>
    <cellStyle name="Followed Hyperlink" xfId="85" builtinId="9" hidden="1"/>
    <cellStyle name="Followed Hyperlink" xfId="87" builtinId="9" hidden="1"/>
    <cellStyle name="Followed Hyperlink" xfId="89" builtinId="9" hidden="1"/>
    <cellStyle name="Followed Hyperlink" xfId="91" builtinId="9" hidden="1"/>
    <cellStyle name="Followed Hyperlink" xfId="93" builtinId="9" hidden="1"/>
    <cellStyle name="Followed Hyperlink" xfId="95" builtinId="9" hidden="1"/>
    <cellStyle name="Followed Hyperlink" xfId="97" builtinId="9" hidden="1"/>
    <cellStyle name="Followed Hyperlink" xfId="99" builtinId="9" hidden="1"/>
    <cellStyle name="Followed Hyperlink" xfId="101" builtinId="9" hidden="1"/>
    <cellStyle name="Followed Hyperlink" xfId="103" builtinId="9" hidden="1"/>
    <cellStyle name="Followed Hyperlink" xfId="105" builtinId="9" hidden="1"/>
    <cellStyle name="Followed Hyperlink" xfId="107" builtinId="9" hidden="1"/>
    <cellStyle name="Followed Hyperlink" xfId="109" builtinId="9" hidden="1"/>
    <cellStyle name="Followed Hyperlink" xfId="111" builtinId="9" hidden="1"/>
    <cellStyle name="Followed Hyperlink" xfId="113" builtinId="9" hidden="1"/>
    <cellStyle name="Followed Hyperlink" xfId="115" builtinId="9" hidden="1"/>
    <cellStyle name="Followed Hyperlink" xfId="117" builtinId="9" hidden="1"/>
    <cellStyle name="Followed Hyperlink" xfId="119" builtinId="9" hidden="1"/>
    <cellStyle name="Followed Hyperlink" xfId="121" builtinId="9" hidden="1"/>
    <cellStyle name="Followed Hyperlink" xfId="123" builtinId="9" hidden="1"/>
    <cellStyle name="Followed Hyperlink" xfId="125" builtinId="9" hidden="1"/>
    <cellStyle name="Followed Hyperlink" xfId="127" builtinId="9" hidden="1"/>
    <cellStyle name="Followed Hyperlink" xfId="129" builtinId="9" hidden="1"/>
    <cellStyle name="Followed Hyperlink" xfId="131" builtinId="9" hidden="1"/>
    <cellStyle name="Followed Hyperlink" xfId="133" builtinId="9" hidden="1"/>
    <cellStyle name="Followed Hyperlink" xfId="135" builtinId="9" hidden="1"/>
    <cellStyle name="Followed Hyperlink" xfId="137" builtinId="9" hidden="1"/>
    <cellStyle name="Followed Hyperlink" xfId="139" builtinId="9" hidden="1"/>
    <cellStyle name="Followed Hyperlink" xfId="141" builtinId="9" hidden="1"/>
    <cellStyle name="Followed Hyperlink" xfId="143" builtinId="9" hidden="1"/>
    <cellStyle name="Followed Hyperlink" xfId="145" builtinId="9" hidden="1"/>
    <cellStyle name="Followed Hyperlink" xfId="147" builtinId="9" hidden="1"/>
    <cellStyle name="Followed Hyperlink" xfId="149" builtinId="9" hidden="1"/>
    <cellStyle name="Followed Hyperlink" xfId="151" builtinId="9" hidden="1"/>
    <cellStyle name="Followed Hyperlink" xfId="153" builtinId="9" hidden="1"/>
    <cellStyle name="Followed Hyperlink" xfId="155" builtinId="9" hidden="1"/>
    <cellStyle name="Followed Hyperlink" xfId="157" builtinId="9" hidden="1"/>
    <cellStyle name="Followed Hyperlink" xfId="159" builtinId="9" hidden="1"/>
    <cellStyle name="Followed Hyperlink" xfId="161" builtinId="9" hidden="1"/>
    <cellStyle name="Followed Hyperlink" xfId="163" builtinId="9" hidden="1"/>
    <cellStyle name="Followed Hyperlink" xfId="165" builtinId="9" hidden="1"/>
    <cellStyle name="Followed Hyperlink" xfId="167" builtinId="9" hidden="1"/>
    <cellStyle name="Followed Hyperlink" xfId="169" builtinId="9" hidden="1"/>
    <cellStyle name="Followed Hyperlink" xfId="171" builtinId="9" hidden="1"/>
    <cellStyle name="Followed Hyperlink" xfId="173" builtinId="9" hidden="1"/>
    <cellStyle name="Followed Hyperlink" xfId="175" builtinId="9" hidden="1"/>
    <cellStyle name="Followed Hyperlink" xfId="177" builtinId="9" hidden="1"/>
    <cellStyle name="Followed Hyperlink" xfId="179" builtinId="9" hidden="1"/>
    <cellStyle name="Followed Hyperlink" xfId="181" builtinId="9" hidden="1"/>
    <cellStyle name="Followed Hyperlink" xfId="183" builtinId="9" hidden="1"/>
    <cellStyle name="Followed Hyperlink" xfId="185" builtinId="9" hidden="1"/>
    <cellStyle name="Followed Hyperlink" xfId="187" builtinId="9" hidden="1"/>
    <cellStyle name="Followed Hyperlink" xfId="189" builtinId="9" hidden="1"/>
    <cellStyle name="Followed Hyperlink" xfId="191" builtinId="9" hidden="1"/>
    <cellStyle name="Followed Hyperlink" xfId="193" builtinId="9" hidden="1"/>
    <cellStyle name="Followed Hyperlink" xfId="195" builtinId="9" hidden="1"/>
    <cellStyle name="Followed Hyperlink" xfId="197" builtinId="9" hidden="1"/>
    <cellStyle name="Followed Hyperlink" xfId="199" builtinId="9" hidden="1"/>
    <cellStyle name="Followed Hyperlink" xfId="201" builtinId="9" hidden="1"/>
    <cellStyle name="Followed Hyperlink" xfId="203" builtinId="9" hidden="1"/>
    <cellStyle name="Followed Hyperlink" xfId="205" builtinId="9" hidden="1"/>
    <cellStyle name="Followed Hyperlink" xfId="207" builtinId="9" hidden="1"/>
    <cellStyle name="Followed Hyperlink" xfId="209" builtinId="9" hidden="1"/>
    <cellStyle name="Followed Hyperlink" xfId="211" builtinId="9" hidden="1"/>
    <cellStyle name="Followed Hyperlink" xfId="213" builtinId="9" hidden="1"/>
    <cellStyle name="Followed Hyperlink" xfId="215" builtinId="9" hidden="1"/>
    <cellStyle name="Followed Hyperlink" xfId="217" builtinId="9" hidden="1"/>
    <cellStyle name="Followed Hyperlink" xfId="219" builtinId="9" hidden="1"/>
    <cellStyle name="Followed Hyperlink" xfId="221" builtinId="9" hidden="1"/>
    <cellStyle name="Followed Hyperlink" xfId="223" builtinId="9" hidden="1"/>
    <cellStyle name="Followed Hyperlink" xfId="225" builtinId="9" hidden="1"/>
    <cellStyle name="Followed Hyperlink" xfId="227" builtinId="9" hidden="1"/>
    <cellStyle name="Followed Hyperlink" xfId="229" builtinId="9" hidden="1"/>
    <cellStyle name="Followed Hyperlink" xfId="231" builtinId="9" hidden="1"/>
    <cellStyle name="Followed Hyperlink" xfId="233" builtinId="9" hidden="1"/>
    <cellStyle name="Followed Hyperlink" xfId="235" builtinId="9" hidden="1"/>
    <cellStyle name="Followed Hyperlink" xfId="237" builtinId="9" hidden="1"/>
    <cellStyle name="Followed Hyperlink" xfId="239" builtinId="9" hidden="1"/>
    <cellStyle name="Followed Hyperlink" xfId="241" builtinId="9" hidden="1"/>
    <cellStyle name="Followed Hyperlink" xfId="243" builtinId="9" hidden="1"/>
    <cellStyle name="Followed Hyperlink" xfId="245" builtinId="9" hidden="1"/>
    <cellStyle name="Followed Hyperlink" xfId="247" builtinId="9" hidden="1"/>
    <cellStyle name="Followed Hyperlink" xfId="249" builtinId="9" hidden="1"/>
    <cellStyle name="Followed Hyperlink" xfId="251" builtinId="9" hidden="1"/>
    <cellStyle name="Followed Hyperlink" xfId="253" builtinId="9" hidden="1"/>
    <cellStyle name="Followed Hyperlink" xfId="255" builtinId="9" hidden="1"/>
    <cellStyle name="Followed Hyperlink" xfId="257" builtinId="9" hidden="1"/>
    <cellStyle name="Followed Hyperlink" xfId="259" builtinId="9" hidden="1"/>
    <cellStyle name="Followed Hyperlink" xfId="261" builtinId="9" hidden="1"/>
    <cellStyle name="Followed Hyperlink" xfId="263" builtinId="9" hidden="1"/>
    <cellStyle name="Followed Hyperlink" xfId="265" builtinId="9" hidden="1"/>
    <cellStyle name="Followed Hyperlink" xfId="267" builtinId="9" hidden="1"/>
    <cellStyle name="Followed Hyperlink" xfId="269" builtinId="9" hidden="1"/>
    <cellStyle name="Followed Hyperlink" xfId="271" builtinId="9" hidden="1"/>
    <cellStyle name="Followed Hyperlink" xfId="273" builtinId="9" hidden="1"/>
    <cellStyle name="Followed Hyperlink" xfId="275" builtinId="9" hidden="1"/>
    <cellStyle name="Followed Hyperlink" xfId="277" builtinId="9" hidden="1"/>
    <cellStyle name="Followed Hyperlink" xfId="279" builtinId="9" hidden="1"/>
    <cellStyle name="Followed Hyperlink" xfId="281" builtinId="9" hidden="1"/>
    <cellStyle name="Followed Hyperlink" xfId="283" builtinId="9" hidden="1"/>
    <cellStyle name="Followed Hyperlink" xfId="285" builtinId="9" hidden="1"/>
    <cellStyle name="Followed Hyperlink" xfId="287" builtinId="9" hidden="1"/>
    <cellStyle name="Followed Hyperlink" xfId="289" builtinId="9" hidden="1"/>
    <cellStyle name="Followed Hyperlink" xfId="291" builtinId="9" hidden="1"/>
    <cellStyle name="Followed Hyperlink" xfId="293" builtinId="9" hidden="1"/>
    <cellStyle name="Followed Hyperlink" xfId="295" builtinId="9" hidden="1"/>
    <cellStyle name="Followed Hyperlink" xfId="297" builtinId="9" hidden="1"/>
    <cellStyle name="Followed Hyperlink" xfId="299" builtinId="9" hidden="1"/>
    <cellStyle name="Followed Hyperlink" xfId="301" builtinId="9" hidden="1"/>
    <cellStyle name="Followed Hyperlink" xfId="303" builtinId="9" hidden="1"/>
    <cellStyle name="Followed Hyperlink" xfId="305" builtinId="9" hidden="1"/>
    <cellStyle name="Followed Hyperlink" xfId="307" builtinId="9" hidden="1"/>
    <cellStyle name="Followed Hyperlink" xfId="309" builtinId="9" hidden="1"/>
    <cellStyle name="Followed Hyperlink" xfId="311" builtinId="9" hidden="1"/>
    <cellStyle name="Followed Hyperlink" xfId="313" builtinId="9" hidden="1"/>
    <cellStyle name="Followed Hyperlink" xfId="315" builtinId="9" hidden="1"/>
    <cellStyle name="Followed Hyperlink" xfId="317" builtinId="9" hidden="1"/>
    <cellStyle name="Followed Hyperlink" xfId="319" builtinId="9" hidden="1"/>
    <cellStyle name="Followed Hyperlink" xfId="321" builtinId="9" hidden="1"/>
    <cellStyle name="Followed Hyperlink" xfId="323" builtinId="9" hidden="1"/>
    <cellStyle name="Followed Hyperlink" xfId="325" builtinId="9" hidden="1"/>
    <cellStyle name="Followed Hyperlink" xfId="327" builtinId="9" hidden="1"/>
    <cellStyle name="Followed Hyperlink" xfId="329" builtinId="9" hidden="1"/>
    <cellStyle name="Followed Hyperlink" xfId="331" builtinId="9" hidden="1"/>
    <cellStyle name="Followed Hyperlink" xfId="333" builtinId="9" hidden="1"/>
    <cellStyle name="Followed Hyperlink" xfId="335" builtinId="9" hidden="1"/>
    <cellStyle name="Followed Hyperlink" xfId="337" builtinId="9" hidden="1"/>
    <cellStyle name="Followed Hyperlink" xfId="339" builtinId="9" hidden="1"/>
    <cellStyle name="Followed Hyperlink" xfId="341" builtinId="9" hidden="1"/>
    <cellStyle name="Followed Hyperlink" xfId="343" builtinId="9" hidden="1"/>
    <cellStyle name="Followed Hyperlink" xfId="345" builtinId="9" hidden="1"/>
    <cellStyle name="Followed Hyperlink" xfId="347" builtinId="9" hidden="1"/>
    <cellStyle name="Followed Hyperlink" xfId="349" builtinId="9" hidden="1"/>
    <cellStyle name="Followed Hyperlink" xfId="351" builtinId="9" hidden="1"/>
    <cellStyle name="Followed Hyperlink" xfId="353" builtinId="9" hidden="1"/>
    <cellStyle name="Followed Hyperlink" xfId="355" builtinId="9" hidden="1"/>
    <cellStyle name="Followed Hyperlink" xfId="357" builtinId="9" hidden="1"/>
    <cellStyle name="Followed Hyperlink" xfId="359" builtinId="9" hidden="1"/>
    <cellStyle name="Followed Hyperlink" xfId="361" builtinId="9" hidden="1"/>
    <cellStyle name="Hyperlink" xfId="2" builtinId="8" hidden="1"/>
    <cellStyle name="Hyperlink" xfId="4" builtinId="8" hidden="1"/>
    <cellStyle name="Hyperlink" xfId="6" builtinId="8" hidden="1"/>
    <cellStyle name="Hyperlink" xfId="8" builtinId="8" hidden="1"/>
    <cellStyle name="Hyperlink" xfId="10" builtinId="8" hidden="1"/>
    <cellStyle name="Hyperlink" xfId="12" builtinId="8" hidden="1"/>
    <cellStyle name="Hyperlink" xfId="14" builtinId="8" hidden="1"/>
    <cellStyle name="Hyperlink" xfId="16" builtinId="8" hidden="1"/>
    <cellStyle name="Hyperlink" xfId="18" builtinId="8" hidden="1"/>
    <cellStyle name="Hyperlink" xfId="20" builtinId="8" hidden="1"/>
    <cellStyle name="Hyperlink" xfId="22" builtinId="8" hidden="1"/>
    <cellStyle name="Hyperlink" xfId="24" builtinId="8" hidden="1"/>
    <cellStyle name="Hyperlink" xfId="26" builtinId="8" hidden="1"/>
    <cellStyle name="Hyperlink" xfId="28" builtinId="8" hidden="1"/>
    <cellStyle name="Hyperlink" xfId="30" builtinId="8" hidden="1"/>
    <cellStyle name="Hyperlink" xfId="32" builtinId="8" hidden="1"/>
    <cellStyle name="Hyperlink" xfId="34" builtinId="8" hidden="1"/>
    <cellStyle name="Hyperlink" xfId="36" builtinId="8" hidden="1"/>
    <cellStyle name="Hyperlink" xfId="38" builtinId="8" hidden="1"/>
    <cellStyle name="Hyperlink" xfId="40" builtinId="8" hidden="1"/>
    <cellStyle name="Hyperlink" xfId="42" builtinId="8" hidden="1"/>
    <cellStyle name="Hyperlink" xfId="44" builtinId="8" hidden="1"/>
    <cellStyle name="Hyperlink" xfId="46" builtinId="8" hidden="1"/>
    <cellStyle name="Hyperlink" xfId="48" builtinId="8" hidden="1"/>
    <cellStyle name="Hyperlink" xfId="50" builtinId="8" hidden="1"/>
    <cellStyle name="Hyperlink" xfId="52" builtinId="8" hidden="1"/>
    <cellStyle name="Hyperlink" xfId="54" builtinId="8" hidden="1"/>
    <cellStyle name="Hyperlink" xfId="56" builtinId="8" hidden="1"/>
    <cellStyle name="Hyperlink" xfId="58" builtinId="8" hidden="1"/>
    <cellStyle name="Hyperlink" xfId="60" builtinId="8" hidden="1"/>
    <cellStyle name="Hyperlink" xfId="62" builtinId="8" hidden="1"/>
    <cellStyle name="Hyperlink" xfId="64" builtinId="8" hidden="1"/>
    <cellStyle name="Hyperlink" xfId="66" builtinId="8" hidden="1"/>
    <cellStyle name="Hyperlink" xfId="68" builtinId="8" hidden="1"/>
    <cellStyle name="Hyperlink" xfId="70" builtinId="8" hidden="1"/>
    <cellStyle name="Hyperlink" xfId="72" builtinId="8" hidden="1"/>
    <cellStyle name="Hyperlink" xfId="74" builtinId="8" hidden="1"/>
    <cellStyle name="Hyperlink" xfId="76" builtinId="8" hidden="1"/>
    <cellStyle name="Hyperlink" xfId="78" builtinId="8" hidden="1"/>
    <cellStyle name="Hyperlink" xfId="80" builtinId="8" hidden="1"/>
    <cellStyle name="Hyperlink" xfId="82" builtinId="8" hidden="1"/>
    <cellStyle name="Hyperlink" xfId="84" builtinId="8" hidden="1"/>
    <cellStyle name="Hyperlink" xfId="86" builtinId="8" hidden="1"/>
    <cellStyle name="Hyperlink" xfId="88" builtinId="8" hidden="1"/>
    <cellStyle name="Hyperlink" xfId="90" builtinId="8" hidden="1"/>
    <cellStyle name="Hyperlink" xfId="92" builtinId="8" hidden="1"/>
    <cellStyle name="Hyperlink" xfId="94" builtinId="8" hidden="1"/>
    <cellStyle name="Hyperlink" xfId="96" builtinId="8" hidden="1"/>
    <cellStyle name="Hyperlink" xfId="98" builtinId="8" hidden="1"/>
    <cellStyle name="Hyperlink" xfId="100" builtinId="8" hidden="1"/>
    <cellStyle name="Hyperlink" xfId="102" builtinId="8" hidden="1"/>
    <cellStyle name="Hyperlink" xfId="104" builtinId="8" hidden="1"/>
    <cellStyle name="Hyperlink" xfId="106" builtinId="8" hidden="1"/>
    <cellStyle name="Hyperlink" xfId="108" builtinId="8" hidden="1"/>
    <cellStyle name="Hyperlink" xfId="110" builtinId="8" hidden="1"/>
    <cellStyle name="Hyperlink" xfId="112" builtinId="8" hidden="1"/>
    <cellStyle name="Hyperlink" xfId="114" builtinId="8" hidden="1"/>
    <cellStyle name="Hyperlink" xfId="116" builtinId="8" hidden="1"/>
    <cellStyle name="Hyperlink" xfId="118" builtinId="8" hidden="1"/>
    <cellStyle name="Hyperlink" xfId="120" builtinId="8" hidden="1"/>
    <cellStyle name="Hyperlink" xfId="122" builtinId="8" hidden="1"/>
    <cellStyle name="Hyperlink" xfId="124" builtinId="8" hidden="1"/>
    <cellStyle name="Hyperlink" xfId="126" builtinId="8" hidden="1"/>
    <cellStyle name="Hyperlink" xfId="128" builtinId="8" hidden="1"/>
    <cellStyle name="Hyperlink" xfId="130" builtinId="8" hidden="1"/>
    <cellStyle name="Hyperlink" xfId="132" builtinId="8" hidden="1"/>
    <cellStyle name="Hyperlink" xfId="134" builtinId="8" hidden="1"/>
    <cellStyle name="Hyperlink" xfId="136" builtinId="8" hidden="1"/>
    <cellStyle name="Hyperlink" xfId="138" builtinId="8" hidden="1"/>
    <cellStyle name="Hyperlink" xfId="140" builtinId="8" hidden="1"/>
    <cellStyle name="Hyperlink" xfId="142" builtinId="8" hidden="1"/>
    <cellStyle name="Hyperlink" xfId="144" builtinId="8" hidden="1"/>
    <cellStyle name="Hyperlink" xfId="146" builtinId="8" hidden="1"/>
    <cellStyle name="Hyperlink" xfId="148" builtinId="8" hidden="1"/>
    <cellStyle name="Hyperlink" xfId="150" builtinId="8" hidden="1"/>
    <cellStyle name="Hyperlink" xfId="152" builtinId="8" hidden="1"/>
    <cellStyle name="Hyperlink" xfId="154" builtinId="8" hidden="1"/>
    <cellStyle name="Hyperlink" xfId="156" builtinId="8" hidden="1"/>
    <cellStyle name="Hyperlink" xfId="158" builtinId="8" hidden="1"/>
    <cellStyle name="Hyperlink" xfId="160" builtinId="8" hidden="1"/>
    <cellStyle name="Hyperlink" xfId="162" builtinId="8" hidden="1"/>
    <cellStyle name="Hyperlink" xfId="164" builtinId="8" hidden="1"/>
    <cellStyle name="Hyperlink" xfId="166" builtinId="8" hidden="1"/>
    <cellStyle name="Hyperlink" xfId="168" builtinId="8" hidden="1"/>
    <cellStyle name="Hyperlink" xfId="170" builtinId="8" hidden="1"/>
    <cellStyle name="Hyperlink" xfId="172" builtinId="8" hidden="1"/>
    <cellStyle name="Hyperlink" xfId="174" builtinId="8" hidden="1"/>
    <cellStyle name="Hyperlink" xfId="176" builtinId="8" hidden="1"/>
    <cellStyle name="Hyperlink" xfId="178" builtinId="8" hidden="1"/>
    <cellStyle name="Hyperlink" xfId="180" builtinId="8" hidden="1"/>
    <cellStyle name="Hyperlink" xfId="182" builtinId="8" hidden="1"/>
    <cellStyle name="Hyperlink" xfId="184" builtinId="8" hidden="1"/>
    <cellStyle name="Hyperlink" xfId="186" builtinId="8" hidden="1"/>
    <cellStyle name="Hyperlink" xfId="188" builtinId="8" hidden="1"/>
    <cellStyle name="Hyperlink" xfId="190" builtinId="8" hidden="1"/>
    <cellStyle name="Hyperlink" xfId="192" builtinId="8" hidden="1"/>
    <cellStyle name="Hyperlink" xfId="194" builtinId="8" hidden="1"/>
    <cellStyle name="Hyperlink" xfId="196" builtinId="8" hidden="1"/>
    <cellStyle name="Hyperlink" xfId="198" builtinId="8" hidden="1"/>
    <cellStyle name="Hyperlink" xfId="200" builtinId="8" hidden="1"/>
    <cellStyle name="Hyperlink" xfId="202" builtinId="8" hidden="1"/>
    <cellStyle name="Hyperlink" xfId="204" builtinId="8" hidden="1"/>
    <cellStyle name="Hyperlink" xfId="206" builtinId="8" hidden="1"/>
    <cellStyle name="Hyperlink" xfId="208" builtinId="8" hidden="1"/>
    <cellStyle name="Hyperlink" xfId="210" builtinId="8" hidden="1"/>
    <cellStyle name="Hyperlink" xfId="212" builtinId="8" hidden="1"/>
    <cellStyle name="Hyperlink" xfId="214" builtinId="8" hidden="1"/>
    <cellStyle name="Hyperlink" xfId="216" builtinId="8" hidden="1"/>
    <cellStyle name="Hyperlink" xfId="218" builtinId="8" hidden="1"/>
    <cellStyle name="Hyperlink" xfId="220" builtinId="8" hidden="1"/>
    <cellStyle name="Hyperlink" xfId="222" builtinId="8" hidden="1"/>
    <cellStyle name="Hyperlink" xfId="224" builtinId="8" hidden="1"/>
    <cellStyle name="Hyperlink" xfId="226" builtinId="8" hidden="1"/>
    <cellStyle name="Hyperlink" xfId="228" builtinId="8" hidden="1"/>
    <cellStyle name="Hyperlink" xfId="230" builtinId="8" hidden="1"/>
    <cellStyle name="Hyperlink" xfId="232" builtinId="8" hidden="1"/>
    <cellStyle name="Hyperlink" xfId="234" builtinId="8" hidden="1"/>
    <cellStyle name="Hyperlink" xfId="236" builtinId="8" hidden="1"/>
    <cellStyle name="Hyperlink" xfId="238" builtinId="8" hidden="1"/>
    <cellStyle name="Hyperlink" xfId="240" builtinId="8" hidden="1"/>
    <cellStyle name="Hyperlink" xfId="242" builtinId="8" hidden="1"/>
    <cellStyle name="Hyperlink" xfId="244" builtinId="8" hidden="1"/>
    <cellStyle name="Hyperlink" xfId="246" builtinId="8" hidden="1"/>
    <cellStyle name="Hyperlink" xfId="248" builtinId="8" hidden="1"/>
    <cellStyle name="Hyperlink" xfId="250" builtinId="8" hidden="1"/>
    <cellStyle name="Hyperlink" xfId="252" builtinId="8" hidden="1"/>
    <cellStyle name="Hyperlink" xfId="254" builtinId="8" hidden="1"/>
    <cellStyle name="Hyperlink" xfId="256" builtinId="8" hidden="1"/>
    <cellStyle name="Hyperlink" xfId="258" builtinId="8" hidden="1"/>
    <cellStyle name="Hyperlink" xfId="260" builtinId="8" hidden="1"/>
    <cellStyle name="Hyperlink" xfId="262" builtinId="8" hidden="1"/>
    <cellStyle name="Hyperlink" xfId="264" builtinId="8" hidden="1"/>
    <cellStyle name="Hyperlink" xfId="266" builtinId="8" hidden="1"/>
    <cellStyle name="Hyperlink" xfId="268" builtinId="8" hidden="1"/>
    <cellStyle name="Hyperlink" xfId="270" builtinId="8" hidden="1"/>
    <cellStyle name="Hyperlink" xfId="272" builtinId="8" hidden="1"/>
    <cellStyle name="Hyperlink" xfId="274" builtinId="8" hidden="1"/>
    <cellStyle name="Hyperlink" xfId="276" builtinId="8" hidden="1"/>
    <cellStyle name="Hyperlink" xfId="278" builtinId="8" hidden="1"/>
    <cellStyle name="Hyperlink" xfId="280" builtinId="8" hidden="1"/>
    <cellStyle name="Hyperlink" xfId="282" builtinId="8" hidden="1"/>
    <cellStyle name="Hyperlink" xfId="284" builtinId="8" hidden="1"/>
    <cellStyle name="Hyperlink" xfId="286" builtinId="8" hidden="1"/>
    <cellStyle name="Hyperlink" xfId="288" builtinId="8" hidden="1"/>
    <cellStyle name="Hyperlink" xfId="290" builtinId="8" hidden="1"/>
    <cellStyle name="Hyperlink" xfId="292" builtinId="8" hidden="1"/>
    <cellStyle name="Hyperlink" xfId="294" builtinId="8" hidden="1"/>
    <cellStyle name="Hyperlink" xfId="296" builtinId="8" hidden="1"/>
    <cellStyle name="Hyperlink" xfId="298" builtinId="8" hidden="1"/>
    <cellStyle name="Hyperlink" xfId="300" builtinId="8" hidden="1"/>
    <cellStyle name="Hyperlink" xfId="302" builtinId="8" hidden="1"/>
    <cellStyle name="Hyperlink" xfId="304" builtinId="8" hidden="1"/>
    <cellStyle name="Hyperlink" xfId="306" builtinId="8" hidden="1"/>
    <cellStyle name="Hyperlink" xfId="308" builtinId="8" hidden="1"/>
    <cellStyle name="Hyperlink" xfId="310" builtinId="8" hidden="1"/>
    <cellStyle name="Hyperlink" xfId="312" builtinId="8" hidden="1"/>
    <cellStyle name="Hyperlink" xfId="314" builtinId="8" hidden="1"/>
    <cellStyle name="Hyperlink" xfId="316" builtinId="8" hidden="1"/>
    <cellStyle name="Hyperlink" xfId="318" builtinId="8" hidden="1"/>
    <cellStyle name="Hyperlink" xfId="320" builtinId="8" hidden="1"/>
    <cellStyle name="Hyperlink" xfId="322" builtinId="8" hidden="1"/>
    <cellStyle name="Hyperlink" xfId="324" builtinId="8" hidden="1"/>
    <cellStyle name="Hyperlink" xfId="326" builtinId="8" hidden="1"/>
    <cellStyle name="Hyperlink" xfId="328" builtinId="8" hidden="1"/>
    <cellStyle name="Hyperlink" xfId="330" builtinId="8" hidden="1"/>
    <cellStyle name="Hyperlink" xfId="332" builtinId="8" hidden="1"/>
    <cellStyle name="Hyperlink" xfId="334" builtinId="8" hidden="1"/>
    <cellStyle name="Hyperlink" xfId="336" builtinId="8" hidden="1"/>
    <cellStyle name="Hyperlink" xfId="338" builtinId="8" hidden="1"/>
    <cellStyle name="Hyperlink" xfId="340" builtinId="8" hidden="1"/>
    <cellStyle name="Hyperlink" xfId="342" builtinId="8" hidden="1"/>
    <cellStyle name="Hyperlink" xfId="344" builtinId="8" hidden="1"/>
    <cellStyle name="Hyperlink" xfId="346" builtinId="8" hidden="1"/>
    <cellStyle name="Hyperlink" xfId="348" builtinId="8" hidden="1"/>
    <cellStyle name="Hyperlink" xfId="350" builtinId="8" hidden="1"/>
    <cellStyle name="Hyperlink" xfId="352" builtinId="8" hidden="1"/>
    <cellStyle name="Hyperlink" xfId="354" builtinId="8" hidden="1"/>
    <cellStyle name="Hyperlink" xfId="356" builtinId="8" hidden="1"/>
    <cellStyle name="Hyperlink" xfId="358" builtinId="8" hidden="1"/>
    <cellStyle name="Hyperlink" xfId="360" builtinId="8" hidden="1"/>
    <cellStyle name="Normal" xfId="0" builtinId="0"/>
    <cellStyle name="Percent" xfId="363" builtinId="5"/>
    <cellStyle name="Percent 2" xfId="362" xr:uid="{00000000-0005-0000-0000-00006A010000}"/>
  </cellStyles>
  <dxfs count="14">
    <dxf>
      <font>
        <condense val="0"/>
        <extend val="0"/>
        <color indexed="43"/>
      </font>
    </dxf>
    <dxf>
      <border>
        <right style="thin">
          <color indexed="64"/>
        </right>
      </border>
    </dxf>
    <dxf>
      <font>
        <condense val="0"/>
        <extend val="0"/>
        <color indexed="9"/>
      </font>
      <fill>
        <patternFill>
          <bgColor indexed="9"/>
        </patternFill>
      </fill>
      <border>
        <left/>
        <right/>
        <top/>
        <bottom/>
      </border>
    </dxf>
    <dxf>
      <border>
        <right style="thin">
          <color indexed="64"/>
        </right>
      </border>
    </dxf>
    <dxf>
      <font>
        <condense val="0"/>
        <extend val="0"/>
        <color indexed="9"/>
      </font>
      <fill>
        <patternFill>
          <bgColor indexed="9"/>
        </patternFill>
      </fill>
      <border>
        <left/>
        <right/>
        <top/>
        <bottom/>
      </border>
    </dxf>
    <dxf>
      <font>
        <condense val="0"/>
        <extend val="0"/>
        <color indexed="43"/>
      </font>
    </dxf>
    <dxf>
      <font>
        <condense val="0"/>
        <extend val="0"/>
        <color indexed="9"/>
      </font>
      <fill>
        <patternFill>
          <bgColor indexed="9"/>
        </patternFill>
      </fill>
      <border>
        <left/>
        <right/>
        <top/>
        <bottom/>
      </border>
    </dxf>
    <dxf>
      <border>
        <right style="thin">
          <color indexed="64"/>
        </right>
      </border>
    </dxf>
    <dxf>
      <font>
        <condense val="0"/>
        <extend val="0"/>
        <color indexed="9"/>
      </font>
      <fill>
        <patternFill>
          <bgColor indexed="9"/>
        </patternFill>
      </fill>
      <border>
        <left/>
        <right/>
        <top/>
        <bottom/>
      </border>
    </dxf>
    <dxf>
      <font>
        <condense val="0"/>
        <extend val="0"/>
        <color indexed="43"/>
      </font>
    </dxf>
    <dxf>
      <font>
        <condense val="0"/>
        <extend val="0"/>
        <color indexed="43"/>
      </font>
    </dxf>
    <dxf>
      <font>
        <condense val="0"/>
        <extend val="0"/>
        <color indexed="9"/>
      </font>
      <fill>
        <patternFill>
          <bgColor indexed="9"/>
        </patternFill>
      </fill>
      <border>
        <left/>
        <right/>
        <top/>
        <bottom/>
      </border>
    </dxf>
    <dxf>
      <border>
        <right style="thin">
          <color indexed="64"/>
        </right>
      </border>
    </dxf>
    <dxf>
      <font>
        <condense val="0"/>
        <extend val="0"/>
        <color indexed="9"/>
      </font>
      <fill>
        <patternFill>
          <bgColor indexed="9"/>
        </patternFill>
      </fill>
      <border>
        <left/>
        <right/>
        <top/>
        <bottom/>
      </border>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nico/Dropbox/TEACHING/Modeling/WIP/2_WaterUtility/P1/Backup/Policy_Simulation_Worksheets.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nico/Dropbox/RNFC/Models/WIP/Water%20Utility/Policy_Simulation_Worksheets.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etup"/>
      <sheetName val="Introduction"/>
      <sheetName val="Policy choices"/>
      <sheetName val="Other assumptions"/>
      <sheetName val="Analysis - No risk"/>
      <sheetName val="Analysis - with risk"/>
      <sheetName val="SWPNZPSYWSLKSESPZO"/>
    </sheetNames>
    <sheetDataSet>
      <sheetData sheetId="0" refreshError="1">
        <row r="5">
          <cell r="C5" t="str">
            <v>Millions</v>
          </cell>
          <cell r="D5">
            <v>1000000</v>
          </cell>
        </row>
        <row r="7">
          <cell r="C7" t="str">
            <v>Millions</v>
          </cell>
          <cell r="D7">
            <v>1000000</v>
          </cell>
          <cell r="F7" t="str">
            <v>Full reset</v>
          </cell>
        </row>
        <row r="8">
          <cell r="F8" t="str">
            <v>Full reset with efficient operator</v>
          </cell>
        </row>
        <row r="9">
          <cell r="F9" t="str">
            <v>Partial reset</v>
          </cell>
        </row>
        <row r="10">
          <cell r="D10" t="str">
            <v>Domestic</v>
          </cell>
          <cell r="F10" t="str">
            <v>No reset</v>
          </cell>
        </row>
        <row r="15">
          <cell r="D15" t="str">
            <v>pesos</v>
          </cell>
        </row>
        <row r="16">
          <cell r="D16" t="str">
            <v>dollars</v>
          </cell>
        </row>
      </sheetData>
      <sheetData sheetId="1" refreshError="1"/>
      <sheetData sheetId="2" refreshError="1">
        <row r="4">
          <cell r="D4">
            <v>20</v>
          </cell>
        </row>
        <row r="5">
          <cell r="T5">
            <v>1000</v>
          </cell>
        </row>
        <row r="7">
          <cell r="D7">
            <v>1</v>
          </cell>
        </row>
        <row r="8">
          <cell r="Y8">
            <v>90</v>
          </cell>
        </row>
        <row r="9">
          <cell r="D9">
            <v>10</v>
          </cell>
          <cell r="Y9">
            <v>-120</v>
          </cell>
        </row>
        <row r="12">
          <cell r="D12">
            <v>0</v>
          </cell>
        </row>
        <row r="16">
          <cell r="D16">
            <v>0.5</v>
          </cell>
        </row>
        <row r="17">
          <cell r="D17">
            <v>0.5</v>
          </cell>
        </row>
        <row r="19">
          <cell r="D19">
            <v>0.5</v>
          </cell>
        </row>
        <row r="20">
          <cell r="D20" t="str">
            <v>Foreign</v>
          </cell>
        </row>
        <row r="21">
          <cell r="D21">
            <v>20</v>
          </cell>
        </row>
        <row r="22">
          <cell r="D22">
            <v>5</v>
          </cell>
        </row>
        <row r="26">
          <cell r="D26">
            <v>5</v>
          </cell>
        </row>
      </sheetData>
      <sheetData sheetId="3" refreshError="1">
        <row r="4">
          <cell r="H4" t="str">
            <v>Exchange rate</v>
          </cell>
          <cell r="I4" t="str">
            <v>Pesos per dollar</v>
          </cell>
          <cell r="J4">
            <v>3</v>
          </cell>
        </row>
        <row r="5">
          <cell r="H5" t="str">
            <v>Inflation</v>
          </cell>
          <cell r="I5" t="str">
            <v>Percentage (%)</v>
          </cell>
        </row>
        <row r="6">
          <cell r="D6">
            <v>100</v>
          </cell>
          <cell r="F6">
            <v>0.05</v>
          </cell>
          <cell r="H6" t="str">
            <v>Billable demand</v>
          </cell>
          <cell r="I6" t="str">
            <v>Millions of m3</v>
          </cell>
        </row>
        <row r="7">
          <cell r="D7">
            <v>0.05</v>
          </cell>
          <cell r="F7">
            <v>0.08</v>
          </cell>
        </row>
        <row r="8">
          <cell r="D8">
            <v>0.05</v>
          </cell>
          <cell r="F8">
            <v>0.02</v>
          </cell>
        </row>
        <row r="9">
          <cell r="F9">
            <v>5</v>
          </cell>
        </row>
        <row r="10">
          <cell r="D10">
            <v>0.05</v>
          </cell>
        </row>
        <row r="11">
          <cell r="D11">
            <v>7.0000000000000007E-2</v>
          </cell>
        </row>
        <row r="14">
          <cell r="D14">
            <v>50000</v>
          </cell>
          <cell r="E14">
            <v>0</v>
          </cell>
        </row>
        <row r="15">
          <cell r="D15">
            <v>0.5</v>
          </cell>
        </row>
        <row r="21">
          <cell r="D21">
            <v>150</v>
          </cell>
          <cell r="E21">
            <v>75</v>
          </cell>
        </row>
        <row r="22">
          <cell r="D22">
            <v>0.02</v>
          </cell>
        </row>
        <row r="23">
          <cell r="D23">
            <v>0.03</v>
          </cell>
        </row>
        <row r="26">
          <cell r="D26">
            <v>0.01</v>
          </cell>
          <cell r="E26">
            <v>0.03</v>
          </cell>
          <cell r="F26">
            <v>5</v>
          </cell>
        </row>
        <row r="33">
          <cell r="D33">
            <v>2.5</v>
          </cell>
        </row>
        <row r="34">
          <cell r="D34">
            <v>1.5</v>
          </cell>
          <cell r="E34">
            <v>1.3</v>
          </cell>
        </row>
        <row r="40">
          <cell r="D40">
            <v>30</v>
          </cell>
          <cell r="E40">
            <v>45</v>
          </cell>
        </row>
        <row r="41">
          <cell r="E41">
            <v>1000</v>
          </cell>
        </row>
        <row r="46">
          <cell r="E46">
            <v>2000</v>
          </cell>
        </row>
        <row r="50">
          <cell r="E50">
            <v>20000000</v>
          </cell>
        </row>
        <row r="51">
          <cell r="E51">
            <v>0.03</v>
          </cell>
        </row>
        <row r="52">
          <cell r="E52">
            <v>0.5</v>
          </cell>
        </row>
        <row r="54">
          <cell r="E54">
            <v>20</v>
          </cell>
        </row>
        <row r="55">
          <cell r="E55">
            <v>0.03</v>
          </cell>
        </row>
        <row r="56">
          <cell r="E56">
            <v>0.5</v>
          </cell>
        </row>
        <row r="59">
          <cell r="E59">
            <v>100000000</v>
          </cell>
        </row>
        <row r="60">
          <cell r="E60">
            <v>0.05</v>
          </cell>
        </row>
        <row r="66">
          <cell r="D66">
            <v>1</v>
          </cell>
        </row>
        <row r="67">
          <cell r="D67">
            <v>1</v>
          </cell>
        </row>
        <row r="68">
          <cell r="D68">
            <v>10</v>
          </cell>
        </row>
      </sheetData>
      <sheetData sheetId="4" refreshError="1">
        <row r="2">
          <cell r="A2"/>
          <cell r="B2" t="str">
            <v>Years</v>
          </cell>
          <cell r="D2">
            <v>0</v>
          </cell>
          <cell r="E2">
            <v>1</v>
          </cell>
          <cell r="F2">
            <v>2</v>
          </cell>
          <cell r="G2">
            <v>3</v>
          </cell>
          <cell r="H2">
            <v>4</v>
          </cell>
          <cell r="I2">
            <v>5</v>
          </cell>
          <cell r="J2">
            <v>6</v>
          </cell>
          <cell r="K2">
            <v>7</v>
          </cell>
          <cell r="L2">
            <v>8</v>
          </cell>
          <cell r="M2">
            <v>9</v>
          </cell>
          <cell r="N2">
            <v>10</v>
          </cell>
          <cell r="O2">
            <v>11</v>
          </cell>
          <cell r="P2">
            <v>12</v>
          </cell>
          <cell r="Q2">
            <v>13</v>
          </cell>
          <cell r="R2">
            <v>14</v>
          </cell>
          <cell r="S2">
            <v>15</v>
          </cell>
          <cell r="T2">
            <v>16</v>
          </cell>
          <cell r="U2">
            <v>17</v>
          </cell>
          <cell r="V2">
            <v>18</v>
          </cell>
          <cell r="W2">
            <v>19</v>
          </cell>
          <cell r="X2">
            <v>20</v>
          </cell>
          <cell r="Y2" t="str">
            <v/>
          </cell>
          <cell r="Z2" t="str">
            <v/>
          </cell>
          <cell r="AA2" t="str">
            <v/>
          </cell>
          <cell r="AB2" t="str">
            <v/>
          </cell>
          <cell r="AC2" t="str">
            <v/>
          </cell>
          <cell r="AD2" t="str">
            <v/>
          </cell>
          <cell r="AE2" t="str">
            <v/>
          </cell>
          <cell r="AF2" t="str">
            <v/>
          </cell>
          <cell r="AG2" t="str">
            <v/>
          </cell>
          <cell r="AH2" t="str">
            <v/>
          </cell>
          <cell r="AI2" t="str">
            <v/>
          </cell>
          <cell r="AJ2" t="str">
            <v/>
          </cell>
          <cell r="AK2" t="str">
            <v/>
          </cell>
          <cell r="AL2" t="str">
            <v/>
          </cell>
          <cell r="AM2" t="str">
            <v/>
          </cell>
          <cell r="AN2" t="str">
            <v/>
          </cell>
          <cell r="AO2" t="str">
            <v/>
          </cell>
          <cell r="AP2" t="str">
            <v/>
          </cell>
          <cell r="AQ2" t="str">
            <v/>
          </cell>
          <cell r="AR2" t="str">
            <v/>
          </cell>
          <cell r="AS2"/>
        </row>
        <row r="4">
          <cell r="B4" t="str">
            <v>Inflation</v>
          </cell>
          <cell r="C4"/>
          <cell r="D4">
            <v>0.05</v>
          </cell>
          <cell r="E4">
            <v>5.8091712136414154E-2</v>
          </cell>
          <cell r="F4">
            <v>6.4816775092882944E-2</v>
          </cell>
          <cell r="G4">
            <v>6.9929008928705308E-2</v>
          </cell>
          <cell r="H4">
            <v>7.3540444827524018E-2</v>
          </cell>
          <cell r="I4">
            <v>7.5954410655356047E-2</v>
          </cell>
          <cell r="J4">
            <v>7.7506456860953088E-2</v>
          </cell>
          <cell r="K4">
            <v>7.8478834397158789E-2</v>
          </cell>
          <cell r="L4">
            <v>7.9078006626364286E-2</v>
          </cell>
          <cell r="M4">
            <v>7.9443395184390031E-2</v>
          </cell>
          <cell r="N4">
            <v>7.9664796005037716E-2</v>
          </cell>
          <cell r="O4">
            <v>7.9798427747885134E-2</v>
          </cell>
          <cell r="P4">
            <v>7.9878894034482131E-2</v>
          </cell>
          <cell r="Q4">
            <v>7.9927277734823346E-2</v>
          </cell>
          <cell r="R4">
            <v>7.995634548261564E-2</v>
          </cell>
          <cell r="S4">
            <v>7.997379966580051E-2</v>
          </cell>
          <cell r="T4">
            <v>7.9984277053455413E-2</v>
          </cell>
          <cell r="U4">
            <v>7.9990565243186942E-2</v>
          </cell>
          <cell r="V4">
            <v>7.9994338789844521E-2</v>
          </cell>
          <cell r="W4">
            <v>7.9996603145707557E-2</v>
          </cell>
          <cell r="X4">
            <v>7.9997961841269644E-2</v>
          </cell>
          <cell r="Y4">
            <v>7.9998777088145331E-2</v>
          </cell>
          <cell r="Z4">
            <v>7.9999266246905121E-2</v>
          </cell>
          <cell r="AA4">
            <v>7.999955974598949E-2</v>
          </cell>
          <cell r="AB4">
            <v>7.9999735846818409E-2</v>
          </cell>
          <cell r="AC4">
            <v>7.9999841507811933E-2</v>
          </cell>
          <cell r="AD4">
            <v>7.999990490458668E-2</v>
          </cell>
          <cell r="AE4">
            <v>7.999994294271584E-2</v>
          </cell>
          <cell r="AF4">
            <v>7.9999965765616493E-2</v>
          </cell>
          <cell r="AG4">
            <v>7.9999979459365211E-2</v>
          </cell>
          <cell r="AH4">
            <v>7.9999987675617446E-2</v>
          </cell>
          <cell r="AI4">
            <v>7.9999992605369857E-2</v>
          </cell>
          <cell r="AJ4">
            <v>7.9999995563221696E-2</v>
          </cell>
          <cell r="AK4">
            <v>7.9999997337932949E-2</v>
          </cell>
          <cell r="AL4">
            <v>7.9999998402759731E-2</v>
          </cell>
          <cell r="AM4">
            <v>7.9999999041655834E-2</v>
          </cell>
          <cell r="AN4">
            <v>7.9999999424993487E-2</v>
          </cell>
          <cell r="AO4">
            <v>7.9999999654996101E-2</v>
          </cell>
          <cell r="AP4">
            <v>7.9999999792997656E-2</v>
          </cell>
          <cell r="AQ4">
            <v>7.9999999875798589E-2</v>
          </cell>
          <cell r="AR4">
            <v>7.9999999925479154E-2</v>
          </cell>
        </row>
        <row r="8">
          <cell r="B8" t="str">
            <v>Real exchange rate</v>
          </cell>
          <cell r="C8"/>
          <cell r="D8">
            <v>100</v>
          </cell>
          <cell r="E8">
            <v>105.12710963760242</v>
          </cell>
          <cell r="F8">
            <v>110.51709180756478</v>
          </cell>
          <cell r="G8">
            <v>116.18342427282835</v>
          </cell>
          <cell r="H8">
            <v>122.14027581601702</v>
          </cell>
          <cell r="I8">
            <v>128.40254166877421</v>
          </cell>
          <cell r="J8">
            <v>134.98588075760037</v>
          </cell>
          <cell r="K8">
            <v>141.90675485932579</v>
          </cell>
          <cell r="L8">
            <v>149.18246976412712</v>
          </cell>
          <cell r="M8">
            <v>156.831218549017</v>
          </cell>
          <cell r="N8">
            <v>164.87212707001294</v>
          </cell>
          <cell r="O8">
            <v>173.32530178673966</v>
          </cell>
          <cell r="P8">
            <v>182.21188003905104</v>
          </cell>
          <cell r="Q8">
            <v>191.55408290138976</v>
          </cell>
          <cell r="R8">
            <v>201.37527074704784</v>
          </cell>
          <cell r="S8">
            <v>211.70000166126766</v>
          </cell>
          <cell r="T8">
            <v>222.55409284924698</v>
          </cell>
          <cell r="U8">
            <v>233.96468519259935</v>
          </cell>
          <cell r="V8">
            <v>245.96031111569525</v>
          </cell>
          <cell r="W8">
            <v>258.57096593158491</v>
          </cell>
          <cell r="X8">
            <v>271.82818284590485</v>
          </cell>
          <cell r="Y8">
            <v>285.76511180631672</v>
          </cell>
          <cell r="Z8">
            <v>300.41660239464369</v>
          </cell>
          <cell r="AA8">
            <v>315.81929096897716</v>
          </cell>
          <cell r="AB8">
            <v>332.01169227365517</v>
          </cell>
          <cell r="AC8">
            <v>349.03429574618463</v>
          </cell>
          <cell r="AD8">
            <v>366.92966676192498</v>
          </cell>
          <cell r="AE8">
            <v>385.74255306969803</v>
          </cell>
          <cell r="AF8">
            <v>405.51999668446814</v>
          </cell>
          <cell r="AG8">
            <v>426.31145151688247</v>
          </cell>
          <cell r="AH8">
            <v>448.16890703380727</v>
          </cell>
          <cell r="AI8">
            <v>471.14701825907503</v>
          </cell>
          <cell r="AJ8">
            <v>495.30324243951247</v>
          </cell>
          <cell r="AK8">
            <v>520.69798271798595</v>
          </cell>
          <cell r="AL8">
            <v>547.39473917272119</v>
          </cell>
          <cell r="AM8">
            <v>575.46026760057441</v>
          </cell>
          <cell r="AN8">
            <v>604.96474644129614</v>
          </cell>
          <cell r="AO8">
            <v>635.98195226018481</v>
          </cell>
          <cell r="AP8">
            <v>668.58944422792877</v>
          </cell>
          <cell r="AQ8">
            <v>702.86875805893135</v>
          </cell>
          <cell r="AR8">
            <v>738.90560989306721</v>
          </cell>
        </row>
        <row r="11">
          <cell r="B11" t="str">
            <v>Discount factor</v>
          </cell>
          <cell r="C11"/>
          <cell r="D11">
            <v>1</v>
          </cell>
          <cell r="E11">
            <v>0.93239381990594827</v>
          </cell>
          <cell r="F11">
            <v>0.86935823539880586</v>
          </cell>
          <cell r="G11">
            <v>0.81058424597018719</v>
          </cell>
          <cell r="H11">
            <v>0.75578374145572558</v>
          </cell>
          <cell r="I11">
            <v>0.70468808971871355</v>
          </cell>
          <cell r="J11">
            <v>0.65704681981505697</v>
          </cell>
          <cell r="K11">
            <v>0.61262639418441622</v>
          </cell>
          <cell r="L11">
            <v>0.57120906384881509</v>
          </cell>
          <cell r="M11">
            <v>0.5325918010068974</v>
          </cell>
          <cell r="N11">
            <v>0.49658530379140975</v>
          </cell>
          <cell r="O11">
            <v>0.46301306831122829</v>
          </cell>
          <cell r="P11">
            <v>0.4317105234290799</v>
          </cell>
          <cell r="Q11">
            <v>0.40252422403363619</v>
          </cell>
          <cell r="R11">
            <v>0.37531109885139974</v>
          </cell>
          <cell r="S11">
            <v>0.34993774911115555</v>
          </cell>
          <cell r="T11">
            <v>0.32627979462303969</v>
          </cell>
          <cell r="U11">
            <v>0.30422126406670424</v>
          </cell>
          <cell r="V11">
            <v>0.28365402649977056</v>
          </cell>
          <cell r="W11">
            <v>0.26447726129982413</v>
          </cell>
          <cell r="X11">
            <v>0.24659696394160663</v>
          </cell>
          <cell r="Y11">
            <v>0.22992548518672398</v>
          </cell>
          <cell r="Z11">
            <v>0.21438110142697811</v>
          </cell>
          <cell r="AA11">
            <v>0.19988761407514466</v>
          </cell>
          <cell r="AB11">
            <v>0.18637397603941011</v>
          </cell>
          <cell r="AC11">
            <v>0.17377394345044528</v>
          </cell>
          <cell r="AD11">
            <v>0.16202575093388091</v>
          </cell>
          <cell r="AE11">
            <v>0.151071808836371</v>
          </cell>
          <cell r="AF11">
            <v>0.14085842092104514</v>
          </cell>
          <cell r="AG11">
            <v>0.13133552114849323</v>
          </cell>
          <cell r="AH11">
            <v>0.12245642825298206</v>
          </cell>
          <cell r="AI11">
            <v>0.11417761691083662</v>
          </cell>
          <cell r="AJ11">
            <v>0.10645850437925296</v>
          </cell>
          <cell r="AK11">
            <v>9.9261251559645783E-2</v>
          </cell>
          <cell r="AL11">
            <v>9.2550577510343401E-2</v>
          </cell>
          <cell r="AM11">
            <v>8.6293586499370634E-2</v>
          </cell>
          <cell r="AN11">
            <v>8.045960674953255E-2</v>
          </cell>
          <cell r="AO11">
            <v>7.5020040085327075E-2</v>
          </cell>
          <cell r="AP11">
            <v>6.9948221744655467E-2</v>
          </cell>
          <cell r="AQ11">
            <v>6.5219289668127622E-2</v>
          </cell>
          <cell r="AR11">
            <v>6.0810062625218056E-2</v>
          </cell>
        </row>
        <row r="16">
          <cell r="B16" t="str">
            <v>Coverage</v>
          </cell>
          <cell r="C16"/>
          <cell r="D16">
            <v>0.5</v>
          </cell>
          <cell r="E16">
            <v>0.50549347131529654</v>
          </cell>
          <cell r="F16">
            <v>0.51465611537567812</v>
          </cell>
          <cell r="G16">
            <v>0.53792909001062172</v>
          </cell>
          <cell r="H16">
            <v>0.59121276190317817</v>
          </cell>
          <cell r="I16">
            <v>0.68877033439907276</v>
          </cell>
          <cell r="J16">
            <v>0.81122966560092724</v>
          </cell>
          <cell r="K16">
            <v>0.90878723809682183</v>
          </cell>
          <cell r="L16">
            <v>0.96207090998937828</v>
          </cell>
          <cell r="M16">
            <v>0.98534388462432188</v>
          </cell>
          <cell r="N16">
            <v>1</v>
          </cell>
          <cell r="O16">
            <v>1</v>
          </cell>
          <cell r="P16">
            <v>1</v>
          </cell>
          <cell r="Q16">
            <v>1</v>
          </cell>
          <cell r="R16">
            <v>1</v>
          </cell>
          <cell r="S16">
            <v>1</v>
          </cell>
          <cell r="T16">
            <v>1</v>
          </cell>
          <cell r="U16">
            <v>1</v>
          </cell>
          <cell r="V16">
            <v>1</v>
          </cell>
          <cell r="W16">
            <v>1</v>
          </cell>
          <cell r="X16">
            <v>1</v>
          </cell>
          <cell r="Y16">
            <v>1</v>
          </cell>
          <cell r="Z16">
            <v>1</v>
          </cell>
          <cell r="AA16">
            <v>1</v>
          </cell>
          <cell r="AB16">
            <v>1</v>
          </cell>
          <cell r="AC16">
            <v>1</v>
          </cell>
          <cell r="AD16">
            <v>1</v>
          </cell>
          <cell r="AE16">
            <v>1</v>
          </cell>
          <cell r="AF16">
            <v>1</v>
          </cell>
          <cell r="AG16">
            <v>1</v>
          </cell>
          <cell r="AH16">
            <v>1</v>
          </cell>
          <cell r="AI16">
            <v>1</v>
          </cell>
          <cell r="AJ16">
            <v>1</v>
          </cell>
          <cell r="AK16">
            <v>1</v>
          </cell>
          <cell r="AL16">
            <v>1</v>
          </cell>
          <cell r="AM16">
            <v>1</v>
          </cell>
          <cell r="AN16">
            <v>1</v>
          </cell>
          <cell r="AO16">
            <v>1</v>
          </cell>
          <cell r="AP16">
            <v>1</v>
          </cell>
          <cell r="AQ16">
            <v>1</v>
          </cell>
          <cell r="AR16">
            <v>1</v>
          </cell>
        </row>
        <row r="17">
          <cell r="B17" t="str">
            <v>Connections</v>
          </cell>
          <cell r="C17"/>
          <cell r="D17">
            <v>25000</v>
          </cell>
          <cell r="E17">
            <v>25274</v>
          </cell>
          <cell r="F17">
            <v>25732</v>
          </cell>
          <cell r="G17">
            <v>26896</v>
          </cell>
          <cell r="H17">
            <v>29560</v>
          </cell>
          <cell r="I17">
            <v>34438</v>
          </cell>
          <cell r="J17">
            <v>40561</v>
          </cell>
          <cell r="K17">
            <v>45439</v>
          </cell>
          <cell r="L17">
            <v>48103</v>
          </cell>
          <cell r="M17">
            <v>49267</v>
          </cell>
          <cell r="N17">
            <v>50000</v>
          </cell>
          <cell r="O17">
            <v>50000</v>
          </cell>
          <cell r="P17">
            <v>50000</v>
          </cell>
          <cell r="Q17">
            <v>50000</v>
          </cell>
          <cell r="R17">
            <v>50000</v>
          </cell>
          <cell r="S17">
            <v>50000</v>
          </cell>
          <cell r="T17">
            <v>50000</v>
          </cell>
          <cell r="U17">
            <v>50000</v>
          </cell>
          <cell r="V17">
            <v>50000</v>
          </cell>
          <cell r="W17">
            <v>50000</v>
          </cell>
          <cell r="X17">
            <v>50000</v>
          </cell>
          <cell r="Y17">
            <v>50000</v>
          </cell>
          <cell r="Z17">
            <v>50000</v>
          </cell>
          <cell r="AA17">
            <v>50000</v>
          </cell>
          <cell r="AB17">
            <v>50000</v>
          </cell>
          <cell r="AC17">
            <v>50000</v>
          </cell>
          <cell r="AD17">
            <v>50000</v>
          </cell>
          <cell r="AE17">
            <v>50000</v>
          </cell>
          <cell r="AF17">
            <v>50000</v>
          </cell>
          <cell r="AG17">
            <v>50000</v>
          </cell>
          <cell r="AH17">
            <v>50000</v>
          </cell>
          <cell r="AI17">
            <v>50000</v>
          </cell>
          <cell r="AJ17">
            <v>50000</v>
          </cell>
          <cell r="AK17">
            <v>50000</v>
          </cell>
          <cell r="AL17">
            <v>50000</v>
          </cell>
          <cell r="AM17">
            <v>50000</v>
          </cell>
          <cell r="AN17">
            <v>50000</v>
          </cell>
          <cell r="AO17">
            <v>50000</v>
          </cell>
          <cell r="AP17">
            <v>50000</v>
          </cell>
          <cell r="AQ17">
            <v>50000</v>
          </cell>
          <cell r="AR17">
            <v>50000</v>
          </cell>
        </row>
        <row r="18">
          <cell r="B18"/>
          <cell r="C18" t="str">
            <v>New connections</v>
          </cell>
          <cell r="D18"/>
          <cell r="E18">
            <v>274</v>
          </cell>
          <cell r="F18">
            <v>458</v>
          </cell>
          <cell r="G18">
            <v>1164</v>
          </cell>
          <cell r="H18">
            <v>2664</v>
          </cell>
          <cell r="I18">
            <v>4878</v>
          </cell>
          <cell r="J18">
            <v>6123</v>
          </cell>
          <cell r="K18">
            <v>4878</v>
          </cell>
          <cell r="L18">
            <v>2664</v>
          </cell>
          <cell r="M18">
            <v>1164</v>
          </cell>
          <cell r="N18">
            <v>733</v>
          </cell>
          <cell r="O18">
            <v>0</v>
          </cell>
          <cell r="P18">
            <v>0</v>
          </cell>
          <cell r="Q18">
            <v>0</v>
          </cell>
          <cell r="R18">
            <v>0</v>
          </cell>
          <cell r="S18">
            <v>0</v>
          </cell>
          <cell r="T18">
            <v>0</v>
          </cell>
          <cell r="U18">
            <v>0</v>
          </cell>
          <cell r="V18">
            <v>0</v>
          </cell>
          <cell r="W18">
            <v>0</v>
          </cell>
          <cell r="X18">
            <v>0</v>
          </cell>
          <cell r="Y18">
            <v>0</v>
          </cell>
          <cell r="Z18">
            <v>0</v>
          </cell>
          <cell r="AA18">
            <v>0</v>
          </cell>
          <cell r="AB18">
            <v>0</v>
          </cell>
          <cell r="AC18">
            <v>0</v>
          </cell>
          <cell r="AD18">
            <v>0</v>
          </cell>
          <cell r="AE18">
            <v>0</v>
          </cell>
          <cell r="AF18">
            <v>0</v>
          </cell>
          <cell r="AG18">
            <v>0</v>
          </cell>
          <cell r="AH18">
            <v>0</v>
          </cell>
          <cell r="AI18">
            <v>0</v>
          </cell>
          <cell r="AJ18">
            <v>0</v>
          </cell>
          <cell r="AK18">
            <v>0</v>
          </cell>
          <cell r="AL18">
            <v>0</v>
          </cell>
          <cell r="AM18">
            <v>0</v>
          </cell>
          <cell r="AN18">
            <v>0</v>
          </cell>
          <cell r="AO18">
            <v>0</v>
          </cell>
          <cell r="AP18">
            <v>0</v>
          </cell>
          <cell r="AQ18">
            <v>0</v>
          </cell>
          <cell r="AR18">
            <v>0</v>
          </cell>
        </row>
        <row r="21">
          <cell r="B21" t="str">
            <v>Total demand (Millions m3)</v>
          </cell>
          <cell r="C21"/>
          <cell r="D21">
            <v>1.3687499999999999</v>
          </cell>
          <cell r="E21">
            <v>1.4117051345640335</v>
          </cell>
          <cell r="F21">
            <v>1.4663223205731397</v>
          </cell>
          <cell r="G21">
            <v>1.5636137776346484</v>
          </cell>
          <cell r="H21">
            <v>1.7532026231958293</v>
          </cell>
          <cell r="I21">
            <v>2.083778215198731</v>
          </cell>
          <cell r="J21">
            <v>2.5038488888808801</v>
          </cell>
          <cell r="K21">
            <v>2.8616341902584765</v>
          </cell>
          <cell r="L21">
            <v>3.0906042901457167</v>
          </cell>
          <cell r="M21">
            <v>3.2293361036334907</v>
          </cell>
          <cell r="N21">
            <v>3.3435900504634635</v>
          </cell>
          <cell r="O21">
            <v>3.411135049982954</v>
          </cell>
          <cell r="P21">
            <v>3.4800445490048451</v>
          </cell>
          <cell r="Q21">
            <v>3.5503461122475488</v>
          </cell>
          <cell r="R21">
            <v>3.6220678612737327</v>
          </cell>
          <cell r="S21">
            <v>3.6952384857393064</v>
          </cell>
          <cell r="T21">
            <v>3.7698872548696807</v>
          </cell>
          <cell r="U21">
            <v>3.8460440291678353</v>
          </cell>
          <cell r="V21">
            <v>3.9237392723589291</v>
          </cell>
          <cell r="W21">
            <v>4.0030040635761868</v>
          </cell>
          <cell r="X21">
            <v>4.0838701097929739</v>
          </cell>
          <cell r="Y21">
            <v>4.1663697585060069</v>
          </cell>
          <cell r="Z21">
            <v>4.2505360106747796</v>
          </cell>
          <cell r="AA21">
            <v>4.3364025339223904</v>
          </cell>
          <cell r="AB21">
            <v>4.4240036760030419</v>
          </cell>
          <cell r="AC21">
            <v>4.5133744785415972</v>
          </cell>
          <cell r="AD21">
            <v>4.6045506910506964</v>
          </cell>
          <cell r="AE21">
            <v>4.6975687852310433</v>
          </cell>
          <cell r="AF21">
            <v>4.7924659695605714</v>
          </cell>
          <cell r="AG21">
            <v>4.889280204178319</v>
          </cell>
          <cell r="AH21">
            <v>4.988050216069011</v>
          </cell>
          <cell r="AI21">
            <v>5.0888155145543532</v>
          </cell>
          <cell r="AJ21">
            <v>5.191616407097297</v>
          </cell>
          <cell r="AK21">
            <v>5.2964940154255533</v>
          </cell>
          <cell r="AL21">
            <v>5.403490291980841</v>
          </cell>
          <cell r="AM21">
            <v>5.51264803670042</v>
          </cell>
          <cell r="AN21">
            <v>5.6240109141376324</v>
          </cell>
          <cell r="AO21">
            <v>5.7376234709283125</v>
          </cell>
          <cell r="AP21">
            <v>5.8535311536100298</v>
          </cell>
          <cell r="AQ21">
            <v>5.9717803268013139</v>
          </cell>
          <cell r="AR21">
            <v>6.0924182917481193</v>
          </cell>
          <cell r="AS21"/>
          <cell r="AT21"/>
          <cell r="AU21"/>
          <cell r="AV21"/>
          <cell r="AW21"/>
          <cell r="AX21"/>
          <cell r="AY21"/>
          <cell r="AZ21"/>
          <cell r="BA21"/>
          <cell r="BB21"/>
          <cell r="BC21"/>
          <cell r="BD21"/>
          <cell r="BE21"/>
          <cell r="BF21"/>
        </row>
        <row r="23">
          <cell r="B23" t="str">
            <v>Non-revenue water</v>
          </cell>
          <cell r="C23"/>
          <cell r="D23">
            <v>0.01</v>
          </cell>
          <cell r="E23">
            <v>1.0359724199241832E-2</v>
          </cell>
          <cell r="F23">
            <v>1.2384058440442351E-2</v>
          </cell>
          <cell r="G23">
            <v>1.9999999999999997E-2</v>
          </cell>
          <cell r="H23">
            <v>2.7615941559557641E-2</v>
          </cell>
          <cell r="I23">
            <v>0.03</v>
          </cell>
          <cell r="J23">
            <v>0.03</v>
          </cell>
          <cell r="K23">
            <v>0.03</v>
          </cell>
          <cell r="L23">
            <v>0.03</v>
          </cell>
          <cell r="M23">
            <v>0.03</v>
          </cell>
          <cell r="N23">
            <v>0.03</v>
          </cell>
          <cell r="O23">
            <v>0.03</v>
          </cell>
          <cell r="P23">
            <v>0.03</v>
          </cell>
          <cell r="Q23">
            <v>0.03</v>
          </cell>
          <cell r="R23">
            <v>0.03</v>
          </cell>
          <cell r="S23">
            <v>0.03</v>
          </cell>
          <cell r="T23">
            <v>0.03</v>
          </cell>
          <cell r="U23">
            <v>0.03</v>
          </cell>
          <cell r="V23">
            <v>0.03</v>
          </cell>
          <cell r="W23">
            <v>0.03</v>
          </cell>
          <cell r="X23">
            <v>0.03</v>
          </cell>
          <cell r="Y23">
            <v>0.03</v>
          </cell>
          <cell r="Z23">
            <v>0.03</v>
          </cell>
          <cell r="AA23">
            <v>0.03</v>
          </cell>
          <cell r="AB23">
            <v>0.03</v>
          </cell>
          <cell r="AC23">
            <v>0.03</v>
          </cell>
          <cell r="AD23">
            <v>0.03</v>
          </cell>
          <cell r="AE23">
            <v>0.03</v>
          </cell>
          <cell r="AF23">
            <v>0.03</v>
          </cell>
          <cell r="AG23">
            <v>0.03</v>
          </cell>
          <cell r="AH23">
            <v>0.03</v>
          </cell>
          <cell r="AI23">
            <v>0.03</v>
          </cell>
          <cell r="AJ23">
            <v>0.03</v>
          </cell>
          <cell r="AK23">
            <v>0.03</v>
          </cell>
          <cell r="AL23">
            <v>0.03</v>
          </cell>
          <cell r="AM23">
            <v>0.03</v>
          </cell>
          <cell r="AN23">
            <v>0.03</v>
          </cell>
          <cell r="AO23">
            <v>0.03</v>
          </cell>
          <cell r="AP23">
            <v>0.03</v>
          </cell>
          <cell r="AQ23">
            <v>0.03</v>
          </cell>
          <cell r="AR23">
            <v>0.03</v>
          </cell>
        </row>
        <row r="24">
          <cell r="B24" t="str">
            <v>Collection rate forecast</v>
          </cell>
          <cell r="C24"/>
          <cell r="D24">
            <v>1</v>
          </cell>
          <cell r="E24">
            <v>1</v>
          </cell>
          <cell r="F24">
            <v>1</v>
          </cell>
          <cell r="G24">
            <v>1</v>
          </cell>
          <cell r="H24">
            <v>1</v>
          </cell>
          <cell r="I24">
            <v>1</v>
          </cell>
          <cell r="J24">
            <v>1</v>
          </cell>
          <cell r="K24">
            <v>1</v>
          </cell>
          <cell r="L24">
            <v>1</v>
          </cell>
          <cell r="M24">
            <v>1</v>
          </cell>
          <cell r="N24">
            <v>1</v>
          </cell>
          <cell r="O24">
            <v>1</v>
          </cell>
          <cell r="P24">
            <v>1</v>
          </cell>
          <cell r="Q24">
            <v>1</v>
          </cell>
          <cell r="R24">
            <v>1</v>
          </cell>
          <cell r="S24">
            <v>1</v>
          </cell>
          <cell r="T24">
            <v>1</v>
          </cell>
          <cell r="U24">
            <v>1</v>
          </cell>
          <cell r="V24">
            <v>1</v>
          </cell>
          <cell r="W24">
            <v>1</v>
          </cell>
          <cell r="X24">
            <v>1</v>
          </cell>
          <cell r="Y24">
            <v>1</v>
          </cell>
          <cell r="Z24">
            <v>1</v>
          </cell>
          <cell r="AA24">
            <v>1</v>
          </cell>
          <cell r="AB24">
            <v>1</v>
          </cell>
          <cell r="AC24">
            <v>1</v>
          </cell>
          <cell r="AD24">
            <v>1</v>
          </cell>
          <cell r="AE24">
            <v>1</v>
          </cell>
          <cell r="AF24">
            <v>1</v>
          </cell>
          <cell r="AG24">
            <v>1</v>
          </cell>
          <cell r="AH24">
            <v>1</v>
          </cell>
          <cell r="AI24">
            <v>1</v>
          </cell>
          <cell r="AJ24">
            <v>1</v>
          </cell>
          <cell r="AK24">
            <v>1</v>
          </cell>
          <cell r="AL24">
            <v>1</v>
          </cell>
          <cell r="AM24">
            <v>1</v>
          </cell>
          <cell r="AN24">
            <v>1</v>
          </cell>
          <cell r="AO24">
            <v>1</v>
          </cell>
          <cell r="AP24">
            <v>1</v>
          </cell>
          <cell r="AQ24">
            <v>1</v>
          </cell>
          <cell r="AR24">
            <v>1</v>
          </cell>
        </row>
        <row r="140">
          <cell r="E140">
            <v>0.6131943551702338</v>
          </cell>
          <cell r="F140">
            <v>0.6131943551702338</v>
          </cell>
          <cell r="G140">
            <v>0.6131943551702338</v>
          </cell>
          <cell r="H140">
            <v>0.6131943551702338</v>
          </cell>
          <cell r="I140">
            <v>0.6131943551702338</v>
          </cell>
          <cell r="J140">
            <v>0.6131943551702338</v>
          </cell>
          <cell r="K140">
            <v>0.6131943551702338</v>
          </cell>
          <cell r="L140">
            <v>0.6131943551702338</v>
          </cell>
          <cell r="M140">
            <v>0.6131943551702338</v>
          </cell>
          <cell r="N140">
            <v>0.6131943551702338</v>
          </cell>
          <cell r="O140">
            <v>0.6131943551702338</v>
          </cell>
          <cell r="P140">
            <v>0.6131943551702338</v>
          </cell>
          <cell r="Q140">
            <v>0.6131943551702338</v>
          </cell>
          <cell r="R140">
            <v>0.6131943551702338</v>
          </cell>
          <cell r="S140">
            <v>0.6131943551702338</v>
          </cell>
          <cell r="T140">
            <v>0.6131943551702338</v>
          </cell>
          <cell r="U140">
            <v>0.6131943551702338</v>
          </cell>
          <cell r="V140">
            <v>0.6131943551702338</v>
          </cell>
          <cell r="W140">
            <v>0.6131943551702338</v>
          </cell>
          <cell r="X140">
            <v>0.6131943551702338</v>
          </cell>
          <cell r="Y140" t="str">
            <v/>
          </cell>
          <cell r="Z140" t="str">
            <v/>
          </cell>
          <cell r="AA140" t="str">
            <v/>
          </cell>
          <cell r="AB140" t="str">
            <v/>
          </cell>
          <cell r="AC140" t="str">
            <v/>
          </cell>
          <cell r="AD140" t="str">
            <v/>
          </cell>
          <cell r="AE140" t="str">
            <v/>
          </cell>
          <cell r="AF140" t="str">
            <v/>
          </cell>
          <cell r="AG140" t="str">
            <v/>
          </cell>
          <cell r="AH140" t="str">
            <v/>
          </cell>
          <cell r="AI140" t="str">
            <v/>
          </cell>
          <cell r="AJ140" t="str">
            <v/>
          </cell>
          <cell r="AK140" t="str">
            <v/>
          </cell>
          <cell r="AL140" t="str">
            <v/>
          </cell>
          <cell r="AM140" t="str">
            <v/>
          </cell>
          <cell r="AN140" t="str">
            <v/>
          </cell>
          <cell r="AO140" t="str">
            <v/>
          </cell>
          <cell r="AP140" t="str">
            <v/>
          </cell>
          <cell r="AQ140" t="str">
            <v/>
          </cell>
          <cell r="AR140" t="str">
            <v/>
          </cell>
        </row>
        <row r="141">
          <cell r="E141">
            <v>57.198900217333403</v>
          </cell>
          <cell r="F141">
            <v>57.198900217333403</v>
          </cell>
          <cell r="G141">
            <v>57.198900217333403</v>
          </cell>
          <cell r="H141">
            <v>57.198900217333403</v>
          </cell>
          <cell r="I141">
            <v>57.198900217333403</v>
          </cell>
          <cell r="J141">
            <v>57.198900217333403</v>
          </cell>
          <cell r="K141">
            <v>57.198900217333403</v>
          </cell>
          <cell r="L141">
            <v>57.198900217333403</v>
          </cell>
          <cell r="M141">
            <v>57.198900217333403</v>
          </cell>
          <cell r="N141">
            <v>57.198900217333403</v>
          </cell>
          <cell r="O141">
            <v>57.198900217333403</v>
          </cell>
          <cell r="P141">
            <v>57.198900217333403</v>
          </cell>
          <cell r="Q141">
            <v>57.198900217333403</v>
          </cell>
          <cell r="R141">
            <v>57.198900217333403</v>
          </cell>
          <cell r="S141">
            <v>57.198900217333403</v>
          </cell>
          <cell r="T141">
            <v>57.198900217333403</v>
          </cell>
          <cell r="U141">
            <v>57.198900217333403</v>
          </cell>
          <cell r="V141">
            <v>57.198900217333403</v>
          </cell>
          <cell r="W141">
            <v>57.198900217333403</v>
          </cell>
          <cell r="X141">
            <v>57.198900217333403</v>
          </cell>
          <cell r="Y141" t="str">
            <v/>
          </cell>
          <cell r="Z141" t="str">
            <v/>
          </cell>
          <cell r="AA141" t="str">
            <v/>
          </cell>
          <cell r="AB141" t="str">
            <v/>
          </cell>
          <cell r="AC141" t="str">
            <v/>
          </cell>
          <cell r="AD141" t="str">
            <v/>
          </cell>
          <cell r="AE141" t="str">
            <v/>
          </cell>
          <cell r="AF141" t="str">
            <v/>
          </cell>
          <cell r="AG141" t="str">
            <v/>
          </cell>
          <cell r="AH141" t="str">
            <v/>
          </cell>
          <cell r="AI141" t="str">
            <v/>
          </cell>
          <cell r="AJ141" t="str">
            <v/>
          </cell>
          <cell r="AK141" t="str">
            <v/>
          </cell>
          <cell r="AL141" t="str">
            <v/>
          </cell>
          <cell r="AM141" t="str">
            <v/>
          </cell>
          <cell r="AN141" t="str">
            <v/>
          </cell>
          <cell r="AO141" t="str">
            <v/>
          </cell>
          <cell r="AP141" t="str">
            <v/>
          </cell>
          <cell r="AQ141" t="str">
            <v/>
          </cell>
          <cell r="AR141" t="str">
            <v/>
          </cell>
        </row>
        <row r="143">
          <cell r="E143">
            <v>0.24962300740396812</v>
          </cell>
          <cell r="F143">
            <v>0.24962300740396812</v>
          </cell>
          <cell r="G143">
            <v>0.24962300740396812</v>
          </cell>
          <cell r="H143">
            <v>0.24962300740396812</v>
          </cell>
          <cell r="I143">
            <v>0.24962300740396812</v>
          </cell>
          <cell r="J143">
            <v>0.93370705024181044</v>
          </cell>
          <cell r="K143">
            <v>0.93370705024181044</v>
          </cell>
          <cell r="L143">
            <v>0.93370705024181044</v>
          </cell>
          <cell r="M143">
            <v>0.93370705024181044</v>
          </cell>
          <cell r="N143">
            <v>0.93370705024181044</v>
          </cell>
          <cell r="O143">
            <v>0.6944256526548428</v>
          </cell>
          <cell r="P143">
            <v>0.6944256526548428</v>
          </cell>
          <cell r="Q143">
            <v>0.6944256526548428</v>
          </cell>
          <cell r="R143">
            <v>0.6944256526548428</v>
          </cell>
          <cell r="S143">
            <v>0.6944256526548428</v>
          </cell>
          <cell r="T143">
            <v>0.45153320883923798</v>
          </cell>
          <cell r="U143">
            <v>0.45153320883923798</v>
          </cell>
          <cell r="V143">
            <v>0.45153320883923798</v>
          </cell>
          <cell r="W143">
            <v>0.45153320883923798</v>
          </cell>
          <cell r="X143">
            <v>0.45153320883923798</v>
          </cell>
          <cell r="Y143" t="str">
            <v/>
          </cell>
          <cell r="Z143" t="str">
            <v/>
          </cell>
          <cell r="AA143" t="str">
            <v/>
          </cell>
          <cell r="AB143" t="str">
            <v/>
          </cell>
          <cell r="AC143" t="str">
            <v/>
          </cell>
          <cell r="AD143" t="str">
            <v/>
          </cell>
          <cell r="AE143" t="str">
            <v/>
          </cell>
          <cell r="AF143" t="str">
            <v/>
          </cell>
          <cell r="AG143" t="str">
            <v/>
          </cell>
          <cell r="AH143" t="str">
            <v/>
          </cell>
          <cell r="AI143" t="str">
            <v/>
          </cell>
          <cell r="AJ143" t="str">
            <v/>
          </cell>
          <cell r="AK143" t="str">
            <v/>
          </cell>
          <cell r="AL143" t="str">
            <v/>
          </cell>
          <cell r="AM143" t="str">
            <v/>
          </cell>
          <cell r="AN143" t="str">
            <v/>
          </cell>
          <cell r="AO143" t="str">
            <v/>
          </cell>
          <cell r="AP143" t="str">
            <v/>
          </cell>
          <cell r="AQ143" t="str">
            <v/>
          </cell>
          <cell r="AR143" t="str">
            <v/>
          </cell>
        </row>
        <row r="144">
          <cell r="E144">
            <v>45.881495253325575</v>
          </cell>
          <cell r="F144">
            <v>45.881495253325575</v>
          </cell>
          <cell r="G144">
            <v>45.881495253325575</v>
          </cell>
          <cell r="H144">
            <v>45.881495253325575</v>
          </cell>
          <cell r="I144">
            <v>45.881495253325575</v>
          </cell>
          <cell r="J144">
            <v>48.417098208671462</v>
          </cell>
          <cell r="K144">
            <v>48.417098208671462</v>
          </cell>
          <cell r="L144">
            <v>48.417098208671462</v>
          </cell>
          <cell r="M144">
            <v>48.417098208671462</v>
          </cell>
          <cell r="N144">
            <v>48.417098208671462</v>
          </cell>
          <cell r="O144">
            <v>60.587243503552784</v>
          </cell>
          <cell r="P144">
            <v>60.587243503552784</v>
          </cell>
          <cell r="Q144">
            <v>60.587243503552784</v>
          </cell>
          <cell r="R144">
            <v>60.587243503552784</v>
          </cell>
          <cell r="S144">
            <v>60.587243503552784</v>
          </cell>
          <cell r="T144">
            <v>79.791688219128929</v>
          </cell>
          <cell r="U144">
            <v>79.791688219128929</v>
          </cell>
          <cell r="V144">
            <v>79.791688219128929</v>
          </cell>
          <cell r="W144">
            <v>79.791688219128929</v>
          </cell>
          <cell r="X144">
            <v>79.791688219128929</v>
          </cell>
          <cell r="Y144" t="str">
            <v/>
          </cell>
          <cell r="Z144" t="str">
            <v/>
          </cell>
          <cell r="AA144" t="str">
            <v/>
          </cell>
          <cell r="AB144" t="str">
            <v/>
          </cell>
          <cell r="AC144" t="str">
            <v/>
          </cell>
          <cell r="AD144" t="str">
            <v/>
          </cell>
          <cell r="AE144" t="str">
            <v/>
          </cell>
          <cell r="AF144" t="str">
            <v/>
          </cell>
          <cell r="AG144" t="str">
            <v/>
          </cell>
          <cell r="AH144" t="str">
            <v/>
          </cell>
          <cell r="AI144" t="str">
            <v/>
          </cell>
          <cell r="AJ144" t="str">
            <v/>
          </cell>
          <cell r="AK144" t="str">
            <v/>
          </cell>
          <cell r="AL144" t="str">
            <v/>
          </cell>
          <cell r="AM144" t="str">
            <v/>
          </cell>
          <cell r="AN144" t="str">
            <v/>
          </cell>
          <cell r="AO144" t="str">
            <v/>
          </cell>
          <cell r="AP144" t="str">
            <v/>
          </cell>
          <cell r="AQ144" t="str">
            <v/>
          </cell>
          <cell r="AR144" t="str">
            <v/>
          </cell>
        </row>
        <row r="180">
          <cell r="C180" t="str">
            <v>Operator</v>
          </cell>
          <cell r="E180">
            <v>2.7814083857048839</v>
          </cell>
          <cell r="F180">
            <v>0.47284619960165375</v>
          </cell>
          <cell r="G180">
            <v>-1.3394902346548021</v>
          </cell>
          <cell r="H180">
            <v>-2.1407997222310065</v>
          </cell>
          <cell r="I180">
            <v>-1.6375113304437396</v>
          </cell>
          <cell r="J180">
            <v>3.4943582886086606</v>
          </cell>
          <cell r="K180">
            <v>3.6909464947075117</v>
          </cell>
          <cell r="L180">
            <v>1.939167551350186</v>
          </cell>
          <cell r="M180">
            <v>-1.2389985918603907</v>
          </cell>
          <cell r="N180">
            <v>-5.038021349038047</v>
          </cell>
          <cell r="O180">
            <v>10.201193029254195</v>
          </cell>
          <cell r="P180">
            <v>5.253144465448913</v>
          </cell>
          <cell r="Q180">
            <v>0.50328358918613048</v>
          </cell>
          <cell r="R180">
            <v>-4.0822321865299154</v>
          </cell>
          <cell r="S180">
            <v>-8.5362623306290804</v>
          </cell>
          <cell r="T180">
            <v>10.756636184666815</v>
          </cell>
          <cell r="U180">
            <v>5.379047451908848</v>
          </cell>
          <cell r="V180">
            <v>0.15329524776977821</v>
          </cell>
          <cell r="W180">
            <v>-4.9312109606730008</v>
          </cell>
          <cell r="X180">
            <v>-9.8846736043291585</v>
          </cell>
          <cell r="Y180">
            <v>0</v>
          </cell>
          <cell r="Z180">
            <v>0</v>
          </cell>
          <cell r="AA180">
            <v>0</v>
          </cell>
          <cell r="AB180">
            <v>0</v>
          </cell>
          <cell r="AC180">
            <v>0</v>
          </cell>
          <cell r="AD180">
            <v>0</v>
          </cell>
          <cell r="AE180">
            <v>0</v>
          </cell>
          <cell r="AF180">
            <v>0</v>
          </cell>
          <cell r="AG180">
            <v>0</v>
          </cell>
          <cell r="AH180">
            <v>0</v>
          </cell>
          <cell r="AI180">
            <v>0</v>
          </cell>
          <cell r="AJ180">
            <v>0</v>
          </cell>
          <cell r="AK180">
            <v>0</v>
          </cell>
          <cell r="AL180">
            <v>0</v>
          </cell>
          <cell r="AM180">
            <v>0</v>
          </cell>
          <cell r="AN180">
            <v>0</v>
          </cell>
          <cell r="AO180">
            <v>0</v>
          </cell>
          <cell r="AP180">
            <v>0</v>
          </cell>
          <cell r="AQ180">
            <v>0</v>
          </cell>
          <cell r="AR180">
            <v>0</v>
          </cell>
        </row>
        <row r="209">
          <cell r="C209" t="str">
            <v>Private household connection</v>
          </cell>
          <cell r="D209">
            <v>0</v>
          </cell>
          <cell r="E209">
            <v>-57.541478773900216</v>
          </cell>
          <cell r="F209">
            <v>-54.73514773901713</v>
          </cell>
          <cell r="G209">
            <v>-52.065683083746819</v>
          </cell>
          <cell r="H209">
            <v>-49.526409755989043</v>
          </cell>
          <cell r="I209">
            <v>-47.110978249776025</v>
          </cell>
          <cell r="J209">
            <v>-53.757859202499603</v>
          </cell>
          <cell r="K209">
            <v>-51.136057471584124</v>
          </cell>
          <cell r="L209">
            <v>-48.642122519930382</v>
          </cell>
          <cell r="M209">
            <v>-46.269818211126598</v>
          </cell>
          <cell r="N209">
            <v>-44.013212548722628</v>
          </cell>
          <cell r="O209">
            <v>-67.679824080221678</v>
          </cell>
          <cell r="P209">
            <v>-64.379040110138831</v>
          </cell>
          <cell r="Q209">
            <v>-61.239237273875759</v>
          </cell>
          <cell r="R209">
            <v>-58.25256442889151</v>
          </cell>
          <cell r="S209">
            <v>-55.4115533373852</v>
          </cell>
          <cell r="T209">
            <v>-84.659004893029248</v>
          </cell>
          <cell r="U209">
            <v>-80.530136503199316</v>
          </cell>
          <cell r="V209">
            <v>-76.602635400902258</v>
          </cell>
          <cell r="W209">
            <v>-72.866680787638245</v>
          </cell>
          <cell r="X209">
            <v>-69.312930830902332</v>
          </cell>
          <cell r="Y209">
            <v>0</v>
          </cell>
          <cell r="Z209">
            <v>0</v>
          </cell>
          <cell r="AA209">
            <v>0</v>
          </cell>
          <cell r="AB209">
            <v>0</v>
          </cell>
          <cell r="AC209">
            <v>0</v>
          </cell>
          <cell r="AD209">
            <v>0</v>
          </cell>
          <cell r="AE209">
            <v>0</v>
          </cell>
          <cell r="AF209">
            <v>0</v>
          </cell>
          <cell r="AG209">
            <v>0</v>
          </cell>
          <cell r="AH209">
            <v>0</v>
          </cell>
          <cell r="AI209">
            <v>0</v>
          </cell>
          <cell r="AJ209">
            <v>0</v>
          </cell>
          <cell r="AK209">
            <v>0</v>
          </cell>
          <cell r="AL209">
            <v>0</v>
          </cell>
          <cell r="AM209">
            <v>0</v>
          </cell>
          <cell r="AN209">
            <v>0</v>
          </cell>
          <cell r="AO209">
            <v>0</v>
          </cell>
          <cell r="AP209">
            <v>0</v>
          </cell>
          <cell r="AQ209">
            <v>0</v>
          </cell>
          <cell r="AR209">
            <v>0</v>
          </cell>
        </row>
        <row r="210">
          <cell r="C210" t="str">
            <v>Other sources</v>
          </cell>
          <cell r="D210">
            <v>0</v>
          </cell>
          <cell r="E210">
            <v>1.645111690401911</v>
          </cell>
          <cell r="F210">
            <v>4.2584447026896237</v>
          </cell>
          <cell r="G210">
            <v>10.57055073046776</v>
          </cell>
          <cell r="H210">
            <v>24.300059375351317</v>
          </cell>
          <cell r="I210">
            <v>48.192985829500145</v>
          </cell>
          <cell r="J210">
            <v>74.506293088605432</v>
          </cell>
          <cell r="K210">
            <v>94.428783502653431</v>
          </cell>
          <cell r="L210">
            <v>104.76910804552371</v>
          </cell>
          <cell r="M210">
            <v>109.0630718506406</v>
          </cell>
          <cell r="N210">
            <v>111.63300615650726</v>
          </cell>
          <cell r="O210">
            <v>111.63300615650726</v>
          </cell>
          <cell r="P210">
            <v>111.63300615650726</v>
          </cell>
          <cell r="Q210">
            <v>111.63300615650726</v>
          </cell>
          <cell r="R210">
            <v>111.63300615650726</v>
          </cell>
          <cell r="S210">
            <v>111.63300615650726</v>
          </cell>
          <cell r="T210">
            <v>111.63300615650726</v>
          </cell>
          <cell r="U210">
            <v>111.63300615650726</v>
          </cell>
          <cell r="V210">
            <v>111.63300615650726</v>
          </cell>
          <cell r="W210">
            <v>111.63300615650726</v>
          </cell>
          <cell r="X210">
            <v>111.63300615650726</v>
          </cell>
          <cell r="Y210">
            <v>0</v>
          </cell>
          <cell r="Z210">
            <v>0</v>
          </cell>
          <cell r="AA210">
            <v>0</v>
          </cell>
          <cell r="AB210">
            <v>0</v>
          </cell>
          <cell r="AC210">
            <v>0</v>
          </cell>
          <cell r="AD210">
            <v>0</v>
          </cell>
          <cell r="AE210">
            <v>0</v>
          </cell>
          <cell r="AF210">
            <v>0</v>
          </cell>
          <cell r="AG210">
            <v>0</v>
          </cell>
          <cell r="AH210">
            <v>0</v>
          </cell>
          <cell r="AI210">
            <v>0</v>
          </cell>
          <cell r="AJ210">
            <v>0</v>
          </cell>
          <cell r="AK210">
            <v>0</v>
          </cell>
          <cell r="AL210">
            <v>0</v>
          </cell>
          <cell r="AM210">
            <v>0</v>
          </cell>
          <cell r="AN210">
            <v>0</v>
          </cell>
          <cell r="AO210">
            <v>0</v>
          </cell>
          <cell r="AP210">
            <v>0</v>
          </cell>
          <cell r="AQ210">
            <v>0</v>
          </cell>
          <cell r="AR210">
            <v>0</v>
          </cell>
        </row>
      </sheetData>
      <sheetData sheetId="5" refreshError="1"/>
      <sheetData sheetId="6" refreshError="1">
        <row r="4">
          <cell r="E4">
            <v>15.354864584113074</v>
          </cell>
          <cell r="F4">
            <v>0</v>
          </cell>
        </row>
        <row r="5">
          <cell r="E5">
            <v>-4.1400456101720238</v>
          </cell>
          <cell r="F5">
            <v>0</v>
          </cell>
        </row>
        <row r="6">
          <cell r="E6">
            <v>-4.1778595760381112</v>
          </cell>
          <cell r="F6">
            <v>0</v>
          </cell>
        </row>
        <row r="7">
          <cell r="E7">
            <v>2.7694810904522527</v>
          </cell>
          <cell r="F7">
            <v>0</v>
          </cell>
        </row>
        <row r="8">
          <cell r="E8">
            <v>-3.2108886411471147</v>
          </cell>
          <cell r="F8">
            <v>0</v>
          </cell>
        </row>
        <row r="9">
          <cell r="E9">
            <v>-19.137637053613176</v>
          </cell>
          <cell r="F9">
            <v>0</v>
          </cell>
        </row>
        <row r="10">
          <cell r="E10">
            <v>-7.2533378723566457</v>
          </cell>
          <cell r="F10">
            <v>0</v>
          </cell>
        </row>
        <row r="11">
          <cell r="E11">
            <v>14.053591336469372</v>
          </cell>
          <cell r="F11">
            <v>0</v>
          </cell>
        </row>
        <row r="12">
          <cell r="E12">
            <v>35.885699192386156</v>
          </cell>
          <cell r="F12">
            <v>0</v>
          </cell>
        </row>
        <row r="13">
          <cell r="E13">
            <v>10.083208845933843</v>
          </cell>
          <cell r="F13">
            <v>0</v>
          </cell>
        </row>
        <row r="14">
          <cell r="E14">
            <v>-22.780250339861947</v>
          </cell>
          <cell r="F14">
            <v>0</v>
          </cell>
        </row>
        <row r="15">
          <cell r="E15">
            <v>23.257324011260465</v>
          </cell>
          <cell r="F15">
            <v>0</v>
          </cell>
        </row>
        <row r="16">
          <cell r="E16">
            <v>31.882910134091574</v>
          </cell>
          <cell r="F16">
            <v>0</v>
          </cell>
        </row>
        <row r="17">
          <cell r="E17">
            <v>-7.7116563681146797</v>
          </cell>
          <cell r="F17">
            <v>0</v>
          </cell>
        </row>
        <row r="18">
          <cell r="E18">
            <v>40.877395036225224</v>
          </cell>
          <cell r="F18">
            <v>0</v>
          </cell>
        </row>
        <row r="19">
          <cell r="E19">
            <v>15.40255761813976</v>
          </cell>
          <cell r="F19">
            <v>0</v>
          </cell>
        </row>
        <row r="20">
          <cell r="E20">
            <v>-1.3041752767624999</v>
          </cell>
          <cell r="F20">
            <v>0</v>
          </cell>
        </row>
        <row r="21">
          <cell r="E21">
            <v>-17.423528739296916</v>
          </cell>
          <cell r="F21">
            <v>0</v>
          </cell>
        </row>
        <row r="22">
          <cell r="E22">
            <v>-13.84725928115232</v>
          </cell>
          <cell r="F22">
            <v>0</v>
          </cell>
        </row>
        <row r="23">
          <cell r="E23">
            <v>34.48558867428121</v>
          </cell>
          <cell r="F23">
            <v>0</v>
          </cell>
        </row>
        <row r="24">
          <cell r="E24">
            <v>28.944266981255673</v>
          </cell>
          <cell r="F24">
            <v>0</v>
          </cell>
        </row>
        <row r="25">
          <cell r="E25">
            <v>12.403150075040756</v>
          </cell>
          <cell r="F25">
            <v>0</v>
          </cell>
        </row>
        <row r="26">
          <cell r="E26">
            <v>46.834643387571091</v>
          </cell>
          <cell r="F26">
            <v>0</v>
          </cell>
        </row>
        <row r="27">
          <cell r="E27">
            <v>2.6494732142582311</v>
          </cell>
          <cell r="F27">
            <v>0</v>
          </cell>
        </row>
        <row r="28">
          <cell r="E28">
            <v>3.6447105640909268</v>
          </cell>
          <cell r="F28">
            <v>0</v>
          </cell>
        </row>
        <row r="29">
          <cell r="E29">
            <v>-26.160711444256876</v>
          </cell>
          <cell r="F29">
            <v>0</v>
          </cell>
        </row>
        <row r="30">
          <cell r="E30">
            <v>28.130982605631079</v>
          </cell>
          <cell r="F30">
            <v>0</v>
          </cell>
        </row>
        <row r="31">
          <cell r="E31">
            <v>34.384897097698534</v>
          </cell>
          <cell r="F31">
            <v>0</v>
          </cell>
        </row>
        <row r="32">
          <cell r="E32">
            <v>23.657577082616935</v>
          </cell>
          <cell r="F32">
            <v>0</v>
          </cell>
        </row>
        <row r="33">
          <cell r="E33">
            <v>-40.387908798193862</v>
          </cell>
          <cell r="F33">
            <v>0</v>
          </cell>
        </row>
        <row r="34">
          <cell r="E34">
            <v>-11.729106201594766</v>
          </cell>
          <cell r="F34">
            <v>0</v>
          </cell>
        </row>
        <row r="35">
          <cell r="E35">
            <v>-55.330058411300023</v>
          </cell>
          <cell r="F35">
            <v>0</v>
          </cell>
        </row>
        <row r="36">
          <cell r="E36">
            <v>-44.655808317763757</v>
          </cell>
          <cell r="F36">
            <v>0</v>
          </cell>
        </row>
        <row r="37">
          <cell r="E37">
            <v>-6.0511671568024941</v>
          </cell>
          <cell r="F37">
            <v>0</v>
          </cell>
        </row>
        <row r="38">
          <cell r="E38">
            <v>0.51204918191268689</v>
          </cell>
          <cell r="F38">
            <v>0</v>
          </cell>
        </row>
        <row r="39">
          <cell r="E39">
            <v>31.895138801743268</v>
          </cell>
          <cell r="F39">
            <v>0</v>
          </cell>
        </row>
        <row r="40">
          <cell r="E40">
            <v>32.938995970460567</v>
          </cell>
          <cell r="F40">
            <v>0</v>
          </cell>
        </row>
        <row r="41">
          <cell r="E41">
            <v>30.191912204573939</v>
          </cell>
          <cell r="F41">
            <v>0</v>
          </cell>
        </row>
        <row r="42">
          <cell r="E42">
            <v>44.924593582787281</v>
          </cell>
          <cell r="F42">
            <v>0</v>
          </cell>
        </row>
        <row r="43">
          <cell r="E43">
            <v>67.835590849977876</v>
          </cell>
          <cell r="F43">
            <v>0</v>
          </cell>
        </row>
        <row r="44">
          <cell r="E44">
            <v>-15.908023463546577</v>
          </cell>
          <cell r="F44">
            <v>0</v>
          </cell>
        </row>
        <row r="45">
          <cell r="E45">
            <v>10.742544924358812</v>
          </cell>
          <cell r="F45">
            <v>0</v>
          </cell>
        </row>
        <row r="46">
          <cell r="E46">
            <v>-0.11361835567351708</v>
          </cell>
          <cell r="F46">
            <v>0</v>
          </cell>
        </row>
        <row r="47">
          <cell r="E47">
            <v>38.320346186469727</v>
          </cell>
          <cell r="F47">
            <v>0</v>
          </cell>
        </row>
        <row r="48">
          <cell r="E48">
            <v>-39.411304756533681</v>
          </cell>
          <cell r="F48">
            <v>0</v>
          </cell>
        </row>
        <row r="49">
          <cell r="E49">
            <v>-20.512469994516472</v>
          </cell>
          <cell r="F49">
            <v>0</v>
          </cell>
        </row>
        <row r="50">
          <cell r="E50">
            <v>25.232560903367624</v>
          </cell>
          <cell r="F50">
            <v>0</v>
          </cell>
        </row>
        <row r="51">
          <cell r="E51">
            <v>50.757735622020682</v>
          </cell>
          <cell r="F51">
            <v>0</v>
          </cell>
        </row>
        <row r="52">
          <cell r="E52">
            <v>5.6898388704610081</v>
          </cell>
          <cell r="F52">
            <v>0</v>
          </cell>
        </row>
        <row r="53">
          <cell r="E53">
            <v>-7.7306159271835515</v>
          </cell>
          <cell r="F53">
            <v>0</v>
          </cell>
        </row>
        <row r="54">
          <cell r="E54">
            <v>43.298648036697941</v>
          </cell>
          <cell r="F54">
            <v>0</v>
          </cell>
        </row>
        <row r="55">
          <cell r="E55">
            <v>0.72528138848740475</v>
          </cell>
          <cell r="F55">
            <v>0</v>
          </cell>
        </row>
        <row r="56">
          <cell r="E56">
            <v>14.119885544860447</v>
          </cell>
          <cell r="F56">
            <v>0</v>
          </cell>
        </row>
        <row r="57">
          <cell r="E57">
            <v>-24.884557858953681</v>
          </cell>
          <cell r="F57">
            <v>0</v>
          </cell>
        </row>
        <row r="58">
          <cell r="E58">
            <v>11.599411957374798</v>
          </cell>
          <cell r="F58">
            <v>0</v>
          </cell>
        </row>
        <row r="59">
          <cell r="E59">
            <v>17.002916055035037</v>
          </cell>
          <cell r="F59">
            <v>0</v>
          </cell>
        </row>
        <row r="60">
          <cell r="E60">
            <v>19.047839489716829</v>
          </cell>
          <cell r="F60">
            <v>0</v>
          </cell>
        </row>
        <row r="61">
          <cell r="E61">
            <v>7.2847150826326601</v>
          </cell>
          <cell r="F61">
            <v>0</v>
          </cell>
        </row>
        <row r="62">
          <cell r="E62">
            <v>-15.636413169084998</v>
          </cell>
          <cell r="F62">
            <v>0</v>
          </cell>
        </row>
        <row r="63">
          <cell r="E63">
            <v>35.12164308336866</v>
          </cell>
          <cell r="F63">
            <v>0</v>
          </cell>
        </row>
        <row r="64">
          <cell r="E64">
            <v>-47.029793742280226</v>
          </cell>
          <cell r="F64">
            <v>1</v>
          </cell>
        </row>
        <row r="65">
          <cell r="E65">
            <v>14.474148727350235</v>
          </cell>
          <cell r="F65">
            <v>0</v>
          </cell>
        </row>
        <row r="66">
          <cell r="E66">
            <v>44.631383305916451</v>
          </cell>
          <cell r="F66">
            <v>0</v>
          </cell>
        </row>
        <row r="67">
          <cell r="E67">
            <v>-16.944400002050799</v>
          </cell>
          <cell r="F67">
            <v>0</v>
          </cell>
        </row>
        <row r="68">
          <cell r="E68">
            <v>-15.58029133712779</v>
          </cell>
          <cell r="F68">
            <v>0</v>
          </cell>
        </row>
        <row r="69">
          <cell r="E69">
            <v>-14.93006393337447</v>
          </cell>
          <cell r="F69">
            <v>0</v>
          </cell>
        </row>
        <row r="70">
          <cell r="E70">
            <v>-17.531665783174635</v>
          </cell>
          <cell r="F70">
            <v>0</v>
          </cell>
        </row>
        <row r="71">
          <cell r="E71">
            <v>25.099187698034928</v>
          </cell>
          <cell r="F71">
            <v>0</v>
          </cell>
        </row>
        <row r="72">
          <cell r="E72">
            <v>12.394417966436141</v>
          </cell>
          <cell r="F72">
            <v>0</v>
          </cell>
        </row>
        <row r="73">
          <cell r="E73">
            <v>32.708395264569376</v>
          </cell>
          <cell r="F73">
            <v>0</v>
          </cell>
        </row>
        <row r="74">
          <cell r="E74">
            <v>1.8135475889662525</v>
          </cell>
          <cell r="F74">
            <v>0</v>
          </cell>
        </row>
        <row r="75">
          <cell r="E75">
            <v>52.455116658461108</v>
          </cell>
          <cell r="F75">
            <v>0</v>
          </cell>
        </row>
        <row r="76">
          <cell r="E76">
            <v>-31.262586074968567</v>
          </cell>
          <cell r="F76">
            <v>0</v>
          </cell>
        </row>
        <row r="77">
          <cell r="E77">
            <v>-23.621821443558609</v>
          </cell>
          <cell r="F77">
            <v>0</v>
          </cell>
        </row>
        <row r="78">
          <cell r="E78">
            <v>12.9206299729767</v>
          </cell>
          <cell r="F78">
            <v>0</v>
          </cell>
        </row>
        <row r="79">
          <cell r="E79">
            <v>-9.4567332498976047</v>
          </cell>
          <cell r="F79">
            <v>0</v>
          </cell>
        </row>
        <row r="80">
          <cell r="E80">
            <v>20.162072515288138</v>
          </cell>
          <cell r="F80">
            <v>0</v>
          </cell>
        </row>
        <row r="81">
          <cell r="E81">
            <v>31.693363265936437</v>
          </cell>
          <cell r="F81">
            <v>0</v>
          </cell>
        </row>
        <row r="82">
          <cell r="E82">
            <v>31.555410791848708</v>
          </cell>
          <cell r="F82">
            <v>0</v>
          </cell>
        </row>
        <row r="83">
          <cell r="E83">
            <v>3.4743910936935709</v>
          </cell>
          <cell r="F83">
            <v>0</v>
          </cell>
        </row>
        <row r="84">
          <cell r="E84">
            <v>11.526529425674479</v>
          </cell>
          <cell r="F84">
            <v>0</v>
          </cell>
        </row>
        <row r="85">
          <cell r="E85">
            <v>14.277455043831752</v>
          </cell>
          <cell r="F85">
            <v>0</v>
          </cell>
        </row>
        <row r="86">
          <cell r="E86">
            <v>27.477219242947609</v>
          </cell>
          <cell r="F86">
            <v>0</v>
          </cell>
        </row>
        <row r="87">
          <cell r="E87">
            <v>-17.846319762622564</v>
          </cell>
          <cell r="F87">
            <v>0</v>
          </cell>
        </row>
        <row r="88">
          <cell r="E88">
            <v>25.518850351537381</v>
          </cell>
          <cell r="F88">
            <v>0</v>
          </cell>
        </row>
        <row r="89">
          <cell r="E89">
            <v>-40.526994662480526</v>
          </cell>
          <cell r="F89">
            <v>1</v>
          </cell>
        </row>
        <row r="90">
          <cell r="E90">
            <v>23.629735566741704</v>
          </cell>
          <cell r="F90">
            <v>0</v>
          </cell>
        </row>
        <row r="91">
          <cell r="E91">
            <v>14.827132293582432</v>
          </cell>
          <cell r="F91">
            <v>0</v>
          </cell>
        </row>
        <row r="92">
          <cell r="E92">
            <v>-55.504603524067846</v>
          </cell>
          <cell r="F92">
            <v>0</v>
          </cell>
        </row>
        <row r="93">
          <cell r="E93">
            <v>-20.0775246631054</v>
          </cell>
          <cell r="F93">
            <v>0</v>
          </cell>
        </row>
        <row r="94">
          <cell r="E94">
            <v>46.083984949612137</v>
          </cell>
          <cell r="F94">
            <v>0</v>
          </cell>
        </row>
        <row r="95">
          <cell r="E95">
            <v>20.141136023659062</v>
          </cell>
          <cell r="F95">
            <v>0</v>
          </cell>
        </row>
        <row r="96">
          <cell r="E96">
            <v>8.6670967978084086</v>
          </cell>
          <cell r="F96">
            <v>0</v>
          </cell>
        </row>
        <row r="97">
          <cell r="E97">
            <v>8.2990389518617373</v>
          </cell>
          <cell r="F97">
            <v>0</v>
          </cell>
        </row>
        <row r="98">
          <cell r="E98">
            <v>-9.9843311980260179</v>
          </cell>
          <cell r="F98">
            <v>0</v>
          </cell>
        </row>
        <row r="99">
          <cell r="E99">
            <v>28.587680172180846</v>
          </cell>
          <cell r="F99">
            <v>0</v>
          </cell>
        </row>
        <row r="100">
          <cell r="E100">
            <v>-26.498993479252754</v>
          </cell>
          <cell r="F100">
            <v>0</v>
          </cell>
        </row>
        <row r="101">
          <cell r="E101">
            <v>15.038032140913147</v>
          </cell>
          <cell r="F101">
            <v>0</v>
          </cell>
        </row>
        <row r="102">
          <cell r="E102">
            <v>33.624218626736202</v>
          </cell>
          <cell r="F102">
            <v>0</v>
          </cell>
        </row>
        <row r="103">
          <cell r="E103">
            <v>-29.531837793722168</v>
          </cell>
          <cell r="F103">
            <v>0</v>
          </cell>
        </row>
        <row r="104">
          <cell r="E104">
            <v>33.930800869277917</v>
          </cell>
          <cell r="F104">
            <v>0</v>
          </cell>
        </row>
        <row r="105">
          <cell r="E105">
            <v>0.73877756232842806</v>
          </cell>
          <cell r="F105">
            <v>0</v>
          </cell>
        </row>
        <row r="106">
          <cell r="E106">
            <v>15.404591371521807</v>
          </cell>
          <cell r="F106">
            <v>0</v>
          </cell>
        </row>
        <row r="107">
          <cell r="E107">
            <v>12.424697373945012</v>
          </cell>
          <cell r="F107">
            <v>0</v>
          </cell>
        </row>
        <row r="108">
          <cell r="E108">
            <v>43.952262294571192</v>
          </cell>
          <cell r="F108">
            <v>0</v>
          </cell>
        </row>
        <row r="109">
          <cell r="E109">
            <v>22.670525554543012</v>
          </cell>
          <cell r="F109">
            <v>0</v>
          </cell>
        </row>
        <row r="110">
          <cell r="E110">
            <v>-40.654745420354509</v>
          </cell>
          <cell r="F110">
            <v>0</v>
          </cell>
        </row>
        <row r="111">
          <cell r="E111">
            <v>4.6107440278271765</v>
          </cell>
          <cell r="F111">
            <v>0</v>
          </cell>
        </row>
        <row r="112">
          <cell r="E112">
            <v>-11.515785832889105</v>
          </cell>
          <cell r="F112">
            <v>0</v>
          </cell>
        </row>
        <row r="113">
          <cell r="E113">
            <v>-45.177806567664696</v>
          </cell>
          <cell r="F113">
            <v>0</v>
          </cell>
        </row>
        <row r="114">
          <cell r="E114">
            <v>6.0715969593779153</v>
          </cell>
          <cell r="F114">
            <v>0</v>
          </cell>
        </row>
        <row r="115">
          <cell r="E115">
            <v>12.069390048178875</v>
          </cell>
          <cell r="F115">
            <v>0</v>
          </cell>
        </row>
        <row r="116">
          <cell r="E116">
            <v>-1.8056035605109511</v>
          </cell>
          <cell r="F116">
            <v>0</v>
          </cell>
        </row>
        <row r="117">
          <cell r="E117">
            <v>15.278262080190467</v>
          </cell>
          <cell r="F117">
            <v>0</v>
          </cell>
        </row>
        <row r="118">
          <cell r="E118">
            <v>12.088718322205906</v>
          </cell>
          <cell r="F118">
            <v>0</v>
          </cell>
        </row>
        <row r="119">
          <cell r="E119">
            <v>24.430187747077792</v>
          </cell>
          <cell r="F119">
            <v>0</v>
          </cell>
        </row>
        <row r="120">
          <cell r="E120">
            <v>46.287315484382894</v>
          </cell>
          <cell r="F120">
            <v>0</v>
          </cell>
        </row>
        <row r="121">
          <cell r="E121">
            <v>-72.438475944934453</v>
          </cell>
          <cell r="F121">
            <v>0</v>
          </cell>
        </row>
        <row r="122">
          <cell r="E122">
            <v>58.241471183892244</v>
          </cell>
          <cell r="F122">
            <v>0</v>
          </cell>
        </row>
        <row r="123">
          <cell r="E123">
            <v>-34.053698558641599</v>
          </cell>
          <cell r="F123">
            <v>0</v>
          </cell>
        </row>
        <row r="124">
          <cell r="E124">
            <v>38.800943162451823</v>
          </cell>
          <cell r="F124">
            <v>0</v>
          </cell>
        </row>
        <row r="125">
          <cell r="E125">
            <v>-4.1735256816287585</v>
          </cell>
          <cell r="F125">
            <v>0</v>
          </cell>
        </row>
        <row r="126">
          <cell r="E126">
            <v>34.268462095087052</v>
          </cell>
          <cell r="F126">
            <v>0</v>
          </cell>
        </row>
        <row r="127">
          <cell r="E127">
            <v>-31.510581857840855</v>
          </cell>
          <cell r="F127">
            <v>0</v>
          </cell>
        </row>
        <row r="128">
          <cell r="E128">
            <v>41.225559768159272</v>
          </cell>
          <cell r="F128">
            <v>0</v>
          </cell>
        </row>
        <row r="129">
          <cell r="E129">
            <v>43.165395632047272</v>
          </cell>
          <cell r="F129">
            <v>0</v>
          </cell>
        </row>
        <row r="130">
          <cell r="E130">
            <v>21.27425926713223</v>
          </cell>
          <cell r="F130">
            <v>0</v>
          </cell>
        </row>
        <row r="131">
          <cell r="E131">
            <v>50.7338429742736</v>
          </cell>
          <cell r="F131">
            <v>0</v>
          </cell>
        </row>
        <row r="132">
          <cell r="E132">
            <v>9.0364960696534826</v>
          </cell>
          <cell r="F132">
            <v>0</v>
          </cell>
        </row>
        <row r="133">
          <cell r="E133">
            <v>-34.844125472520815</v>
          </cell>
          <cell r="F133">
            <v>0</v>
          </cell>
        </row>
        <row r="134">
          <cell r="E134">
            <v>27.614000726566331</v>
          </cell>
          <cell r="F134">
            <v>0</v>
          </cell>
        </row>
        <row r="135">
          <cell r="E135">
            <v>4.9266677913030339</v>
          </cell>
          <cell r="F135">
            <v>0</v>
          </cell>
        </row>
        <row r="136">
          <cell r="E136">
            <v>-29.213814169136359</v>
          </cell>
          <cell r="F136">
            <v>1</v>
          </cell>
        </row>
        <row r="137">
          <cell r="E137">
            <v>45.475265889065554</v>
          </cell>
          <cell r="F137">
            <v>0</v>
          </cell>
        </row>
        <row r="138">
          <cell r="E138">
            <v>6.3011536951943636</v>
          </cell>
          <cell r="F138">
            <v>0</v>
          </cell>
        </row>
        <row r="139">
          <cell r="E139">
            <v>-16.586164136185424</v>
          </cell>
          <cell r="F139">
            <v>0</v>
          </cell>
        </row>
        <row r="140">
          <cell r="E140">
            <v>54.932104983918649</v>
          </cell>
          <cell r="F140">
            <v>0</v>
          </cell>
        </row>
        <row r="141">
          <cell r="E141">
            <v>46.868294208391738</v>
          </cell>
          <cell r="F141">
            <v>0</v>
          </cell>
        </row>
        <row r="142">
          <cell r="E142">
            <v>-57.538359293548943</v>
          </cell>
          <cell r="F142">
            <v>0</v>
          </cell>
        </row>
        <row r="143">
          <cell r="E143">
            <v>23.736815992670937</v>
          </cell>
          <cell r="F143">
            <v>0</v>
          </cell>
        </row>
        <row r="144">
          <cell r="E144">
            <v>-13.458714386276775</v>
          </cell>
          <cell r="F144">
            <v>0</v>
          </cell>
        </row>
        <row r="145">
          <cell r="E145">
            <v>4.2606683461523449</v>
          </cell>
          <cell r="F145">
            <v>0</v>
          </cell>
        </row>
        <row r="146">
          <cell r="E146">
            <v>32.666165608707246</v>
          </cell>
          <cell r="F146">
            <v>0</v>
          </cell>
        </row>
        <row r="147">
          <cell r="E147">
            <v>32.576445857410548</v>
          </cell>
          <cell r="F147">
            <v>0</v>
          </cell>
        </row>
        <row r="148">
          <cell r="E148">
            <v>8.6747746583205334</v>
          </cell>
          <cell r="F148">
            <v>0</v>
          </cell>
        </row>
        <row r="149">
          <cell r="E149">
            <v>38.561297136672366</v>
          </cell>
          <cell r="F149">
            <v>0</v>
          </cell>
        </row>
        <row r="150">
          <cell r="E150">
            <v>-20.177289959054896</v>
          </cell>
          <cell r="F150">
            <v>0</v>
          </cell>
        </row>
        <row r="151">
          <cell r="E151">
            <v>-2.7501770442616822</v>
          </cell>
          <cell r="F151">
            <v>0</v>
          </cell>
        </row>
        <row r="152">
          <cell r="E152">
            <v>20.129300057624622</v>
          </cell>
          <cell r="F152">
            <v>0</v>
          </cell>
        </row>
        <row r="153">
          <cell r="E153">
            <v>-31.905220808742051</v>
          </cell>
          <cell r="F153">
            <v>0</v>
          </cell>
        </row>
        <row r="154">
          <cell r="E154">
            <v>-11.212757433388999</v>
          </cell>
          <cell r="F154">
            <v>0</v>
          </cell>
        </row>
        <row r="155">
          <cell r="E155">
            <v>9.6891745595264052</v>
          </cell>
          <cell r="F155">
            <v>0</v>
          </cell>
        </row>
        <row r="156">
          <cell r="E156">
            <v>13.181943688900288</v>
          </cell>
          <cell r="F156">
            <v>0</v>
          </cell>
        </row>
        <row r="157">
          <cell r="E157">
            <v>29.865293257474548</v>
          </cell>
          <cell r="F157">
            <v>0</v>
          </cell>
        </row>
        <row r="158">
          <cell r="E158">
            <v>-76.023125887845467</v>
          </cell>
          <cell r="F158">
            <v>0</v>
          </cell>
        </row>
        <row r="159">
          <cell r="E159">
            <v>-9.7052842883157524</v>
          </cell>
          <cell r="F159">
            <v>0</v>
          </cell>
        </row>
        <row r="160">
          <cell r="E160">
            <v>3.4047593029055356</v>
          </cell>
          <cell r="F160">
            <v>0</v>
          </cell>
        </row>
        <row r="161">
          <cell r="E161">
            <v>-16.0185935768889</v>
          </cell>
          <cell r="F161">
            <v>0</v>
          </cell>
        </row>
        <row r="162">
          <cell r="E162">
            <v>-26.198019232528516</v>
          </cell>
          <cell r="F162">
            <v>0</v>
          </cell>
        </row>
        <row r="163">
          <cell r="E163">
            <v>4.4596313786124817</v>
          </cell>
          <cell r="F163">
            <v>0</v>
          </cell>
        </row>
        <row r="164">
          <cell r="E164">
            <v>7.5624234315906804</v>
          </cell>
          <cell r="F164">
            <v>0</v>
          </cell>
        </row>
        <row r="165">
          <cell r="E165">
            <v>-31.297644642240858</v>
          </cell>
          <cell r="F165">
            <v>0</v>
          </cell>
        </row>
        <row r="166">
          <cell r="E166">
            <v>-9.1433485360211897</v>
          </cell>
          <cell r="F166">
            <v>0</v>
          </cell>
        </row>
        <row r="167">
          <cell r="E167">
            <v>5.4520091437396019</v>
          </cell>
          <cell r="F167">
            <v>0</v>
          </cell>
        </row>
        <row r="168">
          <cell r="E168">
            <v>-0.85392310095367208</v>
          </cell>
          <cell r="F168">
            <v>0</v>
          </cell>
        </row>
        <row r="169">
          <cell r="E169">
            <v>33.936427871244888</v>
          </cell>
          <cell r="F169">
            <v>0</v>
          </cell>
        </row>
        <row r="170">
          <cell r="E170">
            <v>57.682222609599251</v>
          </cell>
          <cell r="F170">
            <v>0</v>
          </cell>
        </row>
        <row r="171">
          <cell r="E171">
            <v>2.3512225876601232</v>
          </cell>
          <cell r="F171">
            <v>0</v>
          </cell>
        </row>
        <row r="172">
          <cell r="E172">
            <v>48.630112122928537</v>
          </cell>
          <cell r="F172">
            <v>0</v>
          </cell>
        </row>
        <row r="173">
          <cell r="E173">
            <v>24.924834143023617</v>
          </cell>
          <cell r="F173">
            <v>0</v>
          </cell>
        </row>
        <row r="174">
          <cell r="E174">
            <v>-14.607114134503124</v>
          </cell>
          <cell r="F174">
            <v>0</v>
          </cell>
        </row>
        <row r="175">
          <cell r="E175">
            <v>-6.7519627775454518</v>
          </cell>
          <cell r="F175">
            <v>0</v>
          </cell>
        </row>
        <row r="176">
          <cell r="E176">
            <v>-1.0430686680423413</v>
          </cell>
          <cell r="F176">
            <v>0</v>
          </cell>
        </row>
        <row r="177">
          <cell r="E177">
            <v>-22.999151196875012</v>
          </cell>
          <cell r="F177">
            <v>0</v>
          </cell>
        </row>
        <row r="178">
          <cell r="E178">
            <v>33.767061368161102</v>
          </cell>
          <cell r="F178">
            <v>0</v>
          </cell>
        </row>
        <row r="179">
          <cell r="E179">
            <v>40.434805017452568</v>
          </cell>
          <cell r="F179">
            <v>0</v>
          </cell>
        </row>
        <row r="180">
          <cell r="E180">
            <v>55.954484664545376</v>
          </cell>
          <cell r="F180">
            <v>0</v>
          </cell>
        </row>
        <row r="181">
          <cell r="E181">
            <v>39.632918783771345</v>
          </cell>
          <cell r="F181">
            <v>0</v>
          </cell>
        </row>
        <row r="182">
          <cell r="E182">
            <v>-18.615002342764562</v>
          </cell>
          <cell r="F182">
            <v>0</v>
          </cell>
        </row>
        <row r="183">
          <cell r="E183">
            <v>-32.192758510375114</v>
          </cell>
          <cell r="F183">
            <v>0</v>
          </cell>
        </row>
        <row r="184">
          <cell r="E184">
            <v>13.846241529077188</v>
          </cell>
          <cell r="F184">
            <v>0</v>
          </cell>
        </row>
        <row r="185">
          <cell r="E185">
            <v>15.825106865875568</v>
          </cell>
          <cell r="F185">
            <v>0</v>
          </cell>
        </row>
        <row r="186">
          <cell r="E186">
            <v>14.865897635155973</v>
          </cell>
          <cell r="F186">
            <v>0</v>
          </cell>
        </row>
        <row r="187">
          <cell r="E187">
            <v>88.967915839832102</v>
          </cell>
          <cell r="F187">
            <v>0</v>
          </cell>
        </row>
        <row r="188">
          <cell r="E188">
            <v>-4.1402778071718291</v>
          </cell>
          <cell r="F188">
            <v>0</v>
          </cell>
        </row>
        <row r="189">
          <cell r="E189">
            <v>43.375891345237562</v>
          </cell>
          <cell r="F189">
            <v>0</v>
          </cell>
        </row>
        <row r="190">
          <cell r="E190">
            <v>10.030431328096626</v>
          </cell>
          <cell r="F190">
            <v>0</v>
          </cell>
        </row>
        <row r="191">
          <cell r="E191">
            <v>-50.371123034669068</v>
          </cell>
          <cell r="F191">
            <v>0</v>
          </cell>
        </row>
        <row r="192">
          <cell r="E192">
            <v>17.616836836564865</v>
          </cell>
          <cell r="F192">
            <v>0</v>
          </cell>
        </row>
        <row r="193">
          <cell r="E193">
            <v>-7.1639077825029656</v>
          </cell>
          <cell r="F193">
            <v>0</v>
          </cell>
        </row>
        <row r="194">
          <cell r="E194">
            <v>-15.64950247609443</v>
          </cell>
          <cell r="F194">
            <v>0</v>
          </cell>
        </row>
        <row r="195">
          <cell r="E195">
            <v>24.722538778602797</v>
          </cell>
          <cell r="F195">
            <v>0</v>
          </cell>
        </row>
        <row r="196">
          <cell r="E196">
            <v>12.343189142094598</v>
          </cell>
          <cell r="F196">
            <v>0</v>
          </cell>
        </row>
        <row r="197">
          <cell r="E197">
            <v>32.766492115795401</v>
          </cell>
          <cell r="F197">
            <v>0</v>
          </cell>
        </row>
        <row r="198">
          <cell r="E198">
            <v>-30.058329128615036</v>
          </cell>
          <cell r="F198">
            <v>0</v>
          </cell>
        </row>
        <row r="199">
          <cell r="E199">
            <v>31.188314319730868</v>
          </cell>
          <cell r="F199">
            <v>0</v>
          </cell>
        </row>
        <row r="200">
          <cell r="E200">
            <v>1.5769741752344064</v>
          </cell>
          <cell r="F200">
            <v>0</v>
          </cell>
        </row>
        <row r="201">
          <cell r="E201">
            <v>-50.240638076499721</v>
          </cell>
          <cell r="F201">
            <v>0</v>
          </cell>
        </row>
        <row r="202">
          <cell r="E202">
            <v>-41.790658042462709</v>
          </cell>
          <cell r="F202">
            <v>0</v>
          </cell>
        </row>
        <row r="203">
          <cell r="E203">
            <v>32.802218751634534</v>
          </cell>
          <cell r="F203">
            <v>0</v>
          </cell>
        </row>
        <row r="204">
          <cell r="E204">
            <v>40.66713714983905</v>
          </cell>
          <cell r="F204">
            <v>0</v>
          </cell>
        </row>
        <row r="205">
          <cell r="E205">
            <v>-25.994883611330444</v>
          </cell>
          <cell r="F205">
            <v>0</v>
          </cell>
        </row>
        <row r="206">
          <cell r="E206">
            <v>41.751819701112929</v>
          </cell>
          <cell r="F206">
            <v>0</v>
          </cell>
        </row>
        <row r="207">
          <cell r="E207">
            <v>17.069182550952132</v>
          </cell>
          <cell r="F207">
            <v>0</v>
          </cell>
        </row>
        <row r="208">
          <cell r="E208">
            <v>-15.810952013961419</v>
          </cell>
          <cell r="F208">
            <v>0</v>
          </cell>
        </row>
        <row r="209">
          <cell r="E209">
            <v>3.1691246808865507</v>
          </cell>
          <cell r="F209">
            <v>0</v>
          </cell>
        </row>
        <row r="210">
          <cell r="E210">
            <v>9.0361327253225046</v>
          </cell>
          <cell r="F210">
            <v>0</v>
          </cell>
        </row>
        <row r="211">
          <cell r="E211">
            <v>-13.137738354415291</v>
          </cell>
          <cell r="F211">
            <v>0</v>
          </cell>
        </row>
        <row r="212">
          <cell r="E212">
            <v>51.886379642058259</v>
          </cell>
          <cell r="F212">
            <v>0</v>
          </cell>
        </row>
        <row r="213">
          <cell r="E213">
            <v>20.136627650532571</v>
          </cell>
          <cell r="F213">
            <v>0</v>
          </cell>
        </row>
        <row r="214">
          <cell r="E214">
            <v>2.2815622880349231</v>
          </cell>
          <cell r="F214">
            <v>0</v>
          </cell>
        </row>
        <row r="215">
          <cell r="E215">
            <v>53.812660628924363</v>
          </cell>
          <cell r="F215">
            <v>0</v>
          </cell>
        </row>
        <row r="216">
          <cell r="E216">
            <v>-1.310620929347321</v>
          </cell>
          <cell r="F216">
            <v>0</v>
          </cell>
        </row>
        <row r="217">
          <cell r="E217">
            <v>17.491754461749721</v>
          </cell>
          <cell r="F217">
            <v>0</v>
          </cell>
        </row>
        <row r="218">
          <cell r="E218">
            <v>-8.3470652721733956</v>
          </cell>
          <cell r="F218">
            <v>0</v>
          </cell>
        </row>
        <row r="219">
          <cell r="E219">
            <v>-13.919159733864005</v>
          </cell>
          <cell r="F219">
            <v>0</v>
          </cell>
        </row>
        <row r="220">
          <cell r="E220">
            <v>-4.9621187273412204</v>
          </cell>
          <cell r="F220">
            <v>0</v>
          </cell>
        </row>
        <row r="221">
          <cell r="E221">
            <v>10.275769406990177</v>
          </cell>
          <cell r="F221">
            <v>0</v>
          </cell>
        </row>
        <row r="222">
          <cell r="E222">
            <v>9.9236249436689192</v>
          </cell>
          <cell r="F222">
            <v>0</v>
          </cell>
        </row>
        <row r="223">
          <cell r="E223">
            <v>-23.755667678964535</v>
          </cell>
          <cell r="F223">
            <v>0</v>
          </cell>
        </row>
        <row r="224">
          <cell r="E224">
            <v>33.02231833755809</v>
          </cell>
          <cell r="F224">
            <v>0</v>
          </cell>
        </row>
        <row r="225">
          <cell r="E225">
            <v>40.876265037968814</v>
          </cell>
          <cell r="F225">
            <v>0</v>
          </cell>
        </row>
        <row r="226">
          <cell r="E226">
            <v>44.143346303217292</v>
          </cell>
          <cell r="F226">
            <v>0</v>
          </cell>
        </row>
        <row r="227">
          <cell r="E227">
            <v>47.967187089842497</v>
          </cell>
          <cell r="F227">
            <v>0</v>
          </cell>
        </row>
        <row r="228">
          <cell r="E228">
            <v>7.0986393237766139</v>
          </cell>
          <cell r="F228">
            <v>0</v>
          </cell>
        </row>
        <row r="229">
          <cell r="E229">
            <v>31.14126108183012</v>
          </cell>
          <cell r="F229">
            <v>0</v>
          </cell>
        </row>
        <row r="230">
          <cell r="E230">
            <v>-0.63601661130266152</v>
          </cell>
          <cell r="F230">
            <v>0</v>
          </cell>
        </row>
        <row r="231">
          <cell r="E231">
            <v>10.602553736954723</v>
          </cell>
          <cell r="F231">
            <v>0</v>
          </cell>
        </row>
        <row r="232">
          <cell r="E232">
            <v>0.65321094952784975</v>
          </cell>
          <cell r="F232">
            <v>0</v>
          </cell>
        </row>
        <row r="233">
          <cell r="E233">
            <v>-16.920643834379195</v>
          </cell>
          <cell r="F233">
            <v>0</v>
          </cell>
        </row>
        <row r="234">
          <cell r="E234">
            <v>-23.309139362331088</v>
          </cell>
          <cell r="F234">
            <v>0</v>
          </cell>
        </row>
        <row r="235">
          <cell r="E235">
            <v>18.293910741558371</v>
          </cell>
          <cell r="F235">
            <v>0</v>
          </cell>
        </row>
        <row r="236">
          <cell r="E236">
            <v>45.403719794842345</v>
          </cell>
          <cell r="F236">
            <v>0</v>
          </cell>
        </row>
        <row r="237">
          <cell r="E237">
            <v>-5.2763854674509787</v>
          </cell>
          <cell r="F237">
            <v>0</v>
          </cell>
        </row>
        <row r="238">
          <cell r="E238">
            <v>-2.1668407701836592</v>
          </cell>
          <cell r="F238">
            <v>0</v>
          </cell>
        </row>
        <row r="239">
          <cell r="E239">
            <v>-75.065413219278085</v>
          </cell>
          <cell r="F239">
            <v>0</v>
          </cell>
        </row>
        <row r="240">
          <cell r="E240">
            <v>23.551803083108375</v>
          </cell>
          <cell r="F240">
            <v>0</v>
          </cell>
        </row>
        <row r="241">
          <cell r="E241">
            <v>3.8196870675430254</v>
          </cell>
          <cell r="F241">
            <v>1</v>
          </cell>
        </row>
        <row r="242">
          <cell r="E242">
            <v>-2.9720531797026126</v>
          </cell>
          <cell r="F242">
            <v>0</v>
          </cell>
        </row>
        <row r="243">
          <cell r="E243">
            <v>71.032029961728412</v>
          </cell>
          <cell r="F243">
            <v>0</v>
          </cell>
        </row>
        <row r="244">
          <cell r="E244">
            <v>-2.7811562673834462</v>
          </cell>
          <cell r="F244">
            <v>0</v>
          </cell>
        </row>
        <row r="245">
          <cell r="E245">
            <v>10.137016351666595</v>
          </cell>
          <cell r="F245">
            <v>0</v>
          </cell>
        </row>
        <row r="246">
          <cell r="E246">
            <v>0.11755673751391349</v>
          </cell>
          <cell r="F246">
            <v>0</v>
          </cell>
        </row>
        <row r="247">
          <cell r="E247">
            <v>-29.147617293352923</v>
          </cell>
          <cell r="F247">
            <v>0</v>
          </cell>
        </row>
        <row r="248">
          <cell r="E248">
            <v>-33.964301543204016</v>
          </cell>
          <cell r="F248">
            <v>0</v>
          </cell>
        </row>
        <row r="249">
          <cell r="E249">
            <v>7.5718279824798191</v>
          </cell>
          <cell r="F249">
            <v>0</v>
          </cell>
        </row>
        <row r="250">
          <cell r="E250">
            <v>25.065166024214108</v>
          </cell>
          <cell r="F250">
            <v>0</v>
          </cell>
        </row>
        <row r="251">
          <cell r="E251">
            <v>-9.9317190299311182</v>
          </cell>
          <cell r="F251">
            <v>0</v>
          </cell>
        </row>
        <row r="252">
          <cell r="E252">
            <v>-10.753573214274784</v>
          </cell>
          <cell r="F252">
            <v>0</v>
          </cell>
        </row>
        <row r="253">
          <cell r="E253">
            <v>-7.5417196723978588</v>
          </cell>
          <cell r="F253">
            <v>0</v>
          </cell>
        </row>
        <row r="254">
          <cell r="E254">
            <v>28.271632456587447</v>
          </cell>
          <cell r="F254">
            <v>0</v>
          </cell>
        </row>
        <row r="255">
          <cell r="E255">
            <v>-74.090470912539757</v>
          </cell>
          <cell r="F255">
            <v>1</v>
          </cell>
        </row>
        <row r="256">
          <cell r="E256">
            <v>27.23904629444203</v>
          </cell>
          <cell r="F256">
            <v>0</v>
          </cell>
        </row>
        <row r="257">
          <cell r="E257">
            <v>-5.5546311891584423</v>
          </cell>
          <cell r="F257">
            <v>0</v>
          </cell>
        </row>
        <row r="258">
          <cell r="E258">
            <v>7.025394438094799</v>
          </cell>
          <cell r="F258">
            <v>0</v>
          </cell>
        </row>
        <row r="259">
          <cell r="E259">
            <v>1.6303695747705502</v>
          </cell>
          <cell r="F259">
            <v>0</v>
          </cell>
        </row>
        <row r="260">
          <cell r="E260">
            <v>24.422740553828731</v>
          </cell>
          <cell r="F260">
            <v>0</v>
          </cell>
        </row>
        <row r="261">
          <cell r="E261">
            <v>21.865548898104802</v>
          </cell>
          <cell r="F261">
            <v>0</v>
          </cell>
        </row>
        <row r="262">
          <cell r="E262">
            <v>3.1340491677087199</v>
          </cell>
          <cell r="F262">
            <v>0</v>
          </cell>
        </row>
        <row r="263">
          <cell r="E263">
            <v>31.226704487345408</v>
          </cell>
          <cell r="F263">
            <v>0</v>
          </cell>
        </row>
        <row r="264">
          <cell r="E264">
            <v>-14.917216440731544</v>
          </cell>
          <cell r="F264">
            <v>0</v>
          </cell>
        </row>
        <row r="265">
          <cell r="E265">
            <v>23.714969239000041</v>
          </cell>
          <cell r="F265">
            <v>0</v>
          </cell>
        </row>
        <row r="266">
          <cell r="E266">
            <v>-0.11368545797749618</v>
          </cell>
          <cell r="F266">
            <v>0</v>
          </cell>
        </row>
        <row r="267">
          <cell r="E267">
            <v>24.83693428854426</v>
          </cell>
          <cell r="F267">
            <v>0</v>
          </cell>
        </row>
        <row r="268">
          <cell r="E268">
            <v>7.4330830546235456</v>
          </cell>
          <cell r="F268">
            <v>0</v>
          </cell>
        </row>
        <row r="269">
          <cell r="E269">
            <v>-8.1119614315562494</v>
          </cell>
          <cell r="F269">
            <v>0</v>
          </cell>
        </row>
        <row r="270">
          <cell r="E270">
            <v>16.352043550641575</v>
          </cell>
          <cell r="F270">
            <v>0</v>
          </cell>
        </row>
        <row r="271">
          <cell r="E271">
            <v>-15.466617275349321</v>
          </cell>
          <cell r="F271">
            <v>0</v>
          </cell>
        </row>
        <row r="272">
          <cell r="E272">
            <v>8.4709927415963762</v>
          </cell>
          <cell r="F272">
            <v>0</v>
          </cell>
        </row>
        <row r="273">
          <cell r="E273">
            <v>34.68049153693223</v>
          </cell>
          <cell r="F273">
            <v>0</v>
          </cell>
        </row>
        <row r="274">
          <cell r="E274">
            <v>-38.805547875639746</v>
          </cell>
          <cell r="F274">
            <v>0</v>
          </cell>
        </row>
        <row r="275">
          <cell r="E275">
            <v>-20.09293224786343</v>
          </cell>
          <cell r="F275">
            <v>0</v>
          </cell>
        </row>
        <row r="276">
          <cell r="E276">
            <v>-36.364684663925338</v>
          </cell>
          <cell r="F276">
            <v>0</v>
          </cell>
        </row>
        <row r="277">
          <cell r="E277">
            <v>28.046314222482106</v>
          </cell>
          <cell r="F277">
            <v>0</v>
          </cell>
        </row>
        <row r="278">
          <cell r="E278">
            <v>35.73452704705025</v>
          </cell>
          <cell r="F278">
            <v>0</v>
          </cell>
        </row>
        <row r="279">
          <cell r="E279">
            <v>-52.639233374285823</v>
          </cell>
          <cell r="F279">
            <v>0</v>
          </cell>
        </row>
        <row r="280">
          <cell r="E280">
            <v>-5.5396104332640217</v>
          </cell>
          <cell r="F280">
            <v>0</v>
          </cell>
        </row>
        <row r="281">
          <cell r="E281">
            <v>32.571743038434398</v>
          </cell>
          <cell r="F281">
            <v>0</v>
          </cell>
        </row>
        <row r="282">
          <cell r="E282">
            <v>-36.5659216941702</v>
          </cell>
          <cell r="F282">
            <v>0</v>
          </cell>
        </row>
        <row r="283">
          <cell r="E283">
            <v>-39.03287760741901</v>
          </cell>
          <cell r="F283">
            <v>0</v>
          </cell>
        </row>
        <row r="284">
          <cell r="E284">
            <v>20.372007499093638</v>
          </cell>
          <cell r="F284">
            <v>0</v>
          </cell>
        </row>
        <row r="285">
          <cell r="E285">
            <v>5.6452477046087033</v>
          </cell>
          <cell r="F285">
            <v>0</v>
          </cell>
        </row>
        <row r="286">
          <cell r="E286">
            <v>9.3344019940340086</v>
          </cell>
          <cell r="F286">
            <v>0</v>
          </cell>
        </row>
        <row r="287">
          <cell r="E287">
            <v>16.987396095476186</v>
          </cell>
          <cell r="F287">
            <v>0</v>
          </cell>
        </row>
        <row r="288">
          <cell r="E288">
            <v>-30.021623706250519</v>
          </cell>
          <cell r="F288">
            <v>0</v>
          </cell>
        </row>
        <row r="289">
          <cell r="E289">
            <v>0.17724268296329271</v>
          </cell>
          <cell r="F289">
            <v>0</v>
          </cell>
        </row>
        <row r="290">
          <cell r="E290">
            <v>-7.8528980124554169</v>
          </cell>
          <cell r="F290">
            <v>0</v>
          </cell>
        </row>
        <row r="291">
          <cell r="E291">
            <v>0.11605435328311486</v>
          </cell>
          <cell r="F291">
            <v>0</v>
          </cell>
        </row>
        <row r="292">
          <cell r="E292">
            <v>14.090626551783798</v>
          </cell>
          <cell r="F292">
            <v>0</v>
          </cell>
        </row>
        <row r="293">
          <cell r="E293">
            <v>-28.564815767879512</v>
          </cell>
          <cell r="F293">
            <v>0</v>
          </cell>
        </row>
        <row r="294">
          <cell r="E294">
            <v>10.714082869566642</v>
          </cell>
          <cell r="F294">
            <v>0</v>
          </cell>
        </row>
        <row r="295">
          <cell r="E295">
            <v>25.603014008564958</v>
          </cell>
          <cell r="F295">
            <v>0</v>
          </cell>
        </row>
        <row r="296">
          <cell r="E296">
            <v>9.5847178577711869</v>
          </cell>
          <cell r="F296">
            <v>0</v>
          </cell>
        </row>
        <row r="297">
          <cell r="E297">
            <v>17.241005057134686</v>
          </cell>
          <cell r="F297">
            <v>0</v>
          </cell>
        </row>
        <row r="298">
          <cell r="E298">
            <v>15.04309656570107</v>
          </cell>
          <cell r="F298">
            <v>0</v>
          </cell>
        </row>
        <row r="299">
          <cell r="E299">
            <v>-3.1309508235170451</v>
          </cell>
          <cell r="F299">
            <v>0</v>
          </cell>
        </row>
        <row r="300">
          <cell r="E300">
            <v>6.6362128998629668</v>
          </cell>
          <cell r="F300">
            <v>0</v>
          </cell>
        </row>
        <row r="301">
          <cell r="E301">
            <v>-50.215794817812814</v>
          </cell>
          <cell r="F301">
            <v>0</v>
          </cell>
        </row>
        <row r="302">
          <cell r="E302">
            <v>-16.248487475545332</v>
          </cell>
          <cell r="F302">
            <v>0</v>
          </cell>
        </row>
        <row r="303">
          <cell r="E303">
            <v>21.127050674988205</v>
          </cell>
          <cell r="F303">
            <v>0</v>
          </cell>
        </row>
        <row r="304">
          <cell r="E304">
            <v>25.078177406932049</v>
          </cell>
          <cell r="F304">
            <v>0</v>
          </cell>
        </row>
        <row r="305">
          <cell r="E305">
            <v>1.7738010240723301</v>
          </cell>
          <cell r="F305">
            <v>0</v>
          </cell>
        </row>
        <row r="306">
          <cell r="E306">
            <v>-31.454870675632733</v>
          </cell>
          <cell r="F306">
            <v>0</v>
          </cell>
        </row>
        <row r="307">
          <cell r="E307">
            <v>8.4817986328424446</v>
          </cell>
          <cell r="F307">
            <v>0</v>
          </cell>
        </row>
        <row r="308">
          <cell r="E308">
            <v>66.982134107419483</v>
          </cell>
          <cell r="F308">
            <v>0</v>
          </cell>
        </row>
        <row r="309">
          <cell r="E309">
            <v>54.677371130859228</v>
          </cell>
          <cell r="F309">
            <v>0</v>
          </cell>
        </row>
        <row r="310">
          <cell r="E310">
            <v>-4.2376928748042761</v>
          </cell>
          <cell r="F310">
            <v>0</v>
          </cell>
        </row>
        <row r="311">
          <cell r="E311">
            <v>50.956355027519088</v>
          </cell>
          <cell r="F311">
            <v>0</v>
          </cell>
        </row>
        <row r="312">
          <cell r="E312">
            <v>0.37413661252887565</v>
          </cell>
          <cell r="F312">
            <v>0</v>
          </cell>
        </row>
        <row r="313">
          <cell r="E313">
            <v>8.0499646456825129</v>
          </cell>
          <cell r="F313">
            <v>0</v>
          </cell>
        </row>
        <row r="314">
          <cell r="E314">
            <v>3.204915116408749</v>
          </cell>
          <cell r="F314">
            <v>0</v>
          </cell>
        </row>
        <row r="315">
          <cell r="E315">
            <v>-4.4099377245666913</v>
          </cell>
          <cell r="F315">
            <v>0</v>
          </cell>
        </row>
        <row r="316">
          <cell r="E316">
            <v>2.3501734329792168</v>
          </cell>
          <cell r="F316">
            <v>0</v>
          </cell>
        </row>
        <row r="317">
          <cell r="E317">
            <v>-17.896660213730989</v>
          </cell>
          <cell r="F317">
            <v>0</v>
          </cell>
        </row>
        <row r="318">
          <cell r="E318">
            <v>26.628978802252476</v>
          </cell>
          <cell r="F318">
            <v>0</v>
          </cell>
        </row>
        <row r="319">
          <cell r="E319">
            <v>75.934041635693433</v>
          </cell>
          <cell r="F319">
            <v>0</v>
          </cell>
        </row>
        <row r="320">
          <cell r="E320">
            <v>7.8421695200214199</v>
          </cell>
          <cell r="F320">
            <v>0</v>
          </cell>
        </row>
        <row r="321">
          <cell r="E321">
            <v>30.691034095110865</v>
          </cell>
          <cell r="F321">
            <v>0</v>
          </cell>
        </row>
        <row r="322">
          <cell r="E322">
            <v>-18.516178007098318</v>
          </cell>
          <cell r="F322">
            <v>0</v>
          </cell>
        </row>
        <row r="323">
          <cell r="E323">
            <v>29.887137651024467</v>
          </cell>
          <cell r="F323">
            <v>0</v>
          </cell>
        </row>
        <row r="324">
          <cell r="E324">
            <v>1.4478868954219477</v>
          </cell>
          <cell r="F324">
            <v>0</v>
          </cell>
        </row>
        <row r="325">
          <cell r="E325">
            <v>19.791055450574717</v>
          </cell>
          <cell r="F325">
            <v>0</v>
          </cell>
        </row>
        <row r="326">
          <cell r="E326">
            <v>32.186888951578474</v>
          </cell>
          <cell r="F326">
            <v>0</v>
          </cell>
        </row>
        <row r="327">
          <cell r="E327">
            <v>-23.419779372544262</v>
          </cell>
          <cell r="F327">
            <v>0</v>
          </cell>
        </row>
        <row r="328">
          <cell r="E328">
            <v>27.143575449083251</v>
          </cell>
          <cell r="F328">
            <v>0</v>
          </cell>
        </row>
        <row r="329">
          <cell r="E329">
            <v>-35.59240629674624</v>
          </cell>
          <cell r="F329">
            <v>0</v>
          </cell>
        </row>
        <row r="330">
          <cell r="E330">
            <v>-15.298157457611978</v>
          </cell>
          <cell r="F330">
            <v>0</v>
          </cell>
        </row>
        <row r="331">
          <cell r="E331">
            <v>8.1804413626551629</v>
          </cell>
          <cell r="F331">
            <v>0</v>
          </cell>
        </row>
        <row r="332">
          <cell r="E332">
            <v>14.645413144005161</v>
          </cell>
          <cell r="F332">
            <v>0</v>
          </cell>
        </row>
        <row r="333">
          <cell r="E333">
            <v>-31.204328930538669</v>
          </cell>
          <cell r="F333">
            <v>0</v>
          </cell>
        </row>
        <row r="334">
          <cell r="E334">
            <v>-1.1345285248353694</v>
          </cell>
          <cell r="F334">
            <v>0</v>
          </cell>
        </row>
        <row r="335">
          <cell r="E335">
            <v>-28.925669104185602</v>
          </cell>
          <cell r="F335">
            <v>0</v>
          </cell>
        </row>
        <row r="336">
          <cell r="E336">
            <v>-5.4946582970405933</v>
          </cell>
          <cell r="F336">
            <v>0</v>
          </cell>
        </row>
        <row r="337">
          <cell r="E337">
            <v>-12.029827405427035</v>
          </cell>
          <cell r="F337">
            <v>0</v>
          </cell>
        </row>
        <row r="338">
          <cell r="E338">
            <v>0.85037301086502648</v>
          </cell>
          <cell r="F338">
            <v>0</v>
          </cell>
        </row>
        <row r="339">
          <cell r="E339">
            <v>-18.681505480298732</v>
          </cell>
          <cell r="F339">
            <v>0</v>
          </cell>
        </row>
        <row r="340">
          <cell r="E340">
            <v>-10.62318064112004</v>
          </cell>
          <cell r="F340">
            <v>0</v>
          </cell>
        </row>
        <row r="341">
          <cell r="E341">
            <v>-18.81945418896678</v>
          </cell>
          <cell r="F341">
            <v>0</v>
          </cell>
        </row>
        <row r="342">
          <cell r="E342">
            <v>17.834883810204794</v>
          </cell>
          <cell r="F342">
            <v>0</v>
          </cell>
        </row>
        <row r="343">
          <cell r="E343">
            <v>4.1250805103873613</v>
          </cell>
          <cell r="F343">
            <v>0</v>
          </cell>
        </row>
        <row r="344">
          <cell r="E344">
            <v>67.873142667393083</v>
          </cell>
          <cell r="F344">
            <v>0</v>
          </cell>
        </row>
        <row r="345">
          <cell r="E345">
            <v>-40.724543065508421</v>
          </cell>
          <cell r="F345">
            <v>0</v>
          </cell>
        </row>
        <row r="346">
          <cell r="E346">
            <v>46.40205322411898</v>
          </cell>
          <cell r="F346">
            <v>0</v>
          </cell>
        </row>
        <row r="347">
          <cell r="E347">
            <v>12.208259126806219</v>
          </cell>
          <cell r="F347">
            <v>0</v>
          </cell>
        </row>
        <row r="348">
          <cell r="E348">
            <v>40.254988803768114</v>
          </cell>
          <cell r="F348">
            <v>0</v>
          </cell>
        </row>
        <row r="349">
          <cell r="E349">
            <v>-29.697209919477952</v>
          </cell>
          <cell r="F349">
            <v>0</v>
          </cell>
        </row>
        <row r="350">
          <cell r="E350">
            <v>21.342435968662485</v>
          </cell>
          <cell r="F350">
            <v>0</v>
          </cell>
        </row>
        <row r="351">
          <cell r="E351">
            <v>17.654044054852214</v>
          </cell>
          <cell r="F351">
            <v>0</v>
          </cell>
        </row>
        <row r="352">
          <cell r="E352">
            <v>17.019178859809998</v>
          </cell>
          <cell r="F352">
            <v>0</v>
          </cell>
        </row>
        <row r="353">
          <cell r="E353">
            <v>6.3079950279085271</v>
          </cell>
          <cell r="F353">
            <v>0</v>
          </cell>
        </row>
        <row r="354">
          <cell r="E354">
            <v>-64.637124745511784</v>
          </cell>
          <cell r="F354">
            <v>0</v>
          </cell>
        </row>
        <row r="355">
          <cell r="E355">
            <v>32.616458773862036</v>
          </cell>
          <cell r="F355">
            <v>0</v>
          </cell>
        </row>
        <row r="356">
          <cell r="E356">
            <v>36.469693948570026</v>
          </cell>
          <cell r="F356">
            <v>0</v>
          </cell>
        </row>
        <row r="357">
          <cell r="E357">
            <v>-33.89657815870703</v>
          </cell>
          <cell r="F357">
            <v>0</v>
          </cell>
        </row>
        <row r="358">
          <cell r="E358">
            <v>-9.94749438797054</v>
          </cell>
          <cell r="F358">
            <v>0</v>
          </cell>
        </row>
        <row r="359">
          <cell r="E359">
            <v>15.535339059209301</v>
          </cell>
          <cell r="F359">
            <v>0</v>
          </cell>
        </row>
        <row r="360">
          <cell r="E360">
            <v>37.563609617121685</v>
          </cell>
          <cell r="F360">
            <v>0</v>
          </cell>
        </row>
        <row r="361">
          <cell r="E361">
            <v>-50.34873648788674</v>
          </cell>
          <cell r="F361">
            <v>0</v>
          </cell>
        </row>
        <row r="362">
          <cell r="E362">
            <v>14.824611960626488</v>
          </cell>
          <cell r="F362">
            <v>0</v>
          </cell>
        </row>
        <row r="363">
          <cell r="E363">
            <v>-22.562222914551505</v>
          </cell>
          <cell r="F363">
            <v>0</v>
          </cell>
        </row>
        <row r="364">
          <cell r="E364">
            <v>30.426869019981467</v>
          </cell>
          <cell r="F364">
            <v>0</v>
          </cell>
        </row>
        <row r="365">
          <cell r="E365">
            <v>31.359960898984021</v>
          </cell>
          <cell r="F365">
            <v>0</v>
          </cell>
        </row>
        <row r="366">
          <cell r="E366">
            <v>11.075795775228521</v>
          </cell>
          <cell r="F366">
            <v>0</v>
          </cell>
        </row>
        <row r="367">
          <cell r="E367">
            <v>33.112518086641366</v>
          </cell>
          <cell r="F367">
            <v>0</v>
          </cell>
        </row>
        <row r="368">
          <cell r="E368">
            <v>42.839247228066341</v>
          </cell>
          <cell r="F368">
            <v>0</v>
          </cell>
        </row>
        <row r="369">
          <cell r="E369">
            <v>20.365334957061471</v>
          </cell>
          <cell r="F369">
            <v>0</v>
          </cell>
        </row>
        <row r="370">
          <cell r="E370">
            <v>12.379119743743924</v>
          </cell>
          <cell r="F370">
            <v>0</v>
          </cell>
        </row>
        <row r="371">
          <cell r="E371">
            <v>-7.4440970482639015</v>
          </cell>
          <cell r="F371">
            <v>0</v>
          </cell>
        </row>
        <row r="372">
          <cell r="E372">
            <v>1.6961781574698751</v>
          </cell>
          <cell r="F372">
            <v>0</v>
          </cell>
        </row>
        <row r="373">
          <cell r="E373">
            <v>55.420989014870941</v>
          </cell>
          <cell r="F373">
            <v>0</v>
          </cell>
        </row>
        <row r="374">
          <cell r="E374">
            <v>-26.768809375600924</v>
          </cell>
          <cell r="F374">
            <v>0</v>
          </cell>
        </row>
        <row r="375">
          <cell r="E375">
            <v>-31.146728933118958</v>
          </cell>
          <cell r="F375">
            <v>0</v>
          </cell>
        </row>
        <row r="376">
          <cell r="E376">
            <v>-30.137166990972784</v>
          </cell>
          <cell r="F376">
            <v>0</v>
          </cell>
        </row>
        <row r="377">
          <cell r="E377">
            <v>-49.836896204221027</v>
          </cell>
          <cell r="F377">
            <v>0</v>
          </cell>
        </row>
        <row r="378">
          <cell r="E378">
            <v>61.523033362288118</v>
          </cell>
          <cell r="F378">
            <v>0</v>
          </cell>
        </row>
        <row r="379">
          <cell r="E379">
            <v>2.2577299081852003</v>
          </cell>
          <cell r="F379">
            <v>0</v>
          </cell>
        </row>
        <row r="380">
          <cell r="E380">
            <v>23.488444325850175</v>
          </cell>
          <cell r="F380">
            <v>0</v>
          </cell>
        </row>
        <row r="381">
          <cell r="E381">
            <v>-49.380270317941878</v>
          </cell>
          <cell r="F381">
            <v>0</v>
          </cell>
        </row>
        <row r="382">
          <cell r="E382">
            <v>4.434424883861519</v>
          </cell>
          <cell r="F382">
            <v>0</v>
          </cell>
        </row>
        <row r="383">
          <cell r="E383">
            <v>-7.3273723487517985</v>
          </cell>
          <cell r="F383">
            <v>0</v>
          </cell>
        </row>
        <row r="384">
          <cell r="E384">
            <v>28.913357296983392</v>
          </cell>
          <cell r="F384">
            <v>0</v>
          </cell>
        </row>
        <row r="385">
          <cell r="E385">
            <v>1.4952584945176266</v>
          </cell>
          <cell r="F385">
            <v>0</v>
          </cell>
        </row>
        <row r="386">
          <cell r="E386">
            <v>17.719450346691872</v>
          </cell>
          <cell r="F386">
            <v>0</v>
          </cell>
        </row>
        <row r="387">
          <cell r="E387">
            <v>24.386948145380607</v>
          </cell>
          <cell r="F387">
            <v>0</v>
          </cell>
        </row>
        <row r="388">
          <cell r="E388">
            <v>32.542817948065228</v>
          </cell>
          <cell r="F388">
            <v>0</v>
          </cell>
        </row>
        <row r="389">
          <cell r="E389">
            <v>-31.041105726817936</v>
          </cell>
          <cell r="F389">
            <v>0</v>
          </cell>
        </row>
        <row r="390">
          <cell r="E390">
            <v>-4.0178111142116366</v>
          </cell>
          <cell r="F390">
            <v>0</v>
          </cell>
        </row>
        <row r="391">
          <cell r="E391">
            <v>42.641368695350089</v>
          </cell>
          <cell r="F391">
            <v>0</v>
          </cell>
        </row>
        <row r="392">
          <cell r="E392">
            <v>7.5385693010466222</v>
          </cell>
          <cell r="F392">
            <v>0</v>
          </cell>
        </row>
        <row r="393">
          <cell r="E393">
            <v>60.82937770820142</v>
          </cell>
          <cell r="F393">
            <v>0</v>
          </cell>
        </row>
        <row r="394">
          <cell r="E394">
            <v>-56.914839270627624</v>
          </cell>
          <cell r="F394">
            <v>0</v>
          </cell>
        </row>
        <row r="395">
          <cell r="E395">
            <v>50.409756304804731</v>
          </cell>
          <cell r="F395">
            <v>0</v>
          </cell>
        </row>
        <row r="396">
          <cell r="E396">
            <v>-3.3775624061517</v>
          </cell>
          <cell r="F396">
            <v>0</v>
          </cell>
        </row>
        <row r="397">
          <cell r="E397">
            <v>37.898392669475292</v>
          </cell>
          <cell r="F397">
            <v>0</v>
          </cell>
        </row>
        <row r="398">
          <cell r="E398">
            <v>-6.6056323494200235</v>
          </cell>
          <cell r="F398">
            <v>0</v>
          </cell>
        </row>
        <row r="399">
          <cell r="E399">
            <v>27.807643255795028</v>
          </cell>
          <cell r="F399">
            <v>0</v>
          </cell>
        </row>
        <row r="400">
          <cell r="E400">
            <v>4.3222253333118203</v>
          </cell>
          <cell r="F400">
            <v>0</v>
          </cell>
        </row>
        <row r="401">
          <cell r="E401">
            <v>-1.1559686195097516</v>
          </cell>
          <cell r="F401">
            <v>0</v>
          </cell>
        </row>
        <row r="402">
          <cell r="E402">
            <v>37.045123269666597</v>
          </cell>
          <cell r="F402">
            <v>0</v>
          </cell>
        </row>
        <row r="403">
          <cell r="E403">
            <v>-28.561259820212705</v>
          </cell>
          <cell r="F403">
            <v>0</v>
          </cell>
        </row>
        <row r="404">
          <cell r="E404">
            <v>24.119193432717466</v>
          </cell>
          <cell r="F404">
            <v>0</v>
          </cell>
        </row>
        <row r="405">
          <cell r="E405">
            <v>-25.211223559780663</v>
          </cell>
          <cell r="F405">
            <v>0</v>
          </cell>
        </row>
        <row r="406">
          <cell r="E406">
            <v>-31.959156276181368</v>
          </cell>
          <cell r="F406">
            <v>0</v>
          </cell>
        </row>
        <row r="407">
          <cell r="E407">
            <v>-13.57475305835656</v>
          </cell>
          <cell r="F407">
            <v>0</v>
          </cell>
        </row>
        <row r="408">
          <cell r="E408">
            <v>3.539246080027425E-3</v>
          </cell>
          <cell r="F408">
            <v>0</v>
          </cell>
        </row>
        <row r="409">
          <cell r="E409">
            <v>9.3525670441669817</v>
          </cell>
          <cell r="F409">
            <v>0</v>
          </cell>
        </row>
        <row r="410">
          <cell r="E410">
            <v>4.9463674851277268</v>
          </cell>
          <cell r="F410">
            <v>0</v>
          </cell>
        </row>
        <row r="411">
          <cell r="E411">
            <v>21.249120075137167</v>
          </cell>
          <cell r="F411">
            <v>0</v>
          </cell>
        </row>
        <row r="412">
          <cell r="E412">
            <v>2.5249324336056187</v>
          </cell>
          <cell r="F412">
            <v>0</v>
          </cell>
        </row>
        <row r="413">
          <cell r="E413">
            <v>-26.395979254722072</v>
          </cell>
          <cell r="F413">
            <v>0</v>
          </cell>
        </row>
        <row r="414">
          <cell r="E414">
            <v>20.975746434567018</v>
          </cell>
          <cell r="F414">
            <v>0</v>
          </cell>
        </row>
        <row r="415">
          <cell r="E415">
            <v>-10.211202620977435</v>
          </cell>
          <cell r="F415">
            <v>0</v>
          </cell>
        </row>
        <row r="416">
          <cell r="E416">
            <v>36.107494131944335</v>
          </cell>
          <cell r="F416">
            <v>0</v>
          </cell>
        </row>
        <row r="417">
          <cell r="E417">
            <v>34.556177720293434</v>
          </cell>
          <cell r="F417">
            <v>0</v>
          </cell>
        </row>
        <row r="418">
          <cell r="E418">
            <v>-16.890472455836409</v>
          </cell>
          <cell r="F418">
            <v>0</v>
          </cell>
        </row>
        <row r="419">
          <cell r="E419">
            <v>42.23644398140091</v>
          </cell>
          <cell r="F419">
            <v>0</v>
          </cell>
        </row>
        <row r="420">
          <cell r="E420">
            <v>5.7266244602542971</v>
          </cell>
          <cell r="F420">
            <v>0</v>
          </cell>
        </row>
        <row r="421">
          <cell r="E421">
            <v>-16.576993744603293</v>
          </cell>
          <cell r="F421">
            <v>0</v>
          </cell>
        </row>
        <row r="422">
          <cell r="E422">
            <v>-6.9729596767284701</v>
          </cell>
          <cell r="F422">
            <v>0</v>
          </cell>
        </row>
        <row r="423">
          <cell r="E423">
            <v>30.879109638716347</v>
          </cell>
          <cell r="F423">
            <v>0</v>
          </cell>
        </row>
        <row r="424">
          <cell r="E424">
            <v>-33.868461777294904</v>
          </cell>
          <cell r="F424">
            <v>0</v>
          </cell>
        </row>
        <row r="425">
          <cell r="E425">
            <v>10.055416345513223</v>
          </cell>
          <cell r="F425">
            <v>0</v>
          </cell>
        </row>
        <row r="426">
          <cell r="E426">
            <v>30.574592911091258</v>
          </cell>
          <cell r="F426">
            <v>0</v>
          </cell>
        </row>
        <row r="427">
          <cell r="E427">
            <v>31.977779712924907</v>
          </cell>
          <cell r="F427">
            <v>0</v>
          </cell>
        </row>
        <row r="428">
          <cell r="E428">
            <v>22.078486263690749</v>
          </cell>
          <cell r="F428">
            <v>0</v>
          </cell>
        </row>
        <row r="429">
          <cell r="E429">
            <v>4.1033851059508546</v>
          </cell>
          <cell r="F429">
            <v>0</v>
          </cell>
        </row>
        <row r="430">
          <cell r="E430">
            <v>6.6831034024531704</v>
          </cell>
          <cell r="F430">
            <v>0</v>
          </cell>
        </row>
        <row r="431">
          <cell r="E431">
            <v>15.17419344094985</v>
          </cell>
          <cell r="F431">
            <v>0</v>
          </cell>
        </row>
        <row r="432">
          <cell r="E432">
            <v>41.650130201728544</v>
          </cell>
          <cell r="F432">
            <v>0</v>
          </cell>
        </row>
        <row r="433">
          <cell r="E433">
            <v>-15.570838683158097</v>
          </cell>
          <cell r="F433">
            <v>0</v>
          </cell>
        </row>
        <row r="434">
          <cell r="E434">
            <v>41.233478441023358</v>
          </cell>
          <cell r="F434">
            <v>0</v>
          </cell>
        </row>
        <row r="435">
          <cell r="E435">
            <v>32.168287010992167</v>
          </cell>
          <cell r="F435">
            <v>0</v>
          </cell>
        </row>
        <row r="436">
          <cell r="E436">
            <v>-3.5796779780968402</v>
          </cell>
          <cell r="F436">
            <v>0</v>
          </cell>
        </row>
        <row r="437">
          <cell r="E437">
            <v>-19.884693504529487</v>
          </cell>
          <cell r="F437">
            <v>0</v>
          </cell>
        </row>
        <row r="438">
          <cell r="E438">
            <v>25.851030082141243</v>
          </cell>
          <cell r="F438">
            <v>0</v>
          </cell>
        </row>
        <row r="439">
          <cell r="E439">
            <v>47.32280093671347</v>
          </cell>
          <cell r="F439">
            <v>0</v>
          </cell>
        </row>
        <row r="440">
          <cell r="E440">
            <v>50.493295373784335</v>
          </cell>
          <cell r="F440">
            <v>0</v>
          </cell>
        </row>
        <row r="441">
          <cell r="E441">
            <v>23.986619260061858</v>
          </cell>
          <cell r="F441">
            <v>0</v>
          </cell>
        </row>
        <row r="442">
          <cell r="E442">
            <v>-44.900163950762789</v>
          </cell>
          <cell r="F442">
            <v>0</v>
          </cell>
        </row>
        <row r="443">
          <cell r="E443">
            <v>28.966995790310886</v>
          </cell>
          <cell r="F443">
            <v>0</v>
          </cell>
        </row>
        <row r="444">
          <cell r="E444">
            <v>55.888345688874246</v>
          </cell>
          <cell r="F444">
            <v>0</v>
          </cell>
        </row>
        <row r="445">
          <cell r="E445">
            <v>24.185114830996966</v>
          </cell>
          <cell r="F445">
            <v>0</v>
          </cell>
        </row>
        <row r="446">
          <cell r="E446">
            <v>-28.85593432349285</v>
          </cell>
          <cell r="F446">
            <v>0</v>
          </cell>
        </row>
        <row r="447">
          <cell r="E447">
            <v>-61.027527681485964</v>
          </cell>
          <cell r="F447">
            <v>0</v>
          </cell>
        </row>
        <row r="448">
          <cell r="E448">
            <v>10.255145091851041</v>
          </cell>
          <cell r="F448">
            <v>0</v>
          </cell>
        </row>
        <row r="449">
          <cell r="E449">
            <v>44.964788266078806</v>
          </cell>
          <cell r="F449">
            <v>0</v>
          </cell>
        </row>
        <row r="450">
          <cell r="E450">
            <v>55.381663586185702</v>
          </cell>
          <cell r="F450">
            <v>0</v>
          </cell>
        </row>
        <row r="451">
          <cell r="E451">
            <v>-50.376765056377408</v>
          </cell>
          <cell r="F451">
            <v>0</v>
          </cell>
        </row>
        <row r="452">
          <cell r="E452">
            <v>32.859141965028215</v>
          </cell>
          <cell r="F452">
            <v>0</v>
          </cell>
        </row>
        <row r="453">
          <cell r="E453">
            <v>26.761919400453408</v>
          </cell>
          <cell r="F453">
            <v>0</v>
          </cell>
        </row>
        <row r="454">
          <cell r="E454">
            <v>-38.854621523132138</v>
          </cell>
          <cell r="F454">
            <v>0</v>
          </cell>
        </row>
        <row r="455">
          <cell r="E455">
            <v>10.000199764520028</v>
          </cell>
          <cell r="F455">
            <v>0</v>
          </cell>
        </row>
        <row r="456">
          <cell r="E456">
            <v>-31.40056795275256</v>
          </cell>
          <cell r="F456">
            <v>0</v>
          </cell>
        </row>
        <row r="457">
          <cell r="E457">
            <v>-54.196753269254629</v>
          </cell>
          <cell r="F457">
            <v>0</v>
          </cell>
        </row>
        <row r="458">
          <cell r="E458">
            <v>58.071863935082511</v>
          </cell>
          <cell r="F458">
            <v>0</v>
          </cell>
        </row>
        <row r="459">
          <cell r="E459">
            <v>12.448084711855255</v>
          </cell>
          <cell r="F459">
            <v>0</v>
          </cell>
        </row>
        <row r="460">
          <cell r="E460">
            <v>-21.667228533282049</v>
          </cell>
          <cell r="F460">
            <v>0</v>
          </cell>
        </row>
        <row r="461">
          <cell r="E461">
            <v>-10.946269258316793</v>
          </cell>
          <cell r="F461">
            <v>0</v>
          </cell>
        </row>
        <row r="462">
          <cell r="E462">
            <v>8.6710114559764797</v>
          </cell>
          <cell r="F462">
            <v>0</v>
          </cell>
        </row>
        <row r="463">
          <cell r="E463">
            <v>-8.8569291170118998</v>
          </cell>
          <cell r="F463">
            <v>0</v>
          </cell>
        </row>
        <row r="464">
          <cell r="E464">
            <v>-29.855611318340216</v>
          </cell>
          <cell r="F464">
            <v>0</v>
          </cell>
        </row>
        <row r="465">
          <cell r="E465">
            <v>57.618180839885824</v>
          </cell>
          <cell r="F465">
            <v>0</v>
          </cell>
        </row>
        <row r="466">
          <cell r="E466">
            <v>-5.678062859662524</v>
          </cell>
          <cell r="F466">
            <v>0</v>
          </cell>
        </row>
        <row r="467">
          <cell r="E467">
            <v>-45.551891224466516</v>
          </cell>
          <cell r="F467">
            <v>1</v>
          </cell>
        </row>
        <row r="468">
          <cell r="E468">
            <v>8.6302303292104465</v>
          </cell>
          <cell r="F468">
            <v>0</v>
          </cell>
        </row>
        <row r="469">
          <cell r="E469">
            <v>-0.58432973431500912</v>
          </cell>
          <cell r="F469">
            <v>0</v>
          </cell>
        </row>
        <row r="470">
          <cell r="E470">
            <v>9.3807608490277463</v>
          </cell>
          <cell r="F470">
            <v>0</v>
          </cell>
        </row>
        <row r="471">
          <cell r="E471">
            <v>-24.76911025904672</v>
          </cell>
          <cell r="F471">
            <v>0</v>
          </cell>
        </row>
        <row r="472">
          <cell r="E472">
            <v>-23.345802698696833</v>
          </cell>
          <cell r="F472">
            <v>0</v>
          </cell>
        </row>
        <row r="473">
          <cell r="E473">
            <v>-6.4165056758153973</v>
          </cell>
          <cell r="F473">
            <v>0</v>
          </cell>
        </row>
        <row r="474">
          <cell r="E474">
            <v>9.9215815882486247</v>
          </cell>
          <cell r="F474">
            <v>0</v>
          </cell>
        </row>
        <row r="475">
          <cell r="E475">
            <v>61.310500212761234</v>
          </cell>
          <cell r="F475">
            <v>0</v>
          </cell>
        </row>
        <row r="476">
          <cell r="E476">
            <v>28.539630086538796</v>
          </cell>
          <cell r="F476">
            <v>0</v>
          </cell>
        </row>
        <row r="477">
          <cell r="E477">
            <v>40.892861527955297</v>
          </cell>
          <cell r="F477">
            <v>0</v>
          </cell>
        </row>
        <row r="478">
          <cell r="E478">
            <v>34.601378984556916</v>
          </cell>
          <cell r="F478">
            <v>0</v>
          </cell>
        </row>
        <row r="479">
          <cell r="E479">
            <v>22.420612100432255</v>
          </cell>
          <cell r="F479">
            <v>0</v>
          </cell>
        </row>
        <row r="480">
          <cell r="E480">
            <v>-38.724009172871561</v>
          </cell>
          <cell r="F480">
            <v>0</v>
          </cell>
        </row>
        <row r="481">
          <cell r="E481">
            <v>-34.928142191747057</v>
          </cell>
          <cell r="F481">
            <v>0</v>
          </cell>
        </row>
        <row r="482">
          <cell r="E482">
            <v>40.638554897895204</v>
          </cell>
          <cell r="F482">
            <v>0</v>
          </cell>
        </row>
        <row r="483">
          <cell r="E483">
            <v>-54.181789679697687</v>
          </cell>
          <cell r="F483">
            <v>0</v>
          </cell>
        </row>
        <row r="484">
          <cell r="E484">
            <v>37.720877884126779</v>
          </cell>
          <cell r="F484">
            <v>0</v>
          </cell>
        </row>
        <row r="485">
          <cell r="E485">
            <v>17.6319527044833</v>
          </cell>
          <cell r="F485">
            <v>0</v>
          </cell>
        </row>
        <row r="486">
          <cell r="E486">
            <v>-13.974788832292344</v>
          </cell>
          <cell r="F486">
            <v>0</v>
          </cell>
        </row>
        <row r="487">
          <cell r="E487">
            <v>0.13847798603127615</v>
          </cell>
          <cell r="F487">
            <v>0</v>
          </cell>
        </row>
        <row r="488">
          <cell r="E488">
            <v>27.193856870275226</v>
          </cell>
          <cell r="F488">
            <v>0</v>
          </cell>
        </row>
        <row r="489">
          <cell r="E489">
            <v>-40.580792234616197</v>
          </cell>
          <cell r="F489">
            <v>0</v>
          </cell>
        </row>
        <row r="490">
          <cell r="E490">
            <v>-0.72214908881975326</v>
          </cell>
          <cell r="F490">
            <v>0</v>
          </cell>
        </row>
        <row r="491">
          <cell r="E491">
            <v>-23.34401771605885</v>
          </cell>
          <cell r="F491">
            <v>0</v>
          </cell>
        </row>
        <row r="492">
          <cell r="E492">
            <v>-29.49247905767799</v>
          </cell>
          <cell r="F492">
            <v>0</v>
          </cell>
        </row>
        <row r="493">
          <cell r="E493">
            <v>36.463473290626034</v>
          </cell>
          <cell r="F493">
            <v>0</v>
          </cell>
        </row>
        <row r="494">
          <cell r="E494">
            <v>30.2679465757526</v>
          </cell>
          <cell r="F494">
            <v>0</v>
          </cell>
        </row>
        <row r="495">
          <cell r="E495">
            <v>-31.83242705646137</v>
          </cell>
          <cell r="F495">
            <v>0</v>
          </cell>
        </row>
        <row r="496">
          <cell r="E496">
            <v>16.215404447169441</v>
          </cell>
          <cell r="F496">
            <v>0</v>
          </cell>
        </row>
        <row r="497">
          <cell r="E497">
            <v>10.604284602562023</v>
          </cell>
          <cell r="F497">
            <v>0</v>
          </cell>
        </row>
        <row r="498">
          <cell r="E498">
            <v>45.50408421108488</v>
          </cell>
          <cell r="F498">
            <v>0</v>
          </cell>
        </row>
        <row r="499">
          <cell r="E499">
            <v>21.821995582016854</v>
          </cell>
          <cell r="F499">
            <v>0</v>
          </cell>
        </row>
        <row r="500">
          <cell r="E500">
            <v>-13.304358610667736</v>
          </cell>
          <cell r="F500">
            <v>0</v>
          </cell>
        </row>
        <row r="501">
          <cell r="E501">
            <v>-35.419236869571741</v>
          </cell>
          <cell r="F501">
            <v>0</v>
          </cell>
        </row>
        <row r="502">
          <cell r="E502">
            <v>25.542855209636219</v>
          </cell>
          <cell r="F502">
            <v>0</v>
          </cell>
        </row>
        <row r="503">
          <cell r="E503">
            <v>28.251559844947902</v>
          </cell>
          <cell r="F503">
            <v>0</v>
          </cell>
        </row>
        <row r="504">
          <cell r="E504">
            <v>-7.97012115831253</v>
          </cell>
          <cell r="F504">
            <v>0</v>
          </cell>
        </row>
        <row r="505">
          <cell r="E505">
            <v>1.8169859179529455</v>
          </cell>
          <cell r="F505">
            <v>0</v>
          </cell>
        </row>
        <row r="506">
          <cell r="E506">
            <v>-2.494159965624517</v>
          </cell>
          <cell r="F506">
            <v>0</v>
          </cell>
        </row>
        <row r="507">
          <cell r="E507">
            <v>23.445011226301176</v>
          </cell>
          <cell r="F507">
            <v>0</v>
          </cell>
        </row>
        <row r="508">
          <cell r="E508">
            <v>-20.223449667907978</v>
          </cell>
          <cell r="F508">
            <v>0</v>
          </cell>
        </row>
        <row r="509">
          <cell r="E509">
            <v>45.08439470142892</v>
          </cell>
          <cell r="F509">
            <v>0</v>
          </cell>
        </row>
        <row r="510">
          <cell r="E510">
            <v>40.960642974455851</v>
          </cell>
          <cell r="F510">
            <v>0</v>
          </cell>
        </row>
        <row r="511">
          <cell r="E511">
            <v>-0.96089595039710396</v>
          </cell>
          <cell r="F511">
            <v>0</v>
          </cell>
        </row>
        <row r="512">
          <cell r="E512">
            <v>1.2699928246506396</v>
          </cell>
          <cell r="F512">
            <v>0</v>
          </cell>
        </row>
        <row r="513">
          <cell r="E513">
            <v>62.765196684968032</v>
          </cell>
          <cell r="F513">
            <v>0</v>
          </cell>
        </row>
        <row r="514">
          <cell r="E514">
            <v>64.188005782629986</v>
          </cell>
          <cell r="F514">
            <v>0</v>
          </cell>
        </row>
        <row r="515">
          <cell r="E515">
            <v>-25.452168657716435</v>
          </cell>
          <cell r="F515">
            <v>0</v>
          </cell>
        </row>
        <row r="516">
          <cell r="E516">
            <v>14.344653315222427</v>
          </cell>
          <cell r="F516">
            <v>0</v>
          </cell>
        </row>
        <row r="517">
          <cell r="E517">
            <v>30.427882904099512</v>
          </cell>
          <cell r="F517">
            <v>0</v>
          </cell>
        </row>
        <row r="518">
          <cell r="E518">
            <v>19.123284556756637</v>
          </cell>
          <cell r="F518">
            <v>0</v>
          </cell>
        </row>
        <row r="519">
          <cell r="E519">
            <v>17.526722774404281</v>
          </cell>
          <cell r="F519">
            <v>0</v>
          </cell>
        </row>
        <row r="520">
          <cell r="E520">
            <v>30.770435319083546</v>
          </cell>
          <cell r="F520">
            <v>0</v>
          </cell>
        </row>
        <row r="521">
          <cell r="E521">
            <v>13.747452433182389</v>
          </cell>
          <cell r="F521">
            <v>0</v>
          </cell>
        </row>
        <row r="522">
          <cell r="E522">
            <v>-72.280848710855054</v>
          </cell>
          <cell r="F522">
            <v>0</v>
          </cell>
        </row>
        <row r="523">
          <cell r="E523">
            <v>4.6592177265814252</v>
          </cell>
          <cell r="F523">
            <v>0</v>
          </cell>
        </row>
        <row r="524">
          <cell r="E524">
            <v>5.1865746350964361</v>
          </cell>
          <cell r="F524">
            <v>0</v>
          </cell>
        </row>
        <row r="525">
          <cell r="E525">
            <v>14.630419509401051</v>
          </cell>
          <cell r="F525">
            <v>0</v>
          </cell>
        </row>
        <row r="526">
          <cell r="E526">
            <v>31.540021002530061</v>
          </cell>
          <cell r="F526">
            <v>0</v>
          </cell>
        </row>
        <row r="527">
          <cell r="E527">
            <v>59.265857260197045</v>
          </cell>
          <cell r="F527">
            <v>0</v>
          </cell>
        </row>
        <row r="528">
          <cell r="E528">
            <v>20.020899745319305</v>
          </cell>
          <cell r="F528">
            <v>0</v>
          </cell>
        </row>
        <row r="529">
          <cell r="E529">
            <v>-5.2621414330278693</v>
          </cell>
          <cell r="F529">
            <v>0</v>
          </cell>
        </row>
        <row r="530">
          <cell r="E530">
            <v>89.483330665632479</v>
          </cell>
          <cell r="F530">
            <v>0</v>
          </cell>
        </row>
        <row r="531">
          <cell r="E531">
            <v>-18.886759471642044</v>
          </cell>
          <cell r="F531">
            <v>0</v>
          </cell>
        </row>
        <row r="532">
          <cell r="E532">
            <v>28.067466284680084</v>
          </cell>
          <cell r="F532">
            <v>0</v>
          </cell>
        </row>
        <row r="533">
          <cell r="E533">
            <v>-12.475646698230229</v>
          </cell>
          <cell r="F533">
            <v>0</v>
          </cell>
        </row>
        <row r="534">
          <cell r="E534">
            <v>-15.18012965669856</v>
          </cell>
          <cell r="F534">
            <v>0</v>
          </cell>
        </row>
        <row r="535">
          <cell r="E535">
            <v>16.12657985812524</v>
          </cell>
          <cell r="F535">
            <v>0</v>
          </cell>
        </row>
        <row r="536">
          <cell r="E536">
            <v>45.968716031343561</v>
          </cell>
          <cell r="F536">
            <v>0</v>
          </cell>
        </row>
        <row r="537">
          <cell r="E537">
            <v>0.92972271704890019</v>
          </cell>
          <cell r="F537">
            <v>0</v>
          </cell>
        </row>
        <row r="538">
          <cell r="E538">
            <v>21.529806685296393</v>
          </cell>
          <cell r="F538">
            <v>0</v>
          </cell>
        </row>
        <row r="539">
          <cell r="E539">
            <v>7.8484485947225622</v>
          </cell>
          <cell r="F539">
            <v>0</v>
          </cell>
        </row>
        <row r="540">
          <cell r="E540">
            <v>3.367493205348902</v>
          </cell>
          <cell r="F540">
            <v>0</v>
          </cell>
        </row>
        <row r="541">
          <cell r="E541">
            <v>-10.705214113132756</v>
          </cell>
          <cell r="F541">
            <v>0</v>
          </cell>
        </row>
        <row r="542">
          <cell r="E542">
            <v>14.724887358766516</v>
          </cell>
          <cell r="F542">
            <v>0</v>
          </cell>
        </row>
        <row r="543">
          <cell r="E543">
            <v>33.067423308071803</v>
          </cell>
          <cell r="F543">
            <v>0</v>
          </cell>
        </row>
        <row r="544">
          <cell r="E544">
            <v>-12.49215583305952</v>
          </cell>
          <cell r="F544">
            <v>0</v>
          </cell>
        </row>
        <row r="545">
          <cell r="E545">
            <v>16.787038073490525</v>
          </cell>
          <cell r="F545">
            <v>0</v>
          </cell>
        </row>
        <row r="546">
          <cell r="E546">
            <v>-7.9451638120902786</v>
          </cell>
          <cell r="F546">
            <v>0</v>
          </cell>
        </row>
        <row r="547">
          <cell r="E547">
            <v>-1.9943034450542592</v>
          </cell>
          <cell r="F547">
            <v>0</v>
          </cell>
        </row>
        <row r="548">
          <cell r="E548">
            <v>46.093117959967536</v>
          </cell>
          <cell r="F548">
            <v>0</v>
          </cell>
        </row>
        <row r="549">
          <cell r="E549">
            <v>17.565057754805544</v>
          </cell>
          <cell r="F549">
            <v>0</v>
          </cell>
        </row>
        <row r="550">
          <cell r="E550">
            <v>-17.653746030265069</v>
          </cell>
          <cell r="F550">
            <v>0</v>
          </cell>
        </row>
        <row r="551">
          <cell r="E551">
            <v>-56.038218871016497</v>
          </cell>
          <cell r="F551">
            <v>0</v>
          </cell>
        </row>
        <row r="552">
          <cell r="E552">
            <v>-10.103599221157713</v>
          </cell>
          <cell r="F552">
            <v>0</v>
          </cell>
        </row>
        <row r="553">
          <cell r="E553">
            <v>49.083543249589361</v>
          </cell>
          <cell r="F553">
            <v>0</v>
          </cell>
        </row>
        <row r="554">
          <cell r="E554">
            <v>-4.7201120154313569</v>
          </cell>
          <cell r="F554">
            <v>0</v>
          </cell>
        </row>
        <row r="555">
          <cell r="E555">
            <v>15.086010553210579</v>
          </cell>
          <cell r="F555">
            <v>0</v>
          </cell>
        </row>
        <row r="556">
          <cell r="E556">
            <v>11.976869636529898</v>
          </cell>
          <cell r="F556">
            <v>0</v>
          </cell>
        </row>
        <row r="557">
          <cell r="E557">
            <v>47.62615952396866</v>
          </cell>
          <cell r="F557">
            <v>0</v>
          </cell>
        </row>
        <row r="558">
          <cell r="E558">
            <v>28.60281804118355</v>
          </cell>
          <cell r="F558">
            <v>0</v>
          </cell>
        </row>
        <row r="559">
          <cell r="E559">
            <v>7.0509151218132651</v>
          </cell>
          <cell r="F559">
            <v>0</v>
          </cell>
        </row>
        <row r="560">
          <cell r="E560">
            <v>16.486350490649034</v>
          </cell>
          <cell r="F560">
            <v>0</v>
          </cell>
        </row>
        <row r="561">
          <cell r="E561">
            <v>-47.246302829771032</v>
          </cell>
          <cell r="F561">
            <v>0</v>
          </cell>
        </row>
        <row r="562">
          <cell r="E562">
            <v>-32.588414623894622</v>
          </cell>
          <cell r="F562">
            <v>0</v>
          </cell>
        </row>
        <row r="563">
          <cell r="E563">
            <v>12.460570170141931</v>
          </cell>
          <cell r="F563">
            <v>0</v>
          </cell>
        </row>
        <row r="564">
          <cell r="E564">
            <v>13.112203725738233</v>
          </cell>
          <cell r="F564">
            <v>0</v>
          </cell>
        </row>
        <row r="565">
          <cell r="E565">
            <v>-6.5492576754094447</v>
          </cell>
          <cell r="F565">
            <v>0</v>
          </cell>
        </row>
        <row r="566">
          <cell r="E566">
            <v>30.516193786581798</v>
          </cell>
          <cell r="F566">
            <v>0</v>
          </cell>
        </row>
        <row r="567">
          <cell r="E567">
            <v>18.043396065230912</v>
          </cell>
          <cell r="F567">
            <v>0</v>
          </cell>
        </row>
        <row r="568">
          <cell r="E568">
            <v>17.953686851835535</v>
          </cell>
          <cell r="F568">
            <v>0</v>
          </cell>
        </row>
        <row r="569">
          <cell r="E569">
            <v>-5.5499547517899348</v>
          </cell>
          <cell r="F569">
            <v>0</v>
          </cell>
        </row>
        <row r="570">
          <cell r="E570">
            <v>2.024719789652222</v>
          </cell>
          <cell r="F570">
            <v>0</v>
          </cell>
        </row>
        <row r="571">
          <cell r="E571">
            <v>24.612737190777416</v>
          </cell>
          <cell r="F571">
            <v>0</v>
          </cell>
        </row>
        <row r="572">
          <cell r="E572">
            <v>53.20647261599337</v>
          </cell>
          <cell r="F572">
            <v>0</v>
          </cell>
        </row>
        <row r="573">
          <cell r="E573">
            <v>-41.143444921895579</v>
          </cell>
          <cell r="F573">
            <v>0</v>
          </cell>
        </row>
        <row r="574">
          <cell r="E574">
            <v>20.404960128923982</v>
          </cell>
          <cell r="F574">
            <v>0</v>
          </cell>
        </row>
        <row r="575">
          <cell r="E575">
            <v>-39.897875368665538</v>
          </cell>
          <cell r="F575">
            <v>0</v>
          </cell>
        </row>
        <row r="576">
          <cell r="E576">
            <v>5.8937428992603902</v>
          </cell>
          <cell r="F576">
            <v>0</v>
          </cell>
        </row>
        <row r="577">
          <cell r="E577">
            <v>-10.009376382808224</v>
          </cell>
          <cell r="F577">
            <v>0</v>
          </cell>
        </row>
        <row r="578">
          <cell r="E578">
            <v>-23.38170379292362</v>
          </cell>
          <cell r="F578">
            <v>0</v>
          </cell>
        </row>
        <row r="579">
          <cell r="E579">
            <v>11.744256360612145</v>
          </cell>
          <cell r="F579">
            <v>0</v>
          </cell>
        </row>
        <row r="580">
          <cell r="E580">
            <v>45.119476797039873</v>
          </cell>
          <cell r="F580">
            <v>0</v>
          </cell>
        </row>
        <row r="581">
          <cell r="E581">
            <v>31.341295585860962</v>
          </cell>
          <cell r="F581">
            <v>0</v>
          </cell>
        </row>
        <row r="582">
          <cell r="E582">
            <v>-14.569447791544739</v>
          </cell>
          <cell r="F582">
            <v>0</v>
          </cell>
        </row>
        <row r="583">
          <cell r="E583">
            <v>49.377474934221681</v>
          </cell>
          <cell r="F583">
            <v>0</v>
          </cell>
        </row>
        <row r="584">
          <cell r="E584">
            <v>3.3546715953011503</v>
          </cell>
          <cell r="F584">
            <v>0</v>
          </cell>
        </row>
        <row r="585">
          <cell r="E585">
            <v>-22.918296410498044</v>
          </cell>
          <cell r="F585">
            <v>0</v>
          </cell>
        </row>
        <row r="586">
          <cell r="E586">
            <v>28.398672055982239</v>
          </cell>
          <cell r="F586">
            <v>0</v>
          </cell>
        </row>
        <row r="587">
          <cell r="E587">
            <v>7.8095831585343856</v>
          </cell>
          <cell r="F587">
            <v>0</v>
          </cell>
        </row>
        <row r="588">
          <cell r="E588">
            <v>-1.4304665655305433</v>
          </cell>
          <cell r="F588">
            <v>0</v>
          </cell>
        </row>
        <row r="589">
          <cell r="E589">
            <v>-1.4049897644188654</v>
          </cell>
          <cell r="F589">
            <v>0</v>
          </cell>
        </row>
        <row r="590">
          <cell r="E590">
            <v>3.5670935515571678</v>
          </cell>
          <cell r="F590">
            <v>0</v>
          </cell>
        </row>
        <row r="591">
          <cell r="E591">
            <v>5.3710543920442744</v>
          </cell>
          <cell r="F591">
            <v>0</v>
          </cell>
        </row>
        <row r="592">
          <cell r="E592">
            <v>-111.81072027623119</v>
          </cell>
          <cell r="F592">
            <v>0</v>
          </cell>
        </row>
        <row r="593">
          <cell r="E593">
            <v>-33.527474090511596</v>
          </cell>
          <cell r="F593">
            <v>0</v>
          </cell>
        </row>
        <row r="594">
          <cell r="E594">
            <v>-2.7317284358428138</v>
          </cell>
          <cell r="F594">
            <v>0</v>
          </cell>
        </row>
        <row r="595">
          <cell r="E595">
            <v>37.793623507976072</v>
          </cell>
          <cell r="F595">
            <v>0</v>
          </cell>
        </row>
        <row r="596">
          <cell r="E596">
            <v>46.962219615578796</v>
          </cell>
          <cell r="F596">
            <v>0</v>
          </cell>
        </row>
        <row r="597">
          <cell r="E597">
            <v>-36.709610749653258</v>
          </cell>
          <cell r="F597">
            <v>0</v>
          </cell>
        </row>
        <row r="598">
          <cell r="E598">
            <v>2.1026625929172003</v>
          </cell>
          <cell r="F598">
            <v>0</v>
          </cell>
        </row>
        <row r="599">
          <cell r="E599">
            <v>19.992500377021628</v>
          </cell>
          <cell r="F599">
            <v>0</v>
          </cell>
        </row>
        <row r="600">
          <cell r="E600">
            <v>31.976188919532937</v>
          </cell>
          <cell r="F600">
            <v>0</v>
          </cell>
        </row>
        <row r="601">
          <cell r="E601">
            <v>38.781581979553486</v>
          </cell>
          <cell r="F601">
            <v>0</v>
          </cell>
        </row>
        <row r="602">
          <cell r="E602">
            <v>-37.04500655200507</v>
          </cell>
          <cell r="F602">
            <v>0</v>
          </cell>
        </row>
        <row r="603">
          <cell r="E603">
            <v>11.023007763658134</v>
          </cell>
          <cell r="F603">
            <v>0</v>
          </cell>
        </row>
        <row r="604">
          <cell r="E604">
            <v>15.183599979652325</v>
          </cell>
          <cell r="F604">
            <v>0</v>
          </cell>
        </row>
        <row r="605">
          <cell r="E605">
            <v>37.819090602489595</v>
          </cell>
          <cell r="F605">
            <v>0</v>
          </cell>
        </row>
        <row r="606">
          <cell r="E606">
            <v>49.443494993607807</v>
          </cell>
          <cell r="F606">
            <v>0</v>
          </cell>
        </row>
        <row r="607">
          <cell r="E607">
            <v>-18.434437773461084</v>
          </cell>
          <cell r="F607">
            <v>0</v>
          </cell>
        </row>
        <row r="608">
          <cell r="E608">
            <v>65.616455046991973</v>
          </cell>
          <cell r="F608">
            <v>0</v>
          </cell>
        </row>
        <row r="609">
          <cell r="E609">
            <v>-8.1625427177735101</v>
          </cell>
          <cell r="F609">
            <v>0</v>
          </cell>
        </row>
        <row r="610">
          <cell r="E610">
            <v>36.599290598223021</v>
          </cell>
          <cell r="F610">
            <v>0</v>
          </cell>
        </row>
        <row r="611">
          <cell r="E611">
            <v>39.02755690951053</v>
          </cell>
          <cell r="F611">
            <v>0</v>
          </cell>
        </row>
        <row r="612">
          <cell r="E612">
            <v>40.867539413924916</v>
          </cell>
          <cell r="F612">
            <v>0</v>
          </cell>
        </row>
        <row r="613">
          <cell r="E613">
            <v>68.681927450076273</v>
          </cell>
          <cell r="F613">
            <v>0</v>
          </cell>
        </row>
        <row r="614">
          <cell r="E614">
            <v>4.4168890812123767</v>
          </cell>
          <cell r="F614">
            <v>0</v>
          </cell>
        </row>
        <row r="615">
          <cell r="E615">
            <v>25.646390454249534</v>
          </cell>
          <cell r="F615">
            <v>0</v>
          </cell>
        </row>
        <row r="616">
          <cell r="E616">
            <v>14.367481638462644</v>
          </cell>
          <cell r="F616">
            <v>0</v>
          </cell>
        </row>
        <row r="617">
          <cell r="E617">
            <v>-18.529486746984347</v>
          </cell>
          <cell r="F617">
            <v>0</v>
          </cell>
        </row>
        <row r="618">
          <cell r="E618">
            <v>-13.633338807067229</v>
          </cell>
          <cell r="F618">
            <v>0</v>
          </cell>
        </row>
        <row r="619">
          <cell r="E619">
            <v>58.222966551225795</v>
          </cell>
          <cell r="F619">
            <v>0</v>
          </cell>
        </row>
        <row r="620">
          <cell r="E620">
            <v>-44.997084077182947</v>
          </cell>
          <cell r="F620">
            <v>0</v>
          </cell>
        </row>
        <row r="621">
          <cell r="E621">
            <v>27.856738664487718</v>
          </cell>
          <cell r="F621">
            <v>0</v>
          </cell>
        </row>
        <row r="622">
          <cell r="E622">
            <v>4.9439160918716585</v>
          </cell>
          <cell r="F622">
            <v>0</v>
          </cell>
        </row>
        <row r="623">
          <cell r="E623">
            <v>16.629819889443475</v>
          </cell>
          <cell r="F623">
            <v>0</v>
          </cell>
        </row>
        <row r="624">
          <cell r="E624">
            <v>34.543892041374541</v>
          </cell>
          <cell r="F624">
            <v>0</v>
          </cell>
        </row>
        <row r="625">
          <cell r="E625">
            <v>16.882061662604499</v>
          </cell>
          <cell r="F625">
            <v>0</v>
          </cell>
        </row>
        <row r="626">
          <cell r="E626">
            <v>37.2416226812351</v>
          </cell>
          <cell r="F626">
            <v>0</v>
          </cell>
        </row>
        <row r="627">
          <cell r="E627">
            <v>21.378524133692295</v>
          </cell>
          <cell r="F627">
            <v>0</v>
          </cell>
        </row>
        <row r="628">
          <cell r="E628">
            <v>-32.262529378755872</v>
          </cell>
          <cell r="F628">
            <v>0</v>
          </cell>
        </row>
        <row r="629">
          <cell r="E629">
            <v>-19.629416554018846</v>
          </cell>
          <cell r="F629">
            <v>0</v>
          </cell>
        </row>
        <row r="630">
          <cell r="E630">
            <v>-5.6360036444841395</v>
          </cell>
          <cell r="F630">
            <v>0</v>
          </cell>
        </row>
        <row r="631">
          <cell r="E631">
            <v>-11.71418886666741</v>
          </cell>
          <cell r="F631">
            <v>0</v>
          </cell>
        </row>
        <row r="632">
          <cell r="E632">
            <v>11.53817141550377</v>
          </cell>
          <cell r="F632">
            <v>0</v>
          </cell>
        </row>
        <row r="633">
          <cell r="E633">
            <v>21.538838206095253</v>
          </cell>
          <cell r="F633">
            <v>0</v>
          </cell>
        </row>
        <row r="634">
          <cell r="E634">
            <v>39.166784209826311</v>
          </cell>
          <cell r="F634">
            <v>0</v>
          </cell>
        </row>
        <row r="635">
          <cell r="E635">
            <v>-37.996676094718943</v>
          </cell>
          <cell r="F635">
            <v>0</v>
          </cell>
        </row>
        <row r="636">
          <cell r="E636">
            <v>69.143275576426817</v>
          </cell>
          <cell r="F636">
            <v>0</v>
          </cell>
        </row>
        <row r="637">
          <cell r="E637">
            <v>1.688863356653389</v>
          </cell>
          <cell r="F637">
            <v>0</v>
          </cell>
        </row>
        <row r="638">
          <cell r="E638">
            <v>-11.147576641362351</v>
          </cell>
          <cell r="F638">
            <v>0</v>
          </cell>
        </row>
        <row r="639">
          <cell r="E639">
            <v>80.882449341395457</v>
          </cell>
          <cell r="F639">
            <v>0</v>
          </cell>
        </row>
        <row r="640">
          <cell r="E640">
            <v>18.743877110204444</v>
          </cell>
          <cell r="F640">
            <v>0</v>
          </cell>
        </row>
        <row r="641">
          <cell r="E641">
            <v>34.767999914759045</v>
          </cell>
          <cell r="F641">
            <v>0</v>
          </cell>
        </row>
        <row r="642">
          <cell r="E642">
            <v>-4.7520797966582071</v>
          </cell>
          <cell r="F642">
            <v>0</v>
          </cell>
        </row>
        <row r="643">
          <cell r="E643">
            <v>34.704384025006505</v>
          </cell>
          <cell r="F643">
            <v>0</v>
          </cell>
        </row>
        <row r="644">
          <cell r="E644">
            <v>6.0648928326648601</v>
          </cell>
          <cell r="F644">
            <v>0</v>
          </cell>
        </row>
        <row r="645">
          <cell r="E645">
            <v>25.66076704113453</v>
          </cell>
          <cell r="F645">
            <v>0</v>
          </cell>
        </row>
        <row r="646">
          <cell r="E646">
            <v>32.775877115880114</v>
          </cell>
          <cell r="F646">
            <v>0</v>
          </cell>
        </row>
        <row r="647">
          <cell r="E647">
            <v>-8.0318820766745631</v>
          </cell>
          <cell r="F647">
            <v>0</v>
          </cell>
        </row>
        <row r="648">
          <cell r="E648">
            <v>6.2151884113162374</v>
          </cell>
          <cell r="F648">
            <v>0</v>
          </cell>
        </row>
        <row r="649">
          <cell r="E649">
            <v>19.088332385100355</v>
          </cell>
          <cell r="F649">
            <v>0</v>
          </cell>
        </row>
        <row r="650">
          <cell r="E650">
            <v>-26.962070899291295</v>
          </cell>
          <cell r="F650">
            <v>0</v>
          </cell>
        </row>
        <row r="651">
          <cell r="E651">
            <v>-37.051279014499983</v>
          </cell>
          <cell r="F651">
            <v>0</v>
          </cell>
        </row>
        <row r="652">
          <cell r="E652">
            <v>40.90359096938711</v>
          </cell>
          <cell r="F652">
            <v>0</v>
          </cell>
        </row>
        <row r="653">
          <cell r="E653">
            <v>-31.68881345128219</v>
          </cell>
          <cell r="F653">
            <v>0</v>
          </cell>
        </row>
        <row r="654">
          <cell r="E654">
            <v>6.3643722941244603</v>
          </cell>
          <cell r="F654">
            <v>0</v>
          </cell>
        </row>
        <row r="655">
          <cell r="E655">
            <v>-2.6380324598788789</v>
          </cell>
          <cell r="F655">
            <v>0</v>
          </cell>
        </row>
        <row r="656">
          <cell r="E656">
            <v>-24.928188675303311</v>
          </cell>
          <cell r="F656">
            <v>0</v>
          </cell>
        </row>
        <row r="657">
          <cell r="E657">
            <v>34.457931570852864</v>
          </cell>
          <cell r="F657">
            <v>0</v>
          </cell>
        </row>
        <row r="658">
          <cell r="E658">
            <v>32.843717722312427</v>
          </cell>
          <cell r="F658">
            <v>0</v>
          </cell>
        </row>
        <row r="659">
          <cell r="E659">
            <v>-38.566902991484241</v>
          </cell>
          <cell r="F659">
            <v>0</v>
          </cell>
        </row>
        <row r="660">
          <cell r="E660">
            <v>7.0523086634592733</v>
          </cell>
          <cell r="F660">
            <v>0</v>
          </cell>
        </row>
        <row r="661">
          <cell r="E661">
            <v>15.326806880895688</v>
          </cell>
          <cell r="F661">
            <v>0</v>
          </cell>
        </row>
        <row r="662">
          <cell r="E662">
            <v>2.0242335500680895</v>
          </cell>
          <cell r="F662">
            <v>0</v>
          </cell>
        </row>
        <row r="663">
          <cell r="E663">
            <v>-43.202080983329402</v>
          </cell>
          <cell r="F663">
            <v>0</v>
          </cell>
        </row>
        <row r="664">
          <cell r="E664">
            <v>18.011905029522541</v>
          </cell>
          <cell r="F664">
            <v>0</v>
          </cell>
        </row>
        <row r="665">
          <cell r="E665">
            <v>5.2386066146783428</v>
          </cell>
          <cell r="F665">
            <v>0</v>
          </cell>
        </row>
        <row r="666">
          <cell r="E666">
            <v>46.467643032265059</v>
          </cell>
          <cell r="F666">
            <v>0</v>
          </cell>
        </row>
        <row r="667">
          <cell r="E667">
            <v>19.637255620719252</v>
          </cell>
          <cell r="F667">
            <v>0</v>
          </cell>
        </row>
        <row r="668">
          <cell r="E668">
            <v>-20.712068574815994</v>
          </cell>
          <cell r="F668">
            <v>0</v>
          </cell>
        </row>
        <row r="669">
          <cell r="E669">
            <v>-0.30754433017660077</v>
          </cell>
          <cell r="F669">
            <v>0</v>
          </cell>
        </row>
        <row r="670">
          <cell r="E670">
            <v>7.4647384560146186</v>
          </cell>
          <cell r="F670">
            <v>0</v>
          </cell>
        </row>
        <row r="671">
          <cell r="E671">
            <v>-10.127395971535996</v>
          </cell>
          <cell r="F671">
            <v>0</v>
          </cell>
        </row>
        <row r="672">
          <cell r="E672">
            <v>5.849521607729435</v>
          </cell>
          <cell r="F672">
            <v>0</v>
          </cell>
        </row>
        <row r="673">
          <cell r="E673">
            <v>8.8302015085549925</v>
          </cell>
          <cell r="F673">
            <v>0</v>
          </cell>
        </row>
        <row r="674">
          <cell r="E674">
            <v>-21.918146291283534</v>
          </cell>
          <cell r="F674">
            <v>0</v>
          </cell>
        </row>
        <row r="675">
          <cell r="E675">
            <v>-19.821914722515594</v>
          </cell>
          <cell r="F675">
            <v>0</v>
          </cell>
        </row>
        <row r="676">
          <cell r="E676">
            <v>2.8789976854967918</v>
          </cell>
          <cell r="F676">
            <v>0</v>
          </cell>
        </row>
        <row r="677">
          <cell r="E677">
            <v>32.319274890075732</v>
          </cell>
          <cell r="F677">
            <v>0</v>
          </cell>
        </row>
        <row r="678">
          <cell r="E678">
            <v>-14.310890826386984</v>
          </cell>
          <cell r="F678">
            <v>0</v>
          </cell>
        </row>
        <row r="679">
          <cell r="E679">
            <v>21.313983095519379</v>
          </cell>
          <cell r="F679">
            <v>0</v>
          </cell>
        </row>
        <row r="680">
          <cell r="E680">
            <v>-38.433043380426767</v>
          </cell>
          <cell r="F680">
            <v>0</v>
          </cell>
        </row>
        <row r="681">
          <cell r="E681">
            <v>45.37329677129182</v>
          </cell>
          <cell r="F681">
            <v>0</v>
          </cell>
        </row>
        <row r="682">
          <cell r="E682">
            <v>18.275272259652908</v>
          </cell>
          <cell r="F682">
            <v>0</v>
          </cell>
        </row>
        <row r="683">
          <cell r="E683">
            <v>9.8713881200618623</v>
          </cell>
          <cell r="F683">
            <v>0</v>
          </cell>
        </row>
        <row r="684">
          <cell r="E684">
            <v>23.123936468339018</v>
          </cell>
          <cell r="F684">
            <v>0</v>
          </cell>
        </row>
        <row r="685">
          <cell r="E685">
            <v>20.728042251594264</v>
          </cell>
          <cell r="F685">
            <v>0</v>
          </cell>
        </row>
        <row r="686">
          <cell r="E686">
            <v>-6.1453523484400172</v>
          </cell>
          <cell r="F686">
            <v>0</v>
          </cell>
        </row>
        <row r="687">
          <cell r="E687">
            <v>2.8573155894376487</v>
          </cell>
          <cell r="F687">
            <v>0</v>
          </cell>
        </row>
        <row r="688">
          <cell r="E688">
            <v>-24.107802387324821</v>
          </cell>
          <cell r="F688">
            <v>0</v>
          </cell>
        </row>
        <row r="689">
          <cell r="E689">
            <v>-34.122643653347907</v>
          </cell>
          <cell r="F689">
            <v>0</v>
          </cell>
        </row>
        <row r="690">
          <cell r="E690">
            <v>23.871526157025901</v>
          </cell>
          <cell r="F690">
            <v>0</v>
          </cell>
        </row>
        <row r="691">
          <cell r="E691">
            <v>8.0282239759278564</v>
          </cell>
          <cell r="F691">
            <v>0</v>
          </cell>
        </row>
        <row r="692">
          <cell r="E692">
            <v>29.7851484757227</v>
          </cell>
          <cell r="F692">
            <v>0</v>
          </cell>
        </row>
        <row r="693">
          <cell r="E693">
            <v>-24.465633246811429</v>
          </cell>
          <cell r="F693">
            <v>0</v>
          </cell>
        </row>
        <row r="694">
          <cell r="E694">
            <v>-13.334218413532525</v>
          </cell>
          <cell r="F694">
            <v>0</v>
          </cell>
        </row>
        <row r="695">
          <cell r="E695">
            <v>15.210714583915497</v>
          </cell>
          <cell r="F695">
            <v>0</v>
          </cell>
        </row>
        <row r="696">
          <cell r="E696">
            <v>57.621819199508337</v>
          </cell>
          <cell r="F696">
            <v>0</v>
          </cell>
        </row>
        <row r="697">
          <cell r="E697">
            <v>5.3283864596248351</v>
          </cell>
          <cell r="F697">
            <v>0</v>
          </cell>
        </row>
        <row r="698">
          <cell r="E698">
            <v>-7.8144363129494554</v>
          </cell>
          <cell r="F698">
            <v>0</v>
          </cell>
        </row>
        <row r="699">
          <cell r="E699">
            <v>-5.1066308773368014</v>
          </cell>
          <cell r="F699">
            <v>0</v>
          </cell>
        </row>
        <row r="700">
          <cell r="E700">
            <v>-48.56684609470998</v>
          </cell>
          <cell r="F700">
            <v>0</v>
          </cell>
        </row>
        <row r="701">
          <cell r="E701">
            <v>-11.572792023103389</v>
          </cell>
          <cell r="F701">
            <v>0</v>
          </cell>
        </row>
        <row r="702">
          <cell r="E702">
            <v>4.447351000763442</v>
          </cell>
          <cell r="F702">
            <v>0</v>
          </cell>
        </row>
        <row r="703">
          <cell r="E703">
            <v>26.207143474091971</v>
          </cell>
          <cell r="F703">
            <v>0</v>
          </cell>
        </row>
        <row r="704">
          <cell r="E704">
            <v>21.519506112512708</v>
          </cell>
          <cell r="F704">
            <v>0</v>
          </cell>
        </row>
        <row r="705">
          <cell r="E705">
            <v>20.678841726104299</v>
          </cell>
          <cell r="F705">
            <v>0</v>
          </cell>
        </row>
        <row r="706">
          <cell r="E706">
            <v>-16.518221372211052</v>
          </cell>
          <cell r="F706">
            <v>0</v>
          </cell>
        </row>
        <row r="707">
          <cell r="E707">
            <v>-26.50951185904993</v>
          </cell>
          <cell r="F707">
            <v>0</v>
          </cell>
        </row>
        <row r="708">
          <cell r="E708">
            <v>29.662643065469307</v>
          </cell>
          <cell r="F708">
            <v>0</v>
          </cell>
        </row>
        <row r="709">
          <cell r="E709">
            <v>-17.439346592313356</v>
          </cell>
          <cell r="F709">
            <v>0</v>
          </cell>
        </row>
        <row r="710">
          <cell r="E710">
            <v>19.917057877686474</v>
          </cell>
          <cell r="F710">
            <v>0</v>
          </cell>
        </row>
        <row r="711">
          <cell r="E711">
            <v>9.4880826580827708</v>
          </cell>
          <cell r="F711">
            <v>0</v>
          </cell>
        </row>
        <row r="712">
          <cell r="E712">
            <v>18.631144453038424</v>
          </cell>
          <cell r="F712">
            <v>0</v>
          </cell>
        </row>
        <row r="713">
          <cell r="E713">
            <v>-29.413380902025107</v>
          </cell>
          <cell r="F713">
            <v>0</v>
          </cell>
        </row>
        <row r="714">
          <cell r="E714">
            <v>19.778141659171741</v>
          </cell>
          <cell r="F714">
            <v>0</v>
          </cell>
        </row>
        <row r="715">
          <cell r="E715">
            <v>18.863295661883868</v>
          </cell>
          <cell r="F715">
            <v>0</v>
          </cell>
        </row>
        <row r="716">
          <cell r="E716">
            <v>-20.30164860325165</v>
          </cell>
          <cell r="F716">
            <v>0</v>
          </cell>
        </row>
        <row r="717">
          <cell r="E717">
            <v>-6.0574536757894446</v>
          </cell>
          <cell r="F717">
            <v>0</v>
          </cell>
        </row>
        <row r="718">
          <cell r="E718">
            <v>0.80029444532685368</v>
          </cell>
          <cell r="F718">
            <v>0</v>
          </cell>
        </row>
        <row r="719">
          <cell r="E719">
            <v>16.632276676366445</v>
          </cell>
          <cell r="F719">
            <v>0</v>
          </cell>
        </row>
        <row r="720">
          <cell r="E720">
            <v>17.184375853198119</v>
          </cell>
          <cell r="F720">
            <v>0</v>
          </cell>
        </row>
        <row r="721">
          <cell r="E721">
            <v>-3.8432899831286154</v>
          </cell>
          <cell r="F721">
            <v>0</v>
          </cell>
        </row>
        <row r="722">
          <cell r="E722">
            <v>25.506739022472765</v>
          </cell>
          <cell r="F722">
            <v>0</v>
          </cell>
        </row>
        <row r="723">
          <cell r="E723">
            <v>-21.16125055231015</v>
          </cell>
          <cell r="F723">
            <v>0</v>
          </cell>
        </row>
        <row r="724">
          <cell r="E724">
            <v>-29.0810433881284</v>
          </cell>
          <cell r="F724">
            <v>0</v>
          </cell>
        </row>
        <row r="725">
          <cell r="E725">
            <v>-8.9099417446863178</v>
          </cell>
          <cell r="F725">
            <v>0</v>
          </cell>
        </row>
        <row r="726">
          <cell r="E726">
            <v>-24.16698490209243</v>
          </cell>
          <cell r="F726">
            <v>0</v>
          </cell>
        </row>
        <row r="727">
          <cell r="E727">
            <v>9.5953427785839089</v>
          </cell>
          <cell r="F727">
            <v>0</v>
          </cell>
        </row>
        <row r="728">
          <cell r="E728">
            <v>8.1960902538219269</v>
          </cell>
          <cell r="F728">
            <v>0</v>
          </cell>
        </row>
        <row r="729">
          <cell r="E729">
            <v>-51.373534354606733</v>
          </cell>
          <cell r="F729">
            <v>0</v>
          </cell>
        </row>
        <row r="730">
          <cell r="E730">
            <v>26.42724115366568</v>
          </cell>
          <cell r="F730">
            <v>0</v>
          </cell>
        </row>
        <row r="731">
          <cell r="E731">
            <v>-11.618276023141263</v>
          </cell>
          <cell r="F731">
            <v>0</v>
          </cell>
        </row>
        <row r="732">
          <cell r="E732">
            <v>-35.648829889885931</v>
          </cell>
          <cell r="F732">
            <v>0</v>
          </cell>
        </row>
        <row r="733">
          <cell r="E733">
            <v>-13.669326662567563</v>
          </cell>
          <cell r="F733">
            <v>0</v>
          </cell>
        </row>
        <row r="734">
          <cell r="E734">
            <v>38.803509020976229</v>
          </cell>
          <cell r="F734">
            <v>0</v>
          </cell>
        </row>
        <row r="735">
          <cell r="E735">
            <v>1.6598573697772814</v>
          </cell>
          <cell r="F735">
            <v>0</v>
          </cell>
        </row>
        <row r="736">
          <cell r="E736">
            <v>5.1807227368558575</v>
          </cell>
          <cell r="F736">
            <v>0</v>
          </cell>
        </row>
        <row r="737">
          <cell r="E737">
            <v>-5.9929949235555835E-2</v>
          </cell>
          <cell r="F737">
            <v>0</v>
          </cell>
        </row>
        <row r="738">
          <cell r="E738">
            <v>60.167277701681449</v>
          </cell>
          <cell r="F738">
            <v>0</v>
          </cell>
        </row>
        <row r="739">
          <cell r="E739">
            <v>-20.384967972619279</v>
          </cell>
          <cell r="F739">
            <v>0</v>
          </cell>
        </row>
        <row r="740">
          <cell r="E740">
            <v>-6.3843467424122711</v>
          </cell>
          <cell r="F740">
            <v>0</v>
          </cell>
        </row>
        <row r="741">
          <cell r="E741">
            <v>-31.492888740774184</v>
          </cell>
          <cell r="F741">
            <v>0</v>
          </cell>
        </row>
        <row r="742">
          <cell r="E742">
            <v>43.822494991881484</v>
          </cell>
          <cell r="F742">
            <v>0</v>
          </cell>
        </row>
        <row r="743">
          <cell r="E743">
            <v>9.8934602066677009</v>
          </cell>
          <cell r="F743">
            <v>0</v>
          </cell>
        </row>
        <row r="744">
          <cell r="E744">
            <v>40.076437509283402</v>
          </cell>
          <cell r="F744">
            <v>0</v>
          </cell>
        </row>
        <row r="745">
          <cell r="E745">
            <v>35.172287817800132</v>
          </cell>
          <cell r="F745">
            <v>0</v>
          </cell>
        </row>
        <row r="746">
          <cell r="E746">
            <v>-33.596526469827246</v>
          </cell>
          <cell r="F746">
            <v>0</v>
          </cell>
        </row>
        <row r="747">
          <cell r="E747">
            <v>23.579165362850489</v>
          </cell>
          <cell r="F747">
            <v>0</v>
          </cell>
        </row>
        <row r="748">
          <cell r="E748">
            <v>66.014969647153805</v>
          </cell>
          <cell r="F748">
            <v>0</v>
          </cell>
        </row>
        <row r="749">
          <cell r="E749">
            <v>27.364240690139425</v>
          </cell>
          <cell r="F749">
            <v>0</v>
          </cell>
        </row>
        <row r="750">
          <cell r="E750">
            <v>-15.056536730082044</v>
          </cell>
          <cell r="F750">
            <v>0</v>
          </cell>
        </row>
        <row r="751">
          <cell r="E751">
            <v>52.601455543809358</v>
          </cell>
          <cell r="F751">
            <v>0</v>
          </cell>
        </row>
        <row r="752">
          <cell r="E752">
            <v>12.880832214572248</v>
          </cell>
          <cell r="F752">
            <v>0</v>
          </cell>
        </row>
        <row r="753">
          <cell r="E753">
            <v>-17.644354651183626</v>
          </cell>
          <cell r="F753">
            <v>0</v>
          </cell>
        </row>
        <row r="754">
          <cell r="E754">
            <v>23.48938194309315</v>
          </cell>
          <cell r="F754">
            <v>0</v>
          </cell>
        </row>
        <row r="755">
          <cell r="E755">
            <v>-2.7043958584306305</v>
          </cell>
          <cell r="F755">
            <v>0</v>
          </cell>
        </row>
        <row r="756">
          <cell r="E756">
            <v>-10.721671778017983</v>
          </cell>
          <cell r="F756">
            <v>0</v>
          </cell>
        </row>
        <row r="757">
          <cell r="E757">
            <v>33.182004525579899</v>
          </cell>
          <cell r="F757">
            <v>0</v>
          </cell>
        </row>
        <row r="758">
          <cell r="E758">
            <v>29.985543156688777</v>
          </cell>
          <cell r="F758">
            <v>0</v>
          </cell>
        </row>
        <row r="759">
          <cell r="E759">
            <v>19.957836958334617</v>
          </cell>
          <cell r="F759">
            <v>0</v>
          </cell>
        </row>
        <row r="760">
          <cell r="E760">
            <v>3.7291553701920002</v>
          </cell>
          <cell r="F760">
            <v>0</v>
          </cell>
        </row>
        <row r="761">
          <cell r="E761">
            <v>33.150457406140575</v>
          </cell>
          <cell r="F761">
            <v>0</v>
          </cell>
        </row>
        <row r="762">
          <cell r="E762">
            <v>21.932139016581253</v>
          </cell>
          <cell r="F762">
            <v>0</v>
          </cell>
        </row>
        <row r="763">
          <cell r="E763">
            <v>44.086970275020064</v>
          </cell>
          <cell r="F763">
            <v>0</v>
          </cell>
        </row>
        <row r="764">
          <cell r="E764">
            <v>5.6562936225181453</v>
          </cell>
          <cell r="F764">
            <v>0</v>
          </cell>
        </row>
        <row r="765">
          <cell r="E765">
            <v>-5.9942529063900238</v>
          </cell>
          <cell r="F765">
            <v>0</v>
          </cell>
        </row>
        <row r="766">
          <cell r="E766">
            <v>9.3760946367323221</v>
          </cell>
          <cell r="F766">
            <v>0</v>
          </cell>
        </row>
        <row r="767">
          <cell r="E767">
            <v>-95.574393594383253</v>
          </cell>
          <cell r="F767">
            <v>0</v>
          </cell>
        </row>
        <row r="768">
          <cell r="E768">
            <v>-24.600259725221186</v>
          </cell>
          <cell r="F768">
            <v>0</v>
          </cell>
        </row>
        <row r="769">
          <cell r="E769">
            <v>0.46584656226318266</v>
          </cell>
          <cell r="F769">
            <v>0</v>
          </cell>
        </row>
        <row r="770">
          <cell r="E770">
            <v>-47.031147016728063</v>
          </cell>
          <cell r="F770">
            <v>1</v>
          </cell>
        </row>
        <row r="771">
          <cell r="E771">
            <v>60.312339881232539</v>
          </cell>
          <cell r="F771">
            <v>0</v>
          </cell>
        </row>
        <row r="772">
          <cell r="E772">
            <v>-0.91724602008628686</v>
          </cell>
          <cell r="F772">
            <v>0</v>
          </cell>
        </row>
        <row r="773">
          <cell r="E773">
            <v>-21.705698541103043</v>
          </cell>
          <cell r="F773">
            <v>0</v>
          </cell>
        </row>
        <row r="774">
          <cell r="E774">
            <v>14.049822281690799</v>
          </cell>
          <cell r="F774">
            <v>0</v>
          </cell>
        </row>
        <row r="775">
          <cell r="E775">
            <v>-10.654507168262311</v>
          </cell>
          <cell r="F775">
            <v>0</v>
          </cell>
        </row>
        <row r="776">
          <cell r="E776">
            <v>-21.162163327453349</v>
          </cell>
          <cell r="F776">
            <v>0</v>
          </cell>
        </row>
        <row r="777">
          <cell r="E777">
            <v>20.081909850262374</v>
          </cell>
          <cell r="F777">
            <v>0</v>
          </cell>
        </row>
        <row r="778">
          <cell r="E778">
            <v>38.399971344802282</v>
          </cell>
          <cell r="F778">
            <v>0</v>
          </cell>
        </row>
        <row r="779">
          <cell r="E779">
            <v>18.660880360817135</v>
          </cell>
          <cell r="F779">
            <v>0</v>
          </cell>
        </row>
        <row r="780">
          <cell r="E780">
            <v>21.81945402996298</v>
          </cell>
          <cell r="F780">
            <v>0</v>
          </cell>
        </row>
        <row r="781">
          <cell r="E781">
            <v>5.1662101519319936</v>
          </cell>
          <cell r="F781">
            <v>0</v>
          </cell>
        </row>
        <row r="782">
          <cell r="E782">
            <v>9.6822381336216932</v>
          </cell>
          <cell r="F782">
            <v>0</v>
          </cell>
        </row>
        <row r="783">
          <cell r="E783">
            <v>23.133770215625468</v>
          </cell>
          <cell r="F783">
            <v>0</v>
          </cell>
        </row>
        <row r="784">
          <cell r="E784">
            <v>-25.379720755246421</v>
          </cell>
          <cell r="F784">
            <v>0</v>
          </cell>
        </row>
        <row r="785">
          <cell r="E785">
            <v>26.040789286089336</v>
          </cell>
          <cell r="F785">
            <v>0</v>
          </cell>
        </row>
        <row r="786">
          <cell r="E786">
            <v>37.923827680135894</v>
          </cell>
          <cell r="F786">
            <v>0</v>
          </cell>
        </row>
        <row r="787">
          <cell r="E787">
            <v>-49.409818053961729</v>
          </cell>
          <cell r="F787">
            <v>0</v>
          </cell>
        </row>
        <row r="788">
          <cell r="E788">
            <v>38.598607689133246</v>
          </cell>
          <cell r="F788">
            <v>0</v>
          </cell>
        </row>
        <row r="789">
          <cell r="E789">
            <v>-0.52495302044357384</v>
          </cell>
          <cell r="F789">
            <v>0</v>
          </cell>
        </row>
        <row r="790">
          <cell r="E790">
            <v>20.056429629405216</v>
          </cell>
          <cell r="F790">
            <v>0</v>
          </cell>
        </row>
        <row r="791">
          <cell r="E791">
            <v>6.6496976103617289</v>
          </cell>
          <cell r="F791">
            <v>0</v>
          </cell>
        </row>
        <row r="792">
          <cell r="E792">
            <v>4.2678909456454281</v>
          </cell>
          <cell r="F792">
            <v>0</v>
          </cell>
        </row>
        <row r="793">
          <cell r="E793">
            <v>0.99492947778081842</v>
          </cell>
          <cell r="F793">
            <v>0</v>
          </cell>
        </row>
        <row r="794">
          <cell r="E794">
            <v>6.2757580100310157</v>
          </cell>
          <cell r="F794">
            <v>0</v>
          </cell>
        </row>
        <row r="795">
          <cell r="E795">
            <v>15.951567931263604</v>
          </cell>
          <cell r="F795">
            <v>0</v>
          </cell>
        </row>
        <row r="796">
          <cell r="E796">
            <v>6.4005948750815733</v>
          </cell>
          <cell r="F796">
            <v>0</v>
          </cell>
        </row>
        <row r="797">
          <cell r="E797">
            <v>53.44494881189604</v>
          </cell>
          <cell r="F797">
            <v>0</v>
          </cell>
        </row>
        <row r="798">
          <cell r="E798">
            <v>-0.70070655547883831</v>
          </cell>
          <cell r="F798">
            <v>0</v>
          </cell>
        </row>
        <row r="799">
          <cell r="E799">
            <v>-17.445205837833822</v>
          </cell>
          <cell r="F799">
            <v>0</v>
          </cell>
        </row>
        <row r="800">
          <cell r="E800">
            <v>41.735794648440077</v>
          </cell>
          <cell r="F800">
            <v>0</v>
          </cell>
        </row>
        <row r="801">
          <cell r="E801">
            <v>17.408870059689669</v>
          </cell>
          <cell r="F801">
            <v>0</v>
          </cell>
        </row>
        <row r="802">
          <cell r="E802">
            <v>-18.437879892216355</v>
          </cell>
          <cell r="F802">
            <v>0</v>
          </cell>
        </row>
        <row r="803">
          <cell r="E803">
            <v>-11.635654652835372</v>
          </cell>
          <cell r="F803">
            <v>0</v>
          </cell>
        </row>
        <row r="804">
          <cell r="E804">
            <v>-9.4200633494429233</v>
          </cell>
          <cell r="F804">
            <v>0</v>
          </cell>
        </row>
        <row r="805">
          <cell r="E805">
            <v>30.87859312430226</v>
          </cell>
          <cell r="F805">
            <v>0</v>
          </cell>
        </row>
        <row r="806">
          <cell r="E806">
            <v>4.6856556377987832</v>
          </cell>
          <cell r="F806">
            <v>0</v>
          </cell>
        </row>
        <row r="807">
          <cell r="E807">
            <v>19.144679761253379</v>
          </cell>
          <cell r="F807">
            <v>0</v>
          </cell>
        </row>
        <row r="808">
          <cell r="E808">
            <v>6.0275637003727205</v>
          </cell>
          <cell r="F808">
            <v>0</v>
          </cell>
        </row>
        <row r="809">
          <cell r="E809">
            <v>1.6301922209964523</v>
          </cell>
          <cell r="F809">
            <v>0</v>
          </cell>
        </row>
        <row r="810">
          <cell r="E810">
            <v>18.460047071762606</v>
          </cell>
          <cell r="F810">
            <v>0</v>
          </cell>
        </row>
        <row r="811">
          <cell r="E811">
            <v>40.931389523820542</v>
          </cell>
          <cell r="F811">
            <v>0</v>
          </cell>
        </row>
        <row r="812">
          <cell r="E812">
            <v>-13.526935006091575</v>
          </cell>
          <cell r="F812">
            <v>0</v>
          </cell>
        </row>
        <row r="813">
          <cell r="E813">
            <v>7.3802784490223843</v>
          </cell>
          <cell r="F813">
            <v>0</v>
          </cell>
        </row>
        <row r="814">
          <cell r="E814">
            <v>54.52595239768133</v>
          </cell>
          <cell r="F814">
            <v>0</v>
          </cell>
        </row>
        <row r="815">
          <cell r="E815">
            <v>-39.413572427896476</v>
          </cell>
          <cell r="F815">
            <v>0</v>
          </cell>
        </row>
        <row r="816">
          <cell r="E816">
            <v>-17.558105119169998</v>
          </cell>
          <cell r="F816">
            <v>0</v>
          </cell>
        </row>
        <row r="817">
          <cell r="E817">
            <v>7.6040804256702899E-3</v>
          </cell>
          <cell r="F817">
            <v>0</v>
          </cell>
        </row>
        <row r="818">
          <cell r="E818">
            <v>13.229770628386259</v>
          </cell>
          <cell r="F818">
            <v>0</v>
          </cell>
        </row>
        <row r="819">
          <cell r="E819">
            <v>-11.782298159283776</v>
          </cell>
          <cell r="F819">
            <v>0</v>
          </cell>
        </row>
        <row r="820">
          <cell r="E820">
            <v>10.221063727224163</v>
          </cell>
          <cell r="F820">
            <v>0</v>
          </cell>
        </row>
        <row r="821">
          <cell r="E821">
            <v>33.008200568380204</v>
          </cell>
          <cell r="F821">
            <v>0</v>
          </cell>
        </row>
        <row r="822">
          <cell r="E822">
            <v>19.026930240638819</v>
          </cell>
          <cell r="F822">
            <v>0</v>
          </cell>
        </row>
        <row r="823">
          <cell r="E823">
            <v>47.669030231788227</v>
          </cell>
          <cell r="F823">
            <v>0</v>
          </cell>
        </row>
        <row r="824">
          <cell r="E824">
            <v>-10.821868427818242</v>
          </cell>
          <cell r="F824">
            <v>0</v>
          </cell>
        </row>
        <row r="825">
          <cell r="E825">
            <v>-8.555816332768023</v>
          </cell>
          <cell r="F825">
            <v>0</v>
          </cell>
        </row>
        <row r="826">
          <cell r="E826">
            <v>20.182806725654714</v>
          </cell>
          <cell r="F826">
            <v>0</v>
          </cell>
        </row>
        <row r="827">
          <cell r="E827">
            <v>4.9200158542939327</v>
          </cell>
          <cell r="F827">
            <v>0</v>
          </cell>
        </row>
        <row r="828">
          <cell r="E828">
            <v>3.521718061187221</v>
          </cell>
          <cell r="F828">
            <v>0</v>
          </cell>
        </row>
        <row r="829">
          <cell r="E829">
            <v>21.618272595151002</v>
          </cell>
          <cell r="F829">
            <v>0</v>
          </cell>
        </row>
        <row r="830">
          <cell r="E830">
            <v>15.102779142129901</v>
          </cell>
          <cell r="F830">
            <v>0</v>
          </cell>
        </row>
        <row r="831">
          <cell r="E831">
            <v>21.28587385772148</v>
          </cell>
          <cell r="F831">
            <v>0</v>
          </cell>
        </row>
        <row r="832">
          <cell r="E832">
            <v>-1.5520974755350814</v>
          </cell>
          <cell r="F832">
            <v>0</v>
          </cell>
        </row>
        <row r="833">
          <cell r="E833">
            <v>47.561763828545608</v>
          </cell>
          <cell r="F833">
            <v>0</v>
          </cell>
        </row>
        <row r="834">
          <cell r="E834">
            <v>-20.493259040771406</v>
          </cell>
          <cell r="F834">
            <v>0</v>
          </cell>
        </row>
        <row r="835">
          <cell r="E835">
            <v>-35.772804423474653</v>
          </cell>
          <cell r="F835">
            <v>0</v>
          </cell>
        </row>
        <row r="836">
          <cell r="E836">
            <v>-44.255397272309786</v>
          </cell>
          <cell r="F836">
            <v>0</v>
          </cell>
        </row>
        <row r="837">
          <cell r="E837">
            <v>21.106452924107717</v>
          </cell>
          <cell r="F837">
            <v>0</v>
          </cell>
        </row>
        <row r="838">
          <cell r="E838">
            <v>14.608282311701956</v>
          </cell>
          <cell r="F838">
            <v>0</v>
          </cell>
        </row>
        <row r="839">
          <cell r="E839">
            <v>5.8504979627273466</v>
          </cell>
          <cell r="F839">
            <v>0</v>
          </cell>
        </row>
        <row r="840">
          <cell r="E840">
            <v>-32.985940091357222</v>
          </cell>
          <cell r="F840">
            <v>0</v>
          </cell>
        </row>
        <row r="841">
          <cell r="E841">
            <v>-18.528294140380886</v>
          </cell>
          <cell r="F841">
            <v>0</v>
          </cell>
        </row>
        <row r="842">
          <cell r="E842">
            <v>34.065970685382624</v>
          </cell>
          <cell r="F842">
            <v>0</v>
          </cell>
        </row>
        <row r="843">
          <cell r="E843">
            <v>-14.787818235192452</v>
          </cell>
          <cell r="F843">
            <v>0</v>
          </cell>
        </row>
        <row r="844">
          <cell r="E844">
            <v>20.583008690153793</v>
          </cell>
          <cell r="F844">
            <v>0</v>
          </cell>
        </row>
        <row r="845">
          <cell r="E845">
            <v>22.799460296871217</v>
          </cell>
          <cell r="F845">
            <v>0</v>
          </cell>
        </row>
        <row r="846">
          <cell r="E846">
            <v>-51.921714429546732</v>
          </cell>
          <cell r="F846">
            <v>0</v>
          </cell>
        </row>
        <row r="847">
          <cell r="E847">
            <v>-13.720433806744371</v>
          </cell>
          <cell r="F847">
            <v>0</v>
          </cell>
        </row>
        <row r="848">
          <cell r="E848">
            <v>3.1174852769071224</v>
          </cell>
          <cell r="F848">
            <v>0</v>
          </cell>
        </row>
        <row r="849">
          <cell r="E849">
            <v>-39.685667434224797</v>
          </cell>
          <cell r="F849">
            <v>0</v>
          </cell>
        </row>
        <row r="850">
          <cell r="E850">
            <v>15.284281772104698</v>
          </cell>
          <cell r="F850">
            <v>0</v>
          </cell>
        </row>
        <row r="851">
          <cell r="E851">
            <v>13.46746590052793</v>
          </cell>
          <cell r="F851">
            <v>0</v>
          </cell>
        </row>
        <row r="852">
          <cell r="E852">
            <v>0.15896411589065451</v>
          </cell>
          <cell r="F852">
            <v>0</v>
          </cell>
        </row>
        <row r="853">
          <cell r="E853">
            <v>56.540472806830316</v>
          </cell>
          <cell r="F853">
            <v>0</v>
          </cell>
        </row>
        <row r="854">
          <cell r="E854">
            <v>-52.196954528586915</v>
          </cell>
          <cell r="F854">
            <v>0</v>
          </cell>
        </row>
        <row r="855">
          <cell r="E855">
            <v>-39.61373296595373</v>
          </cell>
          <cell r="F855">
            <v>0</v>
          </cell>
        </row>
        <row r="856">
          <cell r="E856">
            <v>6.6710377138754318</v>
          </cell>
          <cell r="F856">
            <v>0</v>
          </cell>
        </row>
        <row r="857">
          <cell r="E857">
            <v>17.348162623544436</v>
          </cell>
          <cell r="F857">
            <v>0</v>
          </cell>
        </row>
        <row r="858">
          <cell r="E858">
            <v>-33.589776851837357</v>
          </cell>
          <cell r="F858">
            <v>0</v>
          </cell>
        </row>
        <row r="859">
          <cell r="E859">
            <v>18.898550521234714</v>
          </cell>
          <cell r="F859">
            <v>0</v>
          </cell>
        </row>
        <row r="860">
          <cell r="E860">
            <v>61.409990235674186</v>
          </cell>
          <cell r="F860">
            <v>0</v>
          </cell>
        </row>
        <row r="861">
          <cell r="E861">
            <v>63.866605610389016</v>
          </cell>
          <cell r="F861">
            <v>0</v>
          </cell>
        </row>
        <row r="862">
          <cell r="E862">
            <v>25.605778400336561</v>
          </cell>
          <cell r="F862">
            <v>0</v>
          </cell>
        </row>
        <row r="863">
          <cell r="E863">
            <v>-22.551908576711188</v>
          </cell>
          <cell r="F863">
            <v>0</v>
          </cell>
        </row>
        <row r="864">
          <cell r="E864">
            <v>6.0289989700824975</v>
          </cell>
          <cell r="F864">
            <v>0</v>
          </cell>
        </row>
        <row r="865">
          <cell r="E865">
            <v>-11.421955583706275</v>
          </cell>
          <cell r="F865">
            <v>0</v>
          </cell>
        </row>
        <row r="866">
          <cell r="E866">
            <v>9.1580524458891297</v>
          </cell>
          <cell r="F866">
            <v>0</v>
          </cell>
        </row>
        <row r="867">
          <cell r="E867">
            <v>-17.598535905453154</v>
          </cell>
          <cell r="F867">
            <v>0</v>
          </cell>
        </row>
        <row r="868">
          <cell r="E868">
            <v>15.896832126268752</v>
          </cell>
          <cell r="F868">
            <v>0</v>
          </cell>
        </row>
        <row r="869">
          <cell r="E869">
            <v>36.857869781386476</v>
          </cell>
          <cell r="F869">
            <v>0</v>
          </cell>
        </row>
        <row r="870">
          <cell r="E870">
            <v>25.019416557423547</v>
          </cell>
          <cell r="F870">
            <v>0</v>
          </cell>
        </row>
        <row r="871">
          <cell r="E871">
            <v>-3.5600952322414767</v>
          </cell>
          <cell r="F871">
            <v>0</v>
          </cell>
        </row>
        <row r="872">
          <cell r="E872">
            <v>19.780777025708602</v>
          </cell>
          <cell r="F872">
            <v>0</v>
          </cell>
        </row>
        <row r="873">
          <cell r="E873">
            <v>-1.4992365663751599</v>
          </cell>
          <cell r="F873">
            <v>0</v>
          </cell>
        </row>
        <row r="874">
          <cell r="E874">
            <v>4.7764697618002465</v>
          </cell>
          <cell r="F874">
            <v>0</v>
          </cell>
        </row>
        <row r="875">
          <cell r="E875">
            <v>-9.323542541928731E-2</v>
          </cell>
          <cell r="F875">
            <v>0</v>
          </cell>
        </row>
        <row r="876">
          <cell r="E876">
            <v>-27.063528814802204</v>
          </cell>
          <cell r="F876">
            <v>0</v>
          </cell>
        </row>
        <row r="877">
          <cell r="E877">
            <v>24.520142880616607</v>
          </cell>
          <cell r="F877">
            <v>0</v>
          </cell>
        </row>
        <row r="878">
          <cell r="E878">
            <v>22.542674788226549</v>
          </cell>
          <cell r="F878">
            <v>0</v>
          </cell>
        </row>
        <row r="879">
          <cell r="E879">
            <v>-44.453064261787475</v>
          </cell>
          <cell r="F879">
            <v>0</v>
          </cell>
        </row>
        <row r="880">
          <cell r="E880">
            <v>28.567373939897006</v>
          </cell>
          <cell r="F880">
            <v>0</v>
          </cell>
        </row>
        <row r="881">
          <cell r="E881">
            <v>-3.9016641757159234</v>
          </cell>
          <cell r="F881">
            <v>0</v>
          </cell>
        </row>
        <row r="882">
          <cell r="E882">
            <v>37.944534454676933</v>
          </cell>
          <cell r="F882">
            <v>0</v>
          </cell>
        </row>
        <row r="883">
          <cell r="E883">
            <v>-23.656772857705974</v>
          </cell>
          <cell r="F883">
            <v>0</v>
          </cell>
        </row>
        <row r="884">
          <cell r="E884">
            <v>0.69711273138466368</v>
          </cell>
          <cell r="F884">
            <v>0</v>
          </cell>
        </row>
        <row r="885">
          <cell r="E885">
            <v>-40.802922378501648</v>
          </cell>
          <cell r="F885">
            <v>0</v>
          </cell>
        </row>
        <row r="886">
          <cell r="E886">
            <v>0.28709069476133919</v>
          </cell>
          <cell r="F886">
            <v>0</v>
          </cell>
        </row>
        <row r="887">
          <cell r="E887">
            <v>46.878550537249488</v>
          </cell>
          <cell r="F887">
            <v>0</v>
          </cell>
        </row>
        <row r="888">
          <cell r="E888">
            <v>-19.086369779777787</v>
          </cell>
          <cell r="F888">
            <v>0</v>
          </cell>
        </row>
        <row r="889">
          <cell r="E889">
            <v>-75.403612551643889</v>
          </cell>
          <cell r="F889">
            <v>0</v>
          </cell>
        </row>
        <row r="890">
          <cell r="E890">
            <v>14.886764126604806</v>
          </cell>
          <cell r="F890">
            <v>0</v>
          </cell>
        </row>
        <row r="891">
          <cell r="E891">
            <v>-41.918828351155966</v>
          </cell>
          <cell r="F891">
            <v>0</v>
          </cell>
        </row>
        <row r="892">
          <cell r="E892">
            <v>24.900969441087067</v>
          </cell>
          <cell r="F892">
            <v>0</v>
          </cell>
        </row>
        <row r="893">
          <cell r="E893">
            <v>42.945764828053598</v>
          </cell>
          <cell r="F893">
            <v>0</v>
          </cell>
        </row>
        <row r="894">
          <cell r="E894">
            <v>34.406660628661214</v>
          </cell>
          <cell r="F894">
            <v>0</v>
          </cell>
        </row>
        <row r="895">
          <cell r="E895">
            <v>25.209932936806315</v>
          </cell>
          <cell r="F895">
            <v>0</v>
          </cell>
        </row>
        <row r="896">
          <cell r="E896">
            <v>14.563500843698813</v>
          </cell>
          <cell r="F896">
            <v>0</v>
          </cell>
        </row>
        <row r="897">
          <cell r="E897">
            <v>29.689669529659522</v>
          </cell>
          <cell r="F897">
            <v>0</v>
          </cell>
        </row>
        <row r="898">
          <cell r="E898">
            <v>-31.652244642855599</v>
          </cell>
          <cell r="F898">
            <v>0</v>
          </cell>
        </row>
        <row r="899">
          <cell r="E899">
            <v>38.046698344017933</v>
          </cell>
          <cell r="F899">
            <v>0</v>
          </cell>
        </row>
        <row r="900">
          <cell r="E900">
            <v>47.803882231777735</v>
          </cell>
          <cell r="F900">
            <v>0</v>
          </cell>
        </row>
        <row r="901">
          <cell r="E901">
            <v>-4.7250969975645827</v>
          </cell>
          <cell r="F901">
            <v>0</v>
          </cell>
        </row>
        <row r="902">
          <cell r="E902">
            <v>-44.728542981575288</v>
          </cell>
          <cell r="F902">
            <v>0</v>
          </cell>
        </row>
        <row r="903">
          <cell r="E903">
            <v>62.020283019389382</v>
          </cell>
          <cell r="F903">
            <v>0</v>
          </cell>
        </row>
        <row r="904">
          <cell r="E904">
            <v>58.87988441624428</v>
          </cell>
          <cell r="F904">
            <v>0</v>
          </cell>
        </row>
        <row r="905">
          <cell r="E905">
            <v>-21.650101239716133</v>
          </cell>
          <cell r="F905">
            <v>0</v>
          </cell>
        </row>
        <row r="906">
          <cell r="E906">
            <v>-14.474850389744045</v>
          </cell>
          <cell r="F906">
            <v>0</v>
          </cell>
        </row>
        <row r="907">
          <cell r="E907">
            <v>-22.400615707252157</v>
          </cell>
          <cell r="F907">
            <v>0</v>
          </cell>
        </row>
        <row r="908">
          <cell r="E908">
            <v>1.7099423383088741</v>
          </cell>
          <cell r="F908">
            <v>0</v>
          </cell>
        </row>
        <row r="909">
          <cell r="E909">
            <v>29.149407342336595</v>
          </cell>
          <cell r="F909">
            <v>0</v>
          </cell>
        </row>
        <row r="910">
          <cell r="E910">
            <v>29.582681845149061</v>
          </cell>
          <cell r="F910">
            <v>0</v>
          </cell>
        </row>
        <row r="911">
          <cell r="E911">
            <v>-7.0174596316710804</v>
          </cell>
          <cell r="F911">
            <v>0</v>
          </cell>
        </row>
        <row r="912">
          <cell r="E912">
            <v>55.529588252396046</v>
          </cell>
          <cell r="F912">
            <v>0</v>
          </cell>
        </row>
        <row r="913">
          <cell r="E913">
            <v>30.201693602700423</v>
          </cell>
          <cell r="F913">
            <v>0</v>
          </cell>
        </row>
        <row r="914">
          <cell r="E914">
            <v>-6.8102796749667327</v>
          </cell>
          <cell r="F914">
            <v>0</v>
          </cell>
        </row>
        <row r="915">
          <cell r="E915">
            <v>78.549440117993598</v>
          </cell>
          <cell r="F915">
            <v>0</v>
          </cell>
        </row>
        <row r="916">
          <cell r="E916">
            <v>29.870064847260583</v>
          </cell>
          <cell r="F916">
            <v>0</v>
          </cell>
        </row>
        <row r="917">
          <cell r="E917">
            <v>43.536006201543131</v>
          </cell>
          <cell r="F917">
            <v>0</v>
          </cell>
        </row>
        <row r="918">
          <cell r="E918">
            <v>31.246451218976688</v>
          </cell>
          <cell r="F918">
            <v>0</v>
          </cell>
        </row>
        <row r="919">
          <cell r="E919">
            <v>-70.014278679876924</v>
          </cell>
          <cell r="F919">
            <v>0</v>
          </cell>
        </row>
        <row r="920">
          <cell r="E920">
            <v>-13.831102318770061</v>
          </cell>
          <cell r="F920">
            <v>0</v>
          </cell>
        </row>
        <row r="921">
          <cell r="E921">
            <v>-5.1538654653789937</v>
          </cell>
          <cell r="F921">
            <v>0</v>
          </cell>
        </row>
        <row r="922">
          <cell r="E922">
            <v>-14.931336513257339</v>
          </cell>
          <cell r="F922">
            <v>0</v>
          </cell>
        </row>
        <row r="923">
          <cell r="E923">
            <v>-57.334487599526497</v>
          </cell>
          <cell r="F923">
            <v>0</v>
          </cell>
        </row>
        <row r="924">
          <cell r="E924">
            <v>36.687051286096541</v>
          </cell>
          <cell r="F924">
            <v>0</v>
          </cell>
        </row>
        <row r="925">
          <cell r="E925">
            <v>-51.486395370609984</v>
          </cell>
          <cell r="F925">
            <v>0</v>
          </cell>
        </row>
        <row r="926">
          <cell r="E926">
            <v>34.061370802578828</v>
          </cell>
          <cell r="F926">
            <v>0</v>
          </cell>
        </row>
        <row r="927">
          <cell r="E927">
            <v>-5.0639754695916599</v>
          </cell>
          <cell r="F927">
            <v>0</v>
          </cell>
        </row>
        <row r="928">
          <cell r="E928">
            <v>-27.667734975969807</v>
          </cell>
          <cell r="F928">
            <v>0</v>
          </cell>
        </row>
        <row r="929">
          <cell r="E929">
            <v>9.8372159929748104</v>
          </cell>
          <cell r="F929">
            <v>0</v>
          </cell>
        </row>
        <row r="930">
          <cell r="E930">
            <v>39.911262000469073</v>
          </cell>
          <cell r="F930">
            <v>0</v>
          </cell>
        </row>
        <row r="931">
          <cell r="E931">
            <v>3.8816506164709335</v>
          </cell>
          <cell r="F931">
            <v>0</v>
          </cell>
        </row>
        <row r="932">
          <cell r="E932">
            <v>25.569383819618857</v>
          </cell>
          <cell r="F932">
            <v>0</v>
          </cell>
        </row>
        <row r="933">
          <cell r="E933">
            <v>15.923800675235007</v>
          </cell>
          <cell r="F933">
            <v>0</v>
          </cell>
        </row>
        <row r="934">
          <cell r="E934">
            <v>43.474487576816969</v>
          </cell>
          <cell r="F934">
            <v>0</v>
          </cell>
        </row>
        <row r="935">
          <cell r="E935">
            <v>31.78579327707434</v>
          </cell>
          <cell r="F935">
            <v>0</v>
          </cell>
        </row>
        <row r="936">
          <cell r="E936">
            <v>28.538358416335463</v>
          </cell>
          <cell r="F936">
            <v>0</v>
          </cell>
        </row>
        <row r="937">
          <cell r="E937">
            <v>31.350683020371157</v>
          </cell>
          <cell r="F937">
            <v>0</v>
          </cell>
        </row>
        <row r="938">
          <cell r="E938">
            <v>14.214908777308057</v>
          </cell>
          <cell r="F938">
            <v>0</v>
          </cell>
        </row>
        <row r="939">
          <cell r="E939">
            <v>17.861109496331323</v>
          </cell>
          <cell r="F939">
            <v>0</v>
          </cell>
        </row>
        <row r="940">
          <cell r="E940">
            <v>-0.30526801917752167</v>
          </cell>
          <cell r="F940">
            <v>0</v>
          </cell>
        </row>
        <row r="941">
          <cell r="E941">
            <v>35.399909109916635</v>
          </cell>
          <cell r="F941">
            <v>0</v>
          </cell>
        </row>
        <row r="942">
          <cell r="E942">
            <v>7.2402612433903109</v>
          </cell>
          <cell r="F942">
            <v>0</v>
          </cell>
        </row>
        <row r="943">
          <cell r="E943">
            <v>42.084526386634799</v>
          </cell>
          <cell r="F943">
            <v>0</v>
          </cell>
        </row>
        <row r="944">
          <cell r="E944">
            <v>14.939886006235215</v>
          </cell>
          <cell r="F944">
            <v>0</v>
          </cell>
        </row>
        <row r="945">
          <cell r="E945">
            <v>-16.418748832911604</v>
          </cell>
          <cell r="F945">
            <v>0</v>
          </cell>
        </row>
        <row r="946">
          <cell r="E946">
            <v>30.991243399223283</v>
          </cell>
          <cell r="F946">
            <v>0</v>
          </cell>
        </row>
        <row r="947">
          <cell r="E947">
            <v>12.602055763153066</v>
          </cell>
          <cell r="F947">
            <v>0</v>
          </cell>
        </row>
        <row r="948">
          <cell r="E948">
            <v>26.907936530676473</v>
          </cell>
          <cell r="F948">
            <v>0</v>
          </cell>
        </row>
        <row r="949">
          <cell r="E949">
            <v>46.716865725135605</v>
          </cell>
          <cell r="F949">
            <v>0</v>
          </cell>
        </row>
        <row r="950">
          <cell r="E950">
            <v>-43.601431759402288</v>
          </cell>
          <cell r="F950">
            <v>0</v>
          </cell>
        </row>
        <row r="951">
          <cell r="E951">
            <v>-14.568724708616239</v>
          </cell>
          <cell r="F951">
            <v>0</v>
          </cell>
        </row>
        <row r="952">
          <cell r="E952">
            <v>32.815528778115741</v>
          </cell>
          <cell r="F952">
            <v>0</v>
          </cell>
        </row>
        <row r="953">
          <cell r="E953">
            <v>-31.476738338408811</v>
          </cell>
          <cell r="F953">
            <v>0</v>
          </cell>
        </row>
        <row r="954">
          <cell r="E954">
            <v>-14.716960817648514</v>
          </cell>
          <cell r="F954">
            <v>0</v>
          </cell>
        </row>
        <row r="955">
          <cell r="E955">
            <v>-5.7037060396991803</v>
          </cell>
          <cell r="F955">
            <v>0</v>
          </cell>
        </row>
        <row r="956">
          <cell r="E956">
            <v>69.631573470499859</v>
          </cell>
          <cell r="F956">
            <v>0</v>
          </cell>
        </row>
        <row r="957">
          <cell r="E957">
            <v>26.351937125815972</v>
          </cell>
          <cell r="F957">
            <v>0</v>
          </cell>
        </row>
        <row r="958">
          <cell r="E958">
            <v>-29.065134547887673</v>
          </cell>
          <cell r="F958">
            <v>0</v>
          </cell>
        </row>
        <row r="959">
          <cell r="E959">
            <v>22.863098772042932</v>
          </cell>
          <cell r="F959">
            <v>0</v>
          </cell>
        </row>
        <row r="960">
          <cell r="E960">
            <v>2.6786903341241715</v>
          </cell>
          <cell r="F960">
            <v>0</v>
          </cell>
        </row>
        <row r="961">
          <cell r="E961">
            <v>-27.516405192387005</v>
          </cell>
          <cell r="F961">
            <v>0</v>
          </cell>
        </row>
        <row r="962">
          <cell r="E962">
            <v>32.893003499374245</v>
          </cell>
          <cell r="F962">
            <v>0</v>
          </cell>
        </row>
        <row r="963">
          <cell r="E963">
            <v>49.515515665871519</v>
          </cell>
          <cell r="F963">
            <v>0</v>
          </cell>
        </row>
        <row r="964">
          <cell r="E964">
            <v>25.036818784307279</v>
          </cell>
          <cell r="F964">
            <v>0</v>
          </cell>
        </row>
        <row r="965">
          <cell r="E965">
            <v>45.424720090898063</v>
          </cell>
          <cell r="F965">
            <v>0</v>
          </cell>
        </row>
        <row r="966">
          <cell r="E966">
            <v>21.024834268093812</v>
          </cell>
          <cell r="F966">
            <v>0</v>
          </cell>
        </row>
        <row r="967">
          <cell r="E967">
            <v>-46.739153652384658</v>
          </cell>
          <cell r="F967">
            <v>0</v>
          </cell>
        </row>
        <row r="968">
          <cell r="E968">
            <v>21.783363428409547</v>
          </cell>
          <cell r="F968">
            <v>0</v>
          </cell>
        </row>
        <row r="969">
          <cell r="E969">
            <v>-26.693307924685634</v>
          </cell>
          <cell r="F969">
            <v>0</v>
          </cell>
        </row>
        <row r="970">
          <cell r="E970">
            <v>20.266603493346498</v>
          </cell>
          <cell r="F970">
            <v>0</v>
          </cell>
        </row>
        <row r="971">
          <cell r="E971">
            <v>52.479081671227142</v>
          </cell>
          <cell r="F971">
            <v>0</v>
          </cell>
        </row>
        <row r="972">
          <cell r="E972">
            <v>-2.1518681011298355</v>
          </cell>
          <cell r="F972">
            <v>0</v>
          </cell>
        </row>
        <row r="973">
          <cell r="E973">
            <v>6.7245589221011208</v>
          </cell>
          <cell r="F973">
            <v>0</v>
          </cell>
        </row>
        <row r="974">
          <cell r="E974">
            <v>-3.7787330676231869</v>
          </cell>
          <cell r="F974">
            <v>0</v>
          </cell>
        </row>
        <row r="975">
          <cell r="E975">
            <v>-22.233627090471742</v>
          </cell>
          <cell r="F975">
            <v>0</v>
          </cell>
        </row>
        <row r="976">
          <cell r="E976">
            <v>15.246100786050258</v>
          </cell>
          <cell r="F976">
            <v>0</v>
          </cell>
        </row>
        <row r="977">
          <cell r="E977">
            <v>-65.839168086696105</v>
          </cell>
          <cell r="F977">
            <v>0</v>
          </cell>
        </row>
        <row r="978">
          <cell r="E978">
            <v>39.791542614322111</v>
          </cell>
          <cell r="F978">
            <v>0</v>
          </cell>
        </row>
        <row r="979">
          <cell r="E979">
            <v>-10.844773699080335</v>
          </cell>
          <cell r="F979">
            <v>0</v>
          </cell>
        </row>
        <row r="980">
          <cell r="E980">
            <v>17.701003050949353</v>
          </cell>
          <cell r="F980">
            <v>0</v>
          </cell>
        </row>
        <row r="981">
          <cell r="E981">
            <v>-16.169379371886656</v>
          </cell>
          <cell r="F981">
            <v>0</v>
          </cell>
        </row>
        <row r="982">
          <cell r="E982">
            <v>-55.59292516052718</v>
          </cell>
          <cell r="F982">
            <v>0</v>
          </cell>
        </row>
        <row r="983">
          <cell r="E983">
            <v>44.49208948233467</v>
          </cell>
          <cell r="F983">
            <v>0</v>
          </cell>
        </row>
        <row r="984">
          <cell r="E984">
            <v>-28.031895791657689</v>
          </cell>
          <cell r="F984">
            <v>0</v>
          </cell>
        </row>
        <row r="985">
          <cell r="E985">
            <v>20.239567939041258</v>
          </cell>
          <cell r="F985">
            <v>0</v>
          </cell>
        </row>
        <row r="986">
          <cell r="E986">
            <v>22.235686105517871</v>
          </cell>
          <cell r="F986">
            <v>0</v>
          </cell>
        </row>
        <row r="987">
          <cell r="E987">
            <v>-24.959231718917266</v>
          </cell>
          <cell r="F987">
            <v>0</v>
          </cell>
        </row>
        <row r="988">
          <cell r="E988">
            <v>23.115094155212233</v>
          </cell>
          <cell r="F988">
            <v>0</v>
          </cell>
        </row>
        <row r="989">
          <cell r="E989">
            <v>38.692244177849481</v>
          </cell>
          <cell r="F989">
            <v>0</v>
          </cell>
        </row>
        <row r="990">
          <cell r="E990">
            <v>45.428169270857495</v>
          </cell>
          <cell r="F990">
            <v>0</v>
          </cell>
        </row>
        <row r="991">
          <cell r="E991">
            <v>37.326259691654897</v>
          </cell>
          <cell r="F991">
            <v>0</v>
          </cell>
        </row>
        <row r="992">
          <cell r="E992">
            <v>-11.528955666849567</v>
          </cell>
          <cell r="F992">
            <v>0</v>
          </cell>
        </row>
        <row r="993">
          <cell r="E993">
            <v>23.785515131285674</v>
          </cell>
          <cell r="F993">
            <v>0</v>
          </cell>
        </row>
        <row r="994">
          <cell r="E994">
            <v>26.579108743031476</v>
          </cell>
          <cell r="F994">
            <v>0</v>
          </cell>
        </row>
        <row r="995">
          <cell r="E995">
            <v>15.818764383508091</v>
          </cell>
          <cell r="F995">
            <v>0</v>
          </cell>
        </row>
        <row r="996">
          <cell r="E996">
            <v>-3.9656727249415202</v>
          </cell>
          <cell r="F996">
            <v>0</v>
          </cell>
        </row>
        <row r="997">
          <cell r="E997">
            <v>33.962006634599497</v>
          </cell>
          <cell r="F997">
            <v>0</v>
          </cell>
        </row>
        <row r="998">
          <cell r="E998">
            <v>-15.317847945205632</v>
          </cell>
          <cell r="F998">
            <v>0</v>
          </cell>
        </row>
        <row r="999">
          <cell r="E999">
            <v>39.567377977231637</v>
          </cell>
          <cell r="F999">
            <v>0</v>
          </cell>
        </row>
        <row r="1000">
          <cell r="E1000">
            <v>-13.442331258135313</v>
          </cell>
          <cell r="F1000">
            <v>0</v>
          </cell>
        </row>
        <row r="1001">
          <cell r="E1001">
            <v>72.393143704880089</v>
          </cell>
          <cell r="F1001">
            <v>0</v>
          </cell>
        </row>
        <row r="1002">
          <cell r="E1002">
            <v>50.308356863658219</v>
          </cell>
          <cell r="F1002">
            <v>0</v>
          </cell>
        </row>
        <row r="1003">
          <cell r="E1003">
            <v>-39.508315417759405</v>
          </cell>
          <cell r="F1003">
            <v>0</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etup"/>
      <sheetName val="Introduction"/>
      <sheetName val="Policy choices"/>
      <sheetName val="Other assumptions"/>
      <sheetName val="Analysis - No risk"/>
      <sheetName val="Analysis - with risk"/>
      <sheetName val="SWPNZPSYWSLKSESPZO"/>
    </sheetNames>
    <sheetDataSet>
      <sheetData sheetId="0">
        <row r="15">
          <cell r="D15" t="str">
            <v>pesos</v>
          </cell>
        </row>
      </sheetData>
      <sheetData sheetId="1"/>
      <sheetData sheetId="2"/>
      <sheetData sheetId="3"/>
      <sheetData sheetId="4"/>
      <sheetData sheetId="5"/>
      <sheetData sheetId="6"/>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B2:R29"/>
  <sheetViews>
    <sheetView workbookViewId="0">
      <selection activeCell="N10" sqref="N10"/>
    </sheetView>
  </sheetViews>
  <sheetFormatPr baseColWidth="10" defaultColWidth="8.83203125" defaultRowHeight="13" x14ac:dyDescent="0.15"/>
  <sheetData>
    <row r="2" spans="2:18" x14ac:dyDescent="0.15">
      <c r="B2" t="s">
        <v>70</v>
      </c>
      <c r="J2" s="195" t="s">
        <v>156</v>
      </c>
      <c r="K2" s="10" t="s">
        <v>143</v>
      </c>
      <c r="L2" t="s">
        <v>144</v>
      </c>
      <c r="M2" t="s">
        <v>144</v>
      </c>
    </row>
    <row r="3" spans="2:18" x14ac:dyDescent="0.15">
      <c r="C3" t="s">
        <v>71</v>
      </c>
      <c r="J3" s="195" t="s">
        <v>72</v>
      </c>
      <c r="K3" s="1" t="s">
        <v>73</v>
      </c>
      <c r="L3" t="s">
        <v>92</v>
      </c>
      <c r="M3" t="s">
        <v>142</v>
      </c>
      <c r="O3" t="str">
        <f t="shared" ref="O3:O8" si="0">UPPER(J$2&amp;" "&amp;TRIM(J3)&amp;K$2&amp;" "&amp;TRIM(K3)&amp;IF(TRIM(L3)&lt;&gt;""," "&amp;L$2&amp;" "&amp;TRIM(L3)&amp;IF(TRIM(M3)&lt;&gt;""," "&amp;M$2&amp;" "&amp;TRIM(M3),""),""))</f>
        <v>XI) GRAPH DATA: OTHER ASSUMPTIONS - PRIVATE HOUSEHOLD CONNECTION</v>
      </c>
      <c r="P3" t="str">
        <f>O3</f>
        <v>XI) GRAPH DATA: OTHER ASSUMPTIONS - PRIVATE HOUSEHOLD CONNECTION</v>
      </c>
      <c r="Q3" t="s">
        <v>142</v>
      </c>
    </row>
    <row r="4" spans="2:18" x14ac:dyDescent="0.15">
      <c r="D4" t="s">
        <v>62</v>
      </c>
      <c r="J4" s="195" t="s">
        <v>72</v>
      </c>
      <c r="K4" s="1" t="s">
        <v>73</v>
      </c>
      <c r="L4" t="s">
        <v>93</v>
      </c>
      <c r="M4" s="1" t="s">
        <v>142</v>
      </c>
      <c r="O4" t="str">
        <f t="shared" si="0"/>
        <v>XI) GRAPH DATA: OTHER ASSUMPTIONS - OTHER SOURCES</v>
      </c>
      <c r="P4" t="str">
        <f>P3&amp;","&amp;O4</f>
        <v>XI) GRAPH DATA: OTHER ASSUMPTIONS - PRIVATE HOUSEHOLD CONNECTION,XI) GRAPH DATA: OTHER ASSUMPTIONS - OTHER SOURCES</v>
      </c>
      <c r="Q4" s="1" t="s">
        <v>142</v>
      </c>
    </row>
    <row r="5" spans="2:18" x14ac:dyDescent="0.15">
      <c r="D5" t="s">
        <v>141</v>
      </c>
      <c r="J5" s="195" t="s">
        <v>72</v>
      </c>
      <c r="K5" s="1" t="s">
        <v>73</v>
      </c>
      <c r="L5" t="s">
        <v>92</v>
      </c>
      <c r="M5" s="1" t="s">
        <v>152</v>
      </c>
      <c r="N5" s="1" t="s">
        <v>142</v>
      </c>
      <c r="O5" t="str">
        <f t="shared" si="0"/>
        <v>XI) GRAPH DATA: OTHER ASSUMPTIONS - PRIVATE HOUSEHOLD CONNECTION - 5 YEAR RESET PERIOD</v>
      </c>
      <c r="P5" t="str">
        <f>P4&amp;","&amp;O5</f>
        <v>XI) GRAPH DATA: OTHER ASSUMPTIONS - PRIVATE HOUSEHOLD CONNECTION,XI) GRAPH DATA: OTHER ASSUMPTIONS - OTHER SOURCES,XI) GRAPH DATA: OTHER ASSUMPTIONS - PRIVATE HOUSEHOLD CONNECTION - 5 YEAR RESET PERIOD</v>
      </c>
      <c r="Q5" s="1" t="s">
        <v>142</v>
      </c>
    </row>
    <row r="6" spans="2:18" x14ac:dyDescent="0.15">
      <c r="C6" t="s">
        <v>70</v>
      </c>
      <c r="J6" s="195" t="s">
        <v>72</v>
      </c>
      <c r="K6" s="1" t="s">
        <v>73</v>
      </c>
      <c r="L6" t="s">
        <v>92</v>
      </c>
      <c r="M6" t="s">
        <v>153</v>
      </c>
      <c r="N6" t="s">
        <v>142</v>
      </c>
      <c r="O6" t="str">
        <f t="shared" si="0"/>
        <v>XI) GRAPH DATA: OTHER ASSUMPTIONS - PRIVATE HOUSEHOLD CONNECTION - EXISTING TARIFFS</v>
      </c>
      <c r="P6" t="str">
        <f>P5&amp;","&amp;O6</f>
        <v>XI) GRAPH DATA: OTHER ASSUMPTIONS - PRIVATE HOUSEHOLD CONNECTION,XI) GRAPH DATA: OTHER ASSUMPTIONS - OTHER SOURCES,XI) GRAPH DATA: OTHER ASSUMPTIONS - PRIVATE HOUSEHOLD CONNECTION - 5 YEAR RESET PERIOD,XI) GRAPH DATA: OTHER ASSUMPTIONS - PRIVATE HOUSEHOLD CONNECTION - EXISTING TARIFFS</v>
      </c>
      <c r="Q6" t="s">
        <v>142</v>
      </c>
    </row>
    <row r="7" spans="2:18" x14ac:dyDescent="0.15">
      <c r="D7" t="s">
        <v>62</v>
      </c>
      <c r="J7" s="195" t="s">
        <v>72</v>
      </c>
      <c r="K7" s="1" t="s">
        <v>73</v>
      </c>
      <c r="L7" s="1" t="s">
        <v>142</v>
      </c>
      <c r="M7" s="1" t="s">
        <v>142</v>
      </c>
      <c r="O7" t="str">
        <f t="shared" si="0"/>
        <v>XI) GRAPH DATA: OTHER ASSUMPTIONS</v>
      </c>
      <c r="P7" t="str">
        <f>P6&amp;","&amp;O7</f>
        <v>XI) GRAPH DATA: OTHER ASSUMPTIONS - PRIVATE HOUSEHOLD CONNECTION,XI) GRAPH DATA: OTHER ASSUMPTIONS - OTHER SOURCES,XI) GRAPH DATA: OTHER ASSUMPTIONS - PRIVATE HOUSEHOLD CONNECTION - 5 YEAR RESET PERIOD,XI) GRAPH DATA: OTHER ASSUMPTIONS - PRIVATE HOUSEHOLD CONNECTION - EXISTING TARIFFS,XI) GRAPH DATA: OTHER ASSUMPTIONS</v>
      </c>
      <c r="Q7" t="s">
        <v>142</v>
      </c>
    </row>
    <row r="8" spans="2:18" x14ac:dyDescent="0.15">
      <c r="D8" t="s">
        <v>141</v>
      </c>
      <c r="J8" s="195" t="s">
        <v>72</v>
      </c>
      <c r="K8" s="1" t="s">
        <v>73</v>
      </c>
      <c r="L8" t="s">
        <v>93</v>
      </c>
      <c r="M8" s="1" t="s">
        <v>142</v>
      </c>
      <c r="O8" t="str">
        <f t="shared" si="0"/>
        <v>XI) GRAPH DATA: OTHER ASSUMPTIONS - OTHER SOURCES</v>
      </c>
      <c r="P8" t="str">
        <f>P7&amp;","&amp;O8</f>
        <v>XI) GRAPH DATA: OTHER ASSUMPTIONS - PRIVATE HOUSEHOLD CONNECTION,XI) GRAPH DATA: OTHER ASSUMPTIONS - OTHER SOURCES,XI) GRAPH DATA: OTHER ASSUMPTIONS - PRIVATE HOUSEHOLD CONNECTION - 5 YEAR RESET PERIOD,XI) GRAPH DATA: OTHER ASSUMPTIONS - PRIVATE HOUSEHOLD CONNECTION - EXISTING TARIFFS,XI) GRAPH DATA: OTHER ASSUMPTIONS,XI) GRAPH DATA: OTHER ASSUMPTIONS - OTHER SOURCES</v>
      </c>
      <c r="Q8" t="s">
        <v>142</v>
      </c>
    </row>
    <row r="9" spans="2:18" x14ac:dyDescent="0.15">
      <c r="J9" s="195" t="s">
        <v>72</v>
      </c>
      <c r="K9" s="1" t="s">
        <v>73</v>
      </c>
      <c r="L9" t="s">
        <v>92</v>
      </c>
      <c r="M9" s="1" t="s">
        <v>142</v>
      </c>
      <c r="O9" t="str">
        <f t="shared" ref="O9:O13" si="1">UPPER(J$2&amp;" "&amp;TRIM(J9)&amp;K$2&amp;" "&amp;TRIM(K9)&amp;IF(TRIM(L9)&lt;&gt;""," "&amp;L$2&amp;" "&amp;TRIM(L9)&amp;IF(TRIM(M9)&lt;&gt;""," "&amp;M$2&amp;" "&amp;TRIM(M9),""),""))</f>
        <v>XI) GRAPH DATA: OTHER ASSUMPTIONS - PRIVATE HOUSEHOLD CONNECTION</v>
      </c>
      <c r="P9" t="str">
        <f t="shared" ref="P9:P13" si="2">P8&amp;","&amp;O9</f>
        <v>XI) GRAPH DATA: OTHER ASSUMPTIONS - PRIVATE HOUSEHOLD CONNECTION,XI) GRAPH DATA: OTHER ASSUMPTIONS - OTHER SOURCES,XI) GRAPH DATA: OTHER ASSUMPTIONS - PRIVATE HOUSEHOLD CONNECTION - 5 YEAR RESET PERIOD,XI) GRAPH DATA: OTHER ASSUMPTIONS - PRIVATE HOUSEHOLD CONNECTION - EXISTING TARIFFS,XI) GRAPH DATA: OTHER ASSUMPTIONS,XI) GRAPH DATA: OTHER ASSUMPTIONS - OTHER SOURCES,XI) GRAPH DATA: OTHER ASSUMPTIONS - PRIVATE HOUSEHOLD CONNECTION</v>
      </c>
      <c r="Q9" t="s">
        <v>142</v>
      </c>
    </row>
    <row r="10" spans="2:18" x14ac:dyDescent="0.15">
      <c r="J10" s="195" t="s">
        <v>72</v>
      </c>
      <c r="K10" s="1" t="s">
        <v>73</v>
      </c>
      <c r="L10" t="s">
        <v>93</v>
      </c>
      <c r="M10" t="s">
        <v>94</v>
      </c>
      <c r="N10" t="s">
        <v>142</v>
      </c>
      <c r="O10" t="str">
        <f t="shared" si="1"/>
        <v>XI) GRAPH DATA: OTHER ASSUMPTIONS - OTHER SOURCES - MONTHLY COST</v>
      </c>
      <c r="P10" t="str">
        <f t="shared" si="2"/>
        <v>XI) GRAPH DATA: OTHER ASSUMPTIONS - PRIVATE HOUSEHOLD CONNECTION,XI) GRAPH DATA: OTHER ASSUMPTIONS - OTHER SOURCES,XI) GRAPH DATA: OTHER ASSUMPTIONS - PRIVATE HOUSEHOLD CONNECTION - 5 YEAR RESET PERIOD,XI) GRAPH DATA: OTHER ASSUMPTIONS - PRIVATE HOUSEHOLD CONNECTION - EXISTING TARIFFS,XI) GRAPH DATA: OTHER ASSUMPTIONS,XI) GRAPH DATA: OTHER ASSUMPTIONS - OTHER SOURCES,XI) GRAPH DATA: OTHER ASSUMPTIONS - PRIVATE HOUSEHOLD CONNECTION,XI) GRAPH DATA: OTHER ASSUMPTIONS - OTHER SOURCES - MONTHLY COST</v>
      </c>
      <c r="Q10" t="s">
        <v>142</v>
      </c>
    </row>
    <row r="11" spans="2:18" x14ac:dyDescent="0.15">
      <c r="J11" s="195" t="s">
        <v>72</v>
      </c>
      <c r="K11" s="1" t="s">
        <v>73</v>
      </c>
      <c r="L11" t="s">
        <v>93</v>
      </c>
      <c r="M11" t="s">
        <v>96</v>
      </c>
      <c r="N11" t="s">
        <v>142</v>
      </c>
      <c r="O11" t="str">
        <f t="shared" si="1"/>
        <v>XI) GRAPH DATA: OTHER ASSUMPTIONS - OTHER SOURCES - MONTHLY COPING COST</v>
      </c>
      <c r="P11" t="str">
        <f t="shared" si="2"/>
        <v>XI) GRAPH DATA: OTHER ASSUMPTIONS - PRIVATE HOUSEHOLD CONNECTION,XI) GRAPH DATA: OTHER ASSUMPTIONS - OTHER SOURCES,XI) GRAPH DATA: OTHER ASSUMPTIONS - PRIVATE HOUSEHOLD CONNECTION - 5 YEAR RESET PERIOD,XI) GRAPH DATA: OTHER ASSUMPTIONS - PRIVATE HOUSEHOLD CONNECTION - EXISTING TARIFFS,XI) GRAPH DATA: OTHER ASSUMPTIONS,XI) GRAPH DATA: OTHER ASSUMPTIONS - OTHER SOURCES,XI) GRAPH DATA: OTHER ASSUMPTIONS - PRIVATE HOUSEHOLD CONNECTION,XI) GRAPH DATA: OTHER ASSUMPTIONS - OTHER SOURCES - MONTHLY COST,XI) GRAPH DATA: OTHER ASSUMPTIONS - OTHER SOURCES - MONTHLY COPING COST</v>
      </c>
      <c r="Q11" t="s">
        <v>142</v>
      </c>
    </row>
    <row r="12" spans="2:18" x14ac:dyDescent="0.15">
      <c r="J12" s="195" t="s">
        <v>72</v>
      </c>
      <c r="K12" s="1" t="s">
        <v>73</v>
      </c>
      <c r="L12" t="s">
        <v>92</v>
      </c>
      <c r="M12" s="1" t="s">
        <v>142</v>
      </c>
      <c r="O12" t="str">
        <f t="shared" si="1"/>
        <v>XI) GRAPH DATA: OTHER ASSUMPTIONS - PRIVATE HOUSEHOLD CONNECTION</v>
      </c>
      <c r="P12" t="str">
        <f t="shared" si="2"/>
        <v>XI) GRAPH DATA: OTHER ASSUMPTIONS - PRIVATE HOUSEHOLD CONNECTION,XI) GRAPH DATA: OTHER ASSUMPTIONS - OTHER SOURCES,XI) GRAPH DATA: OTHER ASSUMPTIONS - PRIVATE HOUSEHOLD CONNECTION - 5 YEAR RESET PERIOD,XI) GRAPH DATA: OTHER ASSUMPTIONS - PRIVATE HOUSEHOLD CONNECTION - EXISTING TARIFFS,XI) GRAPH DATA: OTHER ASSUMPTIONS,XI) GRAPH DATA: OTHER ASSUMPTIONS - OTHER SOURCES,XI) GRAPH DATA: OTHER ASSUMPTIONS - PRIVATE HOUSEHOLD CONNECTION,XI) GRAPH DATA: OTHER ASSUMPTIONS - OTHER SOURCES - MONTHLY COST,XI) GRAPH DATA: OTHER ASSUMPTIONS - OTHER SOURCES - MONTHLY COPING COST,XI) GRAPH DATA: OTHER ASSUMPTIONS - PRIVATE HOUSEHOLD CONNECTION</v>
      </c>
      <c r="Q12" t="s">
        <v>142</v>
      </c>
    </row>
    <row r="13" spans="2:18" x14ac:dyDescent="0.15">
      <c r="J13" s="195" t="s">
        <v>72</v>
      </c>
      <c r="K13" s="1" t="s">
        <v>73</v>
      </c>
      <c r="L13" t="s">
        <v>93</v>
      </c>
      <c r="M13" s="1" t="s">
        <v>142</v>
      </c>
      <c r="O13" t="str">
        <f t="shared" si="1"/>
        <v>XI) GRAPH DATA: OTHER ASSUMPTIONS - OTHER SOURCES</v>
      </c>
      <c r="P13" t="str">
        <f t="shared" si="2"/>
        <v>XI) GRAPH DATA: OTHER ASSUMPTIONS - PRIVATE HOUSEHOLD CONNECTION,XI) GRAPH DATA: OTHER ASSUMPTIONS - OTHER SOURCES,XI) GRAPH DATA: OTHER ASSUMPTIONS - PRIVATE HOUSEHOLD CONNECTION - 5 YEAR RESET PERIOD,XI) GRAPH DATA: OTHER ASSUMPTIONS - PRIVATE HOUSEHOLD CONNECTION - EXISTING TARIFFS,XI) GRAPH DATA: OTHER ASSUMPTIONS,XI) GRAPH DATA: OTHER ASSUMPTIONS - OTHER SOURCES,XI) GRAPH DATA: OTHER ASSUMPTIONS - PRIVATE HOUSEHOLD CONNECTION,XI) GRAPH DATA: OTHER ASSUMPTIONS - OTHER SOURCES - MONTHLY COST,XI) GRAPH DATA: OTHER ASSUMPTIONS - OTHER SOURCES - MONTHLY COPING COST,XI) GRAPH DATA: OTHER ASSUMPTIONS - PRIVATE HOUSEHOLD CONNECTION,XI) GRAPH DATA: OTHER ASSUMPTIONS - OTHER SOURCES</v>
      </c>
      <c r="Q13" t="s">
        <v>142</v>
      </c>
      <c r="R13" t="str">
        <f>"HEADINGS_STR = HEADINGS_STR &amp; "&amp;""""&amp;P13&amp;","&amp;""""</f>
        <v>HEADINGS_STR = HEADINGS_STR &amp; "XI) GRAPH DATA: OTHER ASSUMPTIONS - PRIVATE HOUSEHOLD CONNECTION,XI) GRAPH DATA: OTHER ASSUMPTIONS - OTHER SOURCES,XI) GRAPH DATA: OTHER ASSUMPTIONS - PRIVATE HOUSEHOLD CONNECTION - 5 YEAR RESET PERIOD,XI) GRAPH DATA: OTHER ASSUMPTIONS - PRIVATE HOUSEHOLD CONNECTION - EXISTING TARIFFS,XI) GRAPH DATA: OTHER ASSUMPTIONS,XI) GRAPH DATA: OTHER ASSUMPTIONS - OTHER SOURCES,XI) GRAPH DATA: OTHER ASSUMPTIONS - PRIVATE HOUSEHOLD CONNECTION,XI) GRAPH DATA: OTHER ASSUMPTIONS - OTHER SOURCES - MONTHLY COST,XI) GRAPH DATA: OTHER ASSUMPTIONS - OTHER SOURCES - MONTHLY COPING COST,XI) GRAPH DATA: OTHER ASSUMPTIONS - PRIVATE HOUSEHOLD CONNECTION,XI) GRAPH DATA: OTHER ASSUMPTIONS - OTHER SOURCES,"</v>
      </c>
    </row>
    <row r="14" spans="2:18" x14ac:dyDescent="0.15">
      <c r="M14" s="1"/>
      <c r="Q14" t="s">
        <v>142</v>
      </c>
    </row>
    <row r="15" spans="2:18" x14ac:dyDescent="0.15">
      <c r="R15" t="s">
        <v>172</v>
      </c>
    </row>
    <row r="16" spans="2:18" x14ac:dyDescent="0.15">
      <c r="C16" t="s">
        <v>160</v>
      </c>
    </row>
    <row r="17" spans="3:12" x14ac:dyDescent="0.15">
      <c r="C17" t="s">
        <v>161</v>
      </c>
    </row>
    <row r="18" spans="3:12" x14ac:dyDescent="0.15">
      <c r="C18" t="s">
        <v>164</v>
      </c>
    </row>
    <row r="25" spans="3:12" x14ac:dyDescent="0.15">
      <c r="J25" s="262" t="s">
        <v>157</v>
      </c>
    </row>
    <row r="27" spans="3:12" x14ac:dyDescent="0.15">
      <c r="J27" s="195" t="s">
        <v>123</v>
      </c>
      <c r="K27" s="1" t="s">
        <v>154</v>
      </c>
      <c r="L27" t="s">
        <v>155</v>
      </c>
    </row>
    <row r="28" spans="3:12" x14ac:dyDescent="0.15">
      <c r="J28" s="195" t="s">
        <v>123</v>
      </c>
      <c r="K28" s="1" t="s">
        <v>154</v>
      </c>
      <c r="L28" t="s">
        <v>82</v>
      </c>
    </row>
    <row r="29" spans="3:12" x14ac:dyDescent="0.15">
      <c r="J29" s="195" t="s">
        <v>123</v>
      </c>
      <c r="K29" s="1" t="s">
        <v>154</v>
      </c>
      <c r="L29" s="1" t="s">
        <v>83</v>
      </c>
    </row>
  </sheetData>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F59"/>
  <sheetViews>
    <sheetView tabSelected="1" zoomScale="160" zoomScaleNormal="160" workbookViewId="0">
      <selection activeCell="A9" sqref="A9"/>
    </sheetView>
  </sheetViews>
  <sheetFormatPr baseColWidth="10" defaultColWidth="8.83203125" defaultRowHeight="13" x14ac:dyDescent="0.15"/>
  <cols>
    <col min="1" max="1" width="91.83203125" style="10" bestFit="1" customWidth="1"/>
    <col min="2" max="2" width="14.33203125" style="13" bestFit="1" customWidth="1"/>
    <col min="3" max="3" width="8.83203125" style="10"/>
    <col min="4" max="4" width="203.5" bestFit="1" customWidth="1"/>
  </cols>
  <sheetData>
    <row r="1" spans="1:5" x14ac:dyDescent="0.15">
      <c r="A1" s="12" t="s">
        <v>99</v>
      </c>
      <c r="B1" s="13">
        <v>20</v>
      </c>
      <c r="D1" t="str">
        <f>"# ["&amp;E1&amp;"] "&amp;IF(C1="",A1,A1&amp;": "&amp;CLEAN(C1))&amp;" (eg., "&amp;B1&amp;")"</f>
        <v># [1] CONTRACT_LENGTH_VAL (eg., 20)</v>
      </c>
      <c r="E1">
        <v>1</v>
      </c>
    </row>
    <row r="2" spans="1:5" x14ac:dyDescent="0.15">
      <c r="A2" s="12" t="s">
        <v>100</v>
      </c>
      <c r="B2" s="13">
        <v>0.05</v>
      </c>
      <c r="C2" s="10" t="str" cm="1">
        <f t="array" ref="C2">CELL_COMMENT_FUNC(B2)</f>
        <v xml:space="preserve">
Current value of inflation. It is the rate of change of the Consumer Price Index.</v>
      </c>
      <c r="D2" t="str">
        <f t="shared" ref="D2:D54" si="0">"# ["&amp;E2&amp;"] "&amp;IF(C2="",A2,A2&amp;": "&amp;CLEAN(C2))&amp;" (eg., "&amp;B2&amp;")"</f>
        <v># [2] INFLATION_CURRENT_VAL: Current value of inflation. It is the rate of change of the Consumer Price Index. (eg., 0.05)</v>
      </c>
      <c r="E2">
        <f>E1+1</f>
        <v>2</v>
      </c>
    </row>
    <row r="3" spans="1:5" x14ac:dyDescent="0.15">
      <c r="A3" s="12" t="s">
        <v>101</v>
      </c>
      <c r="B3" s="13">
        <v>5</v>
      </c>
      <c r="C3" s="10" t="str" cm="1">
        <f t="array" ref="C3">CELL_COMMENT_FUNC(B3)</f>
        <v xml:space="preserve">
The rate at which current inflation will tend towards its long term value.</v>
      </c>
      <c r="D3" t="str">
        <f t="shared" si="0"/>
        <v># [3] INFLATION_SPEED_ADJUSTMENT_VAL: The rate at which current inflation will tend towards its long term value. (eg., 5)</v>
      </c>
      <c r="E3">
        <f t="shared" ref="E3:E54" si="1">E2+1</f>
        <v>3</v>
      </c>
    </row>
    <row r="4" spans="1:5" x14ac:dyDescent="0.15">
      <c r="A4" s="12" t="s">
        <v>102</v>
      </c>
      <c r="B4" s="13">
        <v>0.08</v>
      </c>
      <c r="C4" s="10" t="str" cm="1">
        <f t="array" ref="C4">CELL_COMMENT_FUNC(B4)</f>
        <v xml:space="preserve">
Long term value of inflation. This is the long term rate that the current inflation will tend towards.</v>
      </c>
      <c r="D4" t="str">
        <f t="shared" si="0"/>
        <v># [4] INFLATION_LONG_TERM_VAL: Long term value of inflation. This is the long term rate that the current inflation will tend towards. (eg., 0.08)</v>
      </c>
      <c r="E4">
        <f t="shared" si="1"/>
        <v>4</v>
      </c>
    </row>
    <row r="5" spans="1:5" x14ac:dyDescent="0.15">
      <c r="A5" s="12" t="s">
        <v>179</v>
      </c>
      <c r="B5" s="13">
        <v>0.02</v>
      </c>
      <c r="C5" s="10" t="str" cm="1">
        <f t="array" ref="C5">CELL_COMMENT_FUNC(B5)</f>
        <v xml:space="preserve">
Uncertainty around the inflation over oneyear period. A 1 volatility means that over the period of one year inflation has the potential to go up or down by 1. </v>
      </c>
      <c r="D5" t="str">
        <f t="shared" si="0"/>
        <v># [5] INFLATION_VOLATILITY_VAL: Uncertainty around the inflation over oneyear period. A 1 volatility means that over the period of one year inflation has the potential to go up or down by 1.  (eg., 0.02)</v>
      </c>
      <c r="E5">
        <f t="shared" si="1"/>
        <v>5</v>
      </c>
    </row>
    <row r="6" spans="1:5" x14ac:dyDescent="0.15">
      <c r="A6" s="12" t="s">
        <v>103</v>
      </c>
      <c r="B6" s="13">
        <v>100</v>
      </c>
      <c r="D6" t="str">
        <f t="shared" si="0"/>
        <v># [6] INFLATION_INTIAL_CPI_VAL (eg., 100)</v>
      </c>
      <c r="E6">
        <f t="shared" si="1"/>
        <v>6</v>
      </c>
    </row>
    <row r="7" spans="1:5" x14ac:dyDescent="0.15">
      <c r="A7" s="12" t="s">
        <v>104</v>
      </c>
      <c r="B7" s="13">
        <v>1</v>
      </c>
      <c r="D7" t="str">
        <f t="shared" si="0"/>
        <v># [7] INFLATION_INTIAL_DEFLATION_FACTOR_VAL (eg., 1)</v>
      </c>
      <c r="E7">
        <f t="shared" si="1"/>
        <v>7</v>
      </c>
    </row>
    <row r="8" spans="1:5" x14ac:dyDescent="0.15">
      <c r="A8" s="12" t="s">
        <v>105</v>
      </c>
      <c r="B8" s="13">
        <v>100</v>
      </c>
      <c r="C8" s="10" t="str" cm="1">
        <f t="array" ref="C8">CELL_COMMENT_FUNC(B8)</f>
        <v xml:space="preserve">
Current value of the exchange rate expressed in terms of pesos per dollar.</v>
      </c>
      <c r="D8" t="str">
        <f t="shared" si="0"/>
        <v># [8] EXCHANGE_RATE_CURRENT_VAL: Current value of the exchange rate expressed in terms of pesos per dollar. (eg., 100)</v>
      </c>
      <c r="E8">
        <f t="shared" si="1"/>
        <v>8</v>
      </c>
    </row>
    <row r="9" spans="1:5" x14ac:dyDescent="0.15">
      <c r="A9" s="12" t="s">
        <v>106</v>
      </c>
      <c r="B9" s="13">
        <v>0.05</v>
      </c>
      <c r="C9" s="10" t="str" cm="1">
        <f t="array" ref="C9">CELL_COMMENT_FUNC(B9)</f>
        <v xml:space="preserve">
Expected annual change in the exchange rate. A positive change is a depreciation of the currency more pesos per dollar and a negative change is an appreciation of the peso.</v>
      </c>
      <c r="D9" t="str">
        <f t="shared" si="0"/>
        <v># [9] EXCHANGE_RATE_DEPRECIATION_VAL: Expected annual change in the exchange rate. A positive change is a depreciation of the currency more pesos per dollar and a negative change is an appreciation of the peso. (eg., 0.05)</v>
      </c>
      <c r="E9">
        <f t="shared" si="1"/>
        <v>9</v>
      </c>
    </row>
    <row r="10" spans="1:5" x14ac:dyDescent="0.15">
      <c r="A10" s="12" t="s">
        <v>178</v>
      </c>
      <c r="B10" s="13">
        <v>0.05</v>
      </c>
      <c r="C10" s="10" t="str" cm="1">
        <f t="array" ref="C10">CELL_COMMENT_FUNC(B10)</f>
        <v xml:space="preserve">
Uncertainty around the exchange rate over oneyear period. A 1 volatility means that over the period of one year the exchange rate has the potential to go up or down by 1. </v>
      </c>
      <c r="D10" t="str">
        <f t="shared" si="0"/>
        <v># [10] EXCHANGE_RATE_VOLATILITY_VAL: Uncertainty around the exchange rate over oneyear period. A 1 volatility means that over the period of one year the exchange rate has the potential to go up or down by 1.  (eg., 0.05)</v>
      </c>
      <c r="E10">
        <f t="shared" si="1"/>
        <v>10</v>
      </c>
    </row>
    <row r="11" spans="1:5" x14ac:dyDescent="0.15">
      <c r="A11" s="12" t="s">
        <v>107</v>
      </c>
      <c r="B11" s="13">
        <v>1</v>
      </c>
      <c r="C11" s="12"/>
      <c r="D11" t="str">
        <f t="shared" si="0"/>
        <v># [11] DISCOUNT_INITIAL_FACTOR_VAL (eg., 1)</v>
      </c>
      <c r="E11">
        <f t="shared" si="1"/>
        <v>11</v>
      </c>
    </row>
    <row r="12" spans="1:5" x14ac:dyDescent="0.15">
      <c r="A12" s="12" t="s">
        <v>108</v>
      </c>
      <c r="B12" s="13">
        <v>7.0000000000000007E-2</v>
      </c>
      <c r="C12" s="10" t="str" cm="1">
        <f t="array" ref="C12">CELL_COMMENT_FUNC(B12)</f>
        <v xml:space="preserve">
Discount rate applied to determine net present values. This is also the Weighted Average Cost of Capital.</v>
      </c>
      <c r="D12" t="str">
        <f t="shared" si="0"/>
        <v># [12] DISCOUNT_RATE_VAL: Discount rate applied to determine net present values. This is also the Weighted Average Cost of Capital. (eg., 0.07)</v>
      </c>
      <c r="E12">
        <f t="shared" si="1"/>
        <v>12</v>
      </c>
    </row>
    <row r="13" spans="1:5" x14ac:dyDescent="0.15">
      <c r="A13" s="12" t="s">
        <v>109</v>
      </c>
      <c r="B13" s="13">
        <v>50000</v>
      </c>
      <c r="C13" s="10" t="str" cm="1">
        <f t="array" ref="C13">CELL_COMMENT_FUNC(B13)</f>
        <v xml:space="preserve">
Current value of the number of households in the economy. This is the maximum number of connections that the private operator can hope to gain.</v>
      </c>
      <c r="D13" t="str">
        <f t="shared" si="0"/>
        <v># [13] CUSTOMERS_CURRENT_VAL: Current value of the number of households in the economy. This is the maximum number of connections that the private operator can hope to gain. (eg., 50000)</v>
      </c>
      <c r="E13">
        <f t="shared" si="1"/>
        <v>13</v>
      </c>
    </row>
    <row r="14" spans="1:5" x14ac:dyDescent="0.15">
      <c r="A14" s="12" t="s">
        <v>110</v>
      </c>
      <c r="B14" s="13">
        <v>0</v>
      </c>
      <c r="C14" s="12"/>
      <c r="D14" t="str">
        <f t="shared" si="0"/>
        <v># [14] CUSTOMERS_ANNUAL_GROWTH_VAL (eg., 0)</v>
      </c>
      <c r="E14">
        <f t="shared" si="1"/>
        <v>14</v>
      </c>
    </row>
    <row r="15" spans="1:5" x14ac:dyDescent="0.15">
      <c r="A15" s="12" t="s">
        <v>111</v>
      </c>
      <c r="B15" s="13">
        <v>0.5</v>
      </c>
      <c r="C15" s="10" t="str" cm="1">
        <f t="array" ref="C15">CELL_COMMENT_FUNC(B15)</f>
        <v xml:space="preserve">
Current service coverage is the number of households that are currently connected divided by the total number of households.</v>
      </c>
      <c r="D15" t="str">
        <f t="shared" si="0"/>
        <v># [15] SERVICE_COVERAGE_CURRENT_VAL: Current service coverage is the number of households that are currently connected divided by the total number of households. (eg., 0.5)</v>
      </c>
      <c r="E15">
        <f t="shared" si="1"/>
        <v>15</v>
      </c>
    </row>
    <row r="16" spans="1:5" x14ac:dyDescent="0.15">
      <c r="A16" s="12" t="s">
        <v>112</v>
      </c>
      <c r="B16" s="13">
        <v>1</v>
      </c>
      <c r="C16" s="10" t="str" cm="1">
        <f t="array" ref="C16">CELL_COMMENT_FUNC(B16)</f>
        <v xml:space="preserve">
Coverage extension target coverage. Existing service coverage is 50</v>
      </c>
      <c r="D16" t="str">
        <f t="shared" si="0"/>
        <v># [16] SERVICE_COVERAGE_TARGET_VAL: Coverage extension target coverage. Existing service coverage is 50 (eg., 1)</v>
      </c>
      <c r="E16">
        <f t="shared" si="1"/>
        <v>16</v>
      </c>
    </row>
    <row r="17" spans="1:5" x14ac:dyDescent="0.15">
      <c r="A17" s="12" t="s">
        <v>113</v>
      </c>
      <c r="B17" s="13">
        <v>10</v>
      </c>
      <c r="C17" s="10" t="str" cm="1">
        <f t="array" ref="C17">CELL_COMMENT_FUNC(B17)</f>
        <v xml:space="preserve">
Year in which service target is to be achieved</v>
      </c>
      <c r="D17" t="str">
        <f t="shared" si="0"/>
        <v># [17] SERVICE_COVERAGE_YEAR_VAL: Year in which service target is to be achieved (eg., 10)</v>
      </c>
      <c r="E17">
        <f t="shared" si="1"/>
        <v>17</v>
      </c>
    </row>
    <row r="18" spans="1:5" x14ac:dyDescent="0.15">
      <c r="A18" s="12" t="s">
        <v>114</v>
      </c>
      <c r="B18" s="13">
        <v>150</v>
      </c>
      <c r="C18" s="10" t="str" cm="1">
        <f t="array" ref="C18">CELL_COMMENT_FUNC(B18)</f>
        <v xml:space="preserve">
Current demand per connection per day expressed in litres.
</v>
      </c>
      <c r="D18" t="str">
        <f t="shared" si="0"/>
        <v># [18] DEMAND_CURRENT_VAL: Current demand per connection per day expressed in litres. (eg., 150)</v>
      </c>
      <c r="E18">
        <f t="shared" si="1"/>
        <v>18</v>
      </c>
    </row>
    <row r="19" spans="1:5" x14ac:dyDescent="0.15">
      <c r="A19" s="12" t="s">
        <v>159</v>
      </c>
      <c r="B19" s="13">
        <v>75</v>
      </c>
      <c r="C19" s="10" t="str" cm="1">
        <f t="array" ref="C19">CELL_COMMENT_FUNC(B19)</f>
        <v xml:space="preserve">
Current usage of water from other sources expressed as litres per household per day.
This demand is assumed to stay constant.</v>
      </c>
      <c r="D19" t="str">
        <f t="shared" si="0"/>
        <v># [19] DEMAND_OTHER_SOURCES_VAL: Current usage of water from other sources expressed as litres per household per day.This demand is assumed to stay constant. (eg., 75)</v>
      </c>
      <c r="E19">
        <f t="shared" si="1"/>
        <v>19</v>
      </c>
    </row>
    <row r="20" spans="1:5" x14ac:dyDescent="0.15">
      <c r="A20" s="12" t="s">
        <v>115</v>
      </c>
      <c r="B20" s="13">
        <v>0.02</v>
      </c>
      <c r="C20" s="10" t="str" cm="1">
        <f t="array" ref="C20">CELL_COMMENT_FUNC(B20)</f>
        <v xml:space="preserve">
Household demand is assumed to grow at a constant rate with some variability around this.</v>
      </c>
      <c r="D20" t="str">
        <f t="shared" si="0"/>
        <v># [20] DEMAND_ANNUAL_GROWTH_VAL: Household demand is assumed to grow at a constant rate with some variability around this. (eg., 0.02)</v>
      </c>
      <c r="E20">
        <f t="shared" si="1"/>
        <v>20</v>
      </c>
    </row>
    <row r="21" spans="1:5" x14ac:dyDescent="0.15">
      <c r="A21" s="12" t="s">
        <v>177</v>
      </c>
      <c r="B21" s="13">
        <v>0.03</v>
      </c>
      <c r="C21" s="11"/>
      <c r="D21" t="str">
        <f t="shared" si="0"/>
        <v># [21] DEMAND_VOLATILITY_VAL (eg., 0.03)</v>
      </c>
      <c r="E21">
        <f t="shared" si="1"/>
        <v>21</v>
      </c>
    </row>
    <row r="22" spans="1:5" x14ac:dyDescent="0.15">
      <c r="A22" s="184" t="s">
        <v>129</v>
      </c>
      <c r="B22" s="185">
        <v>1000000</v>
      </c>
      <c r="D22" t="str">
        <f t="shared" si="0"/>
        <v># [22] DENOMINATIONS_WATER_VOLUMES_VAL (eg., 1000000)</v>
      </c>
      <c r="E22">
        <f t="shared" si="1"/>
        <v>22</v>
      </c>
    </row>
    <row r="23" spans="1:5" x14ac:dyDescent="0.15">
      <c r="A23" s="12" t="s">
        <v>116</v>
      </c>
      <c r="B23" s="13">
        <v>0.01</v>
      </c>
      <c r="C23" s="10" t="str" cm="1">
        <f t="array" ref="C23">CELL_COMMENT_FUNC(B23)</f>
        <v xml:space="preserve">
Nonrevenue water include Unaccounted for water UFW and water used for public services such as firefighting.</v>
      </c>
      <c r="D23" t="str">
        <f t="shared" si="0"/>
        <v># [23] NON_REVENUE_WATER_CURRENT_VAL: Nonrevenue water include Unaccounted for water UFW and water used for public services such as firefighting. (eg., 0.01)</v>
      </c>
      <c r="E23">
        <f t="shared" si="1"/>
        <v>23</v>
      </c>
    </row>
    <row r="24" spans="1:5" x14ac:dyDescent="0.15">
      <c r="A24" s="12" t="s">
        <v>117</v>
      </c>
      <c r="B24" s="13">
        <v>0.03</v>
      </c>
      <c r="C24" s="10" t="str" cm="1">
        <f t="array" ref="C24">CELL_COMMENT_FUNC(B24)</f>
        <v xml:space="preserve">
Nonrevenue water is assumed to decrease from current level to a target level. The minimum value this can take is 0.</v>
      </c>
      <c r="D24" t="str">
        <f t="shared" si="0"/>
        <v># [24] NON_REVENUE_WATER_TARGET_VAL: Nonrevenue water is assumed to decrease from current level to a target level. The minimum value this can take is 0. (eg., 0.03)</v>
      </c>
      <c r="E24">
        <f t="shared" si="1"/>
        <v>24</v>
      </c>
    </row>
    <row r="25" spans="1:5" x14ac:dyDescent="0.15">
      <c r="A25" s="12" t="s">
        <v>118</v>
      </c>
      <c r="B25" s="13">
        <v>5</v>
      </c>
      <c r="C25" s="10" t="str" cm="1">
        <f t="array" ref="C25">CELL_COMMENT_FUNC(B25)</f>
        <v xml:space="preserve">
The year in which the target level of nonrevenue water is to be reached.</v>
      </c>
      <c r="D25" t="str">
        <f t="shared" si="0"/>
        <v># [25] NON_REVENUE_WATER_YEAR_VAL: The year in which the target level of nonrevenue water is to be reached. (eg., 5)</v>
      </c>
      <c r="E25">
        <f t="shared" si="1"/>
        <v>25</v>
      </c>
    </row>
    <row r="26" spans="1:5" x14ac:dyDescent="0.15">
      <c r="A26" s="12" t="s">
        <v>119</v>
      </c>
      <c r="B26" s="13">
        <v>1</v>
      </c>
      <c r="C26" s="10" t="str" cm="1">
        <f t="array" ref="C26">CELL_COMMENT_FUNC(B26)</f>
        <v xml:space="preserve">
Collection rate is the proportion of total billed demand that the operator can collect. The remainder is assumed to be bad debt.</v>
      </c>
      <c r="D26" t="str">
        <f t="shared" si="0"/>
        <v># [26] COLLECTION_RATE_CURRENT_VAL: Collection rate is the proportion of total billed demand that the operator can collect. The remainder is assumed to be bad debt. (eg., 1)</v>
      </c>
      <c r="E26">
        <f t="shared" si="1"/>
        <v>26</v>
      </c>
    </row>
    <row r="27" spans="1:5" x14ac:dyDescent="0.15">
      <c r="A27" s="12" t="s">
        <v>120</v>
      </c>
      <c r="B27" s="13">
        <v>1</v>
      </c>
      <c r="C27" s="10" t="str" cm="1">
        <f t="array" ref="C27">CELL_COMMENT_FUNC(B27)</f>
        <v xml:space="preserve">
Collection rate is assumed to gradually increase from current level to a target level.</v>
      </c>
      <c r="D27" t="str">
        <f t="shared" si="0"/>
        <v># [27] COLLECTION_RATE_TARGET_VAL: Collection rate is assumed to gradually increase from current level to a target level. (eg., 1)</v>
      </c>
      <c r="E27">
        <f t="shared" si="1"/>
        <v>27</v>
      </c>
    </row>
    <row r="28" spans="1:5" x14ac:dyDescent="0.15">
      <c r="A28" s="12" t="s">
        <v>121</v>
      </c>
      <c r="B28" s="13">
        <v>10</v>
      </c>
      <c r="C28" s="10" t="str" cm="1">
        <f t="array" ref="C28">CELL_COMMENT_FUNC(B28)</f>
        <v xml:space="preserve">
Year in which the collection target is to be achieved.</v>
      </c>
      <c r="D28" t="str">
        <f t="shared" si="0"/>
        <v># [28] COLLECTION_RATE_YEAR_VAL: Year in which the collection target is to be achieved. (eg., 10)</v>
      </c>
      <c r="E28">
        <f t="shared" si="1"/>
        <v>28</v>
      </c>
    </row>
    <row r="29" spans="1:5" x14ac:dyDescent="0.15">
      <c r="A29" s="184" t="s">
        <v>130</v>
      </c>
      <c r="B29" s="185">
        <v>1000000</v>
      </c>
      <c r="D29" t="str">
        <f t="shared" si="0"/>
        <v># [29] DENOMINATIONS_MONETARY_VAL (eg., 1000000)</v>
      </c>
      <c r="E29">
        <f t="shared" si="1"/>
        <v>29</v>
      </c>
    </row>
    <row r="30" spans="1:5" x14ac:dyDescent="0.15">
      <c r="A30" s="8" t="s">
        <v>128</v>
      </c>
      <c r="B30" s="9">
        <v>2000</v>
      </c>
      <c r="C30" s="10" t="str" cm="1">
        <f t="array" ref="C30">CELL_COMMENT_FUNC(B30)</f>
        <v xml:space="preserve">
Investment cost per connection expressed in pesos. This is a oneoff charge.</v>
      </c>
      <c r="D30" t="str">
        <f t="shared" si="0"/>
        <v># [30] INVESTMENT_COST_PER_NEW_CONNECTION_LOCAL_CURRENCY_VAL: Investment cost per connection expressed in pesos. This is a oneoff charge. (eg., 2000)</v>
      </c>
      <c r="E30">
        <f t="shared" si="1"/>
        <v>30</v>
      </c>
    </row>
    <row r="31" spans="1:5" x14ac:dyDescent="0.15">
      <c r="A31" s="8" t="s">
        <v>127</v>
      </c>
      <c r="B31" s="9">
        <v>0.4</v>
      </c>
      <c r="C31" s="10" t="str" cm="1">
        <f t="array" ref="C31">CELL_COMMENT_FUNC(B31)</f>
        <v xml:space="preserve">
Proportion of investment cost assumed to be fixed operating cost.</v>
      </c>
      <c r="D31" t="str">
        <f t="shared" si="0"/>
        <v># [31] FIXED_OPERATING_COSTS_EXISTING_PERCENT_INVESTMENT_COST_PER_CONNECTION_VAL: Proportion of investment cost assumed to be fixed operating cost. (eg., 0.4)</v>
      </c>
      <c r="E31">
        <f t="shared" si="1"/>
        <v>31</v>
      </c>
    </row>
    <row r="32" spans="1:5" x14ac:dyDescent="0.15">
      <c r="A32" s="8" t="s">
        <v>124</v>
      </c>
      <c r="B32" s="9">
        <v>20000000</v>
      </c>
      <c r="C32" s="10" t="str" cm="1">
        <f t="array" ref="C32">CELL_COMMENT_FUNC(B32)</f>
        <v xml:space="preserve">
Current level of fixed operating cost Proportion of investment assumed to be fixed Investment cost Current level of connections.</v>
      </c>
      <c r="D32" t="str">
        <f t="shared" si="0"/>
        <v># [32] FIXED_OPERATING_COSTS_EXISTING_COST_VAL: Current level of fixed operating cost Proportion of investment assumed to be fixed Investment cost Current level of connections. (eg., 20000000)</v>
      </c>
      <c r="E32">
        <f t="shared" si="1"/>
        <v>32</v>
      </c>
    </row>
    <row r="33" spans="1:5" x14ac:dyDescent="0.15">
      <c r="A33" s="8" t="s">
        <v>125</v>
      </c>
      <c r="B33" s="9">
        <v>0.03</v>
      </c>
      <c r="C33" s="10" t="str" cm="1">
        <f t="array" ref="C33">CELL_COMMENT_FUNC(B33)</f>
        <v xml:space="preserve">
Annual real growth rate of fixed operating costs.</v>
      </c>
      <c r="D33" t="str">
        <f t="shared" si="0"/>
        <v># [33] FIXED_OPERATING_COSTS_ANNUAL_REAL_GROWTH_RATE_VAL: Annual real growth rate of fixed operating costs. (eg., 0.03)</v>
      </c>
      <c r="E33">
        <f t="shared" si="1"/>
        <v>33</v>
      </c>
    </row>
    <row r="34" spans="1:5" x14ac:dyDescent="0.15">
      <c r="A34" s="8" t="s">
        <v>132</v>
      </c>
      <c r="B34" s="9">
        <v>0.5</v>
      </c>
      <c r="C34" s="10" t="str" cm="1">
        <f t="array" ref="C34">CELL_COMMENT_FUNC(B34)</f>
        <v xml:space="preserve">
Proportion of fixed costs that is assumed to be denominated in dollars and are therefore affected by changes in the exchange rate.</v>
      </c>
      <c r="D34" t="str">
        <f t="shared" si="0"/>
        <v># [34] FIXED_OPERATING_COSTS_PROPORTION_OF_COSTS_DENOMINATED_IN_FOREIGN_CURRENCY_VAL: Proportion of fixed costs that is assumed to be denominated in dollars and are therefore affected by changes in the exchange rate. (eg., 0.5)</v>
      </c>
      <c r="E34">
        <f t="shared" si="1"/>
        <v>34</v>
      </c>
    </row>
    <row r="35" spans="1:5" x14ac:dyDescent="0.15">
      <c r="A35" s="8" t="s">
        <v>131</v>
      </c>
      <c r="B35" s="9">
        <v>20</v>
      </c>
      <c r="C35" s="10" t="str" cm="1">
        <f t="array" ref="C35">CELL_COMMENT_FUNC(B35)</f>
        <v xml:space="preserve">
Variable costs per cubic meter.</v>
      </c>
      <c r="D35" t="str">
        <f t="shared" si="0"/>
        <v># [35] VARIABLE_OPERATING_COSTS_EXISTING_COST_VAL: Variable costs per cubic meter. (eg., 20)</v>
      </c>
      <c r="E35">
        <f t="shared" si="1"/>
        <v>35</v>
      </c>
    </row>
    <row r="36" spans="1:5" x14ac:dyDescent="0.15">
      <c r="A36" s="8" t="s">
        <v>126</v>
      </c>
      <c r="B36" s="9">
        <v>0.03</v>
      </c>
      <c r="C36" s="10" t="str" cm="1">
        <f t="array" ref="C36">CELL_COMMENT_FUNC(B36)</f>
        <v xml:space="preserve">
Annual real growth rate of operating operating costs.</v>
      </c>
      <c r="D36" t="str">
        <f t="shared" si="0"/>
        <v># [36] VARIABLE_OPERATING_COSTS_ANNUAL_REAL_GROWTH_RATE_VAL: Annual real growth rate of operating operating costs. (eg., 0.03)</v>
      </c>
      <c r="E36">
        <f t="shared" si="1"/>
        <v>36</v>
      </c>
    </row>
    <row r="37" spans="1:5" x14ac:dyDescent="0.15">
      <c r="A37" s="8" t="s">
        <v>133</v>
      </c>
      <c r="B37" s="9">
        <v>0.5</v>
      </c>
      <c r="C37" s="10" t="str" cm="1">
        <f t="array" ref="C37">CELL_COMMENT_FUNC(B37)</f>
        <v xml:space="preserve">
Proportion of variable costs that is assumed to be denominated in dollars and are therefore affected by changes in the exchange rate.</v>
      </c>
      <c r="D37" t="str">
        <f t="shared" si="0"/>
        <v># [37] VARIABLE_OPERATING_COSTS_PROPORTION_OF_COSTS_DENOMINATED_IN_FOREIGN_CURRENCY_VAL: Proportion of variable costs that is assumed to be denominated in dollars and are therefore affected by changes in the exchange rate. (eg., 0.5)</v>
      </c>
      <c r="E37">
        <f t="shared" si="1"/>
        <v>37</v>
      </c>
    </row>
    <row r="38" spans="1:5" x14ac:dyDescent="0.15">
      <c r="A38" s="8" t="s">
        <v>134</v>
      </c>
      <c r="B38" s="9">
        <v>0.5</v>
      </c>
      <c r="C38" s="10" t="str" cm="1">
        <f t="array" ref="C38">CELL_COMMENT_FUNC(B38)</f>
        <v xml:space="preserve">
The costs of coverage extension can be funded through debt for example taking out a loan or through equity that is equity injections by the private operator the contracting authority or both</v>
      </c>
      <c r="D38" t="str">
        <f t="shared" si="0"/>
        <v># [38] PERCENTAGE_FUNDED_BY_DEBT_VAL: The costs of coverage extension can be funded through debt for example taking out a loan or through equity that is equity injections by the private operator the contracting authority or both (eg., 0.5)</v>
      </c>
      <c r="E38">
        <f t="shared" si="1"/>
        <v>38</v>
      </c>
    </row>
    <row r="39" spans="1:5" x14ac:dyDescent="0.15">
      <c r="A39" s="8" t="s">
        <v>135</v>
      </c>
      <c r="B39" s="194" t="b">
        <v>1</v>
      </c>
      <c r="C39" s="10" t="str" cm="1">
        <f t="array" ref="C39">CELL_COMMENT_FUNC(B39)</f>
        <v xml:space="preserve">
If the investment is funded by debt then there is an option of either issuing this loan in domestic currency pesos or foreign currency dollars.</v>
      </c>
      <c r="D39" t="str">
        <f t="shared" si="0"/>
        <v># [39] LOAN_FOREIGN_CURRENCY_VAL: If the investment is funded by debt then there is an option of either issuing this loan in domestic currency pesos or foreign currency dollars. (eg., TRUE)</v>
      </c>
      <c r="E39">
        <f t="shared" si="1"/>
        <v>39</v>
      </c>
    </row>
    <row r="40" spans="1:5" x14ac:dyDescent="0.15">
      <c r="A40" s="8" t="s">
        <v>136</v>
      </c>
      <c r="B40" s="9">
        <v>20</v>
      </c>
      <c r="D40" t="str">
        <f t="shared" si="0"/>
        <v># [40] LOAN_PERIOD_VAL (eg., 20)</v>
      </c>
      <c r="E40">
        <f t="shared" si="1"/>
        <v>40</v>
      </c>
    </row>
    <row r="41" spans="1:5" x14ac:dyDescent="0.15">
      <c r="A41" s="8" t="s">
        <v>137</v>
      </c>
      <c r="B41" s="9">
        <v>5</v>
      </c>
      <c r="D41" t="str">
        <f t="shared" si="0"/>
        <v># [41] LOAN_PERIOD_GRACE_VAL (eg., 5)</v>
      </c>
      <c r="E41">
        <f t="shared" si="1"/>
        <v>41</v>
      </c>
    </row>
    <row r="42" spans="1:5" x14ac:dyDescent="0.15">
      <c r="A42" s="8" t="s">
        <v>138</v>
      </c>
      <c r="B42" s="9">
        <v>0.5</v>
      </c>
      <c r="C42" s="10" t="str" cm="1">
        <f t="array" ref="C42">CELL_COMMENT_FUNC(B42)</f>
        <v xml:space="preserve">
If the private operator pays for all investment then this is set to 100. If the contracting authority is fully responsbile then this is 0. </v>
      </c>
      <c r="D42" t="str">
        <f t="shared" si="0"/>
        <v># [42] FINANCING_RESPONSIBILITY_COVERAGE_EXTENSION_OPERATOR_VAL: If the private operator pays for all investment then this is set to 100. If the contracting authority is fully responsbile then this is 0.  (eg., 0.5)</v>
      </c>
      <c r="E42">
        <f t="shared" si="1"/>
        <v>42</v>
      </c>
    </row>
    <row r="43" spans="1:5" x14ac:dyDescent="0.15">
      <c r="A43" s="8" t="s">
        <v>139</v>
      </c>
      <c r="B43" s="196">
        <f>1-B42</f>
        <v>0.5</v>
      </c>
      <c r="D43" t="str">
        <f t="shared" si="0"/>
        <v># [43] FINANCING_RESPONSIBILITY_COVERAGE_EXTENSION_CONTRACTING_AUTHORITY_VAL (eg., 0.5)</v>
      </c>
      <c r="E43">
        <f t="shared" si="1"/>
        <v>43</v>
      </c>
    </row>
    <row r="44" spans="1:5" x14ac:dyDescent="0.15">
      <c r="A44" s="8" t="s">
        <v>140</v>
      </c>
      <c r="B44" s="9">
        <v>0.05</v>
      </c>
      <c r="C44" s="10" t="str" cm="1">
        <f t="array" ref="C44">CELL_COMMENT_FUNC(B44)</f>
        <v xml:space="preserve">
Real interest rate assumed to remain constant over the life of the contract.</v>
      </c>
      <c r="D44" t="str">
        <f t="shared" si="0"/>
        <v># [44] INTEREST_RATE_VAL: Real interest rate assumed to remain constant over the life of the contract. (eg., 0.05)</v>
      </c>
      <c r="E44">
        <f t="shared" si="1"/>
        <v>44</v>
      </c>
    </row>
    <row r="45" spans="1:5" x14ac:dyDescent="0.15">
      <c r="A45" s="8" t="s">
        <v>145</v>
      </c>
      <c r="B45" s="9">
        <v>100000000</v>
      </c>
      <c r="C45" s="10" t="str" cm="1">
        <f t="array" ref="C45">CELL_COMMENT_FUNC(B45)</f>
        <v xml:space="preserve">
Initial asset base expressed in pesos.</v>
      </c>
      <c r="D45" t="str">
        <f t="shared" si="0"/>
        <v># [45] ASSET_BASE_INITIAL_LOCAL_CURRENCY_VAL: Initial asset base expressed in pesos. (eg., 100000000)</v>
      </c>
      <c r="E45">
        <f t="shared" si="1"/>
        <v>45</v>
      </c>
    </row>
    <row r="46" spans="1:5" x14ac:dyDescent="0.15">
      <c r="A46" s="8" t="s">
        <v>146</v>
      </c>
      <c r="B46" s="9">
        <v>0.05</v>
      </c>
      <c r="C46" s="10" t="str" cm="1">
        <f t="array" ref="C46">CELL_COMMENT_FUNC(B46)</f>
        <v xml:space="preserve">
Annual depreciation rate. Depreciation charge in each year is Depreciate rate Value of opening assets.</v>
      </c>
      <c r="D46" t="str">
        <f t="shared" si="0"/>
        <v># [46] ASSET_BASE_DEPRECIATION_RATE_VAL: Annual depreciation rate. Depreciation charge in each year is Depreciate rate Value of opening assets. (eg., 0.05)</v>
      </c>
      <c r="E46">
        <f t="shared" si="1"/>
        <v>46</v>
      </c>
    </row>
    <row r="47" spans="1:5" x14ac:dyDescent="0.15">
      <c r="A47" s="8" t="s">
        <v>148</v>
      </c>
      <c r="B47" s="9">
        <v>5</v>
      </c>
      <c r="C47" s="10" t="str" cm="1">
        <f t="array" ref="C47">CELL_COMMENT_FUNC(B47)</f>
        <v xml:space="preserve">
Frequency of tariff resets.</v>
      </c>
      <c r="D47" t="str">
        <f t="shared" si="0"/>
        <v># [47] TARIFF_REVIEW_PERIOD_VAL: Frequency of tariff resets. (eg., 5)</v>
      </c>
      <c r="E47">
        <f t="shared" si="1"/>
        <v>47</v>
      </c>
    </row>
    <row r="48" spans="1:5" x14ac:dyDescent="0.15">
      <c r="A48" s="8" t="s">
        <v>149</v>
      </c>
      <c r="B48" s="9">
        <v>0</v>
      </c>
      <c r="C48" s="10" t="str" cm="1">
        <f t="array" ref="C48">CELL_COMMENT_FUNC(B48)</f>
        <v xml:space="preserve">
Lease payments concession fees and license fees can be represented by negative annual payments i.e. payments from the operator to the contracting authority.</v>
      </c>
      <c r="D48" t="str">
        <f t="shared" si="0"/>
        <v># [48] ANNUAL_FIXED_FEES_PAYMENT_LOCAL_CURRENCY_VAL: Lease payments concession fees and license fees can be represented by negative annual payments i.e. payments from the operator to the contracting authority. (eg., 0)</v>
      </c>
      <c r="E48">
        <f t="shared" si="1"/>
        <v>48</v>
      </c>
    </row>
    <row r="49" spans="1:6" x14ac:dyDescent="0.15">
      <c r="A49" s="8" t="s">
        <v>162</v>
      </c>
      <c r="B49" s="9">
        <v>30</v>
      </c>
      <c r="C49" s="10" t="str" cm="1">
        <f t="array" ref="C49">CELL_COMMENT_FUNC(B49)</f>
        <v xml:space="preserve">
Tariff charged to households that are connected to the water system prior to the introduction of the private operator expressed in terms of pesos per cubic meter.</v>
      </c>
      <c r="D49" t="str">
        <f t="shared" si="0"/>
        <v># [49] EXISTING_TARIFF_CONNECTED_VAL: Tariff charged to households that are connected to the water system prior to the introduction of the private operator expressed in terms of pesos per cubic meter. (eg., 30)</v>
      </c>
      <c r="E49">
        <f t="shared" si="1"/>
        <v>49</v>
      </c>
    </row>
    <row r="50" spans="1:6" x14ac:dyDescent="0.15">
      <c r="A50" s="8" t="s">
        <v>163</v>
      </c>
      <c r="B50" s="9">
        <v>45</v>
      </c>
      <c r="C50" s="10" t="str" cm="1">
        <f t="array" ref="C50">CELL_COMMENT_FUNC(B50)</f>
        <v xml:space="preserve">
Tariff charged to households that obtain water from other methods e.g. water tankers river sources expressed in terms of pesos per cubic meter.</v>
      </c>
      <c r="D50" t="str">
        <f t="shared" si="0"/>
        <v># [50] EXISTING_TARIFF_OTHER_VAL: Tariff charged to households that obtain water from other methods e.g. water tankers river sources expressed in terms of pesos per cubic meter. (eg., 45)</v>
      </c>
      <c r="E50">
        <f t="shared" si="1"/>
        <v>50</v>
      </c>
    </row>
    <row r="51" spans="1:6" x14ac:dyDescent="0.15">
      <c r="A51" s="8" t="s">
        <v>171</v>
      </c>
      <c r="B51" s="9">
        <v>1000</v>
      </c>
      <c r="C51" s="10" t="str" cm="1">
        <f t="array" ref="C51">CELL_COMMENT_FUNC(B51)</f>
        <v xml:space="preserve">
Additional cost incurred by unconnected households in order to obtain water such as time traveled to river source cost of installing water storage.</v>
      </c>
      <c r="D51" t="str">
        <f t="shared" si="0"/>
        <v># [51] EXISTING_TARIFF_COPYING_COST_VAL: Additional cost incurred by unconnected households in order to obtain water such as time traveled to river source cost of installing water storage. (eg., 1000)</v>
      </c>
      <c r="E51">
        <f t="shared" si="1"/>
        <v>51</v>
      </c>
    </row>
    <row r="52" spans="1:6" x14ac:dyDescent="0.15">
      <c r="A52" s="8" t="s">
        <v>168</v>
      </c>
      <c r="B52" s="275">
        <v>2.5</v>
      </c>
      <c r="C52" s="10" t="str" cm="1">
        <f t="array" ref="C52">CELL_COMMENT_FUNC(B52)</f>
        <v>Willingness to pay per cubic meter for a household connections versus other sources expressed as a percentage of what is currently charged.</v>
      </c>
      <c r="D52" t="str">
        <f t="shared" si="0"/>
        <v># [52] WTP_CONNECTION_VAL: Willingness to pay per cubic meter for a household connections versus other sources expressed as a percentage of what is currently charged. (eg., 2.5)</v>
      </c>
      <c r="E52">
        <f t="shared" si="1"/>
        <v>52</v>
      </c>
    </row>
    <row r="53" spans="1:6" x14ac:dyDescent="0.15">
      <c r="A53" s="8" t="s">
        <v>169</v>
      </c>
      <c r="B53" s="275">
        <v>1.5</v>
      </c>
      <c r="C53" s="10" t="str" cm="1">
        <f t="array" ref="C53">CELL_COMMENT_FUNC(B53)</f>
        <v>Willingness to pay per cubic meter for a household connections versus other sources expressed as a percentage of what is currently charged.</v>
      </c>
      <c r="D53" t="str">
        <f t="shared" si="0"/>
        <v># [53] WTP_OTHER_VAL: Willingness to pay per cubic meter for a household connections versus other sources expressed as a percentage of what is currently charged. (eg., 1.5)</v>
      </c>
      <c r="E53">
        <f t="shared" si="1"/>
        <v>53</v>
      </c>
    </row>
    <row r="54" spans="1:6" x14ac:dyDescent="0.15">
      <c r="A54" s="8" t="s">
        <v>170</v>
      </c>
      <c r="B54" s="275">
        <v>1.3</v>
      </c>
      <c r="C54" s="10" t="str" cm="1">
        <f t="array" ref="C54">CELL_COMMENT_FUNC(B54)</f>
        <v>Willingness to incur coping costs to remain unconnected to the water system.</v>
      </c>
      <c r="D54" t="str">
        <f t="shared" si="0"/>
        <v># [54] WTP_COPYING_COST_VAL: Willingness to incur coping costs to remain unconnected to the water system. (eg., 1.3)</v>
      </c>
      <c r="E54">
        <f t="shared" si="1"/>
        <v>54</v>
      </c>
    </row>
    <row r="57" spans="1:6" x14ac:dyDescent="0.15">
      <c r="D57" s="270"/>
      <c r="E57" s="270" t="str">
        <f>"Volumetric charge (" &amp; lbl_LocalCurrency&amp; " per m3)"</f>
        <v>Volumetric charge (pesos per m3)</v>
      </c>
      <c r="F57" s="270" t="s">
        <v>166</v>
      </c>
    </row>
    <row r="58" spans="1:6" x14ac:dyDescent="0.15">
      <c r="D58" s="270" t="s">
        <v>167</v>
      </c>
      <c r="E58" s="271">
        <v>2.5</v>
      </c>
      <c r="F58" s="272"/>
    </row>
    <row r="59" spans="1:6" x14ac:dyDescent="0.15">
      <c r="D59" s="270" t="s">
        <v>93</v>
      </c>
      <c r="E59" s="273">
        <v>1.5</v>
      </c>
      <c r="F59" s="274">
        <v>1.3</v>
      </c>
    </row>
  </sheetData>
  <dataValidations count="2">
    <dataValidation type="list" allowBlank="1" showInputMessage="1" showErrorMessage="1" sqref="B39" xr:uid="{00000000-0002-0000-0000-000000000000}">
      <formula1>"TRUE, FALSE"</formula1>
    </dataValidation>
    <dataValidation type="decimal" operator="greaterThan" allowBlank="1" showInputMessage="1" showErrorMessage="1" errorTitle="Other assumptions" error="Only numbers greater than 100% allowed." sqref="E58:E59 F59" xr:uid="{8660CFB4-C6A9-42FE-BE22-8B69AAB8287A}">
      <formula1>1</formula1>
    </dataValidation>
  </dataValidations>
  <pageMargins left="0.7" right="0.7" top="0.75" bottom="0.75" header="0.3" footer="0.3"/>
  <pageSetup orientation="portrait" r:id="rId1"/>
  <legacyDrawing r:id="rId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BL213"/>
  <sheetViews>
    <sheetView workbookViewId="0">
      <selection activeCell="H92" sqref="H92"/>
    </sheetView>
  </sheetViews>
  <sheetFormatPr baseColWidth="10" defaultColWidth="8.83203125" defaultRowHeight="13" outlineLevelRow="1" x14ac:dyDescent="0.15"/>
  <cols>
    <col min="1" max="2" width="2.83203125" style="151" customWidth="1"/>
    <col min="3" max="3" width="31.5" style="151" customWidth="1"/>
    <col min="4" max="4" width="11.83203125" style="151" customWidth="1"/>
    <col min="5" max="7" width="12.83203125" style="151" bestFit="1" customWidth="1"/>
    <col min="8" max="8" width="14.83203125" style="151" bestFit="1" customWidth="1"/>
    <col min="9" max="24" width="12.83203125" style="151" bestFit="1" customWidth="1"/>
    <col min="25" max="30" width="11.6640625" style="151" bestFit="1" customWidth="1"/>
    <col min="31" max="44" width="11.83203125" style="151" customWidth="1"/>
    <col min="45" max="78" width="8.5" style="151" customWidth="1"/>
    <col min="79" max="256" width="9.1640625" style="151"/>
    <col min="257" max="258" width="2.83203125" style="151" customWidth="1"/>
    <col min="259" max="259" width="31.5" style="151" customWidth="1"/>
    <col min="260" max="300" width="11.83203125" style="151" customWidth="1"/>
    <col min="301" max="334" width="8.5" style="151" customWidth="1"/>
    <col min="335" max="512" width="9.1640625" style="151"/>
    <col min="513" max="514" width="2.83203125" style="151" customWidth="1"/>
    <col min="515" max="515" width="31.5" style="151" customWidth="1"/>
    <col min="516" max="556" width="11.83203125" style="151" customWidth="1"/>
    <col min="557" max="590" width="8.5" style="151" customWidth="1"/>
    <col min="591" max="768" width="9.1640625" style="151"/>
    <col min="769" max="770" width="2.83203125" style="151" customWidth="1"/>
    <col min="771" max="771" width="31.5" style="151" customWidth="1"/>
    <col min="772" max="812" width="11.83203125" style="151" customWidth="1"/>
    <col min="813" max="846" width="8.5" style="151" customWidth="1"/>
    <col min="847" max="1024" width="9.1640625" style="151"/>
    <col min="1025" max="1026" width="2.83203125" style="151" customWidth="1"/>
    <col min="1027" max="1027" width="31.5" style="151" customWidth="1"/>
    <col min="1028" max="1068" width="11.83203125" style="151" customWidth="1"/>
    <col min="1069" max="1102" width="8.5" style="151" customWidth="1"/>
    <col min="1103" max="1280" width="9.1640625" style="151"/>
    <col min="1281" max="1282" width="2.83203125" style="151" customWidth="1"/>
    <col min="1283" max="1283" width="31.5" style="151" customWidth="1"/>
    <col min="1284" max="1324" width="11.83203125" style="151" customWidth="1"/>
    <col min="1325" max="1358" width="8.5" style="151" customWidth="1"/>
    <col min="1359" max="1536" width="9.1640625" style="151"/>
    <col min="1537" max="1538" width="2.83203125" style="151" customWidth="1"/>
    <col min="1539" max="1539" width="31.5" style="151" customWidth="1"/>
    <col min="1540" max="1580" width="11.83203125" style="151" customWidth="1"/>
    <col min="1581" max="1614" width="8.5" style="151" customWidth="1"/>
    <col min="1615" max="1792" width="9.1640625" style="151"/>
    <col min="1793" max="1794" width="2.83203125" style="151" customWidth="1"/>
    <col min="1795" max="1795" width="31.5" style="151" customWidth="1"/>
    <col min="1796" max="1836" width="11.83203125" style="151" customWidth="1"/>
    <col min="1837" max="1870" width="8.5" style="151" customWidth="1"/>
    <col min="1871" max="2048" width="9.1640625" style="151"/>
    <col min="2049" max="2050" width="2.83203125" style="151" customWidth="1"/>
    <col min="2051" max="2051" width="31.5" style="151" customWidth="1"/>
    <col min="2052" max="2092" width="11.83203125" style="151" customWidth="1"/>
    <col min="2093" max="2126" width="8.5" style="151" customWidth="1"/>
    <col min="2127" max="2304" width="9.1640625" style="151"/>
    <col min="2305" max="2306" width="2.83203125" style="151" customWidth="1"/>
    <col min="2307" max="2307" width="31.5" style="151" customWidth="1"/>
    <col min="2308" max="2348" width="11.83203125" style="151" customWidth="1"/>
    <col min="2349" max="2382" width="8.5" style="151" customWidth="1"/>
    <col min="2383" max="2560" width="9.1640625" style="151"/>
    <col min="2561" max="2562" width="2.83203125" style="151" customWidth="1"/>
    <col min="2563" max="2563" width="31.5" style="151" customWidth="1"/>
    <col min="2564" max="2604" width="11.83203125" style="151" customWidth="1"/>
    <col min="2605" max="2638" width="8.5" style="151" customWidth="1"/>
    <col min="2639" max="2816" width="9.1640625" style="151"/>
    <col min="2817" max="2818" width="2.83203125" style="151" customWidth="1"/>
    <col min="2819" max="2819" width="31.5" style="151" customWidth="1"/>
    <col min="2820" max="2860" width="11.83203125" style="151" customWidth="1"/>
    <col min="2861" max="2894" width="8.5" style="151" customWidth="1"/>
    <col min="2895" max="3072" width="9.1640625" style="151"/>
    <col min="3073" max="3074" width="2.83203125" style="151" customWidth="1"/>
    <col min="3075" max="3075" width="31.5" style="151" customWidth="1"/>
    <col min="3076" max="3116" width="11.83203125" style="151" customWidth="1"/>
    <col min="3117" max="3150" width="8.5" style="151" customWidth="1"/>
    <col min="3151" max="3328" width="9.1640625" style="151"/>
    <col min="3329" max="3330" width="2.83203125" style="151" customWidth="1"/>
    <col min="3331" max="3331" width="31.5" style="151" customWidth="1"/>
    <col min="3332" max="3372" width="11.83203125" style="151" customWidth="1"/>
    <col min="3373" max="3406" width="8.5" style="151" customWidth="1"/>
    <col min="3407" max="3584" width="9.1640625" style="151"/>
    <col min="3585" max="3586" width="2.83203125" style="151" customWidth="1"/>
    <col min="3587" max="3587" width="31.5" style="151" customWidth="1"/>
    <col min="3588" max="3628" width="11.83203125" style="151" customWidth="1"/>
    <col min="3629" max="3662" width="8.5" style="151" customWidth="1"/>
    <col min="3663" max="3840" width="9.1640625" style="151"/>
    <col min="3841" max="3842" width="2.83203125" style="151" customWidth="1"/>
    <col min="3843" max="3843" width="31.5" style="151" customWidth="1"/>
    <col min="3844" max="3884" width="11.83203125" style="151" customWidth="1"/>
    <col min="3885" max="3918" width="8.5" style="151" customWidth="1"/>
    <col min="3919" max="4096" width="9.1640625" style="151"/>
    <col min="4097" max="4098" width="2.83203125" style="151" customWidth="1"/>
    <col min="4099" max="4099" width="31.5" style="151" customWidth="1"/>
    <col min="4100" max="4140" width="11.83203125" style="151" customWidth="1"/>
    <col min="4141" max="4174" width="8.5" style="151" customWidth="1"/>
    <col min="4175" max="4352" width="9.1640625" style="151"/>
    <col min="4353" max="4354" width="2.83203125" style="151" customWidth="1"/>
    <col min="4355" max="4355" width="31.5" style="151" customWidth="1"/>
    <col min="4356" max="4396" width="11.83203125" style="151" customWidth="1"/>
    <col min="4397" max="4430" width="8.5" style="151" customWidth="1"/>
    <col min="4431" max="4608" width="9.1640625" style="151"/>
    <col min="4609" max="4610" width="2.83203125" style="151" customWidth="1"/>
    <col min="4611" max="4611" width="31.5" style="151" customWidth="1"/>
    <col min="4612" max="4652" width="11.83203125" style="151" customWidth="1"/>
    <col min="4653" max="4686" width="8.5" style="151" customWidth="1"/>
    <col min="4687" max="4864" width="9.1640625" style="151"/>
    <col min="4865" max="4866" width="2.83203125" style="151" customWidth="1"/>
    <col min="4867" max="4867" width="31.5" style="151" customWidth="1"/>
    <col min="4868" max="4908" width="11.83203125" style="151" customWidth="1"/>
    <col min="4909" max="4942" width="8.5" style="151" customWidth="1"/>
    <col min="4943" max="5120" width="9.1640625" style="151"/>
    <col min="5121" max="5122" width="2.83203125" style="151" customWidth="1"/>
    <col min="5123" max="5123" width="31.5" style="151" customWidth="1"/>
    <col min="5124" max="5164" width="11.83203125" style="151" customWidth="1"/>
    <col min="5165" max="5198" width="8.5" style="151" customWidth="1"/>
    <col min="5199" max="5376" width="9.1640625" style="151"/>
    <col min="5377" max="5378" width="2.83203125" style="151" customWidth="1"/>
    <col min="5379" max="5379" width="31.5" style="151" customWidth="1"/>
    <col min="5380" max="5420" width="11.83203125" style="151" customWidth="1"/>
    <col min="5421" max="5454" width="8.5" style="151" customWidth="1"/>
    <col min="5455" max="5632" width="9.1640625" style="151"/>
    <col min="5633" max="5634" width="2.83203125" style="151" customWidth="1"/>
    <col min="5635" max="5635" width="31.5" style="151" customWidth="1"/>
    <col min="5636" max="5676" width="11.83203125" style="151" customWidth="1"/>
    <col min="5677" max="5710" width="8.5" style="151" customWidth="1"/>
    <col min="5711" max="5888" width="9.1640625" style="151"/>
    <col min="5889" max="5890" width="2.83203125" style="151" customWidth="1"/>
    <col min="5891" max="5891" width="31.5" style="151" customWidth="1"/>
    <col min="5892" max="5932" width="11.83203125" style="151" customWidth="1"/>
    <col min="5933" max="5966" width="8.5" style="151" customWidth="1"/>
    <col min="5967" max="6144" width="9.1640625" style="151"/>
    <col min="6145" max="6146" width="2.83203125" style="151" customWidth="1"/>
    <col min="6147" max="6147" width="31.5" style="151" customWidth="1"/>
    <col min="6148" max="6188" width="11.83203125" style="151" customWidth="1"/>
    <col min="6189" max="6222" width="8.5" style="151" customWidth="1"/>
    <col min="6223" max="6400" width="9.1640625" style="151"/>
    <col min="6401" max="6402" width="2.83203125" style="151" customWidth="1"/>
    <col min="6403" max="6403" width="31.5" style="151" customWidth="1"/>
    <col min="6404" max="6444" width="11.83203125" style="151" customWidth="1"/>
    <col min="6445" max="6478" width="8.5" style="151" customWidth="1"/>
    <col min="6479" max="6656" width="9.1640625" style="151"/>
    <col min="6657" max="6658" width="2.83203125" style="151" customWidth="1"/>
    <col min="6659" max="6659" width="31.5" style="151" customWidth="1"/>
    <col min="6660" max="6700" width="11.83203125" style="151" customWidth="1"/>
    <col min="6701" max="6734" width="8.5" style="151" customWidth="1"/>
    <col min="6735" max="6912" width="9.1640625" style="151"/>
    <col min="6913" max="6914" width="2.83203125" style="151" customWidth="1"/>
    <col min="6915" max="6915" width="31.5" style="151" customWidth="1"/>
    <col min="6916" max="6956" width="11.83203125" style="151" customWidth="1"/>
    <col min="6957" max="6990" width="8.5" style="151" customWidth="1"/>
    <col min="6991" max="7168" width="9.1640625" style="151"/>
    <col min="7169" max="7170" width="2.83203125" style="151" customWidth="1"/>
    <col min="7171" max="7171" width="31.5" style="151" customWidth="1"/>
    <col min="7172" max="7212" width="11.83203125" style="151" customWidth="1"/>
    <col min="7213" max="7246" width="8.5" style="151" customWidth="1"/>
    <col min="7247" max="7424" width="9.1640625" style="151"/>
    <col min="7425" max="7426" width="2.83203125" style="151" customWidth="1"/>
    <col min="7427" max="7427" width="31.5" style="151" customWidth="1"/>
    <col min="7428" max="7468" width="11.83203125" style="151" customWidth="1"/>
    <col min="7469" max="7502" width="8.5" style="151" customWidth="1"/>
    <col min="7503" max="7680" width="9.1640625" style="151"/>
    <col min="7681" max="7682" width="2.83203125" style="151" customWidth="1"/>
    <col min="7683" max="7683" width="31.5" style="151" customWidth="1"/>
    <col min="7684" max="7724" width="11.83203125" style="151" customWidth="1"/>
    <col min="7725" max="7758" width="8.5" style="151" customWidth="1"/>
    <col min="7759" max="7936" width="9.1640625" style="151"/>
    <col min="7937" max="7938" width="2.83203125" style="151" customWidth="1"/>
    <col min="7939" max="7939" width="31.5" style="151" customWidth="1"/>
    <col min="7940" max="7980" width="11.83203125" style="151" customWidth="1"/>
    <col min="7981" max="8014" width="8.5" style="151" customWidth="1"/>
    <col min="8015" max="8192" width="9.1640625" style="151"/>
    <col min="8193" max="8194" width="2.83203125" style="151" customWidth="1"/>
    <col min="8195" max="8195" width="31.5" style="151" customWidth="1"/>
    <col min="8196" max="8236" width="11.83203125" style="151" customWidth="1"/>
    <col min="8237" max="8270" width="8.5" style="151" customWidth="1"/>
    <col min="8271" max="8448" width="9.1640625" style="151"/>
    <col min="8449" max="8450" width="2.83203125" style="151" customWidth="1"/>
    <col min="8451" max="8451" width="31.5" style="151" customWidth="1"/>
    <col min="8452" max="8492" width="11.83203125" style="151" customWidth="1"/>
    <col min="8493" max="8526" width="8.5" style="151" customWidth="1"/>
    <col min="8527" max="8704" width="9.1640625" style="151"/>
    <col min="8705" max="8706" width="2.83203125" style="151" customWidth="1"/>
    <col min="8707" max="8707" width="31.5" style="151" customWidth="1"/>
    <col min="8708" max="8748" width="11.83203125" style="151" customWidth="1"/>
    <col min="8749" max="8782" width="8.5" style="151" customWidth="1"/>
    <col min="8783" max="8960" width="9.1640625" style="151"/>
    <col min="8961" max="8962" width="2.83203125" style="151" customWidth="1"/>
    <col min="8963" max="8963" width="31.5" style="151" customWidth="1"/>
    <col min="8964" max="9004" width="11.83203125" style="151" customWidth="1"/>
    <col min="9005" max="9038" width="8.5" style="151" customWidth="1"/>
    <col min="9039" max="9216" width="9.1640625" style="151"/>
    <col min="9217" max="9218" width="2.83203125" style="151" customWidth="1"/>
    <col min="9219" max="9219" width="31.5" style="151" customWidth="1"/>
    <col min="9220" max="9260" width="11.83203125" style="151" customWidth="1"/>
    <col min="9261" max="9294" width="8.5" style="151" customWidth="1"/>
    <col min="9295" max="9472" width="9.1640625" style="151"/>
    <col min="9473" max="9474" width="2.83203125" style="151" customWidth="1"/>
    <col min="9475" max="9475" width="31.5" style="151" customWidth="1"/>
    <col min="9476" max="9516" width="11.83203125" style="151" customWidth="1"/>
    <col min="9517" max="9550" width="8.5" style="151" customWidth="1"/>
    <col min="9551" max="9728" width="9.1640625" style="151"/>
    <col min="9729" max="9730" width="2.83203125" style="151" customWidth="1"/>
    <col min="9731" max="9731" width="31.5" style="151" customWidth="1"/>
    <col min="9732" max="9772" width="11.83203125" style="151" customWidth="1"/>
    <col min="9773" max="9806" width="8.5" style="151" customWidth="1"/>
    <col min="9807" max="9984" width="9.1640625" style="151"/>
    <col min="9985" max="9986" width="2.83203125" style="151" customWidth="1"/>
    <col min="9987" max="9987" width="31.5" style="151" customWidth="1"/>
    <col min="9988" max="10028" width="11.83203125" style="151" customWidth="1"/>
    <col min="10029" max="10062" width="8.5" style="151" customWidth="1"/>
    <col min="10063" max="10240" width="9.1640625" style="151"/>
    <col min="10241" max="10242" width="2.83203125" style="151" customWidth="1"/>
    <col min="10243" max="10243" width="31.5" style="151" customWidth="1"/>
    <col min="10244" max="10284" width="11.83203125" style="151" customWidth="1"/>
    <col min="10285" max="10318" width="8.5" style="151" customWidth="1"/>
    <col min="10319" max="10496" width="9.1640625" style="151"/>
    <col min="10497" max="10498" width="2.83203125" style="151" customWidth="1"/>
    <col min="10499" max="10499" width="31.5" style="151" customWidth="1"/>
    <col min="10500" max="10540" width="11.83203125" style="151" customWidth="1"/>
    <col min="10541" max="10574" width="8.5" style="151" customWidth="1"/>
    <col min="10575" max="10752" width="9.1640625" style="151"/>
    <col min="10753" max="10754" width="2.83203125" style="151" customWidth="1"/>
    <col min="10755" max="10755" width="31.5" style="151" customWidth="1"/>
    <col min="10756" max="10796" width="11.83203125" style="151" customWidth="1"/>
    <col min="10797" max="10830" width="8.5" style="151" customWidth="1"/>
    <col min="10831" max="11008" width="9.1640625" style="151"/>
    <col min="11009" max="11010" width="2.83203125" style="151" customWidth="1"/>
    <col min="11011" max="11011" width="31.5" style="151" customWidth="1"/>
    <col min="11012" max="11052" width="11.83203125" style="151" customWidth="1"/>
    <col min="11053" max="11086" width="8.5" style="151" customWidth="1"/>
    <col min="11087" max="11264" width="9.1640625" style="151"/>
    <col min="11265" max="11266" width="2.83203125" style="151" customWidth="1"/>
    <col min="11267" max="11267" width="31.5" style="151" customWidth="1"/>
    <col min="11268" max="11308" width="11.83203125" style="151" customWidth="1"/>
    <col min="11309" max="11342" width="8.5" style="151" customWidth="1"/>
    <col min="11343" max="11520" width="9.1640625" style="151"/>
    <col min="11521" max="11522" width="2.83203125" style="151" customWidth="1"/>
    <col min="11523" max="11523" width="31.5" style="151" customWidth="1"/>
    <col min="11524" max="11564" width="11.83203125" style="151" customWidth="1"/>
    <col min="11565" max="11598" width="8.5" style="151" customWidth="1"/>
    <col min="11599" max="11776" width="9.1640625" style="151"/>
    <col min="11777" max="11778" width="2.83203125" style="151" customWidth="1"/>
    <col min="11779" max="11779" width="31.5" style="151" customWidth="1"/>
    <col min="11780" max="11820" width="11.83203125" style="151" customWidth="1"/>
    <col min="11821" max="11854" width="8.5" style="151" customWidth="1"/>
    <col min="11855" max="12032" width="9.1640625" style="151"/>
    <col min="12033" max="12034" width="2.83203125" style="151" customWidth="1"/>
    <col min="12035" max="12035" width="31.5" style="151" customWidth="1"/>
    <col min="12036" max="12076" width="11.83203125" style="151" customWidth="1"/>
    <col min="12077" max="12110" width="8.5" style="151" customWidth="1"/>
    <col min="12111" max="12288" width="9.1640625" style="151"/>
    <col min="12289" max="12290" width="2.83203125" style="151" customWidth="1"/>
    <col min="12291" max="12291" width="31.5" style="151" customWidth="1"/>
    <col min="12292" max="12332" width="11.83203125" style="151" customWidth="1"/>
    <col min="12333" max="12366" width="8.5" style="151" customWidth="1"/>
    <col min="12367" max="12544" width="9.1640625" style="151"/>
    <col min="12545" max="12546" width="2.83203125" style="151" customWidth="1"/>
    <col min="12547" max="12547" width="31.5" style="151" customWidth="1"/>
    <col min="12548" max="12588" width="11.83203125" style="151" customWidth="1"/>
    <col min="12589" max="12622" width="8.5" style="151" customWidth="1"/>
    <col min="12623" max="12800" width="9.1640625" style="151"/>
    <col min="12801" max="12802" width="2.83203125" style="151" customWidth="1"/>
    <col min="12803" max="12803" width="31.5" style="151" customWidth="1"/>
    <col min="12804" max="12844" width="11.83203125" style="151" customWidth="1"/>
    <col min="12845" max="12878" width="8.5" style="151" customWidth="1"/>
    <col min="12879" max="13056" width="9.1640625" style="151"/>
    <col min="13057" max="13058" width="2.83203125" style="151" customWidth="1"/>
    <col min="13059" max="13059" width="31.5" style="151" customWidth="1"/>
    <col min="13060" max="13100" width="11.83203125" style="151" customWidth="1"/>
    <col min="13101" max="13134" width="8.5" style="151" customWidth="1"/>
    <col min="13135" max="13312" width="9.1640625" style="151"/>
    <col min="13313" max="13314" width="2.83203125" style="151" customWidth="1"/>
    <col min="13315" max="13315" width="31.5" style="151" customWidth="1"/>
    <col min="13316" max="13356" width="11.83203125" style="151" customWidth="1"/>
    <col min="13357" max="13390" width="8.5" style="151" customWidth="1"/>
    <col min="13391" max="13568" width="9.1640625" style="151"/>
    <col min="13569" max="13570" width="2.83203125" style="151" customWidth="1"/>
    <col min="13571" max="13571" width="31.5" style="151" customWidth="1"/>
    <col min="13572" max="13612" width="11.83203125" style="151" customWidth="1"/>
    <col min="13613" max="13646" width="8.5" style="151" customWidth="1"/>
    <col min="13647" max="13824" width="9.1640625" style="151"/>
    <col min="13825" max="13826" width="2.83203125" style="151" customWidth="1"/>
    <col min="13827" max="13827" width="31.5" style="151" customWidth="1"/>
    <col min="13828" max="13868" width="11.83203125" style="151" customWidth="1"/>
    <col min="13869" max="13902" width="8.5" style="151" customWidth="1"/>
    <col min="13903" max="14080" width="9.1640625" style="151"/>
    <col min="14081" max="14082" width="2.83203125" style="151" customWidth="1"/>
    <col min="14083" max="14083" width="31.5" style="151" customWidth="1"/>
    <col min="14084" max="14124" width="11.83203125" style="151" customWidth="1"/>
    <col min="14125" max="14158" width="8.5" style="151" customWidth="1"/>
    <col min="14159" max="14336" width="9.1640625" style="151"/>
    <col min="14337" max="14338" width="2.83203125" style="151" customWidth="1"/>
    <col min="14339" max="14339" width="31.5" style="151" customWidth="1"/>
    <col min="14340" max="14380" width="11.83203125" style="151" customWidth="1"/>
    <col min="14381" max="14414" width="8.5" style="151" customWidth="1"/>
    <col min="14415" max="14592" width="9.1640625" style="151"/>
    <col min="14593" max="14594" width="2.83203125" style="151" customWidth="1"/>
    <col min="14595" max="14595" width="31.5" style="151" customWidth="1"/>
    <col min="14596" max="14636" width="11.83203125" style="151" customWidth="1"/>
    <col min="14637" max="14670" width="8.5" style="151" customWidth="1"/>
    <col min="14671" max="14848" width="9.1640625" style="151"/>
    <col min="14849" max="14850" width="2.83203125" style="151" customWidth="1"/>
    <col min="14851" max="14851" width="31.5" style="151" customWidth="1"/>
    <col min="14852" max="14892" width="11.83203125" style="151" customWidth="1"/>
    <col min="14893" max="14926" width="8.5" style="151" customWidth="1"/>
    <col min="14927" max="15104" width="9.1640625" style="151"/>
    <col min="15105" max="15106" width="2.83203125" style="151" customWidth="1"/>
    <col min="15107" max="15107" width="31.5" style="151" customWidth="1"/>
    <col min="15108" max="15148" width="11.83203125" style="151" customWidth="1"/>
    <col min="15149" max="15182" width="8.5" style="151" customWidth="1"/>
    <col min="15183" max="15360" width="9.1640625" style="151"/>
    <col min="15361" max="15362" width="2.83203125" style="151" customWidth="1"/>
    <col min="15363" max="15363" width="31.5" style="151" customWidth="1"/>
    <col min="15364" max="15404" width="11.83203125" style="151" customWidth="1"/>
    <col min="15405" max="15438" width="8.5" style="151" customWidth="1"/>
    <col min="15439" max="15616" width="9.1640625" style="151"/>
    <col min="15617" max="15618" width="2.83203125" style="151" customWidth="1"/>
    <col min="15619" max="15619" width="31.5" style="151" customWidth="1"/>
    <col min="15620" max="15660" width="11.83203125" style="151" customWidth="1"/>
    <col min="15661" max="15694" width="8.5" style="151" customWidth="1"/>
    <col min="15695" max="15872" width="9.1640625" style="151"/>
    <col min="15873" max="15874" width="2.83203125" style="151" customWidth="1"/>
    <col min="15875" max="15875" width="31.5" style="151" customWidth="1"/>
    <col min="15876" max="15916" width="11.83203125" style="151" customWidth="1"/>
    <col min="15917" max="15950" width="8.5" style="151" customWidth="1"/>
    <col min="15951" max="16128" width="9.1640625" style="151"/>
    <col min="16129" max="16130" width="2.83203125" style="151" customWidth="1"/>
    <col min="16131" max="16131" width="31.5" style="151" customWidth="1"/>
    <col min="16132" max="16172" width="11.83203125" style="151" customWidth="1"/>
    <col min="16173" max="16206" width="8.5" style="151" customWidth="1"/>
    <col min="16207" max="16384" width="9.1640625" style="151"/>
  </cols>
  <sheetData>
    <row r="1" spans="1:45" s="18" customFormat="1" ht="37.5" customHeight="1" thickBot="1" x14ac:dyDescent="0.2">
      <c r="B1" s="19" t="s">
        <v>16</v>
      </c>
      <c r="E1" s="19"/>
      <c r="G1" s="19"/>
    </row>
    <row r="2" spans="1:45" s="22" customFormat="1" ht="21" customHeight="1" x14ac:dyDescent="0.15">
      <c r="A2" s="20"/>
      <c r="B2" s="21" t="s">
        <v>22</v>
      </c>
      <c r="D2" s="23">
        <v>0</v>
      </c>
      <c r="E2" s="23">
        <f t="shared" ref="E2:AR2" si="0">IF(COLUMN()-4&gt;Contract_Length,"",D2+1)</f>
        <v>1</v>
      </c>
      <c r="F2" s="23">
        <f t="shared" si="0"/>
        <v>2</v>
      </c>
      <c r="G2" s="23">
        <f t="shared" si="0"/>
        <v>3</v>
      </c>
      <c r="H2" s="23">
        <f t="shared" si="0"/>
        <v>4</v>
      </c>
      <c r="I2" s="23">
        <f t="shared" si="0"/>
        <v>5</v>
      </c>
      <c r="J2" s="23">
        <f t="shared" si="0"/>
        <v>6</v>
      </c>
      <c r="K2" s="23">
        <f t="shared" si="0"/>
        <v>7</v>
      </c>
      <c r="L2" s="23">
        <f t="shared" si="0"/>
        <v>8</v>
      </c>
      <c r="M2" s="23">
        <f t="shared" si="0"/>
        <v>9</v>
      </c>
      <c r="N2" s="23">
        <f t="shared" si="0"/>
        <v>10</v>
      </c>
      <c r="O2" s="23">
        <f t="shared" si="0"/>
        <v>11</v>
      </c>
      <c r="P2" s="23">
        <f t="shared" si="0"/>
        <v>12</v>
      </c>
      <c r="Q2" s="23">
        <f t="shared" si="0"/>
        <v>13</v>
      </c>
      <c r="R2" s="23">
        <f t="shared" si="0"/>
        <v>14</v>
      </c>
      <c r="S2" s="23">
        <f t="shared" si="0"/>
        <v>15</v>
      </c>
      <c r="T2" s="23">
        <f t="shared" si="0"/>
        <v>16</v>
      </c>
      <c r="U2" s="23">
        <f t="shared" si="0"/>
        <v>17</v>
      </c>
      <c r="V2" s="23">
        <f t="shared" si="0"/>
        <v>18</v>
      </c>
      <c r="W2" s="23">
        <f t="shared" si="0"/>
        <v>19</v>
      </c>
      <c r="X2" s="23">
        <f t="shared" si="0"/>
        <v>20</v>
      </c>
      <c r="Y2" s="23" t="str">
        <f t="shared" si="0"/>
        <v/>
      </c>
      <c r="Z2" s="23" t="str">
        <f t="shared" si="0"/>
        <v/>
      </c>
      <c r="AA2" s="23" t="str">
        <f t="shared" si="0"/>
        <v/>
      </c>
      <c r="AB2" s="23" t="str">
        <f t="shared" si="0"/>
        <v/>
      </c>
      <c r="AC2" s="23" t="str">
        <f t="shared" si="0"/>
        <v/>
      </c>
      <c r="AD2" s="23" t="str">
        <f t="shared" si="0"/>
        <v/>
      </c>
      <c r="AE2" s="23" t="str">
        <f t="shared" si="0"/>
        <v/>
      </c>
      <c r="AF2" s="23" t="str">
        <f t="shared" si="0"/>
        <v/>
      </c>
      <c r="AG2" s="23" t="str">
        <f t="shared" si="0"/>
        <v/>
      </c>
      <c r="AH2" s="23" t="str">
        <f t="shared" si="0"/>
        <v/>
      </c>
      <c r="AI2" s="23" t="str">
        <f t="shared" si="0"/>
        <v/>
      </c>
      <c r="AJ2" s="23" t="str">
        <f t="shared" si="0"/>
        <v/>
      </c>
      <c r="AK2" s="23" t="str">
        <f t="shared" si="0"/>
        <v/>
      </c>
      <c r="AL2" s="23" t="str">
        <f t="shared" si="0"/>
        <v/>
      </c>
      <c r="AM2" s="23" t="str">
        <f t="shared" si="0"/>
        <v/>
      </c>
      <c r="AN2" s="23" t="str">
        <f t="shared" si="0"/>
        <v/>
      </c>
      <c r="AO2" s="23" t="str">
        <f t="shared" si="0"/>
        <v/>
      </c>
      <c r="AP2" s="23" t="str">
        <f t="shared" si="0"/>
        <v/>
      </c>
      <c r="AQ2" s="23" t="str">
        <f t="shared" si="0"/>
        <v/>
      </c>
      <c r="AR2" s="23" t="str">
        <f t="shared" si="0"/>
        <v/>
      </c>
      <c r="AS2" s="23"/>
    </row>
    <row r="3" spans="1:45" s="26" customFormat="1" ht="17.25" customHeight="1" x14ac:dyDescent="0.2">
      <c r="A3" s="24" t="s">
        <v>0</v>
      </c>
      <c r="B3" s="25"/>
      <c r="C3" s="25"/>
    </row>
    <row r="4" spans="1:45" s="27" customFormat="1" ht="12" customHeight="1" x14ac:dyDescent="0.15">
      <c r="B4" s="28" t="s">
        <v>2</v>
      </c>
      <c r="C4" s="29"/>
      <c r="D4" s="30">
        <f>Inflation_Cur</f>
        <v>0.05</v>
      </c>
      <c r="E4" s="31">
        <f t="shared" ref="E4:N4" si="1">D4*EXP(Inflation_Speed*(Inflation_LT-D4))</f>
        <v>5.8091712136414154E-2</v>
      </c>
      <c r="F4" s="31">
        <f>E4*EXP(Inflation_Speed*(Inflation_LT-E4))</f>
        <v>6.4816775092882944E-2</v>
      </c>
      <c r="G4" s="31">
        <f t="shared" si="1"/>
        <v>6.9929008928705308E-2</v>
      </c>
      <c r="H4" s="31">
        <f t="shared" si="1"/>
        <v>7.3540444827524018E-2</v>
      </c>
      <c r="I4" s="31">
        <f t="shared" si="1"/>
        <v>7.5954410655356047E-2</v>
      </c>
      <c r="J4" s="31">
        <f t="shared" si="1"/>
        <v>7.7506456860953088E-2</v>
      </c>
      <c r="K4" s="31">
        <f t="shared" si="1"/>
        <v>7.8478834397158789E-2</v>
      </c>
      <c r="L4" s="31">
        <f t="shared" si="1"/>
        <v>7.9078006626364286E-2</v>
      </c>
      <c r="M4" s="31">
        <f t="shared" si="1"/>
        <v>7.9443395184390031E-2</v>
      </c>
      <c r="N4" s="31">
        <f t="shared" si="1"/>
        <v>7.9664796005037716E-2</v>
      </c>
      <c r="O4" s="32">
        <f t="shared" ref="O4:AR4" si="2">N4*EXP(Inflation_Speed*(Inflation_LT-N4))</f>
        <v>7.9798427747885134E-2</v>
      </c>
      <c r="P4" s="32">
        <f t="shared" si="2"/>
        <v>7.9878894034482131E-2</v>
      </c>
      <c r="Q4" s="32">
        <f t="shared" si="2"/>
        <v>7.9927277734823346E-2</v>
      </c>
      <c r="R4" s="32">
        <f t="shared" si="2"/>
        <v>7.995634548261564E-2</v>
      </c>
      <c r="S4" s="32">
        <f t="shared" si="2"/>
        <v>7.997379966580051E-2</v>
      </c>
      <c r="T4" s="32">
        <f t="shared" si="2"/>
        <v>7.9984277053455413E-2</v>
      </c>
      <c r="U4" s="32">
        <f t="shared" si="2"/>
        <v>7.9990565243186942E-2</v>
      </c>
      <c r="V4" s="32">
        <f t="shared" si="2"/>
        <v>7.9994338789844521E-2</v>
      </c>
      <c r="W4" s="32">
        <f t="shared" si="2"/>
        <v>7.9996603145707557E-2</v>
      </c>
      <c r="X4" s="32">
        <f t="shared" si="2"/>
        <v>7.9997961841269644E-2</v>
      </c>
      <c r="Y4" s="32">
        <f t="shared" si="2"/>
        <v>7.9998777088145331E-2</v>
      </c>
      <c r="Z4" s="32">
        <f t="shared" si="2"/>
        <v>7.9999266246905121E-2</v>
      </c>
      <c r="AA4" s="32">
        <f t="shared" si="2"/>
        <v>7.999955974598949E-2</v>
      </c>
      <c r="AB4" s="32">
        <f t="shared" si="2"/>
        <v>7.9999735846818409E-2</v>
      </c>
      <c r="AC4" s="32">
        <f t="shared" si="2"/>
        <v>7.9999841507811933E-2</v>
      </c>
      <c r="AD4" s="32">
        <f t="shared" si="2"/>
        <v>7.999990490458668E-2</v>
      </c>
      <c r="AE4" s="32">
        <f t="shared" si="2"/>
        <v>7.999994294271584E-2</v>
      </c>
      <c r="AF4" s="32">
        <f t="shared" si="2"/>
        <v>7.9999965765616493E-2</v>
      </c>
      <c r="AG4" s="32">
        <f t="shared" si="2"/>
        <v>7.9999979459365211E-2</v>
      </c>
      <c r="AH4" s="32">
        <f t="shared" si="2"/>
        <v>7.9999987675617446E-2</v>
      </c>
      <c r="AI4" s="32">
        <f t="shared" si="2"/>
        <v>7.9999992605369857E-2</v>
      </c>
      <c r="AJ4" s="32">
        <f t="shared" si="2"/>
        <v>7.9999995563221696E-2</v>
      </c>
      <c r="AK4" s="32">
        <f t="shared" si="2"/>
        <v>7.9999997337932949E-2</v>
      </c>
      <c r="AL4" s="32">
        <f t="shared" si="2"/>
        <v>7.9999998402759731E-2</v>
      </c>
      <c r="AM4" s="32">
        <f t="shared" si="2"/>
        <v>7.9999999041655834E-2</v>
      </c>
      <c r="AN4" s="32">
        <f t="shared" si="2"/>
        <v>7.9999999424993487E-2</v>
      </c>
      <c r="AO4" s="32">
        <f t="shared" si="2"/>
        <v>7.9999999654996101E-2</v>
      </c>
      <c r="AP4" s="32">
        <f t="shared" si="2"/>
        <v>7.9999999792997656E-2</v>
      </c>
      <c r="AQ4" s="32">
        <f t="shared" si="2"/>
        <v>7.9999999875798589E-2</v>
      </c>
      <c r="AR4" s="33">
        <f t="shared" si="2"/>
        <v>7.9999999925479154E-2</v>
      </c>
    </row>
    <row r="5" spans="1:45" s="34" customFormat="1" ht="12" customHeight="1" x14ac:dyDescent="0.15">
      <c r="B5" s="35"/>
      <c r="C5" s="36" t="s">
        <v>7</v>
      </c>
      <c r="D5" s="37">
        <v>100</v>
      </c>
      <c r="E5" s="38">
        <f t="shared" ref="E5:AR5" si="3">D5*EXP(E4)</f>
        <v>105.98121888933633</v>
      </c>
      <c r="F5" s="38">
        <f t="shared" si="3"/>
        <v>113.07809353159843</v>
      </c>
      <c r="G5" s="38">
        <f t="shared" si="3"/>
        <v>121.26857114190128</v>
      </c>
      <c r="H5" s="38">
        <f t="shared" si="3"/>
        <v>130.52282647363782</v>
      </c>
      <c r="I5" s="38">
        <f t="shared" si="3"/>
        <v>140.82282467164859</v>
      </c>
      <c r="J5" s="38">
        <f t="shared" si="3"/>
        <v>152.17162481266072</v>
      </c>
      <c r="K5" s="38">
        <f t="shared" si="3"/>
        <v>164.59498646637644</v>
      </c>
      <c r="L5" s="38">
        <f t="shared" si="3"/>
        <v>178.13930124895313</v>
      </c>
      <c r="M5" s="38">
        <f t="shared" si="3"/>
        <v>192.86861980332861</v>
      </c>
      <c r="N5" s="38">
        <f t="shared" si="3"/>
        <v>208.86205846151088</v>
      </c>
      <c r="O5" s="38">
        <f t="shared" si="3"/>
        <v>226.21196420828494</v>
      </c>
      <c r="P5" s="38">
        <f t="shared" si="3"/>
        <v>245.02281985810771</v>
      </c>
      <c r="Q5" s="38">
        <f t="shared" si="3"/>
        <v>265.41075006475904</v>
      </c>
      <c r="R5" s="38">
        <f t="shared" si="3"/>
        <v>287.50348206735407</v>
      </c>
      <c r="S5" s="38">
        <f t="shared" si="3"/>
        <v>311.44064407922951</v>
      </c>
      <c r="T5" s="38">
        <f t="shared" si="3"/>
        <v>337.37431751932758</v>
      </c>
      <c r="U5" s="38">
        <f t="shared" si="3"/>
        <v>365.46978699952382</v>
      </c>
      <c r="V5" s="38">
        <f t="shared" si="3"/>
        <v>395.9064525665317</v>
      </c>
      <c r="W5" s="38">
        <f t="shared" si="3"/>
        <v>428.87888323284335</v>
      </c>
      <c r="X5" s="38">
        <f t="shared" si="3"/>
        <v>464.59800087958126</v>
      </c>
      <c r="Y5" s="38">
        <f t="shared" si="3"/>
        <v>503.29239053788228</v>
      </c>
      <c r="Z5" s="38">
        <f t="shared" si="3"/>
        <v>545.2097378794233</v>
      </c>
      <c r="AA5" s="38">
        <f t="shared" si="3"/>
        <v>590.61839819305749</v>
      </c>
      <c r="AB5" s="38">
        <f t="shared" si="3"/>
        <v>639.80910368580555</v>
      </c>
      <c r="AC5" s="38">
        <f t="shared" si="3"/>
        <v>693.09681795309984</v>
      </c>
      <c r="AD5" s="38">
        <f t="shared" si="3"/>
        <v>750.82274813545507</v>
      </c>
      <c r="AE5" s="38">
        <f t="shared" si="3"/>
        <v>813.35652676339521</v>
      </c>
      <c r="AF5" s="38">
        <f t="shared" si="3"/>
        <v>881.09857668794029</v>
      </c>
      <c r="AG5" s="38">
        <f t="shared" si="3"/>
        <v>954.48267386717828</v>
      </c>
      <c r="AH5" s="38">
        <f t="shared" si="3"/>
        <v>1033.97872417698</v>
      </c>
      <c r="AI5" s="38">
        <f t="shared" si="3"/>
        <v>1120.0957718692816</v>
      </c>
      <c r="AJ5" s="38">
        <f t="shared" si="3"/>
        <v>1213.385258839872</v>
      </c>
      <c r="AK5" s="38">
        <f t="shared" si="3"/>
        <v>1314.4445555095258</v>
      </c>
      <c r="AL5" s="38">
        <f t="shared" si="3"/>
        <v>1423.9207858848849</v>
      </c>
      <c r="AM5" s="38">
        <f t="shared" si="3"/>
        <v>1542.5149712643993</v>
      </c>
      <c r="AN5" s="38">
        <f t="shared" si="3"/>
        <v>1670.9865191049057</v>
      </c>
      <c r="AO5" s="38">
        <f t="shared" si="3"/>
        <v>1810.1580857810277</v>
      </c>
      <c r="AP5" s="38">
        <f t="shared" si="3"/>
        <v>1960.9208443679304</v>
      </c>
      <c r="AQ5" s="38">
        <f t="shared" si="3"/>
        <v>2124.2401911742054</v>
      </c>
      <c r="AR5" s="39">
        <f t="shared" si="3"/>
        <v>2301.1619275629137</v>
      </c>
    </row>
    <row r="6" spans="1:45" s="27" customFormat="1" x14ac:dyDescent="0.15">
      <c r="C6" s="268" t="s">
        <v>8</v>
      </c>
      <c r="D6" s="40">
        <v>1</v>
      </c>
      <c r="E6" s="41">
        <f t="shared" ref="E6:AR6" si="4">D6*EXP(-E4)</f>
        <v>0.94356340725254528</v>
      </c>
      <c r="F6" s="41">
        <f t="shared" si="4"/>
        <v>0.88434458768139823</v>
      </c>
      <c r="G6" s="41">
        <f t="shared" si="4"/>
        <v>0.82461596651440661</v>
      </c>
      <c r="H6" s="41">
        <f t="shared" si="4"/>
        <v>0.76614951347377813</v>
      </c>
      <c r="I6" s="41">
        <f t="shared" si="4"/>
        <v>0.71011215854508192</v>
      </c>
      <c r="J6" s="41">
        <f t="shared" si="4"/>
        <v>0.65715273871269042</v>
      </c>
      <c r="K6" s="41">
        <f t="shared" si="4"/>
        <v>0.60755191969609623</v>
      </c>
      <c r="L6" s="41">
        <f t="shared" si="4"/>
        <v>0.56135843858648604</v>
      </c>
      <c r="M6" s="41">
        <f t="shared" si="4"/>
        <v>0.51848766327032192</v>
      </c>
      <c r="N6" s="41">
        <f t="shared" si="4"/>
        <v>0.4787849010806719</v>
      </c>
      <c r="O6" s="41">
        <f t="shared" si="4"/>
        <v>0.44206326729882806</v>
      </c>
      <c r="P6" s="41">
        <f t="shared" si="4"/>
        <v>0.40812525159048374</v>
      </c>
      <c r="Q6" s="41">
        <f t="shared" si="4"/>
        <v>0.37677449001444147</v>
      </c>
      <c r="R6" s="41">
        <f t="shared" si="4"/>
        <v>0.34782187429845723</v>
      </c>
      <c r="S6" s="41">
        <f t="shared" si="4"/>
        <v>0.32108847031076743</v>
      </c>
      <c r="T6" s="41">
        <f t="shared" si="4"/>
        <v>0.29640667592983316</v>
      </c>
      <c r="U6" s="41">
        <f t="shared" si="4"/>
        <v>0.27362042925898628</v>
      </c>
      <c r="V6" s="41">
        <f t="shared" si="4"/>
        <v>0.25258492088657003</v>
      </c>
      <c r="W6" s="41">
        <f t="shared" si="4"/>
        <v>0.23316606135095913</v>
      </c>
      <c r="X6" s="41">
        <f t="shared" si="4"/>
        <v>0.21523984134817425</v>
      </c>
      <c r="Y6" s="41">
        <f t="shared" si="4"/>
        <v>0.1986916589244023</v>
      </c>
      <c r="Z6" s="41">
        <f t="shared" si="4"/>
        <v>0.18341565282554739</v>
      </c>
      <c r="AA6" s="41">
        <f t="shared" si="4"/>
        <v>0.1693140618476173</v>
      </c>
      <c r="AB6" s="41">
        <f t="shared" si="4"/>
        <v>0.15629661945089721</v>
      </c>
      <c r="AC6" s="41">
        <f t="shared" si="4"/>
        <v>0.14427998716734367</v>
      </c>
      <c r="AD6" s="41">
        <f t="shared" si="4"/>
        <v>0.13318722727612281</v>
      </c>
      <c r="AE6" s="41">
        <f t="shared" si="4"/>
        <v>0.12294731364354057</v>
      </c>
      <c r="AF6" s="41">
        <f t="shared" si="4"/>
        <v>0.11349467885409724</v>
      </c>
      <c r="AG6" s="41">
        <f t="shared" si="4"/>
        <v>0.10476879543013637</v>
      </c>
      <c r="AH6" s="41">
        <f t="shared" si="4"/>
        <v>9.6713788844734083E-2</v>
      </c>
      <c r="AI6" s="41">
        <f t="shared" si="4"/>
        <v>8.9278080063737886E-2</v>
      </c>
      <c r="AJ6" s="41">
        <f t="shared" si="4"/>
        <v>8.2414055446504153E-2</v>
      </c>
      <c r="AK6" s="41">
        <f t="shared" si="4"/>
        <v>7.6077761957206641E-2</v>
      </c>
      <c r="AL6" s="41">
        <f t="shared" si="4"/>
        <v>7.0228625771380782E-2</v>
      </c>
      <c r="AM6" s="41">
        <f t="shared" si="4"/>
        <v>6.4829192495960045E-2</v>
      </c>
      <c r="AN6" s="41">
        <f t="shared" si="4"/>
        <v>5.9844887350477743E-2</v>
      </c>
      <c r="AO6" s="41">
        <f t="shared" si="4"/>
        <v>5.5243793779952137E-2</v>
      </c>
      <c r="AP6" s="41">
        <f t="shared" si="4"/>
        <v>5.0996449085242555E-2</v>
      </c>
      <c r="AQ6" s="41">
        <f t="shared" si="4"/>
        <v>4.7075655764108069E-2</v>
      </c>
      <c r="AR6" s="42">
        <f t="shared" si="4"/>
        <v>4.3456307355956812E-2</v>
      </c>
    </row>
    <row r="7" spans="1:45" s="43" customFormat="1" x14ac:dyDescent="0.15">
      <c r="J7" s="44"/>
    </row>
    <row r="8" spans="1:45" s="45" customFormat="1" x14ac:dyDescent="0.15">
      <c r="B8" s="45" t="s">
        <v>9</v>
      </c>
      <c r="C8" s="35"/>
      <c r="D8" s="224">
        <f>ExRate_Cur</f>
        <v>100</v>
      </c>
      <c r="E8" s="225">
        <f t="shared" ref="E8:AR8" si="5">D8*EXP(ExRate_Growth)</f>
        <v>105.12710963760242</v>
      </c>
      <c r="F8" s="47">
        <f t="shared" si="5"/>
        <v>110.51709180756478</v>
      </c>
      <c r="G8" s="47">
        <f t="shared" si="5"/>
        <v>116.18342427282835</v>
      </c>
      <c r="H8" s="47">
        <f t="shared" si="5"/>
        <v>122.14027581601702</v>
      </c>
      <c r="I8" s="47">
        <f t="shared" si="5"/>
        <v>128.40254166877421</v>
      </c>
      <c r="J8" s="47">
        <f t="shared" si="5"/>
        <v>134.98588075760037</v>
      </c>
      <c r="K8" s="47">
        <f t="shared" si="5"/>
        <v>141.90675485932579</v>
      </c>
      <c r="L8" s="47">
        <f t="shared" si="5"/>
        <v>149.18246976412712</v>
      </c>
      <c r="M8" s="47">
        <f t="shared" si="5"/>
        <v>156.831218549017</v>
      </c>
      <c r="N8" s="47">
        <f t="shared" si="5"/>
        <v>164.87212707001294</v>
      </c>
      <c r="O8" s="47">
        <f t="shared" si="5"/>
        <v>173.32530178673966</v>
      </c>
      <c r="P8" s="47">
        <f t="shared" si="5"/>
        <v>182.21188003905104</v>
      </c>
      <c r="Q8" s="47">
        <f t="shared" si="5"/>
        <v>191.55408290138976</v>
      </c>
      <c r="R8" s="47">
        <f t="shared" si="5"/>
        <v>201.37527074704784</v>
      </c>
      <c r="S8" s="47">
        <f t="shared" si="5"/>
        <v>211.70000166126766</v>
      </c>
      <c r="T8" s="47">
        <f t="shared" si="5"/>
        <v>222.55409284924698</v>
      </c>
      <c r="U8" s="47">
        <f t="shared" si="5"/>
        <v>233.96468519259935</v>
      </c>
      <c r="V8" s="47">
        <f t="shared" si="5"/>
        <v>245.96031111569525</v>
      </c>
      <c r="W8" s="47">
        <f t="shared" si="5"/>
        <v>258.57096593158491</v>
      </c>
      <c r="X8" s="47">
        <f t="shared" si="5"/>
        <v>271.82818284590485</v>
      </c>
      <c r="Y8" s="47">
        <f t="shared" si="5"/>
        <v>285.76511180631672</v>
      </c>
      <c r="Z8" s="47">
        <f t="shared" si="5"/>
        <v>300.41660239464369</v>
      </c>
      <c r="AA8" s="47">
        <f t="shared" si="5"/>
        <v>315.81929096897716</v>
      </c>
      <c r="AB8" s="47">
        <f t="shared" si="5"/>
        <v>332.01169227365517</v>
      </c>
      <c r="AC8" s="47">
        <f t="shared" si="5"/>
        <v>349.03429574618463</v>
      </c>
      <c r="AD8" s="47">
        <f t="shared" si="5"/>
        <v>366.92966676192498</v>
      </c>
      <c r="AE8" s="47">
        <f t="shared" si="5"/>
        <v>385.74255306969803</v>
      </c>
      <c r="AF8" s="47">
        <f t="shared" si="5"/>
        <v>405.51999668446814</v>
      </c>
      <c r="AG8" s="47">
        <f t="shared" si="5"/>
        <v>426.31145151688247</v>
      </c>
      <c r="AH8" s="47">
        <f t="shared" si="5"/>
        <v>448.16890703380727</v>
      </c>
      <c r="AI8" s="47">
        <f t="shared" si="5"/>
        <v>471.14701825907503</v>
      </c>
      <c r="AJ8" s="47">
        <f t="shared" si="5"/>
        <v>495.30324243951247</v>
      </c>
      <c r="AK8" s="47">
        <f t="shared" si="5"/>
        <v>520.69798271798595</v>
      </c>
      <c r="AL8" s="47">
        <f t="shared" si="5"/>
        <v>547.39473917272119</v>
      </c>
      <c r="AM8" s="47">
        <f t="shared" si="5"/>
        <v>575.46026760057441</v>
      </c>
      <c r="AN8" s="47">
        <f t="shared" si="5"/>
        <v>604.96474644129614</v>
      </c>
      <c r="AO8" s="47">
        <f t="shared" si="5"/>
        <v>635.98195226018481</v>
      </c>
      <c r="AP8" s="47">
        <f t="shared" si="5"/>
        <v>668.58944422792877</v>
      </c>
      <c r="AQ8" s="47">
        <f t="shared" si="5"/>
        <v>702.86875805893135</v>
      </c>
      <c r="AR8" s="48">
        <f t="shared" si="5"/>
        <v>738.90560989306721</v>
      </c>
    </row>
    <row r="9" spans="1:45" s="45" customFormat="1" x14ac:dyDescent="0.15">
      <c r="B9" s="45" t="s">
        <v>10</v>
      </c>
      <c r="C9" s="35"/>
      <c r="D9" s="228">
        <f t="shared" ref="D9:AR9" si="6">RealExRate_Det*(1+Inflation_Det)</f>
        <v>105</v>
      </c>
      <c r="E9" s="229">
        <f t="shared" si="6"/>
        <v>111.23412342840327</v>
      </c>
      <c r="F9" s="50">
        <f t="shared" si="6"/>
        <v>117.68045329117521</v>
      </c>
      <c r="G9" s="50">
        <f t="shared" si="6"/>
        <v>124.3080159861705</v>
      </c>
      <c r="H9" s="50">
        <f t="shared" si="6"/>
        <v>131.12252603088339</v>
      </c>
      <c r="I9" s="50">
        <f t="shared" si="6"/>
        <v>138.15528104787575</v>
      </c>
      <c r="J9" s="50">
        <f t="shared" si="6"/>
        <v>145.44815810137709</v>
      </c>
      <c r="K9" s="50">
        <f t="shared" si="6"/>
        <v>153.04343157376903</v>
      </c>
      <c r="L9" s="50">
        <f t="shared" si="6"/>
        <v>160.97952209667216</v>
      </c>
      <c r="M9" s="50">
        <f t="shared" si="6"/>
        <v>169.29042302145598</v>
      </c>
      <c r="N9" s="50">
        <f t="shared" si="6"/>
        <v>178.00663143996215</v>
      </c>
      <c r="O9" s="50">
        <f t="shared" si="6"/>
        <v>187.15638835824919</v>
      </c>
      <c r="P9" s="50">
        <f t="shared" si="6"/>
        <v>196.76676349651416</v>
      </c>
      <c r="Q9" s="50">
        <f t="shared" si="6"/>
        <v>206.86447928668855</v>
      </c>
      <c r="R9" s="50">
        <f t="shared" si="6"/>
        <v>217.47650146655403</v>
      </c>
      <c r="S9" s="50">
        <f t="shared" si="6"/>
        <v>228.63045518337552</v>
      </c>
      <c r="T9" s="50">
        <f t="shared" si="6"/>
        <v>240.35492107108158</v>
      </c>
      <c r="U9" s="50">
        <f t="shared" si="6"/>
        <v>252.67965260809964</v>
      </c>
      <c r="V9" s="50">
        <f t="shared" si="6"/>
        <v>265.63574357193971</v>
      </c>
      <c r="W9" s="50">
        <f t="shared" si="6"/>
        <v>279.25576487821616</v>
      </c>
      <c r="X9" s="50">
        <f t="shared" si="6"/>
        <v>293.57388344459321</v>
      </c>
      <c r="Y9" s="50">
        <f t="shared" si="6"/>
        <v>308.62597128527921</v>
      </c>
      <c r="Z9" s="50">
        <f t="shared" si="6"/>
        <v>324.44971015460345</v>
      </c>
      <c r="AA9" s="50">
        <f t="shared" si="6"/>
        <v>341.08469520578586</v>
      </c>
      <c r="AB9" s="50">
        <f t="shared" si="6"/>
        <v>358.57253995360276</v>
      </c>
      <c r="AC9" s="50">
        <f t="shared" si="6"/>
        <v>376.95698408667016</v>
      </c>
      <c r="AD9" s="50">
        <f t="shared" si="6"/>
        <v>396.28400520955068</v>
      </c>
      <c r="AE9" s="50">
        <f t="shared" si="6"/>
        <v>416.60193530585144</v>
      </c>
      <c r="AF9" s="50">
        <f t="shared" si="6"/>
        <v>437.9615825364985</v>
      </c>
      <c r="AG9" s="50">
        <f t="shared" si="6"/>
        <v>460.41635888152518</v>
      </c>
      <c r="AH9" s="50">
        <f t="shared" si="6"/>
        <v>484.0224140731068</v>
      </c>
      <c r="AI9" s="50">
        <f t="shared" si="6"/>
        <v>508.83877623584306</v>
      </c>
      <c r="AJ9" s="50">
        <f t="shared" si="6"/>
        <v>534.92749963712288</v>
      </c>
      <c r="AK9" s="50">
        <f t="shared" si="6"/>
        <v>562.35381994929196</v>
      </c>
      <c r="AL9" s="50">
        <f t="shared" si="6"/>
        <v>591.18631743221795</v>
      </c>
      <c r="AM9" s="50">
        <f t="shared" si="6"/>
        <v>621.49708845713133</v>
      </c>
      <c r="AN9" s="50">
        <f t="shared" si="6"/>
        <v>653.36192580874126</v>
      </c>
      <c r="AO9" s="50">
        <f t="shared" si="6"/>
        <v>686.86050822158336</v>
      </c>
      <c r="AP9" s="50">
        <f t="shared" si="6"/>
        <v>722.07659962776347</v>
      </c>
      <c r="AQ9" s="50">
        <f t="shared" si="6"/>
        <v>759.09825861634852</v>
      </c>
      <c r="AR9" s="51">
        <f t="shared" si="6"/>
        <v>798.01805862944877</v>
      </c>
    </row>
    <row r="10" spans="1:45" s="52" customFormat="1" x14ac:dyDescent="0.15">
      <c r="E10" s="53"/>
      <c r="F10" s="53"/>
      <c r="G10" s="53"/>
      <c r="H10" s="53"/>
      <c r="I10" s="53"/>
      <c r="J10" s="53"/>
      <c r="K10" s="53"/>
      <c r="L10" s="53"/>
      <c r="M10" s="53"/>
      <c r="N10" s="53"/>
      <c r="O10" s="53"/>
      <c r="P10" s="53"/>
      <c r="Q10" s="53"/>
      <c r="R10" s="53"/>
      <c r="S10" s="53"/>
      <c r="T10" s="53"/>
      <c r="U10" s="53"/>
      <c r="V10" s="53"/>
      <c r="W10" s="53"/>
      <c r="X10" s="53"/>
      <c r="Y10" s="53"/>
      <c r="Z10" s="53"/>
      <c r="AA10" s="53"/>
      <c r="AB10" s="53"/>
      <c r="AC10" s="53"/>
      <c r="AD10" s="53"/>
      <c r="AE10" s="53"/>
      <c r="AF10" s="53"/>
      <c r="AG10" s="53"/>
      <c r="AH10" s="53"/>
      <c r="AI10" s="53"/>
      <c r="AJ10" s="53"/>
      <c r="AK10" s="53"/>
      <c r="AL10" s="53"/>
      <c r="AM10" s="53"/>
      <c r="AN10" s="53"/>
      <c r="AO10" s="53"/>
      <c r="AP10" s="53"/>
      <c r="AQ10" s="53"/>
      <c r="AR10" s="53"/>
    </row>
    <row r="11" spans="1:45" s="54" customFormat="1" x14ac:dyDescent="0.15">
      <c r="B11" s="54" t="s">
        <v>23</v>
      </c>
      <c r="C11" s="55"/>
      <c r="D11" s="56">
        <v>1</v>
      </c>
      <c r="E11" s="57">
        <f t="shared" ref="E11:AR11" si="7">D11*EXP(-DisRate_Cur)</f>
        <v>0.93239381990594827</v>
      </c>
      <c r="F11" s="57">
        <f t="shared" si="7"/>
        <v>0.86935823539880586</v>
      </c>
      <c r="G11" s="57">
        <f t="shared" si="7"/>
        <v>0.81058424597018719</v>
      </c>
      <c r="H11" s="57">
        <f t="shared" si="7"/>
        <v>0.75578374145572558</v>
      </c>
      <c r="I11" s="57">
        <f t="shared" si="7"/>
        <v>0.70468808971871355</v>
      </c>
      <c r="J11" s="57">
        <f t="shared" si="7"/>
        <v>0.65704681981505697</v>
      </c>
      <c r="K11" s="57">
        <f t="shared" si="7"/>
        <v>0.61262639418441622</v>
      </c>
      <c r="L11" s="57">
        <f t="shared" si="7"/>
        <v>0.57120906384881509</v>
      </c>
      <c r="M11" s="57">
        <f t="shared" si="7"/>
        <v>0.5325918010068974</v>
      </c>
      <c r="N11" s="57">
        <f t="shared" si="7"/>
        <v>0.49658530379140975</v>
      </c>
      <c r="O11" s="57">
        <f t="shared" si="7"/>
        <v>0.46301306831122829</v>
      </c>
      <c r="P11" s="57">
        <f t="shared" si="7"/>
        <v>0.4317105234290799</v>
      </c>
      <c r="Q11" s="57">
        <f t="shared" si="7"/>
        <v>0.40252422403363619</v>
      </c>
      <c r="R11" s="57">
        <f t="shared" si="7"/>
        <v>0.37531109885139974</v>
      </c>
      <c r="S11" s="57">
        <f t="shared" si="7"/>
        <v>0.34993774911115555</v>
      </c>
      <c r="T11" s="57">
        <f t="shared" si="7"/>
        <v>0.32627979462303969</v>
      </c>
      <c r="U11" s="57">
        <f t="shared" si="7"/>
        <v>0.30422126406670424</v>
      </c>
      <c r="V11" s="57">
        <f t="shared" si="7"/>
        <v>0.28365402649977056</v>
      </c>
      <c r="W11" s="57">
        <f t="shared" si="7"/>
        <v>0.26447726129982413</v>
      </c>
      <c r="X11" s="57">
        <f t="shared" si="7"/>
        <v>0.24659696394160663</v>
      </c>
      <c r="Y11" s="57">
        <f t="shared" si="7"/>
        <v>0.22992548518672398</v>
      </c>
      <c r="Z11" s="57">
        <f t="shared" si="7"/>
        <v>0.21438110142697811</v>
      </c>
      <c r="AA11" s="57">
        <f t="shared" si="7"/>
        <v>0.19988761407514466</v>
      </c>
      <c r="AB11" s="57">
        <f t="shared" si="7"/>
        <v>0.18637397603941011</v>
      </c>
      <c r="AC11" s="57">
        <f t="shared" si="7"/>
        <v>0.17377394345044528</v>
      </c>
      <c r="AD11" s="57">
        <f t="shared" si="7"/>
        <v>0.16202575093388091</v>
      </c>
      <c r="AE11" s="57">
        <f t="shared" si="7"/>
        <v>0.151071808836371</v>
      </c>
      <c r="AF11" s="57">
        <f t="shared" si="7"/>
        <v>0.14085842092104514</v>
      </c>
      <c r="AG11" s="57">
        <f t="shared" si="7"/>
        <v>0.13133552114849323</v>
      </c>
      <c r="AH11" s="57">
        <f t="shared" si="7"/>
        <v>0.12245642825298206</v>
      </c>
      <c r="AI11" s="57">
        <f t="shared" si="7"/>
        <v>0.11417761691083662</v>
      </c>
      <c r="AJ11" s="57">
        <f t="shared" si="7"/>
        <v>0.10645850437925296</v>
      </c>
      <c r="AK11" s="57">
        <f t="shared" si="7"/>
        <v>9.9261251559645783E-2</v>
      </c>
      <c r="AL11" s="57">
        <f t="shared" si="7"/>
        <v>9.2550577510343401E-2</v>
      </c>
      <c r="AM11" s="57">
        <f t="shared" si="7"/>
        <v>8.6293586499370634E-2</v>
      </c>
      <c r="AN11" s="57">
        <f t="shared" si="7"/>
        <v>8.045960674953255E-2</v>
      </c>
      <c r="AO11" s="57">
        <f t="shared" si="7"/>
        <v>7.5020040085327075E-2</v>
      </c>
      <c r="AP11" s="57">
        <f t="shared" si="7"/>
        <v>6.9948221744655467E-2</v>
      </c>
      <c r="AQ11" s="57">
        <f t="shared" si="7"/>
        <v>6.5219289668127622E-2</v>
      </c>
      <c r="AR11" s="58">
        <f t="shared" si="7"/>
        <v>6.0810062625218056E-2</v>
      </c>
    </row>
    <row r="12" spans="1:45" s="43" customFormat="1" x14ac:dyDescent="0.15">
      <c r="J12" s="44"/>
    </row>
    <row r="13" spans="1:45" s="43" customFormat="1" x14ac:dyDescent="0.15">
      <c r="J13" s="27"/>
    </row>
    <row r="14" spans="1:45" s="26" customFormat="1" ht="18" x14ac:dyDescent="0.2">
      <c r="A14" s="24" t="s">
        <v>11</v>
      </c>
      <c r="B14" s="25"/>
      <c r="C14" s="25"/>
    </row>
    <row r="15" spans="1:45" s="45" customFormat="1" x14ac:dyDescent="0.15">
      <c r="B15" s="28" t="s">
        <v>17</v>
      </c>
      <c r="C15" s="28"/>
      <c r="D15" s="46">
        <f>Customers_Init</f>
        <v>50000</v>
      </c>
      <c r="E15" s="47">
        <f t="shared" ref="E15:AR15" si="8">D15*EXP(Customers_Growth)</f>
        <v>50000</v>
      </c>
      <c r="F15" s="47">
        <f t="shared" si="8"/>
        <v>50000</v>
      </c>
      <c r="G15" s="47">
        <f t="shared" si="8"/>
        <v>50000</v>
      </c>
      <c r="H15" s="47">
        <f t="shared" si="8"/>
        <v>50000</v>
      </c>
      <c r="I15" s="47">
        <f t="shared" si="8"/>
        <v>50000</v>
      </c>
      <c r="J15" s="47">
        <f t="shared" si="8"/>
        <v>50000</v>
      </c>
      <c r="K15" s="47">
        <f t="shared" si="8"/>
        <v>50000</v>
      </c>
      <c r="L15" s="47">
        <f t="shared" si="8"/>
        <v>50000</v>
      </c>
      <c r="M15" s="47">
        <f t="shared" si="8"/>
        <v>50000</v>
      </c>
      <c r="N15" s="47">
        <f t="shared" si="8"/>
        <v>50000</v>
      </c>
      <c r="O15" s="47">
        <f t="shared" si="8"/>
        <v>50000</v>
      </c>
      <c r="P15" s="47">
        <f t="shared" si="8"/>
        <v>50000</v>
      </c>
      <c r="Q15" s="47">
        <f t="shared" si="8"/>
        <v>50000</v>
      </c>
      <c r="R15" s="47">
        <f t="shared" si="8"/>
        <v>50000</v>
      </c>
      <c r="S15" s="47">
        <f t="shared" si="8"/>
        <v>50000</v>
      </c>
      <c r="T15" s="47">
        <f t="shared" si="8"/>
        <v>50000</v>
      </c>
      <c r="U15" s="47">
        <f t="shared" si="8"/>
        <v>50000</v>
      </c>
      <c r="V15" s="47">
        <f t="shared" si="8"/>
        <v>50000</v>
      </c>
      <c r="W15" s="47">
        <f t="shared" si="8"/>
        <v>50000</v>
      </c>
      <c r="X15" s="47">
        <f t="shared" si="8"/>
        <v>50000</v>
      </c>
      <c r="Y15" s="47">
        <f t="shared" si="8"/>
        <v>50000</v>
      </c>
      <c r="Z15" s="47">
        <f t="shared" si="8"/>
        <v>50000</v>
      </c>
      <c r="AA15" s="47">
        <f t="shared" si="8"/>
        <v>50000</v>
      </c>
      <c r="AB15" s="47">
        <f t="shared" si="8"/>
        <v>50000</v>
      </c>
      <c r="AC15" s="47">
        <f t="shared" si="8"/>
        <v>50000</v>
      </c>
      <c r="AD15" s="47">
        <f t="shared" si="8"/>
        <v>50000</v>
      </c>
      <c r="AE15" s="47">
        <f t="shared" si="8"/>
        <v>50000</v>
      </c>
      <c r="AF15" s="47">
        <f t="shared" si="8"/>
        <v>50000</v>
      </c>
      <c r="AG15" s="47">
        <f t="shared" si="8"/>
        <v>50000</v>
      </c>
      <c r="AH15" s="47">
        <f t="shared" si="8"/>
        <v>50000</v>
      </c>
      <c r="AI15" s="47">
        <f t="shared" si="8"/>
        <v>50000</v>
      </c>
      <c r="AJ15" s="47">
        <f t="shared" si="8"/>
        <v>50000</v>
      </c>
      <c r="AK15" s="47">
        <f t="shared" si="8"/>
        <v>50000</v>
      </c>
      <c r="AL15" s="47">
        <f t="shared" si="8"/>
        <v>50000</v>
      </c>
      <c r="AM15" s="47">
        <f t="shared" si="8"/>
        <v>50000</v>
      </c>
      <c r="AN15" s="47">
        <f t="shared" si="8"/>
        <v>50000</v>
      </c>
      <c r="AO15" s="47">
        <f t="shared" si="8"/>
        <v>50000</v>
      </c>
      <c r="AP15" s="47">
        <f t="shared" si="8"/>
        <v>50000</v>
      </c>
      <c r="AQ15" s="47">
        <f t="shared" si="8"/>
        <v>50000</v>
      </c>
      <c r="AR15" s="48">
        <f t="shared" si="8"/>
        <v>50000</v>
      </c>
    </row>
    <row r="16" spans="1:45" s="34" customFormat="1" x14ac:dyDescent="0.15">
      <c r="B16" s="59" t="s">
        <v>18</v>
      </c>
      <c r="C16" s="36"/>
      <c r="D16" s="311">
        <f>ServTarget_Exist</f>
        <v>0.5</v>
      </c>
      <c r="E16" s="312">
        <f t="shared" ref="E16:AR16" si="9">IF(Year&lt;ServTarget_Year,ServTarget_Exist+(ServTarget-ServTarget_Exist)/(1+EXP(-(10/ServTarget_Year)*(Year-1-(ServTarget_Year-1)/2))),ServTarget)</f>
        <v>0.50549347131529654</v>
      </c>
      <c r="F16" s="312">
        <f t="shared" si="9"/>
        <v>0.51465611537567812</v>
      </c>
      <c r="G16" s="312">
        <f t="shared" si="9"/>
        <v>0.53792909001062172</v>
      </c>
      <c r="H16" s="312">
        <f t="shared" si="9"/>
        <v>0.59121276190317817</v>
      </c>
      <c r="I16" s="312">
        <f t="shared" si="9"/>
        <v>0.68877033439907276</v>
      </c>
      <c r="J16" s="312">
        <f t="shared" si="9"/>
        <v>0.81122966560092724</v>
      </c>
      <c r="K16" s="312">
        <f t="shared" si="9"/>
        <v>0.90878723809682183</v>
      </c>
      <c r="L16" s="312">
        <f t="shared" si="9"/>
        <v>0.96207090998937828</v>
      </c>
      <c r="M16" s="312">
        <f t="shared" si="9"/>
        <v>0.98534388462432188</v>
      </c>
      <c r="N16" s="312">
        <f t="shared" si="9"/>
        <v>1</v>
      </c>
      <c r="O16" s="312">
        <f t="shared" si="9"/>
        <v>1</v>
      </c>
      <c r="P16" s="312">
        <f t="shared" si="9"/>
        <v>1</v>
      </c>
      <c r="Q16" s="312">
        <f t="shared" si="9"/>
        <v>1</v>
      </c>
      <c r="R16" s="312">
        <f t="shared" si="9"/>
        <v>1</v>
      </c>
      <c r="S16" s="312">
        <f t="shared" si="9"/>
        <v>1</v>
      </c>
      <c r="T16" s="312">
        <f t="shared" si="9"/>
        <v>1</v>
      </c>
      <c r="U16" s="312">
        <f t="shared" si="9"/>
        <v>1</v>
      </c>
      <c r="V16" s="312">
        <f t="shared" si="9"/>
        <v>1</v>
      </c>
      <c r="W16" s="312">
        <f t="shared" si="9"/>
        <v>1</v>
      </c>
      <c r="X16" s="312">
        <f t="shared" si="9"/>
        <v>1</v>
      </c>
      <c r="Y16" s="312">
        <f t="shared" si="9"/>
        <v>1</v>
      </c>
      <c r="Z16" s="312">
        <f t="shared" si="9"/>
        <v>1</v>
      </c>
      <c r="AA16" s="312">
        <f t="shared" si="9"/>
        <v>1</v>
      </c>
      <c r="AB16" s="312">
        <f t="shared" si="9"/>
        <v>1</v>
      </c>
      <c r="AC16" s="312">
        <f t="shared" si="9"/>
        <v>1</v>
      </c>
      <c r="AD16" s="312">
        <f t="shared" si="9"/>
        <v>1</v>
      </c>
      <c r="AE16" s="312">
        <f t="shared" si="9"/>
        <v>1</v>
      </c>
      <c r="AF16" s="312">
        <f t="shared" si="9"/>
        <v>1</v>
      </c>
      <c r="AG16" s="312">
        <f t="shared" si="9"/>
        <v>1</v>
      </c>
      <c r="AH16" s="312">
        <f t="shared" si="9"/>
        <v>1</v>
      </c>
      <c r="AI16" s="312">
        <f t="shared" si="9"/>
        <v>1</v>
      </c>
      <c r="AJ16" s="312">
        <f t="shared" si="9"/>
        <v>1</v>
      </c>
      <c r="AK16" s="312">
        <f t="shared" si="9"/>
        <v>1</v>
      </c>
      <c r="AL16" s="312">
        <f t="shared" si="9"/>
        <v>1</v>
      </c>
      <c r="AM16" s="312">
        <f t="shared" si="9"/>
        <v>1</v>
      </c>
      <c r="AN16" s="312">
        <f t="shared" si="9"/>
        <v>1</v>
      </c>
      <c r="AO16" s="312">
        <f t="shared" si="9"/>
        <v>1</v>
      </c>
      <c r="AP16" s="312">
        <f t="shared" si="9"/>
        <v>1</v>
      </c>
      <c r="AQ16" s="312">
        <f t="shared" si="9"/>
        <v>1</v>
      </c>
      <c r="AR16" s="313">
        <f t="shared" si="9"/>
        <v>1</v>
      </c>
    </row>
    <row r="17" spans="1:58" s="45" customFormat="1" x14ac:dyDescent="0.15">
      <c r="B17" s="28" t="s">
        <v>19</v>
      </c>
      <c r="C17" s="28"/>
      <c r="D17" s="60">
        <f t="shared" ref="D17:AR17" si="10">INT(ServTarget_FC*PotentialConnections)</f>
        <v>25000</v>
      </c>
      <c r="E17" s="61">
        <f>INT(ServTarget_FC*PotentialConnections)</f>
        <v>25274</v>
      </c>
      <c r="F17" s="61">
        <f t="shared" si="10"/>
        <v>25732</v>
      </c>
      <c r="G17" s="61">
        <f t="shared" si="10"/>
        <v>26896</v>
      </c>
      <c r="H17" s="61">
        <f t="shared" si="10"/>
        <v>29560</v>
      </c>
      <c r="I17" s="61">
        <f t="shared" si="10"/>
        <v>34438</v>
      </c>
      <c r="J17" s="61">
        <f t="shared" si="10"/>
        <v>40561</v>
      </c>
      <c r="K17" s="61">
        <f t="shared" si="10"/>
        <v>45439</v>
      </c>
      <c r="L17" s="61">
        <f t="shared" si="10"/>
        <v>48103</v>
      </c>
      <c r="M17" s="61">
        <f t="shared" si="10"/>
        <v>49267</v>
      </c>
      <c r="N17" s="61">
        <f t="shared" si="10"/>
        <v>50000</v>
      </c>
      <c r="O17" s="61">
        <f t="shared" si="10"/>
        <v>50000</v>
      </c>
      <c r="P17" s="61">
        <f t="shared" si="10"/>
        <v>50000</v>
      </c>
      <c r="Q17" s="61">
        <f t="shared" si="10"/>
        <v>50000</v>
      </c>
      <c r="R17" s="61">
        <f t="shared" si="10"/>
        <v>50000</v>
      </c>
      <c r="S17" s="61">
        <f t="shared" si="10"/>
        <v>50000</v>
      </c>
      <c r="T17" s="61">
        <f t="shared" si="10"/>
        <v>50000</v>
      </c>
      <c r="U17" s="61">
        <f t="shared" si="10"/>
        <v>50000</v>
      </c>
      <c r="V17" s="61">
        <f t="shared" si="10"/>
        <v>50000</v>
      </c>
      <c r="W17" s="61">
        <f t="shared" si="10"/>
        <v>50000</v>
      </c>
      <c r="X17" s="61">
        <f t="shared" si="10"/>
        <v>50000</v>
      </c>
      <c r="Y17" s="61">
        <f t="shared" si="10"/>
        <v>50000</v>
      </c>
      <c r="Z17" s="61">
        <f t="shared" si="10"/>
        <v>50000</v>
      </c>
      <c r="AA17" s="61">
        <f t="shared" si="10"/>
        <v>50000</v>
      </c>
      <c r="AB17" s="61">
        <f t="shared" si="10"/>
        <v>50000</v>
      </c>
      <c r="AC17" s="61">
        <f t="shared" si="10"/>
        <v>50000</v>
      </c>
      <c r="AD17" s="61">
        <f t="shared" si="10"/>
        <v>50000</v>
      </c>
      <c r="AE17" s="61">
        <f t="shared" si="10"/>
        <v>50000</v>
      </c>
      <c r="AF17" s="61">
        <f t="shared" si="10"/>
        <v>50000</v>
      </c>
      <c r="AG17" s="61">
        <f t="shared" si="10"/>
        <v>50000</v>
      </c>
      <c r="AH17" s="61">
        <f t="shared" si="10"/>
        <v>50000</v>
      </c>
      <c r="AI17" s="61">
        <f t="shared" si="10"/>
        <v>50000</v>
      </c>
      <c r="AJ17" s="61">
        <f t="shared" si="10"/>
        <v>50000</v>
      </c>
      <c r="AK17" s="61">
        <f t="shared" si="10"/>
        <v>50000</v>
      </c>
      <c r="AL17" s="61">
        <f t="shared" si="10"/>
        <v>50000</v>
      </c>
      <c r="AM17" s="61">
        <f t="shared" si="10"/>
        <v>50000</v>
      </c>
      <c r="AN17" s="61">
        <f t="shared" si="10"/>
        <v>50000</v>
      </c>
      <c r="AO17" s="61">
        <f t="shared" si="10"/>
        <v>50000</v>
      </c>
      <c r="AP17" s="61">
        <f t="shared" si="10"/>
        <v>50000</v>
      </c>
      <c r="AQ17" s="61">
        <f t="shared" si="10"/>
        <v>50000</v>
      </c>
      <c r="AR17" s="62">
        <f t="shared" si="10"/>
        <v>50000</v>
      </c>
    </row>
    <row r="18" spans="1:58" s="45" customFormat="1" x14ac:dyDescent="0.15">
      <c r="B18" s="35"/>
      <c r="C18" s="35" t="s">
        <v>20</v>
      </c>
      <c r="D18" s="63"/>
      <c r="E18" s="64">
        <f>MAX(E17-D17,0)</f>
        <v>274</v>
      </c>
      <c r="F18" s="65">
        <f>MAX(F17-E17,0)</f>
        <v>458</v>
      </c>
      <c r="G18" s="65">
        <f t="shared" ref="G18:AR18" si="11">MAX(G17-F17,0)</f>
        <v>1164</v>
      </c>
      <c r="H18" s="65">
        <f t="shared" si="11"/>
        <v>2664</v>
      </c>
      <c r="I18" s="65">
        <f t="shared" si="11"/>
        <v>4878</v>
      </c>
      <c r="J18" s="65">
        <f t="shared" si="11"/>
        <v>6123</v>
      </c>
      <c r="K18" s="65">
        <f t="shared" si="11"/>
        <v>4878</v>
      </c>
      <c r="L18" s="65">
        <f t="shared" si="11"/>
        <v>2664</v>
      </c>
      <c r="M18" s="65">
        <f t="shared" si="11"/>
        <v>1164</v>
      </c>
      <c r="N18" s="65">
        <f t="shared" si="11"/>
        <v>733</v>
      </c>
      <c r="O18" s="65">
        <f t="shared" si="11"/>
        <v>0</v>
      </c>
      <c r="P18" s="65">
        <f t="shared" si="11"/>
        <v>0</v>
      </c>
      <c r="Q18" s="65">
        <f t="shared" si="11"/>
        <v>0</v>
      </c>
      <c r="R18" s="65">
        <f t="shared" si="11"/>
        <v>0</v>
      </c>
      <c r="S18" s="65">
        <f t="shared" si="11"/>
        <v>0</v>
      </c>
      <c r="T18" s="65">
        <f t="shared" si="11"/>
        <v>0</v>
      </c>
      <c r="U18" s="65">
        <f t="shared" si="11"/>
        <v>0</v>
      </c>
      <c r="V18" s="65">
        <f t="shared" si="11"/>
        <v>0</v>
      </c>
      <c r="W18" s="65">
        <f t="shared" si="11"/>
        <v>0</v>
      </c>
      <c r="X18" s="65">
        <f t="shared" si="11"/>
        <v>0</v>
      </c>
      <c r="Y18" s="65">
        <f t="shared" si="11"/>
        <v>0</v>
      </c>
      <c r="Z18" s="65">
        <f t="shared" si="11"/>
        <v>0</v>
      </c>
      <c r="AA18" s="65">
        <f t="shared" si="11"/>
        <v>0</v>
      </c>
      <c r="AB18" s="65">
        <f t="shared" si="11"/>
        <v>0</v>
      </c>
      <c r="AC18" s="65">
        <f t="shared" si="11"/>
        <v>0</v>
      </c>
      <c r="AD18" s="65">
        <f t="shared" si="11"/>
        <v>0</v>
      </c>
      <c r="AE18" s="65">
        <f t="shared" si="11"/>
        <v>0</v>
      </c>
      <c r="AF18" s="65">
        <f t="shared" si="11"/>
        <v>0</v>
      </c>
      <c r="AG18" s="65">
        <f t="shared" si="11"/>
        <v>0</v>
      </c>
      <c r="AH18" s="65">
        <f t="shared" si="11"/>
        <v>0</v>
      </c>
      <c r="AI18" s="65">
        <f t="shared" si="11"/>
        <v>0</v>
      </c>
      <c r="AJ18" s="65">
        <f t="shared" si="11"/>
        <v>0</v>
      </c>
      <c r="AK18" s="65">
        <f t="shared" si="11"/>
        <v>0</v>
      </c>
      <c r="AL18" s="65">
        <f t="shared" si="11"/>
        <v>0</v>
      </c>
      <c r="AM18" s="65">
        <f t="shared" si="11"/>
        <v>0</v>
      </c>
      <c r="AN18" s="65">
        <f t="shared" si="11"/>
        <v>0</v>
      </c>
      <c r="AO18" s="65">
        <f t="shared" si="11"/>
        <v>0</v>
      </c>
      <c r="AP18" s="65">
        <f t="shared" si="11"/>
        <v>0</v>
      </c>
      <c r="AQ18" s="65">
        <f t="shared" si="11"/>
        <v>0</v>
      </c>
      <c r="AR18" s="66">
        <f t="shared" si="11"/>
        <v>0</v>
      </c>
    </row>
    <row r="19" spans="1:58" s="59" customFormat="1" x14ac:dyDescent="0.15"/>
    <row r="20" spans="1:58" s="45" customFormat="1" x14ac:dyDescent="0.15">
      <c r="B20" s="28" t="s">
        <v>12</v>
      </c>
      <c r="C20" s="28"/>
      <c r="D20" s="213">
        <f>Demand</f>
        <v>150</v>
      </c>
      <c r="E20" s="214">
        <f>D20*EXP(Demand_Growth)</f>
        <v>153.03020100401338</v>
      </c>
      <c r="F20" s="214">
        <f t="shared" ref="F20:AR20" si="12">E20*EXP(Demand_Growth)</f>
        <v>156.12161612885822</v>
      </c>
      <c r="G20" s="214">
        <f t="shared" si="12"/>
        <v>159.27548198180392</v>
      </c>
      <c r="H20" s="214">
        <f t="shared" si="12"/>
        <v>162.49306015124375</v>
      </c>
      <c r="I20" s="214">
        <f t="shared" si="12"/>
        <v>165.77563771134712</v>
      </c>
      <c r="J20" s="214">
        <f t="shared" si="12"/>
        <v>169.12452773690632</v>
      </c>
      <c r="K20" s="214">
        <f t="shared" si="12"/>
        <v>172.54106982858406</v>
      </c>
      <c r="L20" s="214">
        <f t="shared" si="12"/>
        <v>176.02663064877149</v>
      </c>
      <c r="M20" s="214">
        <f t="shared" si="12"/>
        <v>179.58260446827148</v>
      </c>
      <c r="N20" s="214">
        <f t="shared" si="12"/>
        <v>183.21041372402541</v>
      </c>
      <c r="O20" s="214">
        <f t="shared" si="12"/>
        <v>186.91150958810707</v>
      </c>
      <c r="P20" s="214">
        <f t="shared" si="12"/>
        <v>190.68737254821065</v>
      </c>
      <c r="Q20" s="214">
        <f t="shared" si="12"/>
        <v>194.53951299986571</v>
      </c>
      <c r="R20" s="214">
        <f t="shared" si="12"/>
        <v>198.46947185061546</v>
      </c>
      <c r="S20" s="214">
        <f t="shared" si="12"/>
        <v>202.47882113640037</v>
      </c>
      <c r="T20" s="214">
        <f t="shared" si="12"/>
        <v>206.56916465039345</v>
      </c>
      <c r="U20" s="214">
        <f t="shared" si="12"/>
        <v>210.74213858453894</v>
      </c>
      <c r="V20" s="214">
        <f t="shared" si="12"/>
        <v>214.9994121840509</v>
      </c>
      <c r="W20" s="214">
        <f t="shared" si="12"/>
        <v>219.34268841513352</v>
      </c>
      <c r="X20" s="214">
        <f t="shared" si="12"/>
        <v>223.77370464619037</v>
      </c>
      <c r="Y20" s="214">
        <f t="shared" si="12"/>
        <v>228.29423334279488</v>
      </c>
      <c r="Z20" s="214">
        <f t="shared" si="12"/>
        <v>232.9060827767002</v>
      </c>
      <c r="AA20" s="214">
        <f t="shared" si="12"/>
        <v>237.61109774917205</v>
      </c>
      <c r="AB20" s="214">
        <f t="shared" si="12"/>
        <v>242.41116032893376</v>
      </c>
      <c r="AC20" s="214">
        <f t="shared" si="12"/>
        <v>247.30819060501895</v>
      </c>
      <c r="AD20" s="214">
        <f t="shared" si="12"/>
        <v>252.30414745483267</v>
      </c>
      <c r="AE20" s="214">
        <f t="shared" si="12"/>
        <v>257.40102932772845</v>
      </c>
      <c r="AF20" s="214">
        <f t="shared" si="12"/>
        <v>262.60087504441481</v>
      </c>
      <c r="AG20" s="214">
        <f t="shared" si="12"/>
        <v>267.90576461251061</v>
      </c>
      <c r="AH20" s="214">
        <f t="shared" si="12"/>
        <v>273.31782005857593</v>
      </c>
      <c r="AI20" s="214">
        <f t="shared" si="12"/>
        <v>278.8392062769509</v>
      </c>
      <c r="AJ20" s="214">
        <f t="shared" si="12"/>
        <v>284.47213189574228</v>
      </c>
      <c r="AK20" s="214">
        <f t="shared" si="12"/>
        <v>290.21885016030427</v>
      </c>
      <c r="AL20" s="214">
        <f t="shared" si="12"/>
        <v>296.08165983456666</v>
      </c>
      <c r="AM20" s="214">
        <f t="shared" si="12"/>
        <v>302.06290612057097</v>
      </c>
      <c r="AN20" s="214">
        <f t="shared" si="12"/>
        <v>308.16498159658261</v>
      </c>
      <c r="AO20" s="214">
        <f t="shared" si="12"/>
        <v>314.39032717415409</v>
      </c>
      <c r="AP20" s="214">
        <f t="shared" si="12"/>
        <v>320.74143307452221</v>
      </c>
      <c r="AQ20" s="214">
        <f t="shared" si="12"/>
        <v>327.22083982472958</v>
      </c>
      <c r="AR20" s="215">
        <f t="shared" si="12"/>
        <v>333.83113927386955</v>
      </c>
    </row>
    <row r="21" spans="1:58" s="45" customFormat="1" x14ac:dyDescent="0.15">
      <c r="B21" s="28" t="str">
        <f>CONCATENATE("Total demand (",WaterDenomination," m3)")</f>
        <v>Total demand (Millions m3)</v>
      </c>
      <c r="C21" s="43"/>
      <c r="D21" s="219">
        <f t="shared" ref="D21:AR21" si="13">D20*Connections*365/1000/WaterDenValue</f>
        <v>1.3687499999999999</v>
      </c>
      <c r="E21" s="220">
        <f>E20*Connections*365/1000/WaterDenValue</f>
        <v>1.4117051345640335</v>
      </c>
      <c r="F21" s="220">
        <f t="shared" si="13"/>
        <v>1.4663223205731397</v>
      </c>
      <c r="G21" s="220">
        <f t="shared" si="13"/>
        <v>1.5636137776346484</v>
      </c>
      <c r="H21" s="220">
        <f t="shared" si="13"/>
        <v>1.7532026231958293</v>
      </c>
      <c r="I21" s="220">
        <f t="shared" si="13"/>
        <v>2.083778215198731</v>
      </c>
      <c r="J21" s="220">
        <f t="shared" si="13"/>
        <v>2.5038488888808801</v>
      </c>
      <c r="K21" s="220">
        <f t="shared" si="13"/>
        <v>2.8616341902584765</v>
      </c>
      <c r="L21" s="220">
        <f t="shared" si="13"/>
        <v>3.0906042901457167</v>
      </c>
      <c r="M21" s="220">
        <f t="shared" si="13"/>
        <v>3.2293361036334907</v>
      </c>
      <c r="N21" s="220">
        <f t="shared" si="13"/>
        <v>3.3435900504634635</v>
      </c>
      <c r="O21" s="220">
        <f t="shared" si="13"/>
        <v>3.411135049982954</v>
      </c>
      <c r="P21" s="220">
        <f t="shared" si="13"/>
        <v>3.4800445490048451</v>
      </c>
      <c r="Q21" s="220">
        <f t="shared" si="13"/>
        <v>3.5503461122475488</v>
      </c>
      <c r="R21" s="220">
        <f t="shared" si="13"/>
        <v>3.6220678612737327</v>
      </c>
      <c r="S21" s="220">
        <f t="shared" si="13"/>
        <v>3.6952384857393064</v>
      </c>
      <c r="T21" s="220">
        <f t="shared" si="13"/>
        <v>3.7698872548696807</v>
      </c>
      <c r="U21" s="220">
        <f t="shared" si="13"/>
        <v>3.8460440291678353</v>
      </c>
      <c r="V21" s="220">
        <f t="shared" si="13"/>
        <v>3.9237392723589291</v>
      </c>
      <c r="W21" s="220">
        <f t="shared" si="13"/>
        <v>4.0030040635761868</v>
      </c>
      <c r="X21" s="220">
        <f t="shared" si="13"/>
        <v>4.0838701097929739</v>
      </c>
      <c r="Y21" s="220">
        <f t="shared" si="13"/>
        <v>4.1663697585060069</v>
      </c>
      <c r="Z21" s="220">
        <f t="shared" si="13"/>
        <v>4.2505360106747796</v>
      </c>
      <c r="AA21" s="220">
        <f t="shared" si="13"/>
        <v>4.3364025339223904</v>
      </c>
      <c r="AB21" s="220">
        <f t="shared" si="13"/>
        <v>4.4240036760030419</v>
      </c>
      <c r="AC21" s="220">
        <f t="shared" si="13"/>
        <v>4.5133744785415972</v>
      </c>
      <c r="AD21" s="220">
        <f t="shared" si="13"/>
        <v>4.6045506910506964</v>
      </c>
      <c r="AE21" s="220">
        <f t="shared" si="13"/>
        <v>4.6975687852310433</v>
      </c>
      <c r="AF21" s="220">
        <f t="shared" si="13"/>
        <v>4.7924659695605714</v>
      </c>
      <c r="AG21" s="220">
        <f t="shared" si="13"/>
        <v>4.889280204178319</v>
      </c>
      <c r="AH21" s="220">
        <f t="shared" si="13"/>
        <v>4.988050216069011</v>
      </c>
      <c r="AI21" s="220">
        <f t="shared" si="13"/>
        <v>5.0888155145543532</v>
      </c>
      <c r="AJ21" s="220">
        <f t="shared" si="13"/>
        <v>5.191616407097297</v>
      </c>
      <c r="AK21" s="220">
        <f t="shared" si="13"/>
        <v>5.2964940154255533</v>
      </c>
      <c r="AL21" s="220">
        <f t="shared" si="13"/>
        <v>5.403490291980841</v>
      </c>
      <c r="AM21" s="220">
        <f t="shared" si="13"/>
        <v>5.51264803670042</v>
      </c>
      <c r="AN21" s="220">
        <f t="shared" si="13"/>
        <v>5.6240109141376324</v>
      </c>
      <c r="AO21" s="220">
        <f t="shared" si="13"/>
        <v>5.7376234709283125</v>
      </c>
      <c r="AP21" s="220">
        <f t="shared" si="13"/>
        <v>5.8535311536100298</v>
      </c>
      <c r="AQ21" s="220">
        <f t="shared" si="13"/>
        <v>5.9717803268013139</v>
      </c>
      <c r="AR21" s="221">
        <f t="shared" si="13"/>
        <v>6.0924182917481193</v>
      </c>
      <c r="AS21" s="67"/>
      <c r="AT21" s="67"/>
      <c r="AU21" s="67"/>
      <c r="AV21" s="67"/>
      <c r="AW21" s="67"/>
      <c r="AX21" s="67"/>
      <c r="AY21" s="67"/>
      <c r="AZ21" s="67"/>
      <c r="BA21" s="67"/>
      <c r="BB21" s="67"/>
      <c r="BC21" s="67"/>
      <c r="BD21" s="67"/>
      <c r="BE21" s="67"/>
      <c r="BF21" s="67"/>
    </row>
    <row r="22" spans="1:58" s="43" customFormat="1" x14ac:dyDescent="0.15">
      <c r="B22" s="68"/>
      <c r="D22" s="69"/>
      <c r="E22" s="69"/>
      <c r="F22" s="69"/>
    </row>
    <row r="23" spans="1:58" s="45" customFormat="1" x14ac:dyDescent="0.15">
      <c r="B23" s="28" t="s">
        <v>5</v>
      </c>
      <c r="C23" s="43"/>
      <c r="D23" s="315">
        <f>UFW_CurVal</f>
        <v>0.01</v>
      </c>
      <c r="E23" s="310">
        <f t="shared" ref="E23:AR23" si="14">IF(Year&lt;UFW_TargetYr,UFW_CurVal+(UFW_Target-UFW_CurVal)/(1+EXP(-(10/UFW_TargetYr)*(Year-1-(UFW_TargetYr-1)/2))),UFW_Target)</f>
        <v>1.0359724199241832E-2</v>
      </c>
      <c r="F23" s="310">
        <f t="shared" si="14"/>
        <v>1.2384058440442351E-2</v>
      </c>
      <c r="G23" s="310">
        <f t="shared" si="14"/>
        <v>1.9999999999999997E-2</v>
      </c>
      <c r="H23" s="310">
        <f t="shared" si="14"/>
        <v>2.7615941559557641E-2</v>
      </c>
      <c r="I23" s="310">
        <f t="shared" si="14"/>
        <v>0.03</v>
      </c>
      <c r="J23" s="310">
        <f t="shared" si="14"/>
        <v>0.03</v>
      </c>
      <c r="K23" s="310">
        <f t="shared" si="14"/>
        <v>0.03</v>
      </c>
      <c r="L23" s="310">
        <f t="shared" si="14"/>
        <v>0.03</v>
      </c>
      <c r="M23" s="310">
        <f t="shared" si="14"/>
        <v>0.03</v>
      </c>
      <c r="N23" s="310">
        <f t="shared" si="14"/>
        <v>0.03</v>
      </c>
      <c r="O23" s="310">
        <f t="shared" si="14"/>
        <v>0.03</v>
      </c>
      <c r="P23" s="310">
        <f t="shared" si="14"/>
        <v>0.03</v>
      </c>
      <c r="Q23" s="310">
        <f t="shared" si="14"/>
        <v>0.03</v>
      </c>
      <c r="R23" s="310">
        <f t="shared" si="14"/>
        <v>0.03</v>
      </c>
      <c r="S23" s="310">
        <f t="shared" si="14"/>
        <v>0.03</v>
      </c>
      <c r="T23" s="310">
        <f t="shared" si="14"/>
        <v>0.03</v>
      </c>
      <c r="U23" s="310">
        <f t="shared" si="14"/>
        <v>0.03</v>
      </c>
      <c r="V23" s="310">
        <f t="shared" si="14"/>
        <v>0.03</v>
      </c>
      <c r="W23" s="310">
        <f t="shared" si="14"/>
        <v>0.03</v>
      </c>
      <c r="X23" s="310">
        <f t="shared" si="14"/>
        <v>0.03</v>
      </c>
      <c r="Y23" s="57">
        <f t="shared" si="14"/>
        <v>0.03</v>
      </c>
      <c r="Z23" s="57">
        <f t="shared" si="14"/>
        <v>0.03</v>
      </c>
      <c r="AA23" s="57">
        <f t="shared" si="14"/>
        <v>0.03</v>
      </c>
      <c r="AB23" s="57">
        <f t="shared" si="14"/>
        <v>0.03</v>
      </c>
      <c r="AC23" s="57">
        <f t="shared" si="14"/>
        <v>0.03</v>
      </c>
      <c r="AD23" s="57">
        <f t="shared" si="14"/>
        <v>0.03</v>
      </c>
      <c r="AE23" s="57">
        <f t="shared" si="14"/>
        <v>0.03</v>
      </c>
      <c r="AF23" s="57">
        <f t="shared" si="14"/>
        <v>0.03</v>
      </c>
      <c r="AG23" s="57">
        <f t="shared" si="14"/>
        <v>0.03</v>
      </c>
      <c r="AH23" s="57">
        <f t="shared" si="14"/>
        <v>0.03</v>
      </c>
      <c r="AI23" s="57">
        <f t="shared" si="14"/>
        <v>0.03</v>
      </c>
      <c r="AJ23" s="57">
        <f t="shared" si="14"/>
        <v>0.03</v>
      </c>
      <c r="AK23" s="57">
        <f t="shared" si="14"/>
        <v>0.03</v>
      </c>
      <c r="AL23" s="57">
        <f t="shared" si="14"/>
        <v>0.03</v>
      </c>
      <c r="AM23" s="57">
        <f t="shared" si="14"/>
        <v>0.03</v>
      </c>
      <c r="AN23" s="57">
        <f t="shared" si="14"/>
        <v>0.03</v>
      </c>
      <c r="AO23" s="57">
        <f t="shared" si="14"/>
        <v>0.03</v>
      </c>
      <c r="AP23" s="57">
        <f t="shared" si="14"/>
        <v>0.03</v>
      </c>
      <c r="AQ23" s="57">
        <f t="shared" si="14"/>
        <v>0.03</v>
      </c>
      <c r="AR23" s="58">
        <f t="shared" si="14"/>
        <v>0.03</v>
      </c>
    </row>
    <row r="24" spans="1:58" s="45" customFormat="1" x14ac:dyDescent="0.15">
      <c r="B24" s="28" t="s">
        <v>21</v>
      </c>
      <c r="C24" s="43"/>
      <c r="D24" s="70">
        <f>Collection</f>
        <v>1</v>
      </c>
      <c r="E24" s="57">
        <f t="shared" ref="E24:AR24" si="15">IF(Year&lt;Collection_TargetYr,Collection+(Collection_Target-Collection)/(1+EXP(-(10/Collection_TargetYr)*(Year-1-(Collection_TargetYr-1)/2))),Collection_Target)</f>
        <v>1</v>
      </c>
      <c r="F24" s="57">
        <f t="shared" si="15"/>
        <v>1</v>
      </c>
      <c r="G24" s="57">
        <f t="shared" si="15"/>
        <v>1</v>
      </c>
      <c r="H24" s="57">
        <f t="shared" si="15"/>
        <v>1</v>
      </c>
      <c r="I24" s="57">
        <f t="shared" si="15"/>
        <v>1</v>
      </c>
      <c r="J24" s="57">
        <f t="shared" si="15"/>
        <v>1</v>
      </c>
      <c r="K24" s="57">
        <f t="shared" si="15"/>
        <v>1</v>
      </c>
      <c r="L24" s="57">
        <f t="shared" si="15"/>
        <v>1</v>
      </c>
      <c r="M24" s="57">
        <f t="shared" si="15"/>
        <v>1</v>
      </c>
      <c r="N24" s="57">
        <f t="shared" si="15"/>
        <v>1</v>
      </c>
      <c r="O24" s="57">
        <f t="shared" si="15"/>
        <v>1</v>
      </c>
      <c r="P24" s="57">
        <f t="shared" si="15"/>
        <v>1</v>
      </c>
      <c r="Q24" s="57">
        <f t="shared" si="15"/>
        <v>1</v>
      </c>
      <c r="R24" s="57">
        <f t="shared" si="15"/>
        <v>1</v>
      </c>
      <c r="S24" s="57">
        <f t="shared" si="15"/>
        <v>1</v>
      </c>
      <c r="T24" s="57">
        <f t="shared" si="15"/>
        <v>1</v>
      </c>
      <c r="U24" s="57">
        <f t="shared" si="15"/>
        <v>1</v>
      </c>
      <c r="V24" s="57">
        <f t="shared" si="15"/>
        <v>1</v>
      </c>
      <c r="W24" s="57">
        <f t="shared" si="15"/>
        <v>1</v>
      </c>
      <c r="X24" s="57">
        <f t="shared" si="15"/>
        <v>1</v>
      </c>
      <c r="Y24" s="57">
        <f t="shared" si="15"/>
        <v>1</v>
      </c>
      <c r="Z24" s="57">
        <f t="shared" si="15"/>
        <v>1</v>
      </c>
      <c r="AA24" s="57">
        <f t="shared" si="15"/>
        <v>1</v>
      </c>
      <c r="AB24" s="57">
        <f t="shared" si="15"/>
        <v>1</v>
      </c>
      <c r="AC24" s="57">
        <f t="shared" si="15"/>
        <v>1</v>
      </c>
      <c r="AD24" s="57">
        <f t="shared" si="15"/>
        <v>1</v>
      </c>
      <c r="AE24" s="57">
        <f t="shared" si="15"/>
        <v>1</v>
      </c>
      <c r="AF24" s="57">
        <f t="shared" si="15"/>
        <v>1</v>
      </c>
      <c r="AG24" s="57">
        <f t="shared" si="15"/>
        <v>1</v>
      </c>
      <c r="AH24" s="57">
        <f t="shared" si="15"/>
        <v>1</v>
      </c>
      <c r="AI24" s="57">
        <f t="shared" si="15"/>
        <v>1</v>
      </c>
      <c r="AJ24" s="57">
        <f t="shared" si="15"/>
        <v>1</v>
      </c>
      <c r="AK24" s="57">
        <f t="shared" si="15"/>
        <v>1</v>
      </c>
      <c r="AL24" s="57">
        <f t="shared" si="15"/>
        <v>1</v>
      </c>
      <c r="AM24" s="57">
        <f t="shared" si="15"/>
        <v>1</v>
      </c>
      <c r="AN24" s="57">
        <f t="shared" si="15"/>
        <v>1</v>
      </c>
      <c r="AO24" s="57">
        <f t="shared" si="15"/>
        <v>1</v>
      </c>
      <c r="AP24" s="57">
        <f t="shared" si="15"/>
        <v>1</v>
      </c>
      <c r="AQ24" s="57">
        <f t="shared" si="15"/>
        <v>1</v>
      </c>
      <c r="AR24" s="58">
        <f t="shared" si="15"/>
        <v>1</v>
      </c>
    </row>
    <row r="25" spans="1:58" s="43" customFormat="1" x14ac:dyDescent="0.15">
      <c r="D25" s="54"/>
    </row>
    <row r="26" spans="1:58" s="43" customFormat="1" x14ac:dyDescent="0.15">
      <c r="C26" s="28"/>
      <c r="D26" s="54"/>
    </row>
    <row r="27" spans="1:58" s="26" customFormat="1" ht="18" x14ac:dyDescent="0.2">
      <c r="A27" s="71" t="str">
        <f>CONCATENATE("Costs &amp; subsidies (",MonDenomination,")")</f>
        <v>Costs &amp; subsidies (Millions)</v>
      </c>
      <c r="B27" s="72"/>
      <c r="C27" s="72"/>
      <c r="D27" s="73"/>
      <c r="E27" s="73"/>
      <c r="F27" s="73"/>
      <c r="G27" s="73"/>
      <c r="H27" s="73"/>
      <c r="I27" s="73"/>
      <c r="J27" s="73"/>
      <c r="K27" s="73"/>
      <c r="L27" s="73"/>
      <c r="M27" s="73"/>
      <c r="N27" s="73"/>
    </row>
    <row r="28" spans="1:58" s="45" customFormat="1" x14ac:dyDescent="0.15">
      <c r="B28" s="74" t="s">
        <v>24</v>
      </c>
      <c r="C28" s="35"/>
      <c r="D28" s="69"/>
      <c r="E28" s="69"/>
      <c r="F28" s="69"/>
      <c r="G28" s="69"/>
      <c r="H28" s="69"/>
      <c r="I28" s="69"/>
      <c r="J28" s="69"/>
      <c r="K28" s="69"/>
      <c r="L28" s="69"/>
      <c r="M28" s="69"/>
      <c r="N28" s="69"/>
    </row>
    <row r="29" spans="1:58" s="45" customFormat="1" x14ac:dyDescent="0.15">
      <c r="B29" s="74"/>
      <c r="C29" s="75" t="s">
        <v>25</v>
      </c>
      <c r="D29" s="69"/>
      <c r="E29" s="76"/>
      <c r="F29" s="76"/>
      <c r="G29" s="76"/>
      <c r="H29" s="76"/>
      <c r="I29" s="76"/>
      <c r="J29" s="76"/>
      <c r="K29" s="76"/>
      <c r="L29" s="76"/>
      <c r="M29" s="76"/>
      <c r="N29" s="76"/>
    </row>
    <row r="30" spans="1:58" s="45" customFormat="1" x14ac:dyDescent="0.15">
      <c r="C30" s="35" t="s">
        <v>26</v>
      </c>
      <c r="D30" s="46">
        <f>(Opex_Fixed/MonDenValue)*(1-Opex_FixedForeign)</f>
        <v>10</v>
      </c>
      <c r="E30" s="47">
        <f t="shared" ref="E30:T31" si="16">D30*EXP(Opex_FixedGrowth)</f>
        <v>10.304545339535169</v>
      </c>
      <c r="F30" s="47">
        <f t="shared" si="16"/>
        <v>10.618365465453598</v>
      </c>
      <c r="G30" s="47">
        <f t="shared" si="16"/>
        <v>10.941742837052107</v>
      </c>
      <c r="H30" s="47">
        <f t="shared" si="16"/>
        <v>11.274968515793761</v>
      </c>
      <c r="I30" s="47">
        <f t="shared" si="16"/>
        <v>11.618342427282837</v>
      </c>
      <c r="J30" s="47">
        <f t="shared" si="16"/>
        <v>11.972173631218109</v>
      </c>
      <c r="K30" s="47">
        <f t="shared" si="16"/>
        <v>12.33678059956744</v>
      </c>
      <c r="L30" s="47">
        <f t="shared" si="16"/>
        <v>12.712491503214055</v>
      </c>
      <c r="M30" s="47">
        <f t="shared" si="16"/>
        <v>13.099644507332483</v>
      </c>
      <c r="N30" s="47">
        <f t="shared" si="16"/>
        <v>13.498588075760042</v>
      </c>
      <c r="O30" s="47">
        <f t="shared" si="16"/>
        <v>13.909681284637815</v>
      </c>
      <c r="P30" s="47">
        <f t="shared" si="16"/>
        <v>14.333294145603416</v>
      </c>
      <c r="Q30" s="47">
        <f t="shared" si="16"/>
        <v>14.769807938826441</v>
      </c>
      <c r="R30" s="47">
        <f t="shared" si="16"/>
        <v>15.219615556186355</v>
      </c>
      <c r="S30" s="47">
        <f t="shared" si="16"/>
        <v>15.683121854901707</v>
      </c>
      <c r="T30" s="47">
        <f t="shared" si="16"/>
        <v>16.160744021928956</v>
      </c>
      <c r="U30" s="47">
        <f t="shared" ref="U30:AJ30" si="17">T30*EXP(Opex_FixedGrowth)</f>
        <v>16.652911949458886</v>
      </c>
      <c r="V30" s="47">
        <f t="shared" si="17"/>
        <v>17.160068621848609</v>
      </c>
      <c r="W30" s="47">
        <f t="shared" si="17"/>
        <v>17.682670514337378</v>
      </c>
      <c r="X30" s="304">
        <f t="shared" si="17"/>
        <v>18.22118800390512</v>
      </c>
      <c r="Y30" s="47">
        <f t="shared" si="17"/>
        <v>18.776105792643463</v>
      </c>
      <c r="Z30" s="47">
        <f t="shared" si="17"/>
        <v>19.347923344020348</v>
      </c>
      <c r="AA30" s="47">
        <f t="shared" si="17"/>
        <v>19.937155332430859</v>
      </c>
      <c r="AB30" s="47">
        <f t="shared" si="17"/>
        <v>20.544332106438915</v>
      </c>
      <c r="AC30" s="47">
        <f t="shared" si="17"/>
        <v>21.170000166126787</v>
      </c>
      <c r="AD30" s="47">
        <f t="shared" si="17"/>
        <v>21.814722654982056</v>
      </c>
      <c r="AE30" s="47">
        <f t="shared" si="17"/>
        <v>22.479079866764764</v>
      </c>
      <c r="AF30" s="47">
        <f t="shared" si="17"/>
        <v>23.163669767810969</v>
      </c>
      <c r="AG30" s="47">
        <f t="shared" si="17"/>
        <v>23.869108535242823</v>
      </c>
      <c r="AH30" s="47">
        <f t="shared" si="17"/>
        <v>24.596031111569555</v>
      </c>
      <c r="AI30" s="47">
        <f t="shared" si="17"/>
        <v>25.345091776178609</v>
      </c>
      <c r="AJ30" s="47">
        <f t="shared" si="17"/>
        <v>26.116964734231242</v>
      </c>
      <c r="AK30" s="47">
        <f t="shared" ref="AK30:AR30" si="18">AJ30*EXP(Opex_FixedGrowth)</f>
        <v>26.912344723492691</v>
      </c>
      <c r="AL30" s="47">
        <f t="shared" si="18"/>
        <v>27.73194763964305</v>
      </c>
      <c r="AM30" s="47">
        <f t="shared" si="18"/>
        <v>28.576511180631712</v>
      </c>
      <c r="AN30" s="47">
        <f t="shared" si="18"/>
        <v>29.446795510655317</v>
      </c>
      <c r="AO30" s="47">
        <f t="shared" si="18"/>
        <v>30.34358394435684</v>
      </c>
      <c r="AP30" s="47">
        <f t="shared" si="18"/>
        <v>31.267683651861649</v>
      </c>
      <c r="AQ30" s="47">
        <f t="shared" si="18"/>
        <v>32.219926385285099</v>
      </c>
      <c r="AR30" s="48">
        <f t="shared" si="18"/>
        <v>33.201169227365583</v>
      </c>
    </row>
    <row r="31" spans="1:58" s="45" customFormat="1" x14ac:dyDescent="0.15">
      <c r="C31" s="35" t="s">
        <v>27</v>
      </c>
      <c r="D31" s="49">
        <f>(Opex_Fixed/MonDenValue)*Opex_FixedForeign/ExRate_Cur</f>
        <v>0.1</v>
      </c>
      <c r="E31" s="50">
        <f t="shared" si="16"/>
        <v>0.1030454533953517</v>
      </c>
      <c r="F31" s="50">
        <f t="shared" ref="F31:U31" si="19">E31*EXP(Opex_FixedGrowth)</f>
        <v>0.106183654654536</v>
      </c>
      <c r="G31" s="50">
        <f t="shared" si="19"/>
        <v>0.10941742837052108</v>
      </c>
      <c r="H31" s="50">
        <f t="shared" si="19"/>
        <v>0.11274968515793762</v>
      </c>
      <c r="I31" s="50">
        <f t="shared" si="19"/>
        <v>0.11618342427282838</v>
      </c>
      <c r="J31" s="50">
        <f t="shared" si="19"/>
        <v>0.1197217363121811</v>
      </c>
      <c r="K31" s="50">
        <f t="shared" si="19"/>
        <v>0.12336780599567441</v>
      </c>
      <c r="L31" s="50">
        <f t="shared" si="19"/>
        <v>0.12712491503214057</v>
      </c>
      <c r="M31" s="50">
        <f t="shared" si="19"/>
        <v>0.13099644507332486</v>
      </c>
      <c r="N31" s="50">
        <f t="shared" si="19"/>
        <v>0.13498588075760046</v>
      </c>
      <c r="O31" s="50">
        <f t="shared" si="19"/>
        <v>0.13909681284637818</v>
      </c>
      <c r="P31" s="50">
        <f t="shared" si="19"/>
        <v>0.1433329414560342</v>
      </c>
      <c r="Q31" s="50">
        <f t="shared" si="19"/>
        <v>0.14769807938826446</v>
      </c>
      <c r="R31" s="50">
        <f t="shared" si="19"/>
        <v>0.15219615556186361</v>
      </c>
      <c r="S31" s="50">
        <f t="shared" si="19"/>
        <v>0.15683121854901713</v>
      </c>
      <c r="T31" s="50">
        <f t="shared" si="19"/>
        <v>0.16160744021928961</v>
      </c>
      <c r="U31" s="50">
        <f t="shared" si="19"/>
        <v>0.16652911949458893</v>
      </c>
      <c r="V31" s="50">
        <f t="shared" ref="V31:AK31" si="20">U31*EXP(Opex_FixedGrowth)</f>
        <v>0.17160068621848618</v>
      </c>
      <c r="W31" s="50">
        <f t="shared" si="20"/>
        <v>0.17682670514337387</v>
      </c>
      <c r="X31" s="316">
        <f t="shared" si="20"/>
        <v>0.18221188003905128</v>
      </c>
      <c r="Y31" s="50">
        <f t="shared" si="20"/>
        <v>0.18776105792643472</v>
      </c>
      <c r="Z31" s="50">
        <f t="shared" si="20"/>
        <v>0.19347923344020357</v>
      </c>
      <c r="AA31" s="50">
        <f t="shared" si="20"/>
        <v>0.19937155332430867</v>
      </c>
      <c r="AB31" s="50">
        <f t="shared" si="20"/>
        <v>0.20544332106438923</v>
      </c>
      <c r="AC31" s="50">
        <f t="shared" si="20"/>
        <v>0.21170000166126796</v>
      </c>
      <c r="AD31" s="50">
        <f t="shared" si="20"/>
        <v>0.21814722654982063</v>
      </c>
      <c r="AE31" s="50">
        <f t="shared" si="20"/>
        <v>0.2247907986676477</v>
      </c>
      <c r="AF31" s="50">
        <f t="shared" si="20"/>
        <v>0.23163669767810977</v>
      </c>
      <c r="AG31" s="50">
        <f t="shared" si="20"/>
        <v>0.23869108535242831</v>
      </c>
      <c r="AH31" s="50">
        <f t="shared" si="20"/>
        <v>0.24596031111569563</v>
      </c>
      <c r="AI31" s="50">
        <f t="shared" si="20"/>
        <v>0.25345091776178619</v>
      </c>
      <c r="AJ31" s="50">
        <f t="shared" si="20"/>
        <v>0.26116964734231252</v>
      </c>
      <c r="AK31" s="50">
        <f t="shared" si="20"/>
        <v>0.26912344723492704</v>
      </c>
      <c r="AL31" s="50">
        <f t="shared" ref="AL31:AR31" si="21">AK31*EXP(Opex_FixedGrowth)</f>
        <v>0.27731947639643062</v>
      </c>
      <c r="AM31" s="50">
        <f t="shared" si="21"/>
        <v>0.28576511180631725</v>
      </c>
      <c r="AN31" s="50">
        <f t="shared" si="21"/>
        <v>0.29446795510655333</v>
      </c>
      <c r="AO31" s="50">
        <f t="shared" si="21"/>
        <v>0.30343583944356856</v>
      </c>
      <c r="AP31" s="50">
        <f t="shared" si="21"/>
        <v>0.31267683651861661</v>
      </c>
      <c r="AQ31" s="50">
        <f t="shared" si="21"/>
        <v>0.32219926385285108</v>
      </c>
      <c r="AR31" s="51">
        <f t="shared" si="21"/>
        <v>0.3320116922736559</v>
      </c>
    </row>
    <row r="32" spans="1:58" s="45" customFormat="1" x14ac:dyDescent="0.15">
      <c r="B32" s="77"/>
      <c r="C32" s="75" t="s">
        <v>28</v>
      </c>
      <c r="E32" s="78"/>
    </row>
    <row r="33" spans="1:44" s="45" customFormat="1" x14ac:dyDescent="0.15">
      <c r="C33" s="35" t="s">
        <v>26</v>
      </c>
      <c r="D33" s="46">
        <f>Opex_Var*(1-Opex_VarForeign)</f>
        <v>10</v>
      </c>
      <c r="E33" s="47">
        <f t="shared" ref="E33:T33" si="22">D33*EXP(Opex_VarGrowth)</f>
        <v>10.304545339535169</v>
      </c>
      <c r="F33" s="47">
        <f t="shared" si="22"/>
        <v>10.618365465453598</v>
      </c>
      <c r="G33" s="47">
        <f t="shared" si="22"/>
        <v>10.941742837052107</v>
      </c>
      <c r="H33" s="47">
        <f t="shared" si="22"/>
        <v>11.274968515793761</v>
      </c>
      <c r="I33" s="47">
        <f t="shared" si="22"/>
        <v>11.618342427282837</v>
      </c>
      <c r="J33" s="47">
        <f t="shared" si="22"/>
        <v>11.972173631218109</v>
      </c>
      <c r="K33" s="47">
        <f t="shared" si="22"/>
        <v>12.33678059956744</v>
      </c>
      <c r="L33" s="47">
        <f t="shared" si="22"/>
        <v>12.712491503214055</v>
      </c>
      <c r="M33" s="47">
        <f t="shared" si="22"/>
        <v>13.099644507332483</v>
      </c>
      <c r="N33" s="47">
        <f t="shared" si="22"/>
        <v>13.498588075760042</v>
      </c>
      <c r="O33" s="47">
        <f t="shared" si="22"/>
        <v>13.909681284637815</v>
      </c>
      <c r="P33" s="47">
        <f t="shared" si="22"/>
        <v>14.333294145603416</v>
      </c>
      <c r="Q33" s="47">
        <f t="shared" si="22"/>
        <v>14.769807938826441</v>
      </c>
      <c r="R33" s="47">
        <f t="shared" si="22"/>
        <v>15.219615556186355</v>
      </c>
      <c r="S33" s="47">
        <f t="shared" si="22"/>
        <v>15.683121854901707</v>
      </c>
      <c r="T33" s="47">
        <f t="shared" si="22"/>
        <v>16.160744021928956</v>
      </c>
      <c r="U33" s="47">
        <f t="shared" ref="U33:AJ33" si="23">T33*EXP(Opex_VarGrowth)</f>
        <v>16.652911949458886</v>
      </c>
      <c r="V33" s="47">
        <f t="shared" si="23"/>
        <v>17.160068621848609</v>
      </c>
      <c r="W33" s="47">
        <f t="shared" si="23"/>
        <v>17.682670514337378</v>
      </c>
      <c r="X33" s="317">
        <f t="shared" si="23"/>
        <v>18.22118800390512</v>
      </c>
      <c r="Y33" s="47">
        <f t="shared" si="23"/>
        <v>18.776105792643463</v>
      </c>
      <c r="Z33" s="47">
        <f t="shared" si="23"/>
        <v>19.347923344020348</v>
      </c>
      <c r="AA33" s="47">
        <f t="shared" si="23"/>
        <v>19.937155332430859</v>
      </c>
      <c r="AB33" s="47">
        <f t="shared" si="23"/>
        <v>20.544332106438915</v>
      </c>
      <c r="AC33" s="47">
        <f t="shared" si="23"/>
        <v>21.170000166126787</v>
      </c>
      <c r="AD33" s="47">
        <f t="shared" si="23"/>
        <v>21.814722654982056</v>
      </c>
      <c r="AE33" s="47">
        <f t="shared" si="23"/>
        <v>22.479079866764764</v>
      </c>
      <c r="AF33" s="47">
        <f t="shared" si="23"/>
        <v>23.163669767810969</v>
      </c>
      <c r="AG33" s="47">
        <f t="shared" si="23"/>
        <v>23.869108535242823</v>
      </c>
      <c r="AH33" s="47">
        <f t="shared" si="23"/>
        <v>24.596031111569555</v>
      </c>
      <c r="AI33" s="47">
        <f t="shared" si="23"/>
        <v>25.345091776178609</v>
      </c>
      <c r="AJ33" s="47">
        <f t="shared" si="23"/>
        <v>26.116964734231242</v>
      </c>
      <c r="AK33" s="47">
        <f t="shared" ref="AK33:AR33" si="24">AJ33*EXP(Opex_VarGrowth)</f>
        <v>26.912344723492691</v>
      </c>
      <c r="AL33" s="47">
        <f t="shared" si="24"/>
        <v>27.73194763964305</v>
      </c>
      <c r="AM33" s="47">
        <f t="shared" si="24"/>
        <v>28.576511180631712</v>
      </c>
      <c r="AN33" s="47">
        <f t="shared" si="24"/>
        <v>29.446795510655317</v>
      </c>
      <c r="AO33" s="47">
        <f t="shared" si="24"/>
        <v>30.34358394435684</v>
      </c>
      <c r="AP33" s="47">
        <f t="shared" si="24"/>
        <v>31.267683651861649</v>
      </c>
      <c r="AQ33" s="47">
        <f t="shared" si="24"/>
        <v>32.219926385285099</v>
      </c>
      <c r="AR33" s="48">
        <f t="shared" si="24"/>
        <v>33.201169227365583</v>
      </c>
    </row>
    <row r="34" spans="1:44" s="45" customFormat="1" x14ac:dyDescent="0.15">
      <c r="C34" s="35" t="s">
        <v>27</v>
      </c>
      <c r="D34" s="49">
        <f>Opex_Var*Opex_VarForeign/ExRate_Cur</f>
        <v>0.1</v>
      </c>
      <c r="E34" s="50">
        <f>D34*EXP(Opex_VarGrowth)</f>
        <v>0.1030454533953517</v>
      </c>
      <c r="F34" s="50">
        <f t="shared" ref="F34:U34" si="25">E34*EXP(Opex_VarGrowth)</f>
        <v>0.106183654654536</v>
      </c>
      <c r="G34" s="50">
        <f t="shared" si="25"/>
        <v>0.10941742837052108</v>
      </c>
      <c r="H34" s="50">
        <f t="shared" si="25"/>
        <v>0.11274968515793762</v>
      </c>
      <c r="I34" s="50">
        <f t="shared" si="25"/>
        <v>0.11618342427282838</v>
      </c>
      <c r="J34" s="50">
        <f t="shared" si="25"/>
        <v>0.1197217363121811</v>
      </c>
      <c r="K34" s="50">
        <f t="shared" si="25"/>
        <v>0.12336780599567441</v>
      </c>
      <c r="L34" s="50">
        <f t="shared" si="25"/>
        <v>0.12712491503214057</v>
      </c>
      <c r="M34" s="50">
        <f t="shared" si="25"/>
        <v>0.13099644507332486</v>
      </c>
      <c r="N34" s="50">
        <f t="shared" si="25"/>
        <v>0.13498588075760046</v>
      </c>
      <c r="O34" s="50">
        <f t="shared" si="25"/>
        <v>0.13909681284637818</v>
      </c>
      <c r="P34" s="50">
        <f t="shared" si="25"/>
        <v>0.1433329414560342</v>
      </c>
      <c r="Q34" s="50">
        <f t="shared" si="25"/>
        <v>0.14769807938826446</v>
      </c>
      <c r="R34" s="50">
        <f t="shared" si="25"/>
        <v>0.15219615556186361</v>
      </c>
      <c r="S34" s="50">
        <f t="shared" si="25"/>
        <v>0.15683121854901713</v>
      </c>
      <c r="T34" s="50">
        <f t="shared" si="25"/>
        <v>0.16160744021928961</v>
      </c>
      <c r="U34" s="50">
        <f t="shared" si="25"/>
        <v>0.16652911949458893</v>
      </c>
      <c r="V34" s="50">
        <f t="shared" ref="V34:AK34" si="26">U34*EXP(Opex_VarGrowth)</f>
        <v>0.17160068621848618</v>
      </c>
      <c r="W34" s="50">
        <f t="shared" si="26"/>
        <v>0.17682670514337387</v>
      </c>
      <c r="X34" s="318">
        <f t="shared" si="26"/>
        <v>0.18221188003905128</v>
      </c>
      <c r="Y34" s="50">
        <f t="shared" si="26"/>
        <v>0.18776105792643472</v>
      </c>
      <c r="Z34" s="50">
        <f t="shared" si="26"/>
        <v>0.19347923344020357</v>
      </c>
      <c r="AA34" s="50">
        <f t="shared" si="26"/>
        <v>0.19937155332430867</v>
      </c>
      <c r="AB34" s="50">
        <f t="shared" si="26"/>
        <v>0.20544332106438923</v>
      </c>
      <c r="AC34" s="50">
        <f t="shared" si="26"/>
        <v>0.21170000166126796</v>
      </c>
      <c r="AD34" s="50">
        <f t="shared" si="26"/>
        <v>0.21814722654982063</v>
      </c>
      <c r="AE34" s="50">
        <f t="shared" si="26"/>
        <v>0.2247907986676477</v>
      </c>
      <c r="AF34" s="50">
        <f t="shared" si="26"/>
        <v>0.23163669767810977</v>
      </c>
      <c r="AG34" s="50">
        <f t="shared" si="26"/>
        <v>0.23869108535242831</v>
      </c>
      <c r="AH34" s="50">
        <f t="shared" si="26"/>
        <v>0.24596031111569563</v>
      </c>
      <c r="AI34" s="50">
        <f t="shared" si="26"/>
        <v>0.25345091776178619</v>
      </c>
      <c r="AJ34" s="50">
        <f t="shared" si="26"/>
        <v>0.26116964734231252</v>
      </c>
      <c r="AK34" s="50">
        <f t="shared" si="26"/>
        <v>0.26912344723492704</v>
      </c>
      <c r="AL34" s="50">
        <f t="shared" ref="AL34:AR34" si="27">AK34*EXP(Opex_VarGrowth)</f>
        <v>0.27731947639643062</v>
      </c>
      <c r="AM34" s="50">
        <f t="shared" si="27"/>
        <v>0.28576511180631725</v>
      </c>
      <c r="AN34" s="50">
        <f t="shared" si="27"/>
        <v>0.29446795510655333</v>
      </c>
      <c r="AO34" s="50">
        <f t="shared" si="27"/>
        <v>0.30343583944356856</v>
      </c>
      <c r="AP34" s="50">
        <f t="shared" si="27"/>
        <v>0.31267683651861661</v>
      </c>
      <c r="AQ34" s="50">
        <f t="shared" si="27"/>
        <v>0.32219926385285108</v>
      </c>
      <c r="AR34" s="51">
        <f t="shared" si="27"/>
        <v>0.3320116922736559</v>
      </c>
    </row>
    <row r="35" spans="1:44" s="43" customFormat="1" x14ac:dyDescent="0.15">
      <c r="B35" s="68"/>
    </row>
    <row r="36" spans="1:44" s="43" customFormat="1" x14ac:dyDescent="0.15">
      <c r="F36" s="43">
        <f>MonDenValue</f>
        <v>1000000</v>
      </c>
    </row>
    <row r="37" spans="1:44" s="26" customFormat="1" ht="18" x14ac:dyDescent="0.2">
      <c r="A37" s="24" t="str">
        <f>CONCATENATE("Financing costs (",MonDenomination,")")</f>
        <v>Financing costs (Millions)</v>
      </c>
      <c r="B37" s="25"/>
      <c r="C37" s="25"/>
      <c r="D37" s="73"/>
      <c r="E37" s="73"/>
      <c r="F37" s="73"/>
      <c r="G37" s="73"/>
      <c r="H37" s="73"/>
      <c r="I37" s="73"/>
      <c r="J37" s="73"/>
      <c r="K37" s="73"/>
      <c r="L37" s="73"/>
      <c r="M37" s="73"/>
      <c r="N37" s="73"/>
    </row>
    <row r="38" spans="1:44" s="45" customFormat="1" x14ac:dyDescent="0.15">
      <c r="B38" s="74" t="s">
        <v>29</v>
      </c>
      <c r="E38" s="319">
        <f t="shared" ref="E38:AR38" si="28">Connections_New*InvestPerConnection/(DeflateFactor_Det*MonDenValue)</f>
        <v>0.58077707951356317</v>
      </c>
      <c r="F38" s="320">
        <f t="shared" si="28"/>
        <v>1.0357953367494417</v>
      </c>
      <c r="G38" s="320">
        <f t="shared" si="28"/>
        <v>2.8231323361834617</v>
      </c>
      <c r="H38" s="320">
        <f t="shared" si="28"/>
        <v>6.9542561945154242</v>
      </c>
      <c r="I38" s="320">
        <f t="shared" si="28"/>
        <v>13.738674774966036</v>
      </c>
      <c r="J38" s="320">
        <f t="shared" si="28"/>
        <v>18.634937174558434</v>
      </c>
      <c r="K38" s="320">
        <f t="shared" si="28"/>
        <v>16.057886879659687</v>
      </c>
      <c r="L38" s="320">
        <f t="shared" si="28"/>
        <v>9.4912619705442243</v>
      </c>
      <c r="M38" s="320">
        <f t="shared" si="28"/>
        <v>4.4899814690214912</v>
      </c>
      <c r="N38" s="320">
        <f t="shared" si="28"/>
        <v>3.0619177770457497</v>
      </c>
      <c r="O38" s="320">
        <f t="shared" si="28"/>
        <v>0</v>
      </c>
      <c r="P38" s="320">
        <f t="shared" si="28"/>
        <v>0</v>
      </c>
      <c r="Q38" s="320">
        <f t="shared" si="28"/>
        <v>0</v>
      </c>
      <c r="R38" s="320">
        <f t="shared" si="28"/>
        <v>0</v>
      </c>
      <c r="S38" s="320">
        <f t="shared" si="28"/>
        <v>0</v>
      </c>
      <c r="T38" s="320">
        <f t="shared" si="28"/>
        <v>0</v>
      </c>
      <c r="U38" s="320">
        <f t="shared" si="28"/>
        <v>0</v>
      </c>
      <c r="V38" s="320">
        <f t="shared" si="28"/>
        <v>0</v>
      </c>
      <c r="W38" s="320">
        <f t="shared" si="28"/>
        <v>0</v>
      </c>
      <c r="X38" s="320">
        <f t="shared" si="28"/>
        <v>0</v>
      </c>
      <c r="Y38" s="79">
        <f t="shared" si="28"/>
        <v>0</v>
      </c>
      <c r="Z38" s="79">
        <f t="shared" si="28"/>
        <v>0</v>
      </c>
      <c r="AA38" s="79">
        <f t="shared" si="28"/>
        <v>0</v>
      </c>
      <c r="AB38" s="79">
        <f t="shared" si="28"/>
        <v>0</v>
      </c>
      <c r="AC38" s="79">
        <f t="shared" si="28"/>
        <v>0</v>
      </c>
      <c r="AD38" s="79">
        <f t="shared" si="28"/>
        <v>0</v>
      </c>
      <c r="AE38" s="79">
        <f t="shared" si="28"/>
        <v>0</v>
      </c>
      <c r="AF38" s="79">
        <f t="shared" si="28"/>
        <v>0</v>
      </c>
      <c r="AG38" s="79">
        <f t="shared" si="28"/>
        <v>0</v>
      </c>
      <c r="AH38" s="79">
        <f t="shared" si="28"/>
        <v>0</v>
      </c>
      <c r="AI38" s="79">
        <f t="shared" si="28"/>
        <v>0</v>
      </c>
      <c r="AJ38" s="79">
        <f t="shared" si="28"/>
        <v>0</v>
      </c>
      <c r="AK38" s="79">
        <f t="shared" si="28"/>
        <v>0</v>
      </c>
      <c r="AL38" s="79">
        <f t="shared" si="28"/>
        <v>0</v>
      </c>
      <c r="AM38" s="79">
        <f t="shared" si="28"/>
        <v>0</v>
      </c>
      <c r="AN38" s="79">
        <f t="shared" si="28"/>
        <v>0</v>
      </c>
      <c r="AO38" s="79">
        <f t="shared" si="28"/>
        <v>0</v>
      </c>
      <c r="AP38" s="79">
        <f t="shared" si="28"/>
        <v>0</v>
      </c>
      <c r="AQ38" s="79">
        <f t="shared" si="28"/>
        <v>0</v>
      </c>
      <c r="AR38" s="80">
        <f t="shared" si="28"/>
        <v>0</v>
      </c>
    </row>
    <row r="39" spans="1:44" s="45" customFormat="1" x14ac:dyDescent="0.15">
      <c r="B39" s="81"/>
      <c r="C39" s="45" t="s">
        <v>30</v>
      </c>
      <c r="E39" s="321">
        <f>E38*ServExt_Debt</f>
        <v>0.29038853975678158</v>
      </c>
      <c r="F39" s="316">
        <f t="shared" ref="F39:AR39" si="29">F38*ServExt_Debt</f>
        <v>0.51789766837472084</v>
      </c>
      <c r="G39" s="316">
        <f t="shared" si="29"/>
        <v>1.4115661680917309</v>
      </c>
      <c r="H39" s="316">
        <f t="shared" si="29"/>
        <v>3.4771280972577121</v>
      </c>
      <c r="I39" s="316">
        <f t="shared" si="29"/>
        <v>6.8693373874830179</v>
      </c>
      <c r="J39" s="316">
        <f t="shared" si="29"/>
        <v>9.3174685872792171</v>
      </c>
      <c r="K39" s="316">
        <f t="shared" si="29"/>
        <v>8.0289434398298436</v>
      </c>
      <c r="L39" s="316">
        <f t="shared" si="29"/>
        <v>4.7456309852721121</v>
      </c>
      <c r="M39" s="316">
        <f t="shared" si="29"/>
        <v>2.2449907345107456</v>
      </c>
      <c r="N39" s="316">
        <f t="shared" si="29"/>
        <v>1.5309588885228749</v>
      </c>
      <c r="O39" s="316">
        <f t="shared" si="29"/>
        <v>0</v>
      </c>
      <c r="P39" s="316">
        <f t="shared" si="29"/>
        <v>0</v>
      </c>
      <c r="Q39" s="316">
        <f t="shared" si="29"/>
        <v>0</v>
      </c>
      <c r="R39" s="316">
        <f t="shared" si="29"/>
        <v>0</v>
      </c>
      <c r="S39" s="316">
        <f t="shared" si="29"/>
        <v>0</v>
      </c>
      <c r="T39" s="316">
        <f t="shared" si="29"/>
        <v>0</v>
      </c>
      <c r="U39" s="316">
        <f t="shared" si="29"/>
        <v>0</v>
      </c>
      <c r="V39" s="316">
        <f t="shared" si="29"/>
        <v>0</v>
      </c>
      <c r="W39" s="316">
        <f t="shared" si="29"/>
        <v>0</v>
      </c>
      <c r="X39" s="316">
        <f t="shared" si="29"/>
        <v>0</v>
      </c>
      <c r="Y39" s="83">
        <f t="shared" si="29"/>
        <v>0</v>
      </c>
      <c r="Z39" s="83">
        <f t="shared" si="29"/>
        <v>0</v>
      </c>
      <c r="AA39" s="83">
        <f t="shared" si="29"/>
        <v>0</v>
      </c>
      <c r="AB39" s="83">
        <f t="shared" si="29"/>
        <v>0</v>
      </c>
      <c r="AC39" s="83">
        <f t="shared" si="29"/>
        <v>0</v>
      </c>
      <c r="AD39" s="83">
        <f t="shared" si="29"/>
        <v>0</v>
      </c>
      <c r="AE39" s="83">
        <f t="shared" si="29"/>
        <v>0</v>
      </c>
      <c r="AF39" s="83">
        <f t="shared" si="29"/>
        <v>0</v>
      </c>
      <c r="AG39" s="83">
        <f t="shared" si="29"/>
        <v>0</v>
      </c>
      <c r="AH39" s="83">
        <f t="shared" si="29"/>
        <v>0</v>
      </c>
      <c r="AI39" s="83">
        <f t="shared" si="29"/>
        <v>0</v>
      </c>
      <c r="AJ39" s="83">
        <f t="shared" si="29"/>
        <v>0</v>
      </c>
      <c r="AK39" s="83">
        <f t="shared" si="29"/>
        <v>0</v>
      </c>
      <c r="AL39" s="83">
        <f t="shared" si="29"/>
        <v>0</v>
      </c>
      <c r="AM39" s="83">
        <f t="shared" si="29"/>
        <v>0</v>
      </c>
      <c r="AN39" s="83">
        <f t="shared" si="29"/>
        <v>0</v>
      </c>
      <c r="AO39" s="83">
        <f t="shared" si="29"/>
        <v>0</v>
      </c>
      <c r="AP39" s="83">
        <f t="shared" si="29"/>
        <v>0</v>
      </c>
      <c r="AQ39" s="83">
        <f t="shared" si="29"/>
        <v>0</v>
      </c>
      <c r="AR39" s="84">
        <f t="shared" si="29"/>
        <v>0</v>
      </c>
    </row>
    <row r="40" spans="1:44" s="45" customFormat="1" outlineLevel="1" x14ac:dyDescent="0.15">
      <c r="B40" s="75" t="str">
        <f>"Debt financing (" &amp; LOWER(ServExt_LoanIntDen) &amp; " currency)"</f>
        <v>Debt financing (foreign currency)</v>
      </c>
    </row>
    <row r="41" spans="1:44" s="45" customFormat="1" outlineLevel="1" x14ac:dyDescent="0.15">
      <c r="C41" s="75" t="s">
        <v>31</v>
      </c>
      <c r="D41" s="85" t="s">
        <v>32</v>
      </c>
      <c r="O41" s="86"/>
      <c r="P41" s="86"/>
      <c r="Q41" s="86"/>
      <c r="R41" s="86"/>
      <c r="S41" s="86"/>
      <c r="T41" s="86"/>
      <c r="U41" s="86"/>
      <c r="V41" s="86"/>
      <c r="W41" s="86"/>
      <c r="X41" s="86"/>
      <c r="Y41" s="86"/>
      <c r="Z41" s="86"/>
      <c r="AA41" s="86"/>
      <c r="AB41" s="86"/>
      <c r="AC41" s="86"/>
      <c r="AD41" s="86"/>
      <c r="AE41" s="86"/>
      <c r="AF41" s="86"/>
      <c r="AG41" s="86"/>
      <c r="AH41" s="86"/>
      <c r="AI41" s="86"/>
      <c r="AJ41" s="86"/>
      <c r="AK41" s="86"/>
      <c r="AL41" s="86"/>
      <c r="AM41" s="86"/>
      <c r="AN41" s="86"/>
      <c r="AO41" s="86"/>
      <c r="AP41" s="86"/>
      <c r="AQ41" s="86"/>
      <c r="AR41" s="86"/>
    </row>
    <row r="42" spans="1:44" s="45" customFormat="1" outlineLevel="1" x14ac:dyDescent="0.15">
      <c r="B42" s="87"/>
      <c r="C42" s="88" t="str">
        <f t="shared" ref="C42:C81" si="30">IF(INDEX(Year,1,5+ROW()-ROW($A$42))="","","Investment in Year "&amp;INDEX(Year,1,5+ROW()-ROW($A$42)))</f>
        <v>Investment in Year 1</v>
      </c>
      <c r="D42" s="186">
        <f t="shared" ref="D42:D81" si="31">INDEX($39:$39,1,5+ROW()-ROW($A$42))/IF(ServExt_LoanIntDen=lbl_Dom,1,INDEX(RealExRate_Det,1,5+ROW()-ROW($A$42)))</f>
        <v>2.76226123554446E-3</v>
      </c>
      <c r="E42" s="187">
        <f t="shared" ref="E42:N51" si="32">IF(OR($C42="",Year&gt;Contract_Length),,IF(Year&lt;INDEX(Year,1,5+ROW()-ROW($A$42)),,IF(Year&gt;INDEX(Year,1,5+ROW()-ROW($A$42))+Invest_Period-1,,$D42/Invest_Period)))</f>
        <v>1.38113061777223E-4</v>
      </c>
      <c r="F42" s="91">
        <f t="shared" si="32"/>
        <v>1.38113061777223E-4</v>
      </c>
      <c r="G42" s="91">
        <f t="shared" si="32"/>
        <v>1.38113061777223E-4</v>
      </c>
      <c r="H42" s="91">
        <f t="shared" si="32"/>
        <v>1.38113061777223E-4</v>
      </c>
      <c r="I42" s="91">
        <f t="shared" si="32"/>
        <v>1.38113061777223E-4</v>
      </c>
      <c r="J42" s="91">
        <f t="shared" si="32"/>
        <v>1.38113061777223E-4</v>
      </c>
      <c r="K42" s="91">
        <f t="shared" si="32"/>
        <v>1.38113061777223E-4</v>
      </c>
      <c r="L42" s="91">
        <f t="shared" si="32"/>
        <v>1.38113061777223E-4</v>
      </c>
      <c r="M42" s="91">
        <f t="shared" si="32"/>
        <v>1.38113061777223E-4</v>
      </c>
      <c r="N42" s="91">
        <f t="shared" si="32"/>
        <v>1.38113061777223E-4</v>
      </c>
      <c r="O42" s="91">
        <f t="shared" ref="O42:X51" si="33">IF(OR($C42="",Year&gt;Contract_Length),,IF(Year&lt;INDEX(Year,1,5+ROW()-ROW($A$42)),,IF(Year&gt;INDEX(Year,1,5+ROW()-ROW($A$42))+Invest_Period-1,,$D42/Invest_Period)))</f>
        <v>1.38113061777223E-4</v>
      </c>
      <c r="P42" s="91">
        <f t="shared" si="33"/>
        <v>1.38113061777223E-4</v>
      </c>
      <c r="Q42" s="91">
        <f t="shared" si="33"/>
        <v>1.38113061777223E-4</v>
      </c>
      <c r="R42" s="91">
        <f t="shared" si="33"/>
        <v>1.38113061777223E-4</v>
      </c>
      <c r="S42" s="91">
        <f t="shared" si="33"/>
        <v>1.38113061777223E-4</v>
      </c>
      <c r="T42" s="91">
        <f t="shared" si="33"/>
        <v>1.38113061777223E-4</v>
      </c>
      <c r="U42" s="91">
        <f t="shared" si="33"/>
        <v>1.38113061777223E-4</v>
      </c>
      <c r="V42" s="91">
        <f t="shared" si="33"/>
        <v>1.38113061777223E-4</v>
      </c>
      <c r="W42" s="91">
        <f t="shared" si="33"/>
        <v>1.38113061777223E-4</v>
      </c>
      <c r="X42" s="91">
        <f t="shared" si="33"/>
        <v>1.38113061777223E-4</v>
      </c>
      <c r="Y42" s="91">
        <f t="shared" ref="Y42:AH51" si="34">IF(OR($C42="",Year&gt;Contract_Length),,IF(Year&lt;INDEX(Year,1,5+ROW()-ROW($A$42)),,IF(Year&gt;INDEX(Year,1,5+ROW()-ROW($A$42))+Invest_Period-1,,$D42/Invest_Period)))</f>
        <v>0</v>
      </c>
      <c r="Z42" s="91">
        <f t="shared" si="34"/>
        <v>0</v>
      </c>
      <c r="AA42" s="91">
        <f t="shared" si="34"/>
        <v>0</v>
      </c>
      <c r="AB42" s="91">
        <f t="shared" si="34"/>
        <v>0</v>
      </c>
      <c r="AC42" s="91">
        <f t="shared" si="34"/>
        <v>0</v>
      </c>
      <c r="AD42" s="91">
        <f t="shared" si="34"/>
        <v>0</v>
      </c>
      <c r="AE42" s="91">
        <f t="shared" si="34"/>
        <v>0</v>
      </c>
      <c r="AF42" s="91">
        <f t="shared" si="34"/>
        <v>0</v>
      </c>
      <c r="AG42" s="91">
        <f t="shared" si="34"/>
        <v>0</v>
      </c>
      <c r="AH42" s="91">
        <f t="shared" si="34"/>
        <v>0</v>
      </c>
      <c r="AI42" s="91">
        <f t="shared" ref="AI42:AR51" si="35">IF(OR($C42="",Year&gt;Contract_Length),,IF(Year&lt;INDEX(Year,1,5+ROW()-ROW($A$42)),,IF(Year&gt;INDEX(Year,1,5+ROW()-ROW($A$42))+Invest_Period-1,,$D42/Invest_Period)))</f>
        <v>0</v>
      </c>
      <c r="AJ42" s="91">
        <f t="shared" si="35"/>
        <v>0</v>
      </c>
      <c r="AK42" s="91">
        <f t="shared" si="35"/>
        <v>0</v>
      </c>
      <c r="AL42" s="91">
        <f t="shared" si="35"/>
        <v>0</v>
      </c>
      <c r="AM42" s="91">
        <f t="shared" si="35"/>
        <v>0</v>
      </c>
      <c r="AN42" s="91">
        <f t="shared" si="35"/>
        <v>0</v>
      </c>
      <c r="AO42" s="91">
        <f t="shared" si="35"/>
        <v>0</v>
      </c>
      <c r="AP42" s="91">
        <f t="shared" si="35"/>
        <v>0</v>
      </c>
      <c r="AQ42" s="91">
        <f t="shared" si="35"/>
        <v>0</v>
      </c>
      <c r="AR42" s="92">
        <f t="shared" si="35"/>
        <v>0</v>
      </c>
    </row>
    <row r="43" spans="1:44" s="45" customFormat="1" outlineLevel="1" x14ac:dyDescent="0.15">
      <c r="B43" s="87"/>
      <c r="C43" s="88" t="str">
        <f t="shared" si="30"/>
        <v>Investment in Year 2</v>
      </c>
      <c r="D43" s="188">
        <f t="shared" si="31"/>
        <v>4.68613189059026E-3</v>
      </c>
      <c r="E43" s="189">
        <f t="shared" si="32"/>
        <v>0</v>
      </c>
      <c r="F43" s="95">
        <f t="shared" si="32"/>
        <v>2.3430659452951301E-4</v>
      </c>
      <c r="G43" s="95">
        <f t="shared" si="32"/>
        <v>2.3430659452951301E-4</v>
      </c>
      <c r="H43" s="95">
        <f t="shared" si="32"/>
        <v>2.3430659452951301E-4</v>
      </c>
      <c r="I43" s="95">
        <f t="shared" si="32"/>
        <v>2.3430659452951301E-4</v>
      </c>
      <c r="J43" s="95">
        <f t="shared" si="32"/>
        <v>2.3430659452951301E-4</v>
      </c>
      <c r="K43" s="95">
        <f t="shared" si="32"/>
        <v>2.3430659452951301E-4</v>
      </c>
      <c r="L43" s="95">
        <f t="shared" si="32"/>
        <v>2.3430659452951301E-4</v>
      </c>
      <c r="M43" s="95">
        <f t="shared" si="32"/>
        <v>2.3430659452951301E-4</v>
      </c>
      <c r="N43" s="95">
        <f t="shared" si="32"/>
        <v>2.3430659452951301E-4</v>
      </c>
      <c r="O43" s="95">
        <f t="shared" si="33"/>
        <v>2.3430659452951301E-4</v>
      </c>
      <c r="P43" s="95">
        <f t="shared" si="33"/>
        <v>2.3430659452951301E-4</v>
      </c>
      <c r="Q43" s="95">
        <f t="shared" si="33"/>
        <v>2.3430659452951301E-4</v>
      </c>
      <c r="R43" s="95">
        <f t="shared" si="33"/>
        <v>2.3430659452951301E-4</v>
      </c>
      <c r="S43" s="95">
        <f t="shared" si="33"/>
        <v>2.3430659452951301E-4</v>
      </c>
      <c r="T43" s="95">
        <f t="shared" si="33"/>
        <v>2.3430659452951301E-4</v>
      </c>
      <c r="U43" s="95">
        <f t="shared" si="33"/>
        <v>2.3430659452951301E-4</v>
      </c>
      <c r="V43" s="95">
        <f t="shared" si="33"/>
        <v>2.3430659452951301E-4</v>
      </c>
      <c r="W43" s="95">
        <f t="shared" si="33"/>
        <v>2.3430659452951301E-4</v>
      </c>
      <c r="X43" s="95">
        <f t="shared" si="33"/>
        <v>2.3430659452951301E-4</v>
      </c>
      <c r="Y43" s="95">
        <f t="shared" si="34"/>
        <v>0</v>
      </c>
      <c r="Z43" s="95">
        <f t="shared" si="34"/>
        <v>0</v>
      </c>
      <c r="AA43" s="95">
        <f t="shared" si="34"/>
        <v>0</v>
      </c>
      <c r="AB43" s="95">
        <f t="shared" si="34"/>
        <v>0</v>
      </c>
      <c r="AC43" s="95">
        <f t="shared" si="34"/>
        <v>0</v>
      </c>
      <c r="AD43" s="95">
        <f t="shared" si="34"/>
        <v>0</v>
      </c>
      <c r="AE43" s="95">
        <f t="shared" si="34"/>
        <v>0</v>
      </c>
      <c r="AF43" s="95">
        <f t="shared" si="34"/>
        <v>0</v>
      </c>
      <c r="AG43" s="95">
        <f t="shared" si="34"/>
        <v>0</v>
      </c>
      <c r="AH43" s="95">
        <f t="shared" si="34"/>
        <v>0</v>
      </c>
      <c r="AI43" s="95">
        <f t="shared" si="35"/>
        <v>0</v>
      </c>
      <c r="AJ43" s="95">
        <f t="shared" si="35"/>
        <v>0</v>
      </c>
      <c r="AK43" s="95">
        <f t="shared" si="35"/>
        <v>0</v>
      </c>
      <c r="AL43" s="95">
        <f t="shared" si="35"/>
        <v>0</v>
      </c>
      <c r="AM43" s="95">
        <f t="shared" si="35"/>
        <v>0</v>
      </c>
      <c r="AN43" s="95">
        <f t="shared" si="35"/>
        <v>0</v>
      </c>
      <c r="AO43" s="95">
        <f t="shared" si="35"/>
        <v>0</v>
      </c>
      <c r="AP43" s="95">
        <f t="shared" si="35"/>
        <v>0</v>
      </c>
      <c r="AQ43" s="95">
        <f t="shared" si="35"/>
        <v>0</v>
      </c>
      <c r="AR43" s="96">
        <f t="shared" si="35"/>
        <v>0</v>
      </c>
    </row>
    <row r="44" spans="1:44" s="45" customFormat="1" outlineLevel="1" x14ac:dyDescent="0.15">
      <c r="B44" s="87"/>
      <c r="C44" s="88" t="str">
        <f t="shared" si="30"/>
        <v>Investment in Year 3</v>
      </c>
      <c r="D44" s="188">
        <f t="shared" si="31"/>
        <v>1.2149462601283063E-2</v>
      </c>
      <c r="E44" s="189">
        <f t="shared" si="32"/>
        <v>0</v>
      </c>
      <c r="F44" s="95">
        <f t="shared" si="32"/>
        <v>0</v>
      </c>
      <c r="G44" s="95">
        <f t="shared" si="32"/>
        <v>6.0747313006415311E-4</v>
      </c>
      <c r="H44" s="95">
        <f t="shared" si="32"/>
        <v>6.0747313006415311E-4</v>
      </c>
      <c r="I44" s="95">
        <f t="shared" si="32"/>
        <v>6.0747313006415311E-4</v>
      </c>
      <c r="J44" s="95">
        <f t="shared" si="32"/>
        <v>6.0747313006415311E-4</v>
      </c>
      <c r="K44" s="95">
        <f t="shared" si="32"/>
        <v>6.0747313006415311E-4</v>
      </c>
      <c r="L44" s="95">
        <f t="shared" si="32"/>
        <v>6.0747313006415311E-4</v>
      </c>
      <c r="M44" s="95">
        <f t="shared" si="32"/>
        <v>6.0747313006415311E-4</v>
      </c>
      <c r="N44" s="95">
        <f t="shared" si="32"/>
        <v>6.0747313006415311E-4</v>
      </c>
      <c r="O44" s="95">
        <f t="shared" si="33"/>
        <v>6.0747313006415311E-4</v>
      </c>
      <c r="P44" s="95">
        <f t="shared" si="33"/>
        <v>6.0747313006415311E-4</v>
      </c>
      <c r="Q44" s="95">
        <f t="shared" si="33"/>
        <v>6.0747313006415311E-4</v>
      </c>
      <c r="R44" s="95">
        <f t="shared" si="33"/>
        <v>6.0747313006415311E-4</v>
      </c>
      <c r="S44" s="95">
        <f t="shared" si="33"/>
        <v>6.0747313006415311E-4</v>
      </c>
      <c r="T44" s="95">
        <f t="shared" si="33"/>
        <v>6.0747313006415311E-4</v>
      </c>
      <c r="U44" s="95">
        <f t="shared" si="33"/>
        <v>6.0747313006415311E-4</v>
      </c>
      <c r="V44" s="95">
        <f t="shared" si="33"/>
        <v>6.0747313006415311E-4</v>
      </c>
      <c r="W44" s="95">
        <f t="shared" si="33"/>
        <v>6.0747313006415311E-4</v>
      </c>
      <c r="X44" s="95">
        <f t="shared" si="33"/>
        <v>6.0747313006415311E-4</v>
      </c>
      <c r="Y44" s="95">
        <f t="shared" si="34"/>
        <v>0</v>
      </c>
      <c r="Z44" s="95">
        <f t="shared" si="34"/>
        <v>0</v>
      </c>
      <c r="AA44" s="95">
        <f t="shared" si="34"/>
        <v>0</v>
      </c>
      <c r="AB44" s="95">
        <f t="shared" si="34"/>
        <v>0</v>
      </c>
      <c r="AC44" s="95">
        <f t="shared" si="34"/>
        <v>0</v>
      </c>
      <c r="AD44" s="95">
        <f t="shared" si="34"/>
        <v>0</v>
      </c>
      <c r="AE44" s="95">
        <f t="shared" si="34"/>
        <v>0</v>
      </c>
      <c r="AF44" s="95">
        <f t="shared" si="34"/>
        <v>0</v>
      </c>
      <c r="AG44" s="95">
        <f t="shared" si="34"/>
        <v>0</v>
      </c>
      <c r="AH44" s="95">
        <f t="shared" si="34"/>
        <v>0</v>
      </c>
      <c r="AI44" s="95">
        <f t="shared" si="35"/>
        <v>0</v>
      </c>
      <c r="AJ44" s="95">
        <f t="shared" si="35"/>
        <v>0</v>
      </c>
      <c r="AK44" s="95">
        <f t="shared" si="35"/>
        <v>0</v>
      </c>
      <c r="AL44" s="95">
        <f t="shared" si="35"/>
        <v>0</v>
      </c>
      <c r="AM44" s="95">
        <f t="shared" si="35"/>
        <v>0</v>
      </c>
      <c r="AN44" s="95">
        <f t="shared" si="35"/>
        <v>0</v>
      </c>
      <c r="AO44" s="95">
        <f t="shared" si="35"/>
        <v>0</v>
      </c>
      <c r="AP44" s="95">
        <f t="shared" si="35"/>
        <v>0</v>
      </c>
      <c r="AQ44" s="95">
        <f t="shared" si="35"/>
        <v>0</v>
      </c>
      <c r="AR44" s="96">
        <f t="shared" si="35"/>
        <v>0</v>
      </c>
    </row>
    <row r="45" spans="1:44" s="45" customFormat="1" outlineLevel="1" x14ac:dyDescent="0.15">
      <c r="B45" s="87"/>
      <c r="C45" s="88" t="str">
        <f t="shared" si="30"/>
        <v>Investment in Year 4</v>
      </c>
      <c r="D45" s="188">
        <f t="shared" si="31"/>
        <v>2.846831705616416E-2</v>
      </c>
      <c r="E45" s="189">
        <f t="shared" si="32"/>
        <v>0</v>
      </c>
      <c r="F45" s="95">
        <f t="shared" si="32"/>
        <v>0</v>
      </c>
      <c r="G45" s="95">
        <f t="shared" si="32"/>
        <v>0</v>
      </c>
      <c r="H45" s="95">
        <f t="shared" si="32"/>
        <v>1.4234158528082081E-3</v>
      </c>
      <c r="I45" s="95">
        <f t="shared" si="32"/>
        <v>1.4234158528082081E-3</v>
      </c>
      <c r="J45" s="95">
        <f t="shared" si="32"/>
        <v>1.4234158528082081E-3</v>
      </c>
      <c r="K45" s="95">
        <f t="shared" si="32"/>
        <v>1.4234158528082081E-3</v>
      </c>
      <c r="L45" s="95">
        <f t="shared" si="32"/>
        <v>1.4234158528082081E-3</v>
      </c>
      <c r="M45" s="95">
        <f t="shared" si="32"/>
        <v>1.4234158528082081E-3</v>
      </c>
      <c r="N45" s="95">
        <f t="shared" si="32"/>
        <v>1.4234158528082081E-3</v>
      </c>
      <c r="O45" s="95">
        <f t="shared" si="33"/>
        <v>1.4234158528082081E-3</v>
      </c>
      <c r="P45" s="95">
        <f t="shared" si="33"/>
        <v>1.4234158528082081E-3</v>
      </c>
      <c r="Q45" s="95">
        <f t="shared" si="33"/>
        <v>1.4234158528082081E-3</v>
      </c>
      <c r="R45" s="95">
        <f t="shared" si="33"/>
        <v>1.4234158528082081E-3</v>
      </c>
      <c r="S45" s="95">
        <f t="shared" si="33"/>
        <v>1.4234158528082081E-3</v>
      </c>
      <c r="T45" s="95">
        <f t="shared" si="33"/>
        <v>1.4234158528082081E-3</v>
      </c>
      <c r="U45" s="95">
        <f t="shared" si="33"/>
        <v>1.4234158528082081E-3</v>
      </c>
      <c r="V45" s="95">
        <f t="shared" si="33"/>
        <v>1.4234158528082081E-3</v>
      </c>
      <c r="W45" s="95">
        <f t="shared" si="33"/>
        <v>1.4234158528082081E-3</v>
      </c>
      <c r="X45" s="95">
        <f t="shared" si="33"/>
        <v>1.4234158528082081E-3</v>
      </c>
      <c r="Y45" s="95">
        <f t="shared" si="34"/>
        <v>0</v>
      </c>
      <c r="Z45" s="95">
        <f t="shared" si="34"/>
        <v>0</v>
      </c>
      <c r="AA45" s="95">
        <f t="shared" si="34"/>
        <v>0</v>
      </c>
      <c r="AB45" s="95">
        <f t="shared" si="34"/>
        <v>0</v>
      </c>
      <c r="AC45" s="95">
        <f t="shared" si="34"/>
        <v>0</v>
      </c>
      <c r="AD45" s="95">
        <f t="shared" si="34"/>
        <v>0</v>
      </c>
      <c r="AE45" s="95">
        <f t="shared" si="34"/>
        <v>0</v>
      </c>
      <c r="AF45" s="95">
        <f t="shared" si="34"/>
        <v>0</v>
      </c>
      <c r="AG45" s="95">
        <f t="shared" si="34"/>
        <v>0</v>
      </c>
      <c r="AH45" s="95">
        <f t="shared" si="34"/>
        <v>0</v>
      </c>
      <c r="AI45" s="95">
        <f t="shared" si="35"/>
        <v>0</v>
      </c>
      <c r="AJ45" s="95">
        <f t="shared" si="35"/>
        <v>0</v>
      </c>
      <c r="AK45" s="95">
        <f t="shared" si="35"/>
        <v>0</v>
      </c>
      <c r="AL45" s="95">
        <f t="shared" si="35"/>
        <v>0</v>
      </c>
      <c r="AM45" s="95">
        <f t="shared" si="35"/>
        <v>0</v>
      </c>
      <c r="AN45" s="95">
        <f t="shared" si="35"/>
        <v>0</v>
      </c>
      <c r="AO45" s="95">
        <f t="shared" si="35"/>
        <v>0</v>
      </c>
      <c r="AP45" s="95">
        <f t="shared" si="35"/>
        <v>0</v>
      </c>
      <c r="AQ45" s="95">
        <f t="shared" si="35"/>
        <v>0</v>
      </c>
      <c r="AR45" s="96">
        <f t="shared" si="35"/>
        <v>0</v>
      </c>
    </row>
    <row r="46" spans="1:44" s="45" customFormat="1" outlineLevel="1" x14ac:dyDescent="0.15">
      <c r="B46" s="87"/>
      <c r="C46" s="88" t="str">
        <f t="shared" si="30"/>
        <v>Investment in Year 5</v>
      </c>
      <c r="D46" s="188">
        <f t="shared" si="31"/>
        <v>5.3498453365534507E-2</v>
      </c>
      <c r="E46" s="189">
        <f t="shared" si="32"/>
        <v>0</v>
      </c>
      <c r="F46" s="95">
        <f t="shared" si="32"/>
        <v>0</v>
      </c>
      <c r="G46" s="95">
        <f t="shared" si="32"/>
        <v>0</v>
      </c>
      <c r="H46" s="95">
        <f t="shared" si="32"/>
        <v>0</v>
      </c>
      <c r="I46" s="95">
        <f t="shared" si="32"/>
        <v>2.6749226682767253E-3</v>
      </c>
      <c r="J46" s="95">
        <f t="shared" si="32"/>
        <v>2.6749226682767253E-3</v>
      </c>
      <c r="K46" s="95">
        <f t="shared" si="32"/>
        <v>2.6749226682767253E-3</v>
      </c>
      <c r="L46" s="95">
        <f t="shared" si="32"/>
        <v>2.6749226682767253E-3</v>
      </c>
      <c r="M46" s="95">
        <f t="shared" si="32"/>
        <v>2.6749226682767253E-3</v>
      </c>
      <c r="N46" s="95">
        <f t="shared" si="32"/>
        <v>2.6749226682767253E-3</v>
      </c>
      <c r="O46" s="95">
        <f t="shared" si="33"/>
        <v>2.6749226682767253E-3</v>
      </c>
      <c r="P46" s="95">
        <f t="shared" si="33"/>
        <v>2.6749226682767253E-3</v>
      </c>
      <c r="Q46" s="95">
        <f t="shared" si="33"/>
        <v>2.6749226682767253E-3</v>
      </c>
      <c r="R46" s="95">
        <f t="shared" si="33"/>
        <v>2.6749226682767253E-3</v>
      </c>
      <c r="S46" s="95">
        <f t="shared" si="33"/>
        <v>2.6749226682767253E-3</v>
      </c>
      <c r="T46" s="95">
        <f t="shared" si="33"/>
        <v>2.6749226682767253E-3</v>
      </c>
      <c r="U46" s="95">
        <f t="shared" si="33"/>
        <v>2.6749226682767253E-3</v>
      </c>
      <c r="V46" s="95">
        <f t="shared" si="33"/>
        <v>2.6749226682767253E-3</v>
      </c>
      <c r="W46" s="95">
        <f t="shared" si="33"/>
        <v>2.6749226682767253E-3</v>
      </c>
      <c r="X46" s="95">
        <f t="shared" si="33"/>
        <v>2.6749226682767253E-3</v>
      </c>
      <c r="Y46" s="95">
        <f t="shared" si="34"/>
        <v>0</v>
      </c>
      <c r="Z46" s="95">
        <f t="shared" si="34"/>
        <v>0</v>
      </c>
      <c r="AA46" s="95">
        <f t="shared" si="34"/>
        <v>0</v>
      </c>
      <c r="AB46" s="95">
        <f t="shared" si="34"/>
        <v>0</v>
      </c>
      <c r="AC46" s="95">
        <f t="shared" si="34"/>
        <v>0</v>
      </c>
      <c r="AD46" s="95">
        <f t="shared" si="34"/>
        <v>0</v>
      </c>
      <c r="AE46" s="95">
        <f t="shared" si="34"/>
        <v>0</v>
      </c>
      <c r="AF46" s="95">
        <f t="shared" si="34"/>
        <v>0</v>
      </c>
      <c r="AG46" s="95">
        <f t="shared" si="34"/>
        <v>0</v>
      </c>
      <c r="AH46" s="95">
        <f t="shared" si="34"/>
        <v>0</v>
      </c>
      <c r="AI46" s="95">
        <f t="shared" si="35"/>
        <v>0</v>
      </c>
      <c r="AJ46" s="95">
        <f t="shared" si="35"/>
        <v>0</v>
      </c>
      <c r="AK46" s="95">
        <f t="shared" si="35"/>
        <v>0</v>
      </c>
      <c r="AL46" s="95">
        <f t="shared" si="35"/>
        <v>0</v>
      </c>
      <c r="AM46" s="95">
        <f t="shared" si="35"/>
        <v>0</v>
      </c>
      <c r="AN46" s="95">
        <f t="shared" si="35"/>
        <v>0</v>
      </c>
      <c r="AO46" s="95">
        <f t="shared" si="35"/>
        <v>0</v>
      </c>
      <c r="AP46" s="95">
        <f t="shared" si="35"/>
        <v>0</v>
      </c>
      <c r="AQ46" s="95">
        <f t="shared" si="35"/>
        <v>0</v>
      </c>
      <c r="AR46" s="96">
        <f t="shared" si="35"/>
        <v>0</v>
      </c>
    </row>
    <row r="47" spans="1:44" s="45" customFormat="1" outlineLevel="1" x14ac:dyDescent="0.15">
      <c r="B47" s="87"/>
      <c r="C47" s="88" t="str">
        <f t="shared" si="30"/>
        <v>Investment in Year 6</v>
      </c>
      <c r="D47" s="188">
        <f t="shared" si="31"/>
        <v>6.9025505000859855E-2</v>
      </c>
      <c r="E47" s="189">
        <f t="shared" si="32"/>
        <v>0</v>
      </c>
      <c r="F47" s="95">
        <f t="shared" si="32"/>
        <v>0</v>
      </c>
      <c r="G47" s="95">
        <f t="shared" si="32"/>
        <v>0</v>
      </c>
      <c r="H47" s="95">
        <f t="shared" si="32"/>
        <v>0</v>
      </c>
      <c r="I47" s="95">
        <f t="shared" si="32"/>
        <v>0</v>
      </c>
      <c r="J47" s="95">
        <f t="shared" si="32"/>
        <v>3.4512752500429926E-3</v>
      </c>
      <c r="K47" s="95">
        <f t="shared" si="32"/>
        <v>3.4512752500429926E-3</v>
      </c>
      <c r="L47" s="95">
        <f t="shared" si="32"/>
        <v>3.4512752500429926E-3</v>
      </c>
      <c r="M47" s="95">
        <f t="shared" si="32"/>
        <v>3.4512752500429926E-3</v>
      </c>
      <c r="N47" s="95">
        <f t="shared" si="32"/>
        <v>3.4512752500429926E-3</v>
      </c>
      <c r="O47" s="95">
        <f t="shared" si="33"/>
        <v>3.4512752500429926E-3</v>
      </c>
      <c r="P47" s="95">
        <f t="shared" si="33"/>
        <v>3.4512752500429926E-3</v>
      </c>
      <c r="Q47" s="95">
        <f t="shared" si="33"/>
        <v>3.4512752500429926E-3</v>
      </c>
      <c r="R47" s="95">
        <f t="shared" si="33"/>
        <v>3.4512752500429926E-3</v>
      </c>
      <c r="S47" s="95">
        <f t="shared" si="33"/>
        <v>3.4512752500429926E-3</v>
      </c>
      <c r="T47" s="95">
        <f t="shared" si="33"/>
        <v>3.4512752500429926E-3</v>
      </c>
      <c r="U47" s="95">
        <f t="shared" si="33"/>
        <v>3.4512752500429926E-3</v>
      </c>
      <c r="V47" s="95">
        <f t="shared" si="33"/>
        <v>3.4512752500429926E-3</v>
      </c>
      <c r="W47" s="95">
        <f t="shared" si="33"/>
        <v>3.4512752500429926E-3</v>
      </c>
      <c r="X47" s="95">
        <f t="shared" si="33"/>
        <v>3.4512752500429926E-3</v>
      </c>
      <c r="Y47" s="95">
        <f t="shared" si="34"/>
        <v>0</v>
      </c>
      <c r="Z47" s="95">
        <f t="shared" si="34"/>
        <v>0</v>
      </c>
      <c r="AA47" s="95">
        <f t="shared" si="34"/>
        <v>0</v>
      </c>
      <c r="AB47" s="95">
        <f t="shared" si="34"/>
        <v>0</v>
      </c>
      <c r="AC47" s="95">
        <f t="shared" si="34"/>
        <v>0</v>
      </c>
      <c r="AD47" s="95">
        <f t="shared" si="34"/>
        <v>0</v>
      </c>
      <c r="AE47" s="95">
        <f t="shared" si="34"/>
        <v>0</v>
      </c>
      <c r="AF47" s="95">
        <f t="shared" si="34"/>
        <v>0</v>
      </c>
      <c r="AG47" s="95">
        <f t="shared" si="34"/>
        <v>0</v>
      </c>
      <c r="AH47" s="95">
        <f t="shared" si="34"/>
        <v>0</v>
      </c>
      <c r="AI47" s="95">
        <f t="shared" si="35"/>
        <v>0</v>
      </c>
      <c r="AJ47" s="95">
        <f t="shared" si="35"/>
        <v>0</v>
      </c>
      <c r="AK47" s="95">
        <f t="shared" si="35"/>
        <v>0</v>
      </c>
      <c r="AL47" s="95">
        <f t="shared" si="35"/>
        <v>0</v>
      </c>
      <c r="AM47" s="95">
        <f t="shared" si="35"/>
        <v>0</v>
      </c>
      <c r="AN47" s="95">
        <f t="shared" si="35"/>
        <v>0</v>
      </c>
      <c r="AO47" s="95">
        <f t="shared" si="35"/>
        <v>0</v>
      </c>
      <c r="AP47" s="95">
        <f t="shared" si="35"/>
        <v>0</v>
      </c>
      <c r="AQ47" s="95">
        <f t="shared" si="35"/>
        <v>0</v>
      </c>
      <c r="AR47" s="96">
        <f t="shared" si="35"/>
        <v>0</v>
      </c>
    </row>
    <row r="48" spans="1:44" s="45" customFormat="1" outlineLevel="1" x14ac:dyDescent="0.15">
      <c r="B48" s="87"/>
      <c r="C48" s="88" t="str">
        <f t="shared" si="30"/>
        <v>Investment in Year 7</v>
      </c>
      <c r="D48" s="188">
        <f t="shared" si="31"/>
        <v>5.6579008150732857E-2</v>
      </c>
      <c r="E48" s="189">
        <f t="shared" si="32"/>
        <v>0</v>
      </c>
      <c r="F48" s="95">
        <f t="shared" si="32"/>
        <v>0</v>
      </c>
      <c r="G48" s="95">
        <f t="shared" si="32"/>
        <v>0</v>
      </c>
      <c r="H48" s="95">
        <f t="shared" si="32"/>
        <v>0</v>
      </c>
      <c r="I48" s="95">
        <f t="shared" si="32"/>
        <v>0</v>
      </c>
      <c r="J48" s="95">
        <f t="shared" si="32"/>
        <v>0</v>
      </c>
      <c r="K48" s="95">
        <f t="shared" si="32"/>
        <v>2.8289504075366427E-3</v>
      </c>
      <c r="L48" s="95">
        <f t="shared" si="32"/>
        <v>2.8289504075366427E-3</v>
      </c>
      <c r="M48" s="95">
        <f t="shared" si="32"/>
        <v>2.8289504075366427E-3</v>
      </c>
      <c r="N48" s="95">
        <f t="shared" si="32"/>
        <v>2.8289504075366427E-3</v>
      </c>
      <c r="O48" s="95">
        <f t="shared" si="33"/>
        <v>2.8289504075366427E-3</v>
      </c>
      <c r="P48" s="95">
        <f t="shared" si="33"/>
        <v>2.8289504075366427E-3</v>
      </c>
      <c r="Q48" s="95">
        <f t="shared" si="33"/>
        <v>2.8289504075366427E-3</v>
      </c>
      <c r="R48" s="95">
        <f t="shared" si="33"/>
        <v>2.8289504075366427E-3</v>
      </c>
      <c r="S48" s="95">
        <f t="shared" si="33"/>
        <v>2.8289504075366427E-3</v>
      </c>
      <c r="T48" s="95">
        <f t="shared" si="33"/>
        <v>2.8289504075366427E-3</v>
      </c>
      <c r="U48" s="95">
        <f t="shared" si="33"/>
        <v>2.8289504075366427E-3</v>
      </c>
      <c r="V48" s="95">
        <f t="shared" si="33"/>
        <v>2.8289504075366427E-3</v>
      </c>
      <c r="W48" s="95">
        <f t="shared" si="33"/>
        <v>2.8289504075366427E-3</v>
      </c>
      <c r="X48" s="95">
        <f t="shared" si="33"/>
        <v>2.8289504075366427E-3</v>
      </c>
      <c r="Y48" s="95">
        <f t="shared" si="34"/>
        <v>0</v>
      </c>
      <c r="Z48" s="95">
        <f t="shared" si="34"/>
        <v>0</v>
      </c>
      <c r="AA48" s="95">
        <f t="shared" si="34"/>
        <v>0</v>
      </c>
      <c r="AB48" s="95">
        <f t="shared" si="34"/>
        <v>0</v>
      </c>
      <c r="AC48" s="95">
        <f t="shared" si="34"/>
        <v>0</v>
      </c>
      <c r="AD48" s="95">
        <f t="shared" si="34"/>
        <v>0</v>
      </c>
      <c r="AE48" s="95">
        <f t="shared" si="34"/>
        <v>0</v>
      </c>
      <c r="AF48" s="95">
        <f t="shared" si="34"/>
        <v>0</v>
      </c>
      <c r="AG48" s="95">
        <f t="shared" si="34"/>
        <v>0</v>
      </c>
      <c r="AH48" s="95">
        <f t="shared" si="34"/>
        <v>0</v>
      </c>
      <c r="AI48" s="95">
        <f t="shared" si="35"/>
        <v>0</v>
      </c>
      <c r="AJ48" s="95">
        <f t="shared" si="35"/>
        <v>0</v>
      </c>
      <c r="AK48" s="95">
        <f t="shared" si="35"/>
        <v>0</v>
      </c>
      <c r="AL48" s="95">
        <f t="shared" si="35"/>
        <v>0</v>
      </c>
      <c r="AM48" s="95">
        <f t="shared" si="35"/>
        <v>0</v>
      </c>
      <c r="AN48" s="95">
        <f t="shared" si="35"/>
        <v>0</v>
      </c>
      <c r="AO48" s="95">
        <f t="shared" si="35"/>
        <v>0</v>
      </c>
      <c r="AP48" s="95">
        <f t="shared" si="35"/>
        <v>0</v>
      </c>
      <c r="AQ48" s="95">
        <f t="shared" si="35"/>
        <v>0</v>
      </c>
      <c r="AR48" s="96">
        <f t="shared" si="35"/>
        <v>0</v>
      </c>
    </row>
    <row r="49" spans="2:44" s="45" customFormat="1" outlineLevel="1" x14ac:dyDescent="0.15">
      <c r="B49" s="87"/>
      <c r="C49" s="88" t="str">
        <f t="shared" si="30"/>
        <v>Investment in Year 8</v>
      </c>
      <c r="D49" s="188">
        <f t="shared" si="31"/>
        <v>3.1810915805157568E-2</v>
      </c>
      <c r="E49" s="189">
        <f t="shared" si="32"/>
        <v>0</v>
      </c>
      <c r="F49" s="95">
        <f t="shared" si="32"/>
        <v>0</v>
      </c>
      <c r="G49" s="95">
        <f t="shared" si="32"/>
        <v>0</v>
      </c>
      <c r="H49" s="95">
        <f t="shared" si="32"/>
        <v>0</v>
      </c>
      <c r="I49" s="95">
        <f t="shared" si="32"/>
        <v>0</v>
      </c>
      <c r="J49" s="95">
        <f t="shared" si="32"/>
        <v>0</v>
      </c>
      <c r="K49" s="95">
        <f t="shared" si="32"/>
        <v>0</v>
      </c>
      <c r="L49" s="95">
        <f t="shared" si="32"/>
        <v>1.5905457902578783E-3</v>
      </c>
      <c r="M49" s="95">
        <f t="shared" si="32"/>
        <v>1.5905457902578783E-3</v>
      </c>
      <c r="N49" s="95">
        <f t="shared" si="32"/>
        <v>1.5905457902578783E-3</v>
      </c>
      <c r="O49" s="95">
        <f t="shared" si="33"/>
        <v>1.5905457902578783E-3</v>
      </c>
      <c r="P49" s="95">
        <f t="shared" si="33"/>
        <v>1.5905457902578783E-3</v>
      </c>
      <c r="Q49" s="95">
        <f t="shared" si="33"/>
        <v>1.5905457902578783E-3</v>
      </c>
      <c r="R49" s="95">
        <f t="shared" si="33"/>
        <v>1.5905457902578783E-3</v>
      </c>
      <c r="S49" s="95">
        <f t="shared" si="33"/>
        <v>1.5905457902578783E-3</v>
      </c>
      <c r="T49" s="95">
        <f t="shared" si="33"/>
        <v>1.5905457902578783E-3</v>
      </c>
      <c r="U49" s="95">
        <f t="shared" si="33"/>
        <v>1.5905457902578783E-3</v>
      </c>
      <c r="V49" s="95">
        <f t="shared" si="33"/>
        <v>1.5905457902578783E-3</v>
      </c>
      <c r="W49" s="95">
        <f t="shared" si="33"/>
        <v>1.5905457902578783E-3</v>
      </c>
      <c r="X49" s="95">
        <f t="shared" si="33"/>
        <v>1.5905457902578783E-3</v>
      </c>
      <c r="Y49" s="95">
        <f t="shared" si="34"/>
        <v>0</v>
      </c>
      <c r="Z49" s="95">
        <f t="shared" si="34"/>
        <v>0</v>
      </c>
      <c r="AA49" s="95">
        <f t="shared" si="34"/>
        <v>0</v>
      </c>
      <c r="AB49" s="95">
        <f t="shared" si="34"/>
        <v>0</v>
      </c>
      <c r="AC49" s="95">
        <f t="shared" si="34"/>
        <v>0</v>
      </c>
      <c r="AD49" s="95">
        <f t="shared" si="34"/>
        <v>0</v>
      </c>
      <c r="AE49" s="95">
        <f t="shared" si="34"/>
        <v>0</v>
      </c>
      <c r="AF49" s="95">
        <f t="shared" si="34"/>
        <v>0</v>
      </c>
      <c r="AG49" s="95">
        <f t="shared" si="34"/>
        <v>0</v>
      </c>
      <c r="AH49" s="95">
        <f t="shared" si="34"/>
        <v>0</v>
      </c>
      <c r="AI49" s="95">
        <f t="shared" si="35"/>
        <v>0</v>
      </c>
      <c r="AJ49" s="95">
        <f t="shared" si="35"/>
        <v>0</v>
      </c>
      <c r="AK49" s="95">
        <f t="shared" si="35"/>
        <v>0</v>
      </c>
      <c r="AL49" s="95">
        <f t="shared" si="35"/>
        <v>0</v>
      </c>
      <c r="AM49" s="95">
        <f t="shared" si="35"/>
        <v>0</v>
      </c>
      <c r="AN49" s="95">
        <f t="shared" si="35"/>
        <v>0</v>
      </c>
      <c r="AO49" s="95">
        <f t="shared" si="35"/>
        <v>0</v>
      </c>
      <c r="AP49" s="95">
        <f t="shared" si="35"/>
        <v>0</v>
      </c>
      <c r="AQ49" s="95">
        <f t="shared" si="35"/>
        <v>0</v>
      </c>
      <c r="AR49" s="96">
        <f t="shared" si="35"/>
        <v>0</v>
      </c>
    </row>
    <row r="50" spans="2:44" s="45" customFormat="1" outlineLevel="1" x14ac:dyDescent="0.15">
      <c r="B50" s="87"/>
      <c r="C50" s="88" t="str">
        <f t="shared" si="30"/>
        <v>Investment in Year 9</v>
      </c>
      <c r="D50" s="188">
        <f t="shared" si="31"/>
        <v>1.4314692924540929E-2</v>
      </c>
      <c r="E50" s="189">
        <f t="shared" si="32"/>
        <v>0</v>
      </c>
      <c r="F50" s="95">
        <f t="shared" si="32"/>
        <v>0</v>
      </c>
      <c r="G50" s="95">
        <f t="shared" si="32"/>
        <v>0</v>
      </c>
      <c r="H50" s="95">
        <f t="shared" si="32"/>
        <v>0</v>
      </c>
      <c r="I50" s="95">
        <f t="shared" si="32"/>
        <v>0</v>
      </c>
      <c r="J50" s="95">
        <f t="shared" si="32"/>
        <v>0</v>
      </c>
      <c r="K50" s="95">
        <f t="shared" si="32"/>
        <v>0</v>
      </c>
      <c r="L50" s="95">
        <f t="shared" si="32"/>
        <v>0</v>
      </c>
      <c r="M50" s="95">
        <f t="shared" si="32"/>
        <v>7.1573464622704647E-4</v>
      </c>
      <c r="N50" s="95">
        <f t="shared" si="32"/>
        <v>7.1573464622704647E-4</v>
      </c>
      <c r="O50" s="95">
        <f t="shared" si="33"/>
        <v>7.1573464622704647E-4</v>
      </c>
      <c r="P50" s="95">
        <f t="shared" si="33"/>
        <v>7.1573464622704647E-4</v>
      </c>
      <c r="Q50" s="95">
        <f t="shared" si="33"/>
        <v>7.1573464622704647E-4</v>
      </c>
      <c r="R50" s="95">
        <f t="shared" si="33"/>
        <v>7.1573464622704647E-4</v>
      </c>
      <c r="S50" s="95">
        <f t="shared" si="33"/>
        <v>7.1573464622704647E-4</v>
      </c>
      <c r="T50" s="95">
        <f t="shared" si="33"/>
        <v>7.1573464622704647E-4</v>
      </c>
      <c r="U50" s="95">
        <f t="shared" si="33"/>
        <v>7.1573464622704647E-4</v>
      </c>
      <c r="V50" s="95">
        <f t="shared" si="33"/>
        <v>7.1573464622704647E-4</v>
      </c>
      <c r="W50" s="95">
        <f t="shared" si="33"/>
        <v>7.1573464622704647E-4</v>
      </c>
      <c r="X50" s="95">
        <f t="shared" si="33"/>
        <v>7.1573464622704647E-4</v>
      </c>
      <c r="Y50" s="95">
        <f t="shared" si="34"/>
        <v>0</v>
      </c>
      <c r="Z50" s="95">
        <f t="shared" si="34"/>
        <v>0</v>
      </c>
      <c r="AA50" s="95">
        <f t="shared" si="34"/>
        <v>0</v>
      </c>
      <c r="AB50" s="95">
        <f t="shared" si="34"/>
        <v>0</v>
      </c>
      <c r="AC50" s="95">
        <f t="shared" si="34"/>
        <v>0</v>
      </c>
      <c r="AD50" s="95">
        <f t="shared" si="34"/>
        <v>0</v>
      </c>
      <c r="AE50" s="95">
        <f t="shared" si="34"/>
        <v>0</v>
      </c>
      <c r="AF50" s="95">
        <f t="shared" si="34"/>
        <v>0</v>
      </c>
      <c r="AG50" s="95">
        <f t="shared" si="34"/>
        <v>0</v>
      </c>
      <c r="AH50" s="95">
        <f t="shared" si="34"/>
        <v>0</v>
      </c>
      <c r="AI50" s="95">
        <f t="shared" si="35"/>
        <v>0</v>
      </c>
      <c r="AJ50" s="95">
        <f t="shared" si="35"/>
        <v>0</v>
      </c>
      <c r="AK50" s="95">
        <f t="shared" si="35"/>
        <v>0</v>
      </c>
      <c r="AL50" s="95">
        <f t="shared" si="35"/>
        <v>0</v>
      </c>
      <c r="AM50" s="95">
        <f t="shared" si="35"/>
        <v>0</v>
      </c>
      <c r="AN50" s="95">
        <f t="shared" si="35"/>
        <v>0</v>
      </c>
      <c r="AO50" s="95">
        <f t="shared" si="35"/>
        <v>0</v>
      </c>
      <c r="AP50" s="95">
        <f t="shared" si="35"/>
        <v>0</v>
      </c>
      <c r="AQ50" s="95">
        <f t="shared" si="35"/>
        <v>0</v>
      </c>
      <c r="AR50" s="96">
        <f t="shared" si="35"/>
        <v>0</v>
      </c>
    </row>
    <row r="51" spans="2:44" s="45" customFormat="1" outlineLevel="1" x14ac:dyDescent="0.15">
      <c r="B51" s="87"/>
      <c r="C51" s="88" t="str">
        <f t="shared" si="30"/>
        <v>Investment in Year 10</v>
      </c>
      <c r="D51" s="188">
        <f t="shared" si="31"/>
        <v>9.285735046486986E-3</v>
      </c>
      <c r="E51" s="189">
        <f t="shared" si="32"/>
        <v>0</v>
      </c>
      <c r="F51" s="95">
        <f t="shared" si="32"/>
        <v>0</v>
      </c>
      <c r="G51" s="95">
        <f t="shared" si="32"/>
        <v>0</v>
      </c>
      <c r="H51" s="95">
        <f t="shared" si="32"/>
        <v>0</v>
      </c>
      <c r="I51" s="95">
        <f t="shared" si="32"/>
        <v>0</v>
      </c>
      <c r="J51" s="95">
        <f t="shared" si="32"/>
        <v>0</v>
      </c>
      <c r="K51" s="95">
        <f t="shared" si="32"/>
        <v>0</v>
      </c>
      <c r="L51" s="95">
        <f t="shared" si="32"/>
        <v>0</v>
      </c>
      <c r="M51" s="95">
        <f t="shared" si="32"/>
        <v>0</v>
      </c>
      <c r="N51" s="95">
        <f t="shared" si="32"/>
        <v>4.6428675232434931E-4</v>
      </c>
      <c r="O51" s="95">
        <f t="shared" si="33"/>
        <v>4.6428675232434931E-4</v>
      </c>
      <c r="P51" s="95">
        <f t="shared" si="33"/>
        <v>4.6428675232434931E-4</v>
      </c>
      <c r="Q51" s="95">
        <f t="shared" si="33"/>
        <v>4.6428675232434931E-4</v>
      </c>
      <c r="R51" s="95">
        <f t="shared" si="33"/>
        <v>4.6428675232434931E-4</v>
      </c>
      <c r="S51" s="95">
        <f t="shared" si="33"/>
        <v>4.6428675232434931E-4</v>
      </c>
      <c r="T51" s="95">
        <f t="shared" si="33"/>
        <v>4.6428675232434931E-4</v>
      </c>
      <c r="U51" s="95">
        <f t="shared" si="33"/>
        <v>4.6428675232434931E-4</v>
      </c>
      <c r="V51" s="95">
        <f t="shared" si="33"/>
        <v>4.6428675232434931E-4</v>
      </c>
      <c r="W51" s="95">
        <f t="shared" si="33"/>
        <v>4.6428675232434931E-4</v>
      </c>
      <c r="X51" s="95">
        <f t="shared" si="33"/>
        <v>4.6428675232434931E-4</v>
      </c>
      <c r="Y51" s="95">
        <f t="shared" si="34"/>
        <v>0</v>
      </c>
      <c r="Z51" s="95">
        <f t="shared" si="34"/>
        <v>0</v>
      </c>
      <c r="AA51" s="95">
        <f t="shared" si="34"/>
        <v>0</v>
      </c>
      <c r="AB51" s="95">
        <f t="shared" si="34"/>
        <v>0</v>
      </c>
      <c r="AC51" s="95">
        <f t="shared" si="34"/>
        <v>0</v>
      </c>
      <c r="AD51" s="95">
        <f t="shared" si="34"/>
        <v>0</v>
      </c>
      <c r="AE51" s="95">
        <f t="shared" si="34"/>
        <v>0</v>
      </c>
      <c r="AF51" s="95">
        <f t="shared" si="34"/>
        <v>0</v>
      </c>
      <c r="AG51" s="95">
        <f t="shared" si="34"/>
        <v>0</v>
      </c>
      <c r="AH51" s="95">
        <f t="shared" si="34"/>
        <v>0</v>
      </c>
      <c r="AI51" s="95">
        <f t="shared" si="35"/>
        <v>0</v>
      </c>
      <c r="AJ51" s="95">
        <f t="shared" si="35"/>
        <v>0</v>
      </c>
      <c r="AK51" s="95">
        <f t="shared" si="35"/>
        <v>0</v>
      </c>
      <c r="AL51" s="95">
        <f t="shared" si="35"/>
        <v>0</v>
      </c>
      <c r="AM51" s="95">
        <f t="shared" si="35"/>
        <v>0</v>
      </c>
      <c r="AN51" s="95">
        <f t="shared" si="35"/>
        <v>0</v>
      </c>
      <c r="AO51" s="95">
        <f t="shared" si="35"/>
        <v>0</v>
      </c>
      <c r="AP51" s="95">
        <f t="shared" si="35"/>
        <v>0</v>
      </c>
      <c r="AQ51" s="95">
        <f t="shared" si="35"/>
        <v>0</v>
      </c>
      <c r="AR51" s="96">
        <f t="shared" si="35"/>
        <v>0</v>
      </c>
    </row>
    <row r="52" spans="2:44" s="45" customFormat="1" outlineLevel="1" x14ac:dyDescent="0.15">
      <c r="B52" s="87"/>
      <c r="C52" s="88" t="str">
        <f t="shared" si="30"/>
        <v>Investment in Year 11</v>
      </c>
      <c r="D52" s="188">
        <f t="shared" si="31"/>
        <v>0</v>
      </c>
      <c r="E52" s="189">
        <f t="shared" ref="E52:N61" si="36">IF(OR($C52="",Year&gt;Contract_Length),,IF(Year&lt;INDEX(Year,1,5+ROW()-ROW($A$42)),,IF(Year&gt;INDEX(Year,1,5+ROW()-ROW($A$42))+Invest_Period-1,,$D52/Invest_Period)))</f>
        <v>0</v>
      </c>
      <c r="F52" s="95">
        <f t="shared" si="36"/>
        <v>0</v>
      </c>
      <c r="G52" s="95">
        <f t="shared" si="36"/>
        <v>0</v>
      </c>
      <c r="H52" s="95">
        <f t="shared" si="36"/>
        <v>0</v>
      </c>
      <c r="I52" s="95">
        <f t="shared" si="36"/>
        <v>0</v>
      </c>
      <c r="J52" s="95">
        <f t="shared" si="36"/>
        <v>0</v>
      </c>
      <c r="K52" s="95">
        <f t="shared" si="36"/>
        <v>0</v>
      </c>
      <c r="L52" s="95">
        <f t="shared" si="36"/>
        <v>0</v>
      </c>
      <c r="M52" s="95">
        <f t="shared" si="36"/>
        <v>0</v>
      </c>
      <c r="N52" s="95">
        <f t="shared" si="36"/>
        <v>0</v>
      </c>
      <c r="O52" s="95">
        <f t="shared" ref="O52:X61" si="37">IF(OR($C52="",Year&gt;Contract_Length),,IF(Year&lt;INDEX(Year,1,5+ROW()-ROW($A$42)),,IF(Year&gt;INDEX(Year,1,5+ROW()-ROW($A$42))+Invest_Period-1,,$D52/Invest_Period)))</f>
        <v>0</v>
      </c>
      <c r="P52" s="95">
        <f t="shared" si="37"/>
        <v>0</v>
      </c>
      <c r="Q52" s="95">
        <f t="shared" si="37"/>
        <v>0</v>
      </c>
      <c r="R52" s="95">
        <f t="shared" si="37"/>
        <v>0</v>
      </c>
      <c r="S52" s="95">
        <f t="shared" si="37"/>
        <v>0</v>
      </c>
      <c r="T52" s="95">
        <f t="shared" si="37"/>
        <v>0</v>
      </c>
      <c r="U52" s="95">
        <f t="shared" si="37"/>
        <v>0</v>
      </c>
      <c r="V52" s="95">
        <f t="shared" si="37"/>
        <v>0</v>
      </c>
      <c r="W52" s="95">
        <f t="shared" si="37"/>
        <v>0</v>
      </c>
      <c r="X52" s="95">
        <f t="shared" si="37"/>
        <v>0</v>
      </c>
      <c r="Y52" s="95">
        <f t="shared" ref="Y52:AH61" si="38">IF(OR($C52="",Year&gt;Contract_Length),,IF(Year&lt;INDEX(Year,1,5+ROW()-ROW($A$42)),,IF(Year&gt;INDEX(Year,1,5+ROW()-ROW($A$42))+Invest_Period-1,,$D52/Invest_Period)))</f>
        <v>0</v>
      </c>
      <c r="Z52" s="95">
        <f t="shared" si="38"/>
        <v>0</v>
      </c>
      <c r="AA52" s="95">
        <f t="shared" si="38"/>
        <v>0</v>
      </c>
      <c r="AB52" s="95">
        <f t="shared" si="38"/>
        <v>0</v>
      </c>
      <c r="AC52" s="95">
        <f t="shared" si="38"/>
        <v>0</v>
      </c>
      <c r="AD52" s="95">
        <f t="shared" si="38"/>
        <v>0</v>
      </c>
      <c r="AE52" s="95">
        <f t="shared" si="38"/>
        <v>0</v>
      </c>
      <c r="AF52" s="95">
        <f t="shared" si="38"/>
        <v>0</v>
      </c>
      <c r="AG52" s="95">
        <f t="shared" si="38"/>
        <v>0</v>
      </c>
      <c r="AH52" s="95">
        <f t="shared" si="38"/>
        <v>0</v>
      </c>
      <c r="AI52" s="95">
        <f t="shared" ref="AI52:AR61" si="39">IF(OR($C52="",Year&gt;Contract_Length),,IF(Year&lt;INDEX(Year,1,5+ROW()-ROW($A$42)),,IF(Year&gt;INDEX(Year,1,5+ROW()-ROW($A$42))+Invest_Period-1,,$D52/Invest_Period)))</f>
        <v>0</v>
      </c>
      <c r="AJ52" s="95">
        <f t="shared" si="39"/>
        <v>0</v>
      </c>
      <c r="AK52" s="95">
        <f t="shared" si="39"/>
        <v>0</v>
      </c>
      <c r="AL52" s="95">
        <f t="shared" si="39"/>
        <v>0</v>
      </c>
      <c r="AM52" s="95">
        <f t="shared" si="39"/>
        <v>0</v>
      </c>
      <c r="AN52" s="95">
        <f t="shared" si="39"/>
        <v>0</v>
      </c>
      <c r="AO52" s="95">
        <f t="shared" si="39"/>
        <v>0</v>
      </c>
      <c r="AP52" s="95">
        <f t="shared" si="39"/>
        <v>0</v>
      </c>
      <c r="AQ52" s="95">
        <f t="shared" si="39"/>
        <v>0</v>
      </c>
      <c r="AR52" s="96">
        <f t="shared" si="39"/>
        <v>0</v>
      </c>
    </row>
    <row r="53" spans="2:44" s="45" customFormat="1" outlineLevel="1" x14ac:dyDescent="0.15">
      <c r="B53" s="87"/>
      <c r="C53" s="88" t="str">
        <f t="shared" si="30"/>
        <v>Investment in Year 12</v>
      </c>
      <c r="D53" s="93">
        <f t="shared" si="31"/>
        <v>0</v>
      </c>
      <c r="E53" s="94">
        <f t="shared" si="36"/>
        <v>0</v>
      </c>
      <c r="F53" s="95">
        <f t="shared" si="36"/>
        <v>0</v>
      </c>
      <c r="G53" s="95">
        <f t="shared" si="36"/>
        <v>0</v>
      </c>
      <c r="H53" s="95">
        <f t="shared" si="36"/>
        <v>0</v>
      </c>
      <c r="I53" s="95">
        <f t="shared" si="36"/>
        <v>0</v>
      </c>
      <c r="J53" s="95">
        <f t="shared" si="36"/>
        <v>0</v>
      </c>
      <c r="K53" s="95">
        <f t="shared" si="36"/>
        <v>0</v>
      </c>
      <c r="L53" s="95">
        <f t="shared" si="36"/>
        <v>0</v>
      </c>
      <c r="M53" s="95">
        <f t="shared" si="36"/>
        <v>0</v>
      </c>
      <c r="N53" s="95">
        <f t="shared" si="36"/>
        <v>0</v>
      </c>
      <c r="O53" s="95">
        <f t="shared" si="37"/>
        <v>0</v>
      </c>
      <c r="P53" s="95">
        <f t="shared" si="37"/>
        <v>0</v>
      </c>
      <c r="Q53" s="95">
        <f t="shared" si="37"/>
        <v>0</v>
      </c>
      <c r="R53" s="95">
        <f t="shared" si="37"/>
        <v>0</v>
      </c>
      <c r="S53" s="95">
        <f t="shared" si="37"/>
        <v>0</v>
      </c>
      <c r="T53" s="95">
        <f t="shared" si="37"/>
        <v>0</v>
      </c>
      <c r="U53" s="95">
        <f t="shared" si="37"/>
        <v>0</v>
      </c>
      <c r="V53" s="95">
        <f t="shared" si="37"/>
        <v>0</v>
      </c>
      <c r="W53" s="95">
        <f t="shared" si="37"/>
        <v>0</v>
      </c>
      <c r="X53" s="95">
        <f t="shared" si="37"/>
        <v>0</v>
      </c>
      <c r="Y53" s="95">
        <f t="shared" si="38"/>
        <v>0</v>
      </c>
      <c r="Z53" s="95">
        <f t="shared" si="38"/>
        <v>0</v>
      </c>
      <c r="AA53" s="95">
        <f t="shared" si="38"/>
        <v>0</v>
      </c>
      <c r="AB53" s="95">
        <f t="shared" si="38"/>
        <v>0</v>
      </c>
      <c r="AC53" s="95">
        <f t="shared" si="38"/>
        <v>0</v>
      </c>
      <c r="AD53" s="95">
        <f t="shared" si="38"/>
        <v>0</v>
      </c>
      <c r="AE53" s="95">
        <f t="shared" si="38"/>
        <v>0</v>
      </c>
      <c r="AF53" s="95">
        <f t="shared" si="38"/>
        <v>0</v>
      </c>
      <c r="AG53" s="95">
        <f t="shared" si="38"/>
        <v>0</v>
      </c>
      <c r="AH53" s="95">
        <f t="shared" si="38"/>
        <v>0</v>
      </c>
      <c r="AI53" s="95">
        <f t="shared" si="39"/>
        <v>0</v>
      </c>
      <c r="AJ53" s="95">
        <f t="shared" si="39"/>
        <v>0</v>
      </c>
      <c r="AK53" s="95">
        <f t="shared" si="39"/>
        <v>0</v>
      </c>
      <c r="AL53" s="95">
        <f t="shared" si="39"/>
        <v>0</v>
      </c>
      <c r="AM53" s="95">
        <f t="shared" si="39"/>
        <v>0</v>
      </c>
      <c r="AN53" s="95">
        <f t="shared" si="39"/>
        <v>0</v>
      </c>
      <c r="AO53" s="95">
        <f t="shared" si="39"/>
        <v>0</v>
      </c>
      <c r="AP53" s="95">
        <f t="shared" si="39"/>
        <v>0</v>
      </c>
      <c r="AQ53" s="95">
        <f t="shared" si="39"/>
        <v>0</v>
      </c>
      <c r="AR53" s="96">
        <f t="shared" si="39"/>
        <v>0</v>
      </c>
    </row>
    <row r="54" spans="2:44" s="45" customFormat="1" outlineLevel="1" x14ac:dyDescent="0.15">
      <c r="B54" s="87"/>
      <c r="C54" s="88" t="str">
        <f t="shared" si="30"/>
        <v>Investment in Year 13</v>
      </c>
      <c r="D54" s="93">
        <f t="shared" si="31"/>
        <v>0</v>
      </c>
      <c r="E54" s="94">
        <f t="shared" si="36"/>
        <v>0</v>
      </c>
      <c r="F54" s="95">
        <f t="shared" si="36"/>
        <v>0</v>
      </c>
      <c r="G54" s="95">
        <f t="shared" si="36"/>
        <v>0</v>
      </c>
      <c r="H54" s="95">
        <f t="shared" si="36"/>
        <v>0</v>
      </c>
      <c r="I54" s="95">
        <f t="shared" si="36"/>
        <v>0</v>
      </c>
      <c r="J54" s="95">
        <f t="shared" si="36"/>
        <v>0</v>
      </c>
      <c r="K54" s="95">
        <f t="shared" si="36"/>
        <v>0</v>
      </c>
      <c r="L54" s="95">
        <f t="shared" si="36"/>
        <v>0</v>
      </c>
      <c r="M54" s="95">
        <f t="shared" si="36"/>
        <v>0</v>
      </c>
      <c r="N54" s="95">
        <f t="shared" si="36"/>
        <v>0</v>
      </c>
      <c r="O54" s="95">
        <f t="shared" si="37"/>
        <v>0</v>
      </c>
      <c r="P54" s="95">
        <f t="shared" si="37"/>
        <v>0</v>
      </c>
      <c r="Q54" s="95">
        <f t="shared" si="37"/>
        <v>0</v>
      </c>
      <c r="R54" s="95">
        <f t="shared" si="37"/>
        <v>0</v>
      </c>
      <c r="S54" s="95">
        <f t="shared" si="37"/>
        <v>0</v>
      </c>
      <c r="T54" s="95">
        <f t="shared" si="37"/>
        <v>0</v>
      </c>
      <c r="U54" s="95">
        <f t="shared" si="37"/>
        <v>0</v>
      </c>
      <c r="V54" s="95">
        <f t="shared" si="37"/>
        <v>0</v>
      </c>
      <c r="W54" s="95">
        <f t="shared" si="37"/>
        <v>0</v>
      </c>
      <c r="X54" s="95">
        <f t="shared" si="37"/>
        <v>0</v>
      </c>
      <c r="Y54" s="95">
        <f t="shared" si="38"/>
        <v>0</v>
      </c>
      <c r="Z54" s="95">
        <f t="shared" si="38"/>
        <v>0</v>
      </c>
      <c r="AA54" s="95">
        <f t="shared" si="38"/>
        <v>0</v>
      </c>
      <c r="AB54" s="95">
        <f t="shared" si="38"/>
        <v>0</v>
      </c>
      <c r="AC54" s="95">
        <f t="shared" si="38"/>
        <v>0</v>
      </c>
      <c r="AD54" s="95">
        <f t="shared" si="38"/>
        <v>0</v>
      </c>
      <c r="AE54" s="95">
        <f t="shared" si="38"/>
        <v>0</v>
      </c>
      <c r="AF54" s="95">
        <f t="shared" si="38"/>
        <v>0</v>
      </c>
      <c r="AG54" s="95">
        <f t="shared" si="38"/>
        <v>0</v>
      </c>
      <c r="AH54" s="95">
        <f t="shared" si="38"/>
        <v>0</v>
      </c>
      <c r="AI54" s="95">
        <f t="shared" si="39"/>
        <v>0</v>
      </c>
      <c r="AJ54" s="95">
        <f t="shared" si="39"/>
        <v>0</v>
      </c>
      <c r="AK54" s="95">
        <f t="shared" si="39"/>
        <v>0</v>
      </c>
      <c r="AL54" s="95">
        <f t="shared" si="39"/>
        <v>0</v>
      </c>
      <c r="AM54" s="95">
        <f t="shared" si="39"/>
        <v>0</v>
      </c>
      <c r="AN54" s="95">
        <f t="shared" si="39"/>
        <v>0</v>
      </c>
      <c r="AO54" s="95">
        <f t="shared" si="39"/>
        <v>0</v>
      </c>
      <c r="AP54" s="95">
        <f t="shared" si="39"/>
        <v>0</v>
      </c>
      <c r="AQ54" s="95">
        <f t="shared" si="39"/>
        <v>0</v>
      </c>
      <c r="AR54" s="96">
        <f t="shared" si="39"/>
        <v>0</v>
      </c>
    </row>
    <row r="55" spans="2:44" s="45" customFormat="1" outlineLevel="1" x14ac:dyDescent="0.15">
      <c r="B55" s="87"/>
      <c r="C55" s="88" t="str">
        <f t="shared" si="30"/>
        <v>Investment in Year 14</v>
      </c>
      <c r="D55" s="93">
        <f t="shared" si="31"/>
        <v>0</v>
      </c>
      <c r="E55" s="94">
        <f t="shared" si="36"/>
        <v>0</v>
      </c>
      <c r="F55" s="95">
        <f t="shared" si="36"/>
        <v>0</v>
      </c>
      <c r="G55" s="95">
        <f t="shared" si="36"/>
        <v>0</v>
      </c>
      <c r="H55" s="95">
        <f t="shared" si="36"/>
        <v>0</v>
      </c>
      <c r="I55" s="95">
        <f t="shared" si="36"/>
        <v>0</v>
      </c>
      <c r="J55" s="95">
        <f t="shared" si="36"/>
        <v>0</v>
      </c>
      <c r="K55" s="95">
        <f t="shared" si="36"/>
        <v>0</v>
      </c>
      <c r="L55" s="95">
        <f t="shared" si="36"/>
        <v>0</v>
      </c>
      <c r="M55" s="95">
        <f t="shared" si="36"/>
        <v>0</v>
      </c>
      <c r="N55" s="95">
        <f t="shared" si="36"/>
        <v>0</v>
      </c>
      <c r="O55" s="95">
        <f t="shared" si="37"/>
        <v>0</v>
      </c>
      <c r="P55" s="95">
        <f t="shared" si="37"/>
        <v>0</v>
      </c>
      <c r="Q55" s="95">
        <f t="shared" si="37"/>
        <v>0</v>
      </c>
      <c r="R55" s="95">
        <f t="shared" si="37"/>
        <v>0</v>
      </c>
      <c r="S55" s="95">
        <f t="shared" si="37"/>
        <v>0</v>
      </c>
      <c r="T55" s="95">
        <f t="shared" si="37"/>
        <v>0</v>
      </c>
      <c r="U55" s="95">
        <f t="shared" si="37"/>
        <v>0</v>
      </c>
      <c r="V55" s="95">
        <f t="shared" si="37"/>
        <v>0</v>
      </c>
      <c r="W55" s="95">
        <f t="shared" si="37"/>
        <v>0</v>
      </c>
      <c r="X55" s="95">
        <f t="shared" si="37"/>
        <v>0</v>
      </c>
      <c r="Y55" s="95">
        <f t="shared" si="38"/>
        <v>0</v>
      </c>
      <c r="Z55" s="95">
        <f t="shared" si="38"/>
        <v>0</v>
      </c>
      <c r="AA55" s="95">
        <f t="shared" si="38"/>
        <v>0</v>
      </c>
      <c r="AB55" s="95">
        <f t="shared" si="38"/>
        <v>0</v>
      </c>
      <c r="AC55" s="95">
        <f t="shared" si="38"/>
        <v>0</v>
      </c>
      <c r="AD55" s="95">
        <f t="shared" si="38"/>
        <v>0</v>
      </c>
      <c r="AE55" s="95">
        <f t="shared" si="38"/>
        <v>0</v>
      </c>
      <c r="AF55" s="95">
        <f t="shared" si="38"/>
        <v>0</v>
      </c>
      <c r="AG55" s="95">
        <f t="shared" si="38"/>
        <v>0</v>
      </c>
      <c r="AH55" s="95">
        <f t="shared" si="38"/>
        <v>0</v>
      </c>
      <c r="AI55" s="95">
        <f t="shared" si="39"/>
        <v>0</v>
      </c>
      <c r="AJ55" s="95">
        <f t="shared" si="39"/>
        <v>0</v>
      </c>
      <c r="AK55" s="95">
        <f t="shared" si="39"/>
        <v>0</v>
      </c>
      <c r="AL55" s="95">
        <f t="shared" si="39"/>
        <v>0</v>
      </c>
      <c r="AM55" s="95">
        <f t="shared" si="39"/>
        <v>0</v>
      </c>
      <c r="AN55" s="95">
        <f t="shared" si="39"/>
        <v>0</v>
      </c>
      <c r="AO55" s="95">
        <f t="shared" si="39"/>
        <v>0</v>
      </c>
      <c r="AP55" s="95">
        <f t="shared" si="39"/>
        <v>0</v>
      </c>
      <c r="AQ55" s="95">
        <f t="shared" si="39"/>
        <v>0</v>
      </c>
      <c r="AR55" s="96">
        <f t="shared" si="39"/>
        <v>0</v>
      </c>
    </row>
    <row r="56" spans="2:44" s="45" customFormat="1" outlineLevel="1" x14ac:dyDescent="0.15">
      <c r="B56" s="87"/>
      <c r="C56" s="88" t="str">
        <f t="shared" si="30"/>
        <v>Investment in Year 15</v>
      </c>
      <c r="D56" s="93">
        <f t="shared" si="31"/>
        <v>0</v>
      </c>
      <c r="E56" s="94">
        <f t="shared" si="36"/>
        <v>0</v>
      </c>
      <c r="F56" s="95">
        <f t="shared" si="36"/>
        <v>0</v>
      </c>
      <c r="G56" s="95">
        <f t="shared" si="36"/>
        <v>0</v>
      </c>
      <c r="H56" s="95">
        <f t="shared" si="36"/>
        <v>0</v>
      </c>
      <c r="I56" s="95">
        <f t="shared" si="36"/>
        <v>0</v>
      </c>
      <c r="J56" s="95">
        <f t="shared" si="36"/>
        <v>0</v>
      </c>
      <c r="K56" s="95">
        <f t="shared" si="36"/>
        <v>0</v>
      </c>
      <c r="L56" s="95">
        <f t="shared" si="36"/>
        <v>0</v>
      </c>
      <c r="M56" s="95">
        <f t="shared" si="36"/>
        <v>0</v>
      </c>
      <c r="N56" s="95">
        <f t="shared" si="36"/>
        <v>0</v>
      </c>
      <c r="O56" s="95">
        <f t="shared" si="37"/>
        <v>0</v>
      </c>
      <c r="P56" s="95">
        <f t="shared" si="37"/>
        <v>0</v>
      </c>
      <c r="Q56" s="95">
        <f t="shared" si="37"/>
        <v>0</v>
      </c>
      <c r="R56" s="95">
        <f t="shared" si="37"/>
        <v>0</v>
      </c>
      <c r="S56" s="95">
        <f t="shared" si="37"/>
        <v>0</v>
      </c>
      <c r="T56" s="95">
        <f t="shared" si="37"/>
        <v>0</v>
      </c>
      <c r="U56" s="95">
        <f t="shared" si="37"/>
        <v>0</v>
      </c>
      <c r="V56" s="95">
        <f t="shared" si="37"/>
        <v>0</v>
      </c>
      <c r="W56" s="95">
        <f t="shared" si="37"/>
        <v>0</v>
      </c>
      <c r="X56" s="95">
        <f t="shared" si="37"/>
        <v>0</v>
      </c>
      <c r="Y56" s="95">
        <f t="shared" si="38"/>
        <v>0</v>
      </c>
      <c r="Z56" s="95">
        <f t="shared" si="38"/>
        <v>0</v>
      </c>
      <c r="AA56" s="95">
        <f t="shared" si="38"/>
        <v>0</v>
      </c>
      <c r="AB56" s="95">
        <f t="shared" si="38"/>
        <v>0</v>
      </c>
      <c r="AC56" s="95">
        <f t="shared" si="38"/>
        <v>0</v>
      </c>
      <c r="AD56" s="95">
        <f t="shared" si="38"/>
        <v>0</v>
      </c>
      <c r="AE56" s="95">
        <f t="shared" si="38"/>
        <v>0</v>
      </c>
      <c r="AF56" s="95">
        <f t="shared" si="38"/>
        <v>0</v>
      </c>
      <c r="AG56" s="95">
        <f t="shared" si="38"/>
        <v>0</v>
      </c>
      <c r="AH56" s="95">
        <f t="shared" si="38"/>
        <v>0</v>
      </c>
      <c r="AI56" s="95">
        <f t="shared" si="39"/>
        <v>0</v>
      </c>
      <c r="AJ56" s="95">
        <f t="shared" si="39"/>
        <v>0</v>
      </c>
      <c r="AK56" s="95">
        <f t="shared" si="39"/>
        <v>0</v>
      </c>
      <c r="AL56" s="95">
        <f t="shared" si="39"/>
        <v>0</v>
      </c>
      <c r="AM56" s="95">
        <f t="shared" si="39"/>
        <v>0</v>
      </c>
      <c r="AN56" s="95">
        <f t="shared" si="39"/>
        <v>0</v>
      </c>
      <c r="AO56" s="95">
        <f t="shared" si="39"/>
        <v>0</v>
      </c>
      <c r="AP56" s="95">
        <f t="shared" si="39"/>
        <v>0</v>
      </c>
      <c r="AQ56" s="95">
        <f t="shared" si="39"/>
        <v>0</v>
      </c>
      <c r="AR56" s="96">
        <f t="shared" si="39"/>
        <v>0</v>
      </c>
    </row>
    <row r="57" spans="2:44" s="45" customFormat="1" outlineLevel="1" x14ac:dyDescent="0.15">
      <c r="B57" s="87"/>
      <c r="C57" s="88" t="str">
        <f t="shared" si="30"/>
        <v>Investment in Year 16</v>
      </c>
      <c r="D57" s="93">
        <f t="shared" si="31"/>
        <v>0</v>
      </c>
      <c r="E57" s="94">
        <f t="shared" si="36"/>
        <v>0</v>
      </c>
      <c r="F57" s="95">
        <f t="shared" si="36"/>
        <v>0</v>
      </c>
      <c r="G57" s="95">
        <f t="shared" si="36"/>
        <v>0</v>
      </c>
      <c r="H57" s="95">
        <f t="shared" si="36"/>
        <v>0</v>
      </c>
      <c r="I57" s="95">
        <f t="shared" si="36"/>
        <v>0</v>
      </c>
      <c r="J57" s="95">
        <f t="shared" si="36"/>
        <v>0</v>
      </c>
      <c r="K57" s="95">
        <f t="shared" si="36"/>
        <v>0</v>
      </c>
      <c r="L57" s="95">
        <f t="shared" si="36"/>
        <v>0</v>
      </c>
      <c r="M57" s="95">
        <f t="shared" si="36"/>
        <v>0</v>
      </c>
      <c r="N57" s="95">
        <f t="shared" si="36"/>
        <v>0</v>
      </c>
      <c r="O57" s="95">
        <f t="shared" si="37"/>
        <v>0</v>
      </c>
      <c r="P57" s="95">
        <f t="shared" si="37"/>
        <v>0</v>
      </c>
      <c r="Q57" s="95">
        <f t="shared" si="37"/>
        <v>0</v>
      </c>
      <c r="R57" s="95">
        <f t="shared" si="37"/>
        <v>0</v>
      </c>
      <c r="S57" s="95">
        <f t="shared" si="37"/>
        <v>0</v>
      </c>
      <c r="T57" s="95">
        <f t="shared" si="37"/>
        <v>0</v>
      </c>
      <c r="U57" s="95">
        <f t="shared" si="37"/>
        <v>0</v>
      </c>
      <c r="V57" s="95">
        <f t="shared" si="37"/>
        <v>0</v>
      </c>
      <c r="W57" s="95">
        <f t="shared" si="37"/>
        <v>0</v>
      </c>
      <c r="X57" s="95">
        <f t="shared" si="37"/>
        <v>0</v>
      </c>
      <c r="Y57" s="95">
        <f t="shared" si="38"/>
        <v>0</v>
      </c>
      <c r="Z57" s="95">
        <f t="shared" si="38"/>
        <v>0</v>
      </c>
      <c r="AA57" s="95">
        <f t="shared" si="38"/>
        <v>0</v>
      </c>
      <c r="AB57" s="95">
        <f t="shared" si="38"/>
        <v>0</v>
      </c>
      <c r="AC57" s="95">
        <f t="shared" si="38"/>
        <v>0</v>
      </c>
      <c r="AD57" s="95">
        <f t="shared" si="38"/>
        <v>0</v>
      </c>
      <c r="AE57" s="95">
        <f t="shared" si="38"/>
        <v>0</v>
      </c>
      <c r="AF57" s="95">
        <f t="shared" si="38"/>
        <v>0</v>
      </c>
      <c r="AG57" s="95">
        <f t="shared" si="38"/>
        <v>0</v>
      </c>
      <c r="AH57" s="95">
        <f t="shared" si="38"/>
        <v>0</v>
      </c>
      <c r="AI57" s="95">
        <f t="shared" si="39"/>
        <v>0</v>
      </c>
      <c r="AJ57" s="95">
        <f t="shared" si="39"/>
        <v>0</v>
      </c>
      <c r="AK57" s="95">
        <f t="shared" si="39"/>
        <v>0</v>
      </c>
      <c r="AL57" s="95">
        <f t="shared" si="39"/>
        <v>0</v>
      </c>
      <c r="AM57" s="95">
        <f t="shared" si="39"/>
        <v>0</v>
      </c>
      <c r="AN57" s="95">
        <f t="shared" si="39"/>
        <v>0</v>
      </c>
      <c r="AO57" s="95">
        <f t="shared" si="39"/>
        <v>0</v>
      </c>
      <c r="AP57" s="95">
        <f t="shared" si="39"/>
        <v>0</v>
      </c>
      <c r="AQ57" s="95">
        <f t="shared" si="39"/>
        <v>0</v>
      </c>
      <c r="AR57" s="96">
        <f t="shared" si="39"/>
        <v>0</v>
      </c>
    </row>
    <row r="58" spans="2:44" s="45" customFormat="1" outlineLevel="1" x14ac:dyDescent="0.15">
      <c r="B58" s="87"/>
      <c r="C58" s="88" t="str">
        <f t="shared" si="30"/>
        <v>Investment in Year 17</v>
      </c>
      <c r="D58" s="93">
        <f t="shared" si="31"/>
        <v>0</v>
      </c>
      <c r="E58" s="94">
        <f t="shared" si="36"/>
        <v>0</v>
      </c>
      <c r="F58" s="95">
        <f t="shared" si="36"/>
        <v>0</v>
      </c>
      <c r="G58" s="95">
        <f t="shared" si="36"/>
        <v>0</v>
      </c>
      <c r="H58" s="95">
        <f t="shared" si="36"/>
        <v>0</v>
      </c>
      <c r="I58" s="95">
        <f t="shared" si="36"/>
        <v>0</v>
      </c>
      <c r="J58" s="95">
        <f t="shared" si="36"/>
        <v>0</v>
      </c>
      <c r="K58" s="95">
        <f t="shared" si="36"/>
        <v>0</v>
      </c>
      <c r="L58" s="95">
        <f t="shared" si="36"/>
        <v>0</v>
      </c>
      <c r="M58" s="95">
        <f t="shared" si="36"/>
        <v>0</v>
      </c>
      <c r="N58" s="95">
        <f t="shared" si="36"/>
        <v>0</v>
      </c>
      <c r="O58" s="95">
        <f t="shared" si="37"/>
        <v>0</v>
      </c>
      <c r="P58" s="95">
        <f t="shared" si="37"/>
        <v>0</v>
      </c>
      <c r="Q58" s="95">
        <f t="shared" si="37"/>
        <v>0</v>
      </c>
      <c r="R58" s="95">
        <f t="shared" si="37"/>
        <v>0</v>
      </c>
      <c r="S58" s="95">
        <f t="shared" si="37"/>
        <v>0</v>
      </c>
      <c r="T58" s="95">
        <f t="shared" si="37"/>
        <v>0</v>
      </c>
      <c r="U58" s="95">
        <f t="shared" si="37"/>
        <v>0</v>
      </c>
      <c r="V58" s="95">
        <f t="shared" si="37"/>
        <v>0</v>
      </c>
      <c r="W58" s="95">
        <f t="shared" si="37"/>
        <v>0</v>
      </c>
      <c r="X58" s="95">
        <f t="shared" si="37"/>
        <v>0</v>
      </c>
      <c r="Y58" s="95">
        <f t="shared" si="38"/>
        <v>0</v>
      </c>
      <c r="Z58" s="95">
        <f t="shared" si="38"/>
        <v>0</v>
      </c>
      <c r="AA58" s="95">
        <f t="shared" si="38"/>
        <v>0</v>
      </c>
      <c r="AB58" s="95">
        <f t="shared" si="38"/>
        <v>0</v>
      </c>
      <c r="AC58" s="95">
        <f t="shared" si="38"/>
        <v>0</v>
      </c>
      <c r="AD58" s="95">
        <f t="shared" si="38"/>
        <v>0</v>
      </c>
      <c r="AE58" s="95">
        <f t="shared" si="38"/>
        <v>0</v>
      </c>
      <c r="AF58" s="95">
        <f t="shared" si="38"/>
        <v>0</v>
      </c>
      <c r="AG58" s="95">
        <f t="shared" si="38"/>
        <v>0</v>
      </c>
      <c r="AH58" s="95">
        <f t="shared" si="38"/>
        <v>0</v>
      </c>
      <c r="AI58" s="95">
        <f t="shared" si="39"/>
        <v>0</v>
      </c>
      <c r="AJ58" s="95">
        <f t="shared" si="39"/>
        <v>0</v>
      </c>
      <c r="AK58" s="95">
        <f t="shared" si="39"/>
        <v>0</v>
      </c>
      <c r="AL58" s="95">
        <f t="shared" si="39"/>
        <v>0</v>
      </c>
      <c r="AM58" s="95">
        <f t="shared" si="39"/>
        <v>0</v>
      </c>
      <c r="AN58" s="95">
        <f t="shared" si="39"/>
        <v>0</v>
      </c>
      <c r="AO58" s="95">
        <f t="shared" si="39"/>
        <v>0</v>
      </c>
      <c r="AP58" s="95">
        <f t="shared" si="39"/>
        <v>0</v>
      </c>
      <c r="AQ58" s="95">
        <f t="shared" si="39"/>
        <v>0</v>
      </c>
      <c r="AR58" s="96">
        <f t="shared" si="39"/>
        <v>0</v>
      </c>
    </row>
    <row r="59" spans="2:44" s="45" customFormat="1" outlineLevel="1" x14ac:dyDescent="0.15">
      <c r="B59" s="87"/>
      <c r="C59" s="88" t="str">
        <f t="shared" si="30"/>
        <v>Investment in Year 18</v>
      </c>
      <c r="D59" s="93">
        <f t="shared" si="31"/>
        <v>0</v>
      </c>
      <c r="E59" s="94">
        <f t="shared" si="36"/>
        <v>0</v>
      </c>
      <c r="F59" s="95">
        <f t="shared" si="36"/>
        <v>0</v>
      </c>
      <c r="G59" s="95">
        <f t="shared" si="36"/>
        <v>0</v>
      </c>
      <c r="H59" s="95">
        <f t="shared" si="36"/>
        <v>0</v>
      </c>
      <c r="I59" s="95">
        <f t="shared" si="36"/>
        <v>0</v>
      </c>
      <c r="J59" s="95">
        <f t="shared" si="36"/>
        <v>0</v>
      </c>
      <c r="K59" s="95">
        <f t="shared" si="36"/>
        <v>0</v>
      </c>
      <c r="L59" s="95">
        <f t="shared" si="36"/>
        <v>0</v>
      </c>
      <c r="M59" s="95">
        <f t="shared" si="36"/>
        <v>0</v>
      </c>
      <c r="N59" s="95">
        <f t="shared" si="36"/>
        <v>0</v>
      </c>
      <c r="O59" s="95">
        <f t="shared" si="37"/>
        <v>0</v>
      </c>
      <c r="P59" s="95">
        <f t="shared" si="37"/>
        <v>0</v>
      </c>
      <c r="Q59" s="95">
        <f t="shared" si="37"/>
        <v>0</v>
      </c>
      <c r="R59" s="95">
        <f t="shared" si="37"/>
        <v>0</v>
      </c>
      <c r="S59" s="95">
        <f t="shared" si="37"/>
        <v>0</v>
      </c>
      <c r="T59" s="95">
        <f t="shared" si="37"/>
        <v>0</v>
      </c>
      <c r="U59" s="95">
        <f t="shared" si="37"/>
        <v>0</v>
      </c>
      <c r="V59" s="95">
        <f t="shared" si="37"/>
        <v>0</v>
      </c>
      <c r="W59" s="95">
        <f t="shared" si="37"/>
        <v>0</v>
      </c>
      <c r="X59" s="95">
        <f t="shared" si="37"/>
        <v>0</v>
      </c>
      <c r="Y59" s="95">
        <f t="shared" si="38"/>
        <v>0</v>
      </c>
      <c r="Z59" s="95">
        <f t="shared" si="38"/>
        <v>0</v>
      </c>
      <c r="AA59" s="95">
        <f t="shared" si="38"/>
        <v>0</v>
      </c>
      <c r="AB59" s="95">
        <f t="shared" si="38"/>
        <v>0</v>
      </c>
      <c r="AC59" s="95">
        <f t="shared" si="38"/>
        <v>0</v>
      </c>
      <c r="AD59" s="95">
        <f t="shared" si="38"/>
        <v>0</v>
      </c>
      <c r="AE59" s="95">
        <f t="shared" si="38"/>
        <v>0</v>
      </c>
      <c r="AF59" s="95">
        <f t="shared" si="38"/>
        <v>0</v>
      </c>
      <c r="AG59" s="95">
        <f t="shared" si="38"/>
        <v>0</v>
      </c>
      <c r="AH59" s="95">
        <f t="shared" si="38"/>
        <v>0</v>
      </c>
      <c r="AI59" s="95">
        <f t="shared" si="39"/>
        <v>0</v>
      </c>
      <c r="AJ59" s="95">
        <f t="shared" si="39"/>
        <v>0</v>
      </c>
      <c r="AK59" s="95">
        <f t="shared" si="39"/>
        <v>0</v>
      </c>
      <c r="AL59" s="95">
        <f t="shared" si="39"/>
        <v>0</v>
      </c>
      <c r="AM59" s="95">
        <f t="shared" si="39"/>
        <v>0</v>
      </c>
      <c r="AN59" s="95">
        <f t="shared" si="39"/>
        <v>0</v>
      </c>
      <c r="AO59" s="95">
        <f t="shared" si="39"/>
        <v>0</v>
      </c>
      <c r="AP59" s="95">
        <f t="shared" si="39"/>
        <v>0</v>
      </c>
      <c r="AQ59" s="95">
        <f t="shared" si="39"/>
        <v>0</v>
      </c>
      <c r="AR59" s="96">
        <f t="shared" si="39"/>
        <v>0</v>
      </c>
    </row>
    <row r="60" spans="2:44" s="45" customFormat="1" outlineLevel="1" x14ac:dyDescent="0.15">
      <c r="B60" s="87"/>
      <c r="C60" s="88" t="str">
        <f t="shared" si="30"/>
        <v>Investment in Year 19</v>
      </c>
      <c r="D60" s="93">
        <f t="shared" si="31"/>
        <v>0</v>
      </c>
      <c r="E60" s="94">
        <f t="shared" si="36"/>
        <v>0</v>
      </c>
      <c r="F60" s="95">
        <f t="shared" si="36"/>
        <v>0</v>
      </c>
      <c r="G60" s="95">
        <f t="shared" si="36"/>
        <v>0</v>
      </c>
      <c r="H60" s="95">
        <f t="shared" si="36"/>
        <v>0</v>
      </c>
      <c r="I60" s="95">
        <f t="shared" si="36"/>
        <v>0</v>
      </c>
      <c r="J60" s="95">
        <f t="shared" si="36"/>
        <v>0</v>
      </c>
      <c r="K60" s="95">
        <f t="shared" si="36"/>
        <v>0</v>
      </c>
      <c r="L60" s="95">
        <f t="shared" si="36"/>
        <v>0</v>
      </c>
      <c r="M60" s="95">
        <f t="shared" si="36"/>
        <v>0</v>
      </c>
      <c r="N60" s="95">
        <f t="shared" si="36"/>
        <v>0</v>
      </c>
      <c r="O60" s="95">
        <f t="shared" si="37"/>
        <v>0</v>
      </c>
      <c r="P60" s="95">
        <f t="shared" si="37"/>
        <v>0</v>
      </c>
      <c r="Q60" s="95">
        <f t="shared" si="37"/>
        <v>0</v>
      </c>
      <c r="R60" s="95">
        <f t="shared" si="37"/>
        <v>0</v>
      </c>
      <c r="S60" s="95">
        <f t="shared" si="37"/>
        <v>0</v>
      </c>
      <c r="T60" s="95">
        <f t="shared" si="37"/>
        <v>0</v>
      </c>
      <c r="U60" s="95">
        <f t="shared" si="37"/>
        <v>0</v>
      </c>
      <c r="V60" s="95">
        <f t="shared" si="37"/>
        <v>0</v>
      </c>
      <c r="W60" s="95">
        <f t="shared" si="37"/>
        <v>0</v>
      </c>
      <c r="X60" s="95">
        <f t="shared" si="37"/>
        <v>0</v>
      </c>
      <c r="Y60" s="95">
        <f t="shared" si="38"/>
        <v>0</v>
      </c>
      <c r="Z60" s="95">
        <f t="shared" si="38"/>
        <v>0</v>
      </c>
      <c r="AA60" s="95">
        <f t="shared" si="38"/>
        <v>0</v>
      </c>
      <c r="AB60" s="95">
        <f t="shared" si="38"/>
        <v>0</v>
      </c>
      <c r="AC60" s="95">
        <f t="shared" si="38"/>
        <v>0</v>
      </c>
      <c r="AD60" s="95">
        <f t="shared" si="38"/>
        <v>0</v>
      </c>
      <c r="AE60" s="95">
        <f t="shared" si="38"/>
        <v>0</v>
      </c>
      <c r="AF60" s="95">
        <f t="shared" si="38"/>
        <v>0</v>
      </c>
      <c r="AG60" s="95">
        <f t="shared" si="38"/>
        <v>0</v>
      </c>
      <c r="AH60" s="95">
        <f t="shared" si="38"/>
        <v>0</v>
      </c>
      <c r="AI60" s="95">
        <f t="shared" si="39"/>
        <v>0</v>
      </c>
      <c r="AJ60" s="95">
        <f t="shared" si="39"/>
        <v>0</v>
      </c>
      <c r="AK60" s="95">
        <f t="shared" si="39"/>
        <v>0</v>
      </c>
      <c r="AL60" s="95">
        <f t="shared" si="39"/>
        <v>0</v>
      </c>
      <c r="AM60" s="95">
        <f t="shared" si="39"/>
        <v>0</v>
      </c>
      <c r="AN60" s="95">
        <f t="shared" si="39"/>
        <v>0</v>
      </c>
      <c r="AO60" s="95">
        <f t="shared" si="39"/>
        <v>0</v>
      </c>
      <c r="AP60" s="95">
        <f t="shared" si="39"/>
        <v>0</v>
      </c>
      <c r="AQ60" s="95">
        <f t="shared" si="39"/>
        <v>0</v>
      </c>
      <c r="AR60" s="96">
        <f t="shared" si="39"/>
        <v>0</v>
      </c>
    </row>
    <row r="61" spans="2:44" s="45" customFormat="1" outlineLevel="1" x14ac:dyDescent="0.15">
      <c r="B61" s="87"/>
      <c r="C61" s="88" t="str">
        <f t="shared" si="30"/>
        <v>Investment in Year 20</v>
      </c>
      <c r="D61" s="93">
        <f t="shared" si="31"/>
        <v>0</v>
      </c>
      <c r="E61" s="94">
        <f t="shared" si="36"/>
        <v>0</v>
      </c>
      <c r="F61" s="95">
        <f t="shared" si="36"/>
        <v>0</v>
      </c>
      <c r="G61" s="95">
        <f t="shared" si="36"/>
        <v>0</v>
      </c>
      <c r="H61" s="95">
        <f t="shared" si="36"/>
        <v>0</v>
      </c>
      <c r="I61" s="95">
        <f t="shared" si="36"/>
        <v>0</v>
      </c>
      <c r="J61" s="95">
        <f t="shared" si="36"/>
        <v>0</v>
      </c>
      <c r="K61" s="95">
        <f t="shared" si="36"/>
        <v>0</v>
      </c>
      <c r="L61" s="95">
        <f t="shared" si="36"/>
        <v>0</v>
      </c>
      <c r="M61" s="95">
        <f t="shared" si="36"/>
        <v>0</v>
      </c>
      <c r="N61" s="95">
        <f t="shared" si="36"/>
        <v>0</v>
      </c>
      <c r="O61" s="95">
        <f t="shared" si="37"/>
        <v>0</v>
      </c>
      <c r="P61" s="95">
        <f t="shared" si="37"/>
        <v>0</v>
      </c>
      <c r="Q61" s="95">
        <f t="shared" si="37"/>
        <v>0</v>
      </c>
      <c r="R61" s="95">
        <f t="shared" si="37"/>
        <v>0</v>
      </c>
      <c r="S61" s="95">
        <f t="shared" si="37"/>
        <v>0</v>
      </c>
      <c r="T61" s="95">
        <f t="shared" si="37"/>
        <v>0</v>
      </c>
      <c r="U61" s="95">
        <f t="shared" si="37"/>
        <v>0</v>
      </c>
      <c r="V61" s="95">
        <f t="shared" si="37"/>
        <v>0</v>
      </c>
      <c r="W61" s="95">
        <f t="shared" si="37"/>
        <v>0</v>
      </c>
      <c r="X61" s="95">
        <f t="shared" si="37"/>
        <v>0</v>
      </c>
      <c r="Y61" s="95">
        <f t="shared" si="38"/>
        <v>0</v>
      </c>
      <c r="Z61" s="95">
        <f t="shared" si="38"/>
        <v>0</v>
      </c>
      <c r="AA61" s="95">
        <f t="shared" si="38"/>
        <v>0</v>
      </c>
      <c r="AB61" s="95">
        <f t="shared" si="38"/>
        <v>0</v>
      </c>
      <c r="AC61" s="95">
        <f t="shared" si="38"/>
        <v>0</v>
      </c>
      <c r="AD61" s="95">
        <f t="shared" si="38"/>
        <v>0</v>
      </c>
      <c r="AE61" s="95">
        <f t="shared" si="38"/>
        <v>0</v>
      </c>
      <c r="AF61" s="95">
        <f t="shared" si="38"/>
        <v>0</v>
      </c>
      <c r="AG61" s="95">
        <f t="shared" si="38"/>
        <v>0</v>
      </c>
      <c r="AH61" s="95">
        <f t="shared" si="38"/>
        <v>0</v>
      </c>
      <c r="AI61" s="95">
        <f t="shared" si="39"/>
        <v>0</v>
      </c>
      <c r="AJ61" s="95">
        <f t="shared" si="39"/>
        <v>0</v>
      </c>
      <c r="AK61" s="95">
        <f t="shared" si="39"/>
        <v>0</v>
      </c>
      <c r="AL61" s="95">
        <f t="shared" si="39"/>
        <v>0</v>
      </c>
      <c r="AM61" s="95">
        <f t="shared" si="39"/>
        <v>0</v>
      </c>
      <c r="AN61" s="95">
        <f t="shared" si="39"/>
        <v>0</v>
      </c>
      <c r="AO61" s="95">
        <f t="shared" si="39"/>
        <v>0</v>
      </c>
      <c r="AP61" s="95">
        <f t="shared" si="39"/>
        <v>0</v>
      </c>
      <c r="AQ61" s="95">
        <f t="shared" si="39"/>
        <v>0</v>
      </c>
      <c r="AR61" s="96">
        <f t="shared" si="39"/>
        <v>0</v>
      </c>
    </row>
    <row r="62" spans="2:44" s="45" customFormat="1" outlineLevel="1" x14ac:dyDescent="0.15">
      <c r="B62" s="87"/>
      <c r="C62" s="88" t="str">
        <f t="shared" si="30"/>
        <v/>
      </c>
      <c r="D62" s="93">
        <f t="shared" si="31"/>
        <v>0</v>
      </c>
      <c r="E62" s="94">
        <f t="shared" ref="E62:N71" si="40">IF(OR($C62="",Year&gt;Contract_Length),,IF(Year&lt;INDEX(Year,1,5+ROW()-ROW($A$42)),,IF(Year&gt;INDEX(Year,1,5+ROW()-ROW($A$42))+Invest_Period-1,,$D62/Invest_Period)))</f>
        <v>0</v>
      </c>
      <c r="F62" s="95">
        <f t="shared" si="40"/>
        <v>0</v>
      </c>
      <c r="G62" s="95">
        <f t="shared" si="40"/>
        <v>0</v>
      </c>
      <c r="H62" s="95">
        <f t="shared" si="40"/>
        <v>0</v>
      </c>
      <c r="I62" s="95">
        <f t="shared" si="40"/>
        <v>0</v>
      </c>
      <c r="J62" s="95">
        <f t="shared" si="40"/>
        <v>0</v>
      </c>
      <c r="K62" s="95">
        <f t="shared" si="40"/>
        <v>0</v>
      </c>
      <c r="L62" s="95">
        <f t="shared" si="40"/>
        <v>0</v>
      </c>
      <c r="M62" s="95">
        <f t="shared" si="40"/>
        <v>0</v>
      </c>
      <c r="N62" s="95">
        <f t="shared" si="40"/>
        <v>0</v>
      </c>
      <c r="O62" s="95">
        <f t="shared" ref="O62:X71" si="41">IF(OR($C62="",Year&gt;Contract_Length),,IF(Year&lt;INDEX(Year,1,5+ROW()-ROW($A$42)),,IF(Year&gt;INDEX(Year,1,5+ROW()-ROW($A$42))+Invest_Period-1,,$D62/Invest_Period)))</f>
        <v>0</v>
      </c>
      <c r="P62" s="95">
        <f t="shared" si="41"/>
        <v>0</v>
      </c>
      <c r="Q62" s="95">
        <f t="shared" si="41"/>
        <v>0</v>
      </c>
      <c r="R62" s="95">
        <f t="shared" si="41"/>
        <v>0</v>
      </c>
      <c r="S62" s="95">
        <f t="shared" si="41"/>
        <v>0</v>
      </c>
      <c r="T62" s="95">
        <f t="shared" si="41"/>
        <v>0</v>
      </c>
      <c r="U62" s="95">
        <f t="shared" si="41"/>
        <v>0</v>
      </c>
      <c r="V62" s="95">
        <f t="shared" si="41"/>
        <v>0</v>
      </c>
      <c r="W62" s="95">
        <f t="shared" si="41"/>
        <v>0</v>
      </c>
      <c r="X62" s="95">
        <f t="shared" si="41"/>
        <v>0</v>
      </c>
      <c r="Y62" s="95">
        <f t="shared" ref="Y62:AH71" si="42">IF(OR($C62="",Year&gt;Contract_Length),,IF(Year&lt;INDEX(Year,1,5+ROW()-ROW($A$42)),,IF(Year&gt;INDEX(Year,1,5+ROW()-ROW($A$42))+Invest_Period-1,,$D62/Invest_Period)))</f>
        <v>0</v>
      </c>
      <c r="Z62" s="95">
        <f t="shared" si="42"/>
        <v>0</v>
      </c>
      <c r="AA62" s="95">
        <f t="shared" si="42"/>
        <v>0</v>
      </c>
      <c r="AB62" s="95">
        <f t="shared" si="42"/>
        <v>0</v>
      </c>
      <c r="AC62" s="95">
        <f t="shared" si="42"/>
        <v>0</v>
      </c>
      <c r="AD62" s="95">
        <f t="shared" si="42"/>
        <v>0</v>
      </c>
      <c r="AE62" s="95">
        <f t="shared" si="42"/>
        <v>0</v>
      </c>
      <c r="AF62" s="95">
        <f t="shared" si="42"/>
        <v>0</v>
      </c>
      <c r="AG62" s="95">
        <f t="shared" si="42"/>
        <v>0</v>
      </c>
      <c r="AH62" s="95">
        <f t="shared" si="42"/>
        <v>0</v>
      </c>
      <c r="AI62" s="95">
        <f t="shared" ref="AI62:AR71" si="43">IF(OR($C62="",Year&gt;Contract_Length),,IF(Year&lt;INDEX(Year,1,5+ROW()-ROW($A$42)),,IF(Year&gt;INDEX(Year,1,5+ROW()-ROW($A$42))+Invest_Period-1,,$D62/Invest_Period)))</f>
        <v>0</v>
      </c>
      <c r="AJ62" s="95">
        <f t="shared" si="43"/>
        <v>0</v>
      </c>
      <c r="AK62" s="95">
        <f t="shared" si="43"/>
        <v>0</v>
      </c>
      <c r="AL62" s="95">
        <f t="shared" si="43"/>
        <v>0</v>
      </c>
      <c r="AM62" s="95">
        <f t="shared" si="43"/>
        <v>0</v>
      </c>
      <c r="AN62" s="95">
        <f t="shared" si="43"/>
        <v>0</v>
      </c>
      <c r="AO62" s="95">
        <f t="shared" si="43"/>
        <v>0</v>
      </c>
      <c r="AP62" s="95">
        <f t="shared" si="43"/>
        <v>0</v>
      </c>
      <c r="AQ62" s="95">
        <f t="shared" si="43"/>
        <v>0</v>
      </c>
      <c r="AR62" s="96">
        <f t="shared" si="43"/>
        <v>0</v>
      </c>
    </row>
    <row r="63" spans="2:44" s="45" customFormat="1" outlineLevel="1" x14ac:dyDescent="0.15">
      <c r="B63" s="87"/>
      <c r="C63" s="88" t="str">
        <f t="shared" si="30"/>
        <v/>
      </c>
      <c r="D63" s="93">
        <f t="shared" si="31"/>
        <v>0</v>
      </c>
      <c r="E63" s="94">
        <f t="shared" si="40"/>
        <v>0</v>
      </c>
      <c r="F63" s="95">
        <f t="shared" si="40"/>
        <v>0</v>
      </c>
      <c r="G63" s="95">
        <f t="shared" si="40"/>
        <v>0</v>
      </c>
      <c r="H63" s="95">
        <f t="shared" si="40"/>
        <v>0</v>
      </c>
      <c r="I63" s="95">
        <f t="shared" si="40"/>
        <v>0</v>
      </c>
      <c r="J63" s="95">
        <f t="shared" si="40"/>
        <v>0</v>
      </c>
      <c r="K63" s="95">
        <f t="shared" si="40"/>
        <v>0</v>
      </c>
      <c r="L63" s="95">
        <f t="shared" si="40"/>
        <v>0</v>
      </c>
      <c r="M63" s="95">
        <f t="shared" si="40"/>
        <v>0</v>
      </c>
      <c r="N63" s="95">
        <f t="shared" si="40"/>
        <v>0</v>
      </c>
      <c r="O63" s="95">
        <f t="shared" si="41"/>
        <v>0</v>
      </c>
      <c r="P63" s="95">
        <f t="shared" si="41"/>
        <v>0</v>
      </c>
      <c r="Q63" s="95">
        <f t="shared" si="41"/>
        <v>0</v>
      </c>
      <c r="R63" s="95">
        <f t="shared" si="41"/>
        <v>0</v>
      </c>
      <c r="S63" s="95">
        <f t="shared" si="41"/>
        <v>0</v>
      </c>
      <c r="T63" s="95">
        <f t="shared" si="41"/>
        <v>0</v>
      </c>
      <c r="U63" s="95">
        <f t="shared" si="41"/>
        <v>0</v>
      </c>
      <c r="V63" s="95">
        <f t="shared" si="41"/>
        <v>0</v>
      </c>
      <c r="W63" s="95">
        <f t="shared" si="41"/>
        <v>0</v>
      </c>
      <c r="X63" s="95">
        <f t="shared" si="41"/>
        <v>0</v>
      </c>
      <c r="Y63" s="95">
        <f t="shared" si="42"/>
        <v>0</v>
      </c>
      <c r="Z63" s="95">
        <f t="shared" si="42"/>
        <v>0</v>
      </c>
      <c r="AA63" s="95">
        <f t="shared" si="42"/>
        <v>0</v>
      </c>
      <c r="AB63" s="95">
        <f t="shared" si="42"/>
        <v>0</v>
      </c>
      <c r="AC63" s="95">
        <f t="shared" si="42"/>
        <v>0</v>
      </c>
      <c r="AD63" s="95">
        <f t="shared" si="42"/>
        <v>0</v>
      </c>
      <c r="AE63" s="95">
        <f t="shared" si="42"/>
        <v>0</v>
      </c>
      <c r="AF63" s="95">
        <f t="shared" si="42"/>
        <v>0</v>
      </c>
      <c r="AG63" s="95">
        <f t="shared" si="42"/>
        <v>0</v>
      </c>
      <c r="AH63" s="95">
        <f t="shared" si="42"/>
        <v>0</v>
      </c>
      <c r="AI63" s="95">
        <f t="shared" si="43"/>
        <v>0</v>
      </c>
      <c r="AJ63" s="95">
        <f t="shared" si="43"/>
        <v>0</v>
      </c>
      <c r="AK63" s="95">
        <f t="shared" si="43"/>
        <v>0</v>
      </c>
      <c r="AL63" s="95">
        <f t="shared" si="43"/>
        <v>0</v>
      </c>
      <c r="AM63" s="95">
        <f t="shared" si="43"/>
        <v>0</v>
      </c>
      <c r="AN63" s="95">
        <f t="shared" si="43"/>
        <v>0</v>
      </c>
      <c r="AO63" s="95">
        <f t="shared" si="43"/>
        <v>0</v>
      </c>
      <c r="AP63" s="95">
        <f t="shared" si="43"/>
        <v>0</v>
      </c>
      <c r="AQ63" s="95">
        <f t="shared" si="43"/>
        <v>0</v>
      </c>
      <c r="AR63" s="96">
        <f t="shared" si="43"/>
        <v>0</v>
      </c>
    </row>
    <row r="64" spans="2:44" s="45" customFormat="1" outlineLevel="1" x14ac:dyDescent="0.15">
      <c r="B64" s="87"/>
      <c r="C64" s="88" t="str">
        <f t="shared" si="30"/>
        <v/>
      </c>
      <c r="D64" s="93">
        <f t="shared" si="31"/>
        <v>0</v>
      </c>
      <c r="E64" s="94">
        <f t="shared" si="40"/>
        <v>0</v>
      </c>
      <c r="F64" s="95">
        <f t="shared" si="40"/>
        <v>0</v>
      </c>
      <c r="G64" s="95">
        <f t="shared" si="40"/>
        <v>0</v>
      </c>
      <c r="H64" s="95">
        <f t="shared" si="40"/>
        <v>0</v>
      </c>
      <c r="I64" s="95">
        <f t="shared" si="40"/>
        <v>0</v>
      </c>
      <c r="J64" s="95">
        <f t="shared" si="40"/>
        <v>0</v>
      </c>
      <c r="K64" s="95">
        <f t="shared" si="40"/>
        <v>0</v>
      </c>
      <c r="L64" s="95">
        <f t="shared" si="40"/>
        <v>0</v>
      </c>
      <c r="M64" s="95">
        <f t="shared" si="40"/>
        <v>0</v>
      </c>
      <c r="N64" s="95">
        <f t="shared" si="40"/>
        <v>0</v>
      </c>
      <c r="O64" s="95">
        <f t="shared" si="41"/>
        <v>0</v>
      </c>
      <c r="P64" s="95">
        <f t="shared" si="41"/>
        <v>0</v>
      </c>
      <c r="Q64" s="95">
        <f t="shared" si="41"/>
        <v>0</v>
      </c>
      <c r="R64" s="95">
        <f t="shared" si="41"/>
        <v>0</v>
      </c>
      <c r="S64" s="95">
        <f t="shared" si="41"/>
        <v>0</v>
      </c>
      <c r="T64" s="95">
        <f t="shared" si="41"/>
        <v>0</v>
      </c>
      <c r="U64" s="95">
        <f t="shared" si="41"/>
        <v>0</v>
      </c>
      <c r="V64" s="95">
        <f t="shared" si="41"/>
        <v>0</v>
      </c>
      <c r="W64" s="95">
        <f t="shared" si="41"/>
        <v>0</v>
      </c>
      <c r="X64" s="95">
        <f t="shared" si="41"/>
        <v>0</v>
      </c>
      <c r="Y64" s="95">
        <f t="shared" si="42"/>
        <v>0</v>
      </c>
      <c r="Z64" s="95">
        <f t="shared" si="42"/>
        <v>0</v>
      </c>
      <c r="AA64" s="95">
        <f t="shared" si="42"/>
        <v>0</v>
      </c>
      <c r="AB64" s="95">
        <f t="shared" si="42"/>
        <v>0</v>
      </c>
      <c r="AC64" s="95">
        <f t="shared" si="42"/>
        <v>0</v>
      </c>
      <c r="AD64" s="95">
        <f t="shared" si="42"/>
        <v>0</v>
      </c>
      <c r="AE64" s="95">
        <f t="shared" si="42"/>
        <v>0</v>
      </c>
      <c r="AF64" s="95">
        <f t="shared" si="42"/>
        <v>0</v>
      </c>
      <c r="AG64" s="95">
        <f t="shared" si="42"/>
        <v>0</v>
      </c>
      <c r="AH64" s="95">
        <f t="shared" si="42"/>
        <v>0</v>
      </c>
      <c r="AI64" s="95">
        <f t="shared" si="43"/>
        <v>0</v>
      </c>
      <c r="AJ64" s="95">
        <f t="shared" si="43"/>
        <v>0</v>
      </c>
      <c r="AK64" s="95">
        <f t="shared" si="43"/>
        <v>0</v>
      </c>
      <c r="AL64" s="95">
        <f t="shared" si="43"/>
        <v>0</v>
      </c>
      <c r="AM64" s="95">
        <f t="shared" si="43"/>
        <v>0</v>
      </c>
      <c r="AN64" s="95">
        <f t="shared" si="43"/>
        <v>0</v>
      </c>
      <c r="AO64" s="95">
        <f t="shared" si="43"/>
        <v>0</v>
      </c>
      <c r="AP64" s="95">
        <f t="shared" si="43"/>
        <v>0</v>
      </c>
      <c r="AQ64" s="95">
        <f t="shared" si="43"/>
        <v>0</v>
      </c>
      <c r="AR64" s="96">
        <f t="shared" si="43"/>
        <v>0</v>
      </c>
    </row>
    <row r="65" spans="2:44" s="45" customFormat="1" outlineLevel="1" x14ac:dyDescent="0.15">
      <c r="B65" s="87"/>
      <c r="C65" s="88" t="str">
        <f t="shared" si="30"/>
        <v/>
      </c>
      <c r="D65" s="93">
        <f t="shared" si="31"/>
        <v>0</v>
      </c>
      <c r="E65" s="94">
        <f t="shared" si="40"/>
        <v>0</v>
      </c>
      <c r="F65" s="95">
        <f t="shared" si="40"/>
        <v>0</v>
      </c>
      <c r="G65" s="95">
        <f t="shared" si="40"/>
        <v>0</v>
      </c>
      <c r="H65" s="95">
        <f t="shared" si="40"/>
        <v>0</v>
      </c>
      <c r="I65" s="95">
        <f t="shared" si="40"/>
        <v>0</v>
      </c>
      <c r="J65" s="95">
        <f t="shared" si="40"/>
        <v>0</v>
      </c>
      <c r="K65" s="95">
        <f t="shared" si="40"/>
        <v>0</v>
      </c>
      <c r="L65" s="95">
        <f t="shared" si="40"/>
        <v>0</v>
      </c>
      <c r="M65" s="95">
        <f t="shared" si="40"/>
        <v>0</v>
      </c>
      <c r="N65" s="95">
        <f t="shared" si="40"/>
        <v>0</v>
      </c>
      <c r="O65" s="95">
        <f t="shared" si="41"/>
        <v>0</v>
      </c>
      <c r="P65" s="95">
        <f t="shared" si="41"/>
        <v>0</v>
      </c>
      <c r="Q65" s="95">
        <f t="shared" si="41"/>
        <v>0</v>
      </c>
      <c r="R65" s="95">
        <f t="shared" si="41"/>
        <v>0</v>
      </c>
      <c r="S65" s="95">
        <f t="shared" si="41"/>
        <v>0</v>
      </c>
      <c r="T65" s="95">
        <f t="shared" si="41"/>
        <v>0</v>
      </c>
      <c r="U65" s="95">
        <f t="shared" si="41"/>
        <v>0</v>
      </c>
      <c r="V65" s="95">
        <f t="shared" si="41"/>
        <v>0</v>
      </c>
      <c r="W65" s="95">
        <f t="shared" si="41"/>
        <v>0</v>
      </c>
      <c r="X65" s="95">
        <f t="shared" si="41"/>
        <v>0</v>
      </c>
      <c r="Y65" s="95">
        <f t="shared" si="42"/>
        <v>0</v>
      </c>
      <c r="Z65" s="95">
        <f t="shared" si="42"/>
        <v>0</v>
      </c>
      <c r="AA65" s="95">
        <f t="shared" si="42"/>
        <v>0</v>
      </c>
      <c r="AB65" s="95">
        <f t="shared" si="42"/>
        <v>0</v>
      </c>
      <c r="AC65" s="95">
        <f t="shared" si="42"/>
        <v>0</v>
      </c>
      <c r="AD65" s="95">
        <f t="shared" si="42"/>
        <v>0</v>
      </c>
      <c r="AE65" s="95">
        <f t="shared" si="42"/>
        <v>0</v>
      </c>
      <c r="AF65" s="95">
        <f t="shared" si="42"/>
        <v>0</v>
      </c>
      <c r="AG65" s="95">
        <f t="shared" si="42"/>
        <v>0</v>
      </c>
      <c r="AH65" s="95">
        <f t="shared" si="42"/>
        <v>0</v>
      </c>
      <c r="AI65" s="95">
        <f t="shared" si="43"/>
        <v>0</v>
      </c>
      <c r="AJ65" s="95">
        <f t="shared" si="43"/>
        <v>0</v>
      </c>
      <c r="AK65" s="95">
        <f t="shared" si="43"/>
        <v>0</v>
      </c>
      <c r="AL65" s="95">
        <f t="shared" si="43"/>
        <v>0</v>
      </c>
      <c r="AM65" s="95">
        <f t="shared" si="43"/>
        <v>0</v>
      </c>
      <c r="AN65" s="95">
        <f t="shared" si="43"/>
        <v>0</v>
      </c>
      <c r="AO65" s="95">
        <f t="shared" si="43"/>
        <v>0</v>
      </c>
      <c r="AP65" s="95">
        <f t="shared" si="43"/>
        <v>0</v>
      </c>
      <c r="AQ65" s="95">
        <f t="shared" si="43"/>
        <v>0</v>
      </c>
      <c r="AR65" s="96">
        <f t="shared" si="43"/>
        <v>0</v>
      </c>
    </row>
    <row r="66" spans="2:44" s="45" customFormat="1" outlineLevel="1" x14ac:dyDescent="0.15">
      <c r="B66" s="87"/>
      <c r="C66" s="88" t="str">
        <f t="shared" si="30"/>
        <v/>
      </c>
      <c r="D66" s="93">
        <f t="shared" si="31"/>
        <v>0</v>
      </c>
      <c r="E66" s="94">
        <f t="shared" si="40"/>
        <v>0</v>
      </c>
      <c r="F66" s="95">
        <f t="shared" si="40"/>
        <v>0</v>
      </c>
      <c r="G66" s="95">
        <f t="shared" si="40"/>
        <v>0</v>
      </c>
      <c r="H66" s="95">
        <f t="shared" si="40"/>
        <v>0</v>
      </c>
      <c r="I66" s="95">
        <f t="shared" si="40"/>
        <v>0</v>
      </c>
      <c r="J66" s="95">
        <f t="shared" si="40"/>
        <v>0</v>
      </c>
      <c r="K66" s="95">
        <f t="shared" si="40"/>
        <v>0</v>
      </c>
      <c r="L66" s="95">
        <f t="shared" si="40"/>
        <v>0</v>
      </c>
      <c r="M66" s="95">
        <f t="shared" si="40"/>
        <v>0</v>
      </c>
      <c r="N66" s="95">
        <f t="shared" si="40"/>
        <v>0</v>
      </c>
      <c r="O66" s="95">
        <f t="shared" si="41"/>
        <v>0</v>
      </c>
      <c r="P66" s="95">
        <f t="shared" si="41"/>
        <v>0</v>
      </c>
      <c r="Q66" s="95">
        <f t="shared" si="41"/>
        <v>0</v>
      </c>
      <c r="R66" s="95">
        <f t="shared" si="41"/>
        <v>0</v>
      </c>
      <c r="S66" s="95">
        <f t="shared" si="41"/>
        <v>0</v>
      </c>
      <c r="T66" s="95">
        <f t="shared" si="41"/>
        <v>0</v>
      </c>
      <c r="U66" s="95">
        <f t="shared" si="41"/>
        <v>0</v>
      </c>
      <c r="V66" s="95">
        <f t="shared" si="41"/>
        <v>0</v>
      </c>
      <c r="W66" s="95">
        <f t="shared" si="41"/>
        <v>0</v>
      </c>
      <c r="X66" s="95">
        <f t="shared" si="41"/>
        <v>0</v>
      </c>
      <c r="Y66" s="95">
        <f t="shared" si="42"/>
        <v>0</v>
      </c>
      <c r="Z66" s="95">
        <f t="shared" si="42"/>
        <v>0</v>
      </c>
      <c r="AA66" s="95">
        <f t="shared" si="42"/>
        <v>0</v>
      </c>
      <c r="AB66" s="95">
        <f t="shared" si="42"/>
        <v>0</v>
      </c>
      <c r="AC66" s="95">
        <f t="shared" si="42"/>
        <v>0</v>
      </c>
      <c r="AD66" s="95">
        <f t="shared" si="42"/>
        <v>0</v>
      </c>
      <c r="AE66" s="95">
        <f t="shared" si="42"/>
        <v>0</v>
      </c>
      <c r="AF66" s="95">
        <f t="shared" si="42"/>
        <v>0</v>
      </c>
      <c r="AG66" s="95">
        <f t="shared" si="42"/>
        <v>0</v>
      </c>
      <c r="AH66" s="95">
        <f t="shared" si="42"/>
        <v>0</v>
      </c>
      <c r="AI66" s="95">
        <f t="shared" si="43"/>
        <v>0</v>
      </c>
      <c r="AJ66" s="95">
        <f t="shared" si="43"/>
        <v>0</v>
      </c>
      <c r="AK66" s="95">
        <f t="shared" si="43"/>
        <v>0</v>
      </c>
      <c r="AL66" s="95">
        <f t="shared" si="43"/>
        <v>0</v>
      </c>
      <c r="AM66" s="95">
        <f t="shared" si="43"/>
        <v>0</v>
      </c>
      <c r="AN66" s="95">
        <f t="shared" si="43"/>
        <v>0</v>
      </c>
      <c r="AO66" s="95">
        <f t="shared" si="43"/>
        <v>0</v>
      </c>
      <c r="AP66" s="95">
        <f t="shared" si="43"/>
        <v>0</v>
      </c>
      <c r="AQ66" s="95">
        <f t="shared" si="43"/>
        <v>0</v>
      </c>
      <c r="AR66" s="96">
        <f t="shared" si="43"/>
        <v>0</v>
      </c>
    </row>
    <row r="67" spans="2:44" s="45" customFormat="1" outlineLevel="1" x14ac:dyDescent="0.15">
      <c r="B67" s="87"/>
      <c r="C67" s="88" t="str">
        <f t="shared" si="30"/>
        <v/>
      </c>
      <c r="D67" s="93">
        <f t="shared" si="31"/>
        <v>0</v>
      </c>
      <c r="E67" s="94">
        <f t="shared" si="40"/>
        <v>0</v>
      </c>
      <c r="F67" s="95">
        <f t="shared" si="40"/>
        <v>0</v>
      </c>
      <c r="G67" s="95">
        <f t="shared" si="40"/>
        <v>0</v>
      </c>
      <c r="H67" s="95">
        <f t="shared" si="40"/>
        <v>0</v>
      </c>
      <c r="I67" s="95">
        <f t="shared" si="40"/>
        <v>0</v>
      </c>
      <c r="J67" s="95">
        <f t="shared" si="40"/>
        <v>0</v>
      </c>
      <c r="K67" s="95">
        <f t="shared" si="40"/>
        <v>0</v>
      </c>
      <c r="L67" s="95">
        <f t="shared" si="40"/>
        <v>0</v>
      </c>
      <c r="M67" s="95">
        <f t="shared" si="40"/>
        <v>0</v>
      </c>
      <c r="N67" s="95">
        <f t="shared" si="40"/>
        <v>0</v>
      </c>
      <c r="O67" s="95">
        <f t="shared" si="41"/>
        <v>0</v>
      </c>
      <c r="P67" s="95">
        <f t="shared" si="41"/>
        <v>0</v>
      </c>
      <c r="Q67" s="95">
        <f t="shared" si="41"/>
        <v>0</v>
      </c>
      <c r="R67" s="95">
        <f t="shared" si="41"/>
        <v>0</v>
      </c>
      <c r="S67" s="95">
        <f t="shared" si="41"/>
        <v>0</v>
      </c>
      <c r="T67" s="95">
        <f t="shared" si="41"/>
        <v>0</v>
      </c>
      <c r="U67" s="95">
        <f t="shared" si="41"/>
        <v>0</v>
      </c>
      <c r="V67" s="95">
        <f t="shared" si="41"/>
        <v>0</v>
      </c>
      <c r="W67" s="95">
        <f t="shared" si="41"/>
        <v>0</v>
      </c>
      <c r="X67" s="95">
        <f t="shared" si="41"/>
        <v>0</v>
      </c>
      <c r="Y67" s="95">
        <f t="shared" si="42"/>
        <v>0</v>
      </c>
      <c r="Z67" s="95">
        <f t="shared" si="42"/>
        <v>0</v>
      </c>
      <c r="AA67" s="95">
        <f t="shared" si="42"/>
        <v>0</v>
      </c>
      <c r="AB67" s="95">
        <f t="shared" si="42"/>
        <v>0</v>
      </c>
      <c r="AC67" s="95">
        <f t="shared" si="42"/>
        <v>0</v>
      </c>
      <c r="AD67" s="95">
        <f t="shared" si="42"/>
        <v>0</v>
      </c>
      <c r="AE67" s="95">
        <f t="shared" si="42"/>
        <v>0</v>
      </c>
      <c r="AF67" s="95">
        <f t="shared" si="42"/>
        <v>0</v>
      </c>
      <c r="AG67" s="95">
        <f t="shared" si="42"/>
        <v>0</v>
      </c>
      <c r="AH67" s="95">
        <f t="shared" si="42"/>
        <v>0</v>
      </c>
      <c r="AI67" s="95">
        <f t="shared" si="43"/>
        <v>0</v>
      </c>
      <c r="AJ67" s="95">
        <f t="shared" si="43"/>
        <v>0</v>
      </c>
      <c r="AK67" s="95">
        <f t="shared" si="43"/>
        <v>0</v>
      </c>
      <c r="AL67" s="95">
        <f t="shared" si="43"/>
        <v>0</v>
      </c>
      <c r="AM67" s="95">
        <f t="shared" si="43"/>
        <v>0</v>
      </c>
      <c r="AN67" s="95">
        <f t="shared" si="43"/>
        <v>0</v>
      </c>
      <c r="AO67" s="95">
        <f t="shared" si="43"/>
        <v>0</v>
      </c>
      <c r="AP67" s="95">
        <f t="shared" si="43"/>
        <v>0</v>
      </c>
      <c r="AQ67" s="95">
        <f t="shared" si="43"/>
        <v>0</v>
      </c>
      <c r="AR67" s="96">
        <f t="shared" si="43"/>
        <v>0</v>
      </c>
    </row>
    <row r="68" spans="2:44" s="45" customFormat="1" outlineLevel="1" x14ac:dyDescent="0.15">
      <c r="B68" s="87"/>
      <c r="C68" s="88" t="str">
        <f t="shared" si="30"/>
        <v/>
      </c>
      <c r="D68" s="93">
        <f t="shared" si="31"/>
        <v>0</v>
      </c>
      <c r="E68" s="94">
        <f t="shared" si="40"/>
        <v>0</v>
      </c>
      <c r="F68" s="95">
        <f t="shared" si="40"/>
        <v>0</v>
      </c>
      <c r="G68" s="95">
        <f t="shared" si="40"/>
        <v>0</v>
      </c>
      <c r="H68" s="95">
        <f t="shared" si="40"/>
        <v>0</v>
      </c>
      <c r="I68" s="95">
        <f t="shared" si="40"/>
        <v>0</v>
      </c>
      <c r="J68" s="95">
        <f t="shared" si="40"/>
        <v>0</v>
      </c>
      <c r="K68" s="95">
        <f t="shared" si="40"/>
        <v>0</v>
      </c>
      <c r="L68" s="95">
        <f t="shared" si="40"/>
        <v>0</v>
      </c>
      <c r="M68" s="95">
        <f t="shared" si="40"/>
        <v>0</v>
      </c>
      <c r="N68" s="95">
        <f t="shared" si="40"/>
        <v>0</v>
      </c>
      <c r="O68" s="95">
        <f t="shared" si="41"/>
        <v>0</v>
      </c>
      <c r="P68" s="95">
        <f t="shared" si="41"/>
        <v>0</v>
      </c>
      <c r="Q68" s="95">
        <f t="shared" si="41"/>
        <v>0</v>
      </c>
      <c r="R68" s="95">
        <f t="shared" si="41"/>
        <v>0</v>
      </c>
      <c r="S68" s="95">
        <f t="shared" si="41"/>
        <v>0</v>
      </c>
      <c r="T68" s="95">
        <f t="shared" si="41"/>
        <v>0</v>
      </c>
      <c r="U68" s="95">
        <f t="shared" si="41"/>
        <v>0</v>
      </c>
      <c r="V68" s="95">
        <f t="shared" si="41"/>
        <v>0</v>
      </c>
      <c r="W68" s="95">
        <f t="shared" si="41"/>
        <v>0</v>
      </c>
      <c r="X68" s="95">
        <f t="shared" si="41"/>
        <v>0</v>
      </c>
      <c r="Y68" s="95">
        <f t="shared" si="42"/>
        <v>0</v>
      </c>
      <c r="Z68" s="95">
        <f t="shared" si="42"/>
        <v>0</v>
      </c>
      <c r="AA68" s="95">
        <f t="shared" si="42"/>
        <v>0</v>
      </c>
      <c r="AB68" s="95">
        <f t="shared" si="42"/>
        <v>0</v>
      </c>
      <c r="AC68" s="95">
        <f t="shared" si="42"/>
        <v>0</v>
      </c>
      <c r="AD68" s="95">
        <f t="shared" si="42"/>
        <v>0</v>
      </c>
      <c r="AE68" s="95">
        <f t="shared" si="42"/>
        <v>0</v>
      </c>
      <c r="AF68" s="95">
        <f t="shared" si="42"/>
        <v>0</v>
      </c>
      <c r="AG68" s="95">
        <f t="shared" si="42"/>
        <v>0</v>
      </c>
      <c r="AH68" s="95">
        <f t="shared" si="42"/>
        <v>0</v>
      </c>
      <c r="AI68" s="95">
        <f t="shared" si="43"/>
        <v>0</v>
      </c>
      <c r="AJ68" s="95">
        <f t="shared" si="43"/>
        <v>0</v>
      </c>
      <c r="AK68" s="95">
        <f t="shared" si="43"/>
        <v>0</v>
      </c>
      <c r="AL68" s="95">
        <f t="shared" si="43"/>
        <v>0</v>
      </c>
      <c r="AM68" s="95">
        <f t="shared" si="43"/>
        <v>0</v>
      </c>
      <c r="AN68" s="95">
        <f t="shared" si="43"/>
        <v>0</v>
      </c>
      <c r="AO68" s="95">
        <f t="shared" si="43"/>
        <v>0</v>
      </c>
      <c r="AP68" s="95">
        <f t="shared" si="43"/>
        <v>0</v>
      </c>
      <c r="AQ68" s="95">
        <f t="shared" si="43"/>
        <v>0</v>
      </c>
      <c r="AR68" s="96">
        <f t="shared" si="43"/>
        <v>0</v>
      </c>
    </row>
    <row r="69" spans="2:44" s="45" customFormat="1" outlineLevel="1" x14ac:dyDescent="0.15">
      <c r="B69" s="87"/>
      <c r="C69" s="88" t="str">
        <f t="shared" si="30"/>
        <v/>
      </c>
      <c r="D69" s="93">
        <f t="shared" si="31"/>
        <v>0</v>
      </c>
      <c r="E69" s="94">
        <f t="shared" si="40"/>
        <v>0</v>
      </c>
      <c r="F69" s="95">
        <f t="shared" si="40"/>
        <v>0</v>
      </c>
      <c r="G69" s="95">
        <f t="shared" si="40"/>
        <v>0</v>
      </c>
      <c r="H69" s="95">
        <f t="shared" si="40"/>
        <v>0</v>
      </c>
      <c r="I69" s="95">
        <f t="shared" si="40"/>
        <v>0</v>
      </c>
      <c r="J69" s="95">
        <f t="shared" si="40"/>
        <v>0</v>
      </c>
      <c r="K69" s="95">
        <f t="shared" si="40"/>
        <v>0</v>
      </c>
      <c r="L69" s="95">
        <f t="shared" si="40"/>
        <v>0</v>
      </c>
      <c r="M69" s="95">
        <f t="shared" si="40"/>
        <v>0</v>
      </c>
      <c r="N69" s="95">
        <f t="shared" si="40"/>
        <v>0</v>
      </c>
      <c r="O69" s="95">
        <f t="shared" si="41"/>
        <v>0</v>
      </c>
      <c r="P69" s="95">
        <f t="shared" si="41"/>
        <v>0</v>
      </c>
      <c r="Q69" s="95">
        <f t="shared" si="41"/>
        <v>0</v>
      </c>
      <c r="R69" s="95">
        <f t="shared" si="41"/>
        <v>0</v>
      </c>
      <c r="S69" s="95">
        <f t="shared" si="41"/>
        <v>0</v>
      </c>
      <c r="T69" s="95">
        <f t="shared" si="41"/>
        <v>0</v>
      </c>
      <c r="U69" s="95">
        <f t="shared" si="41"/>
        <v>0</v>
      </c>
      <c r="V69" s="95">
        <f t="shared" si="41"/>
        <v>0</v>
      </c>
      <c r="W69" s="95">
        <f t="shared" si="41"/>
        <v>0</v>
      </c>
      <c r="X69" s="95">
        <f t="shared" si="41"/>
        <v>0</v>
      </c>
      <c r="Y69" s="95">
        <f t="shared" si="42"/>
        <v>0</v>
      </c>
      <c r="Z69" s="95">
        <f t="shared" si="42"/>
        <v>0</v>
      </c>
      <c r="AA69" s="95">
        <f t="shared" si="42"/>
        <v>0</v>
      </c>
      <c r="AB69" s="95">
        <f t="shared" si="42"/>
        <v>0</v>
      </c>
      <c r="AC69" s="95">
        <f t="shared" si="42"/>
        <v>0</v>
      </c>
      <c r="AD69" s="95">
        <f t="shared" si="42"/>
        <v>0</v>
      </c>
      <c r="AE69" s="95">
        <f t="shared" si="42"/>
        <v>0</v>
      </c>
      <c r="AF69" s="95">
        <f t="shared" si="42"/>
        <v>0</v>
      </c>
      <c r="AG69" s="95">
        <f t="shared" si="42"/>
        <v>0</v>
      </c>
      <c r="AH69" s="95">
        <f t="shared" si="42"/>
        <v>0</v>
      </c>
      <c r="AI69" s="95">
        <f t="shared" si="43"/>
        <v>0</v>
      </c>
      <c r="AJ69" s="95">
        <f t="shared" si="43"/>
        <v>0</v>
      </c>
      <c r="AK69" s="95">
        <f t="shared" si="43"/>
        <v>0</v>
      </c>
      <c r="AL69" s="95">
        <f t="shared" si="43"/>
        <v>0</v>
      </c>
      <c r="AM69" s="95">
        <f t="shared" si="43"/>
        <v>0</v>
      </c>
      <c r="AN69" s="95">
        <f t="shared" si="43"/>
        <v>0</v>
      </c>
      <c r="AO69" s="95">
        <f t="shared" si="43"/>
        <v>0</v>
      </c>
      <c r="AP69" s="95">
        <f t="shared" si="43"/>
        <v>0</v>
      </c>
      <c r="AQ69" s="95">
        <f t="shared" si="43"/>
        <v>0</v>
      </c>
      <c r="AR69" s="96">
        <f t="shared" si="43"/>
        <v>0</v>
      </c>
    </row>
    <row r="70" spans="2:44" s="45" customFormat="1" outlineLevel="1" x14ac:dyDescent="0.15">
      <c r="B70" s="87"/>
      <c r="C70" s="88" t="str">
        <f t="shared" si="30"/>
        <v/>
      </c>
      <c r="D70" s="93">
        <f t="shared" si="31"/>
        <v>0</v>
      </c>
      <c r="E70" s="94">
        <f t="shared" si="40"/>
        <v>0</v>
      </c>
      <c r="F70" s="95">
        <f t="shared" si="40"/>
        <v>0</v>
      </c>
      <c r="G70" s="95">
        <f t="shared" si="40"/>
        <v>0</v>
      </c>
      <c r="H70" s="95">
        <f t="shared" si="40"/>
        <v>0</v>
      </c>
      <c r="I70" s="95">
        <f t="shared" si="40"/>
        <v>0</v>
      </c>
      <c r="J70" s="95">
        <f t="shared" si="40"/>
        <v>0</v>
      </c>
      <c r="K70" s="95">
        <f t="shared" si="40"/>
        <v>0</v>
      </c>
      <c r="L70" s="95">
        <f t="shared" si="40"/>
        <v>0</v>
      </c>
      <c r="M70" s="95">
        <f t="shared" si="40"/>
        <v>0</v>
      </c>
      <c r="N70" s="95">
        <f t="shared" si="40"/>
        <v>0</v>
      </c>
      <c r="O70" s="95">
        <f t="shared" si="41"/>
        <v>0</v>
      </c>
      <c r="P70" s="95">
        <f t="shared" si="41"/>
        <v>0</v>
      </c>
      <c r="Q70" s="95">
        <f t="shared" si="41"/>
        <v>0</v>
      </c>
      <c r="R70" s="95">
        <f t="shared" si="41"/>
        <v>0</v>
      </c>
      <c r="S70" s="95">
        <f t="shared" si="41"/>
        <v>0</v>
      </c>
      <c r="T70" s="95">
        <f t="shared" si="41"/>
        <v>0</v>
      </c>
      <c r="U70" s="95">
        <f t="shared" si="41"/>
        <v>0</v>
      </c>
      <c r="V70" s="95">
        <f t="shared" si="41"/>
        <v>0</v>
      </c>
      <c r="W70" s="95">
        <f t="shared" si="41"/>
        <v>0</v>
      </c>
      <c r="X70" s="95">
        <f t="shared" si="41"/>
        <v>0</v>
      </c>
      <c r="Y70" s="95">
        <f t="shared" si="42"/>
        <v>0</v>
      </c>
      <c r="Z70" s="95">
        <f t="shared" si="42"/>
        <v>0</v>
      </c>
      <c r="AA70" s="95">
        <f t="shared" si="42"/>
        <v>0</v>
      </c>
      <c r="AB70" s="95">
        <f t="shared" si="42"/>
        <v>0</v>
      </c>
      <c r="AC70" s="95">
        <f t="shared" si="42"/>
        <v>0</v>
      </c>
      <c r="AD70" s="95">
        <f t="shared" si="42"/>
        <v>0</v>
      </c>
      <c r="AE70" s="95">
        <f t="shared" si="42"/>
        <v>0</v>
      </c>
      <c r="AF70" s="95">
        <f t="shared" si="42"/>
        <v>0</v>
      </c>
      <c r="AG70" s="95">
        <f t="shared" si="42"/>
        <v>0</v>
      </c>
      <c r="AH70" s="95">
        <f t="shared" si="42"/>
        <v>0</v>
      </c>
      <c r="AI70" s="95">
        <f t="shared" si="43"/>
        <v>0</v>
      </c>
      <c r="AJ70" s="95">
        <f t="shared" si="43"/>
        <v>0</v>
      </c>
      <c r="AK70" s="95">
        <f t="shared" si="43"/>
        <v>0</v>
      </c>
      <c r="AL70" s="95">
        <f t="shared" si="43"/>
        <v>0</v>
      </c>
      <c r="AM70" s="95">
        <f t="shared" si="43"/>
        <v>0</v>
      </c>
      <c r="AN70" s="95">
        <f t="shared" si="43"/>
        <v>0</v>
      </c>
      <c r="AO70" s="95">
        <f t="shared" si="43"/>
        <v>0</v>
      </c>
      <c r="AP70" s="95">
        <f t="shared" si="43"/>
        <v>0</v>
      </c>
      <c r="AQ70" s="95">
        <f t="shared" si="43"/>
        <v>0</v>
      </c>
      <c r="AR70" s="96">
        <f t="shared" si="43"/>
        <v>0</v>
      </c>
    </row>
    <row r="71" spans="2:44" s="45" customFormat="1" outlineLevel="1" x14ac:dyDescent="0.15">
      <c r="B71" s="87"/>
      <c r="C71" s="88" t="str">
        <f t="shared" si="30"/>
        <v/>
      </c>
      <c r="D71" s="93">
        <f t="shared" si="31"/>
        <v>0</v>
      </c>
      <c r="E71" s="94">
        <f t="shared" si="40"/>
        <v>0</v>
      </c>
      <c r="F71" s="95">
        <f t="shared" si="40"/>
        <v>0</v>
      </c>
      <c r="G71" s="95">
        <f t="shared" si="40"/>
        <v>0</v>
      </c>
      <c r="H71" s="95">
        <f t="shared" si="40"/>
        <v>0</v>
      </c>
      <c r="I71" s="95">
        <f t="shared" si="40"/>
        <v>0</v>
      </c>
      <c r="J71" s="95">
        <f t="shared" si="40"/>
        <v>0</v>
      </c>
      <c r="K71" s="95">
        <f t="shared" si="40"/>
        <v>0</v>
      </c>
      <c r="L71" s="95">
        <f t="shared" si="40"/>
        <v>0</v>
      </c>
      <c r="M71" s="95">
        <f t="shared" si="40"/>
        <v>0</v>
      </c>
      <c r="N71" s="95">
        <f t="shared" si="40"/>
        <v>0</v>
      </c>
      <c r="O71" s="95">
        <f t="shared" si="41"/>
        <v>0</v>
      </c>
      <c r="P71" s="95">
        <f t="shared" si="41"/>
        <v>0</v>
      </c>
      <c r="Q71" s="95">
        <f t="shared" si="41"/>
        <v>0</v>
      </c>
      <c r="R71" s="95">
        <f t="shared" si="41"/>
        <v>0</v>
      </c>
      <c r="S71" s="95">
        <f t="shared" si="41"/>
        <v>0</v>
      </c>
      <c r="T71" s="95">
        <f t="shared" si="41"/>
        <v>0</v>
      </c>
      <c r="U71" s="95">
        <f t="shared" si="41"/>
        <v>0</v>
      </c>
      <c r="V71" s="95">
        <f t="shared" si="41"/>
        <v>0</v>
      </c>
      <c r="W71" s="95">
        <f t="shared" si="41"/>
        <v>0</v>
      </c>
      <c r="X71" s="95">
        <f t="shared" si="41"/>
        <v>0</v>
      </c>
      <c r="Y71" s="95">
        <f t="shared" si="42"/>
        <v>0</v>
      </c>
      <c r="Z71" s="95">
        <f t="shared" si="42"/>
        <v>0</v>
      </c>
      <c r="AA71" s="95">
        <f t="shared" si="42"/>
        <v>0</v>
      </c>
      <c r="AB71" s="95">
        <f t="shared" si="42"/>
        <v>0</v>
      </c>
      <c r="AC71" s="95">
        <f t="shared" si="42"/>
        <v>0</v>
      </c>
      <c r="AD71" s="95">
        <f t="shared" si="42"/>
        <v>0</v>
      </c>
      <c r="AE71" s="95">
        <f t="shared" si="42"/>
        <v>0</v>
      </c>
      <c r="AF71" s="95">
        <f t="shared" si="42"/>
        <v>0</v>
      </c>
      <c r="AG71" s="95">
        <f t="shared" si="42"/>
        <v>0</v>
      </c>
      <c r="AH71" s="95">
        <f t="shared" si="42"/>
        <v>0</v>
      </c>
      <c r="AI71" s="95">
        <f t="shared" si="43"/>
        <v>0</v>
      </c>
      <c r="AJ71" s="95">
        <f t="shared" si="43"/>
        <v>0</v>
      </c>
      <c r="AK71" s="95">
        <f t="shared" si="43"/>
        <v>0</v>
      </c>
      <c r="AL71" s="95">
        <f t="shared" si="43"/>
        <v>0</v>
      </c>
      <c r="AM71" s="95">
        <f t="shared" si="43"/>
        <v>0</v>
      </c>
      <c r="AN71" s="95">
        <f t="shared" si="43"/>
        <v>0</v>
      </c>
      <c r="AO71" s="95">
        <f t="shared" si="43"/>
        <v>0</v>
      </c>
      <c r="AP71" s="95">
        <f t="shared" si="43"/>
        <v>0</v>
      </c>
      <c r="AQ71" s="95">
        <f t="shared" si="43"/>
        <v>0</v>
      </c>
      <c r="AR71" s="96">
        <f t="shared" si="43"/>
        <v>0</v>
      </c>
    </row>
    <row r="72" spans="2:44" s="45" customFormat="1" outlineLevel="1" x14ac:dyDescent="0.15">
      <c r="B72" s="87"/>
      <c r="C72" s="88" t="str">
        <f t="shared" si="30"/>
        <v/>
      </c>
      <c r="D72" s="93">
        <f t="shared" si="31"/>
        <v>0</v>
      </c>
      <c r="E72" s="94">
        <f t="shared" ref="E72:N81" si="44">IF(OR($C72="",Year&gt;Contract_Length),,IF(Year&lt;INDEX(Year,1,5+ROW()-ROW($A$42)),,IF(Year&gt;INDEX(Year,1,5+ROW()-ROW($A$42))+Invest_Period-1,,$D72/Invest_Period)))</f>
        <v>0</v>
      </c>
      <c r="F72" s="95">
        <f t="shared" si="44"/>
        <v>0</v>
      </c>
      <c r="G72" s="95">
        <f t="shared" si="44"/>
        <v>0</v>
      </c>
      <c r="H72" s="95">
        <f t="shared" si="44"/>
        <v>0</v>
      </c>
      <c r="I72" s="95">
        <f t="shared" si="44"/>
        <v>0</v>
      </c>
      <c r="J72" s="95">
        <f t="shared" si="44"/>
        <v>0</v>
      </c>
      <c r="K72" s="95">
        <f t="shared" si="44"/>
        <v>0</v>
      </c>
      <c r="L72" s="95">
        <f t="shared" si="44"/>
        <v>0</v>
      </c>
      <c r="M72" s="95">
        <f t="shared" si="44"/>
        <v>0</v>
      </c>
      <c r="N72" s="95">
        <f t="shared" si="44"/>
        <v>0</v>
      </c>
      <c r="O72" s="95">
        <f t="shared" ref="O72:X81" si="45">IF(OR($C72="",Year&gt;Contract_Length),,IF(Year&lt;INDEX(Year,1,5+ROW()-ROW($A$42)),,IF(Year&gt;INDEX(Year,1,5+ROW()-ROW($A$42))+Invest_Period-1,,$D72/Invest_Period)))</f>
        <v>0</v>
      </c>
      <c r="P72" s="95">
        <f t="shared" si="45"/>
        <v>0</v>
      </c>
      <c r="Q72" s="95">
        <f t="shared" si="45"/>
        <v>0</v>
      </c>
      <c r="R72" s="95">
        <f t="shared" si="45"/>
        <v>0</v>
      </c>
      <c r="S72" s="95">
        <f t="shared" si="45"/>
        <v>0</v>
      </c>
      <c r="T72" s="95">
        <f t="shared" si="45"/>
        <v>0</v>
      </c>
      <c r="U72" s="95">
        <f t="shared" si="45"/>
        <v>0</v>
      </c>
      <c r="V72" s="95">
        <f t="shared" si="45"/>
        <v>0</v>
      </c>
      <c r="W72" s="95">
        <f t="shared" si="45"/>
        <v>0</v>
      </c>
      <c r="X72" s="95">
        <f t="shared" si="45"/>
        <v>0</v>
      </c>
      <c r="Y72" s="95">
        <f t="shared" ref="Y72:AH81" si="46">IF(OR($C72="",Year&gt;Contract_Length),,IF(Year&lt;INDEX(Year,1,5+ROW()-ROW($A$42)),,IF(Year&gt;INDEX(Year,1,5+ROW()-ROW($A$42))+Invest_Period-1,,$D72/Invest_Period)))</f>
        <v>0</v>
      </c>
      <c r="Z72" s="95">
        <f t="shared" si="46"/>
        <v>0</v>
      </c>
      <c r="AA72" s="95">
        <f t="shared" si="46"/>
        <v>0</v>
      </c>
      <c r="AB72" s="95">
        <f t="shared" si="46"/>
        <v>0</v>
      </c>
      <c r="AC72" s="95">
        <f t="shared" si="46"/>
        <v>0</v>
      </c>
      <c r="AD72" s="95">
        <f t="shared" si="46"/>
        <v>0</v>
      </c>
      <c r="AE72" s="95">
        <f t="shared" si="46"/>
        <v>0</v>
      </c>
      <c r="AF72" s="95">
        <f t="shared" si="46"/>
        <v>0</v>
      </c>
      <c r="AG72" s="95">
        <f t="shared" si="46"/>
        <v>0</v>
      </c>
      <c r="AH72" s="95">
        <f t="shared" si="46"/>
        <v>0</v>
      </c>
      <c r="AI72" s="95">
        <f t="shared" ref="AI72:AR81" si="47">IF(OR($C72="",Year&gt;Contract_Length),,IF(Year&lt;INDEX(Year,1,5+ROW()-ROW($A$42)),,IF(Year&gt;INDEX(Year,1,5+ROW()-ROW($A$42))+Invest_Period-1,,$D72/Invest_Period)))</f>
        <v>0</v>
      </c>
      <c r="AJ72" s="95">
        <f t="shared" si="47"/>
        <v>0</v>
      </c>
      <c r="AK72" s="95">
        <f t="shared" si="47"/>
        <v>0</v>
      </c>
      <c r="AL72" s="95">
        <f t="shared" si="47"/>
        <v>0</v>
      </c>
      <c r="AM72" s="95">
        <f t="shared" si="47"/>
        <v>0</v>
      </c>
      <c r="AN72" s="95">
        <f t="shared" si="47"/>
        <v>0</v>
      </c>
      <c r="AO72" s="95">
        <f t="shared" si="47"/>
        <v>0</v>
      </c>
      <c r="AP72" s="95">
        <f t="shared" si="47"/>
        <v>0</v>
      </c>
      <c r="AQ72" s="95">
        <f t="shared" si="47"/>
        <v>0</v>
      </c>
      <c r="AR72" s="96">
        <f t="shared" si="47"/>
        <v>0</v>
      </c>
    </row>
    <row r="73" spans="2:44" s="45" customFormat="1" outlineLevel="1" x14ac:dyDescent="0.15">
      <c r="B73" s="87"/>
      <c r="C73" s="88" t="str">
        <f t="shared" si="30"/>
        <v/>
      </c>
      <c r="D73" s="93">
        <f t="shared" si="31"/>
        <v>0</v>
      </c>
      <c r="E73" s="94">
        <f t="shared" si="44"/>
        <v>0</v>
      </c>
      <c r="F73" s="95">
        <f t="shared" si="44"/>
        <v>0</v>
      </c>
      <c r="G73" s="95">
        <f t="shared" si="44"/>
        <v>0</v>
      </c>
      <c r="H73" s="95">
        <f t="shared" si="44"/>
        <v>0</v>
      </c>
      <c r="I73" s="95">
        <f t="shared" si="44"/>
        <v>0</v>
      </c>
      <c r="J73" s="95">
        <f t="shared" si="44"/>
        <v>0</v>
      </c>
      <c r="K73" s="95">
        <f t="shared" si="44"/>
        <v>0</v>
      </c>
      <c r="L73" s="95">
        <f t="shared" si="44"/>
        <v>0</v>
      </c>
      <c r="M73" s="95">
        <f t="shared" si="44"/>
        <v>0</v>
      </c>
      <c r="N73" s="95">
        <f t="shared" si="44"/>
        <v>0</v>
      </c>
      <c r="O73" s="95">
        <f t="shared" si="45"/>
        <v>0</v>
      </c>
      <c r="P73" s="95">
        <f t="shared" si="45"/>
        <v>0</v>
      </c>
      <c r="Q73" s="95">
        <f t="shared" si="45"/>
        <v>0</v>
      </c>
      <c r="R73" s="95">
        <f t="shared" si="45"/>
        <v>0</v>
      </c>
      <c r="S73" s="95">
        <f t="shared" si="45"/>
        <v>0</v>
      </c>
      <c r="T73" s="95">
        <f t="shared" si="45"/>
        <v>0</v>
      </c>
      <c r="U73" s="95">
        <f t="shared" si="45"/>
        <v>0</v>
      </c>
      <c r="V73" s="95">
        <f t="shared" si="45"/>
        <v>0</v>
      </c>
      <c r="W73" s="95">
        <f t="shared" si="45"/>
        <v>0</v>
      </c>
      <c r="X73" s="95">
        <f t="shared" si="45"/>
        <v>0</v>
      </c>
      <c r="Y73" s="95">
        <f t="shared" si="46"/>
        <v>0</v>
      </c>
      <c r="Z73" s="95">
        <f t="shared" si="46"/>
        <v>0</v>
      </c>
      <c r="AA73" s="95">
        <f t="shared" si="46"/>
        <v>0</v>
      </c>
      <c r="AB73" s="95">
        <f t="shared" si="46"/>
        <v>0</v>
      </c>
      <c r="AC73" s="95">
        <f t="shared" si="46"/>
        <v>0</v>
      </c>
      <c r="AD73" s="95">
        <f t="shared" si="46"/>
        <v>0</v>
      </c>
      <c r="AE73" s="95">
        <f t="shared" si="46"/>
        <v>0</v>
      </c>
      <c r="AF73" s="95">
        <f t="shared" si="46"/>
        <v>0</v>
      </c>
      <c r="AG73" s="95">
        <f t="shared" si="46"/>
        <v>0</v>
      </c>
      <c r="AH73" s="95">
        <f t="shared" si="46"/>
        <v>0</v>
      </c>
      <c r="AI73" s="95">
        <f t="shared" si="47"/>
        <v>0</v>
      </c>
      <c r="AJ73" s="95">
        <f t="shared" si="47"/>
        <v>0</v>
      </c>
      <c r="AK73" s="95">
        <f t="shared" si="47"/>
        <v>0</v>
      </c>
      <c r="AL73" s="95">
        <f t="shared" si="47"/>
        <v>0</v>
      </c>
      <c r="AM73" s="95">
        <f t="shared" si="47"/>
        <v>0</v>
      </c>
      <c r="AN73" s="95">
        <f t="shared" si="47"/>
        <v>0</v>
      </c>
      <c r="AO73" s="95">
        <f t="shared" si="47"/>
        <v>0</v>
      </c>
      <c r="AP73" s="95">
        <f t="shared" si="47"/>
        <v>0</v>
      </c>
      <c r="AQ73" s="95">
        <f t="shared" si="47"/>
        <v>0</v>
      </c>
      <c r="AR73" s="96">
        <f t="shared" si="47"/>
        <v>0</v>
      </c>
    </row>
    <row r="74" spans="2:44" s="45" customFormat="1" outlineLevel="1" x14ac:dyDescent="0.15">
      <c r="B74" s="87"/>
      <c r="C74" s="88" t="str">
        <f t="shared" si="30"/>
        <v/>
      </c>
      <c r="D74" s="93">
        <f t="shared" si="31"/>
        <v>0</v>
      </c>
      <c r="E74" s="94">
        <f t="shared" si="44"/>
        <v>0</v>
      </c>
      <c r="F74" s="95">
        <f t="shared" si="44"/>
        <v>0</v>
      </c>
      <c r="G74" s="95">
        <f t="shared" si="44"/>
        <v>0</v>
      </c>
      <c r="H74" s="95">
        <f t="shared" si="44"/>
        <v>0</v>
      </c>
      <c r="I74" s="95">
        <f t="shared" si="44"/>
        <v>0</v>
      </c>
      <c r="J74" s="95">
        <f t="shared" si="44"/>
        <v>0</v>
      </c>
      <c r="K74" s="95">
        <f t="shared" si="44"/>
        <v>0</v>
      </c>
      <c r="L74" s="95">
        <f t="shared" si="44"/>
        <v>0</v>
      </c>
      <c r="M74" s="95">
        <f t="shared" si="44"/>
        <v>0</v>
      </c>
      <c r="N74" s="95">
        <f t="shared" si="44"/>
        <v>0</v>
      </c>
      <c r="O74" s="95">
        <f t="shared" si="45"/>
        <v>0</v>
      </c>
      <c r="P74" s="95">
        <f t="shared" si="45"/>
        <v>0</v>
      </c>
      <c r="Q74" s="95">
        <f t="shared" si="45"/>
        <v>0</v>
      </c>
      <c r="R74" s="95">
        <f t="shared" si="45"/>
        <v>0</v>
      </c>
      <c r="S74" s="95">
        <f t="shared" si="45"/>
        <v>0</v>
      </c>
      <c r="T74" s="95">
        <f t="shared" si="45"/>
        <v>0</v>
      </c>
      <c r="U74" s="95">
        <f t="shared" si="45"/>
        <v>0</v>
      </c>
      <c r="V74" s="95">
        <f t="shared" si="45"/>
        <v>0</v>
      </c>
      <c r="W74" s="95">
        <f t="shared" si="45"/>
        <v>0</v>
      </c>
      <c r="X74" s="95">
        <f t="shared" si="45"/>
        <v>0</v>
      </c>
      <c r="Y74" s="95">
        <f t="shared" si="46"/>
        <v>0</v>
      </c>
      <c r="Z74" s="95">
        <f t="shared" si="46"/>
        <v>0</v>
      </c>
      <c r="AA74" s="95">
        <f t="shared" si="46"/>
        <v>0</v>
      </c>
      <c r="AB74" s="95">
        <f t="shared" si="46"/>
        <v>0</v>
      </c>
      <c r="AC74" s="95">
        <f t="shared" si="46"/>
        <v>0</v>
      </c>
      <c r="AD74" s="95">
        <f t="shared" si="46"/>
        <v>0</v>
      </c>
      <c r="AE74" s="95">
        <f t="shared" si="46"/>
        <v>0</v>
      </c>
      <c r="AF74" s="95">
        <f t="shared" si="46"/>
        <v>0</v>
      </c>
      <c r="AG74" s="95">
        <f t="shared" si="46"/>
        <v>0</v>
      </c>
      <c r="AH74" s="95">
        <f t="shared" si="46"/>
        <v>0</v>
      </c>
      <c r="AI74" s="95">
        <f t="shared" si="47"/>
        <v>0</v>
      </c>
      <c r="AJ74" s="95">
        <f t="shared" si="47"/>
        <v>0</v>
      </c>
      <c r="AK74" s="95">
        <f t="shared" si="47"/>
        <v>0</v>
      </c>
      <c r="AL74" s="95">
        <f t="shared" si="47"/>
        <v>0</v>
      </c>
      <c r="AM74" s="95">
        <f t="shared" si="47"/>
        <v>0</v>
      </c>
      <c r="AN74" s="95">
        <f t="shared" si="47"/>
        <v>0</v>
      </c>
      <c r="AO74" s="95">
        <f t="shared" si="47"/>
        <v>0</v>
      </c>
      <c r="AP74" s="95">
        <f t="shared" si="47"/>
        <v>0</v>
      </c>
      <c r="AQ74" s="95">
        <f t="shared" si="47"/>
        <v>0</v>
      </c>
      <c r="AR74" s="96">
        <f t="shared" si="47"/>
        <v>0</v>
      </c>
    </row>
    <row r="75" spans="2:44" s="45" customFormat="1" outlineLevel="1" x14ac:dyDescent="0.15">
      <c r="B75" s="87"/>
      <c r="C75" s="88" t="str">
        <f t="shared" si="30"/>
        <v/>
      </c>
      <c r="D75" s="93">
        <f t="shared" si="31"/>
        <v>0</v>
      </c>
      <c r="E75" s="94">
        <f t="shared" si="44"/>
        <v>0</v>
      </c>
      <c r="F75" s="95">
        <f t="shared" si="44"/>
        <v>0</v>
      </c>
      <c r="G75" s="95">
        <f t="shared" si="44"/>
        <v>0</v>
      </c>
      <c r="H75" s="95">
        <f t="shared" si="44"/>
        <v>0</v>
      </c>
      <c r="I75" s="95">
        <f t="shared" si="44"/>
        <v>0</v>
      </c>
      <c r="J75" s="95">
        <f t="shared" si="44"/>
        <v>0</v>
      </c>
      <c r="K75" s="95">
        <f t="shared" si="44"/>
        <v>0</v>
      </c>
      <c r="L75" s="95">
        <f t="shared" si="44"/>
        <v>0</v>
      </c>
      <c r="M75" s="95">
        <f t="shared" si="44"/>
        <v>0</v>
      </c>
      <c r="N75" s="95">
        <f t="shared" si="44"/>
        <v>0</v>
      </c>
      <c r="O75" s="95">
        <f t="shared" si="45"/>
        <v>0</v>
      </c>
      <c r="P75" s="95">
        <f t="shared" si="45"/>
        <v>0</v>
      </c>
      <c r="Q75" s="95">
        <f t="shared" si="45"/>
        <v>0</v>
      </c>
      <c r="R75" s="95">
        <f t="shared" si="45"/>
        <v>0</v>
      </c>
      <c r="S75" s="95">
        <f t="shared" si="45"/>
        <v>0</v>
      </c>
      <c r="T75" s="95">
        <f t="shared" si="45"/>
        <v>0</v>
      </c>
      <c r="U75" s="95">
        <f t="shared" si="45"/>
        <v>0</v>
      </c>
      <c r="V75" s="95">
        <f t="shared" si="45"/>
        <v>0</v>
      </c>
      <c r="W75" s="95">
        <f t="shared" si="45"/>
        <v>0</v>
      </c>
      <c r="X75" s="95">
        <f t="shared" si="45"/>
        <v>0</v>
      </c>
      <c r="Y75" s="95">
        <f t="shared" si="46"/>
        <v>0</v>
      </c>
      <c r="Z75" s="95">
        <f t="shared" si="46"/>
        <v>0</v>
      </c>
      <c r="AA75" s="95">
        <f t="shared" si="46"/>
        <v>0</v>
      </c>
      <c r="AB75" s="95">
        <f t="shared" si="46"/>
        <v>0</v>
      </c>
      <c r="AC75" s="95">
        <f t="shared" si="46"/>
        <v>0</v>
      </c>
      <c r="AD75" s="95">
        <f t="shared" si="46"/>
        <v>0</v>
      </c>
      <c r="AE75" s="95">
        <f t="shared" si="46"/>
        <v>0</v>
      </c>
      <c r="AF75" s="95">
        <f t="shared" si="46"/>
        <v>0</v>
      </c>
      <c r="AG75" s="95">
        <f t="shared" si="46"/>
        <v>0</v>
      </c>
      <c r="AH75" s="95">
        <f t="shared" si="46"/>
        <v>0</v>
      </c>
      <c r="AI75" s="95">
        <f t="shared" si="47"/>
        <v>0</v>
      </c>
      <c r="AJ75" s="95">
        <f t="shared" si="47"/>
        <v>0</v>
      </c>
      <c r="AK75" s="95">
        <f t="shared" si="47"/>
        <v>0</v>
      </c>
      <c r="AL75" s="95">
        <f t="shared" si="47"/>
        <v>0</v>
      </c>
      <c r="AM75" s="95">
        <f t="shared" si="47"/>
        <v>0</v>
      </c>
      <c r="AN75" s="95">
        <f t="shared" si="47"/>
        <v>0</v>
      </c>
      <c r="AO75" s="95">
        <f t="shared" si="47"/>
        <v>0</v>
      </c>
      <c r="AP75" s="95">
        <f t="shared" si="47"/>
        <v>0</v>
      </c>
      <c r="AQ75" s="95">
        <f t="shared" si="47"/>
        <v>0</v>
      </c>
      <c r="AR75" s="96">
        <f t="shared" si="47"/>
        <v>0</v>
      </c>
    </row>
    <row r="76" spans="2:44" s="45" customFormat="1" outlineLevel="1" x14ac:dyDescent="0.15">
      <c r="B76" s="87"/>
      <c r="C76" s="88" t="str">
        <f t="shared" si="30"/>
        <v/>
      </c>
      <c r="D76" s="93">
        <f t="shared" si="31"/>
        <v>0</v>
      </c>
      <c r="E76" s="94">
        <f t="shared" si="44"/>
        <v>0</v>
      </c>
      <c r="F76" s="95">
        <f t="shared" si="44"/>
        <v>0</v>
      </c>
      <c r="G76" s="95">
        <f t="shared" si="44"/>
        <v>0</v>
      </c>
      <c r="H76" s="95">
        <f t="shared" si="44"/>
        <v>0</v>
      </c>
      <c r="I76" s="95">
        <f t="shared" si="44"/>
        <v>0</v>
      </c>
      <c r="J76" s="95">
        <f t="shared" si="44"/>
        <v>0</v>
      </c>
      <c r="K76" s="95">
        <f t="shared" si="44"/>
        <v>0</v>
      </c>
      <c r="L76" s="95">
        <f t="shared" si="44"/>
        <v>0</v>
      </c>
      <c r="M76" s="95">
        <f t="shared" si="44"/>
        <v>0</v>
      </c>
      <c r="N76" s="95">
        <f t="shared" si="44"/>
        <v>0</v>
      </c>
      <c r="O76" s="95">
        <f t="shared" si="45"/>
        <v>0</v>
      </c>
      <c r="P76" s="95">
        <f t="shared" si="45"/>
        <v>0</v>
      </c>
      <c r="Q76" s="95">
        <f t="shared" si="45"/>
        <v>0</v>
      </c>
      <c r="R76" s="95">
        <f t="shared" si="45"/>
        <v>0</v>
      </c>
      <c r="S76" s="95">
        <f t="shared" si="45"/>
        <v>0</v>
      </c>
      <c r="T76" s="95">
        <f t="shared" si="45"/>
        <v>0</v>
      </c>
      <c r="U76" s="95">
        <f t="shared" si="45"/>
        <v>0</v>
      </c>
      <c r="V76" s="95">
        <f t="shared" si="45"/>
        <v>0</v>
      </c>
      <c r="W76" s="95">
        <f t="shared" si="45"/>
        <v>0</v>
      </c>
      <c r="X76" s="95">
        <f t="shared" si="45"/>
        <v>0</v>
      </c>
      <c r="Y76" s="95">
        <f t="shared" si="46"/>
        <v>0</v>
      </c>
      <c r="Z76" s="95">
        <f t="shared" si="46"/>
        <v>0</v>
      </c>
      <c r="AA76" s="95">
        <f t="shared" si="46"/>
        <v>0</v>
      </c>
      <c r="AB76" s="95">
        <f t="shared" si="46"/>
        <v>0</v>
      </c>
      <c r="AC76" s="95">
        <f t="shared" si="46"/>
        <v>0</v>
      </c>
      <c r="AD76" s="95">
        <f t="shared" si="46"/>
        <v>0</v>
      </c>
      <c r="AE76" s="95">
        <f t="shared" si="46"/>
        <v>0</v>
      </c>
      <c r="AF76" s="95">
        <f t="shared" si="46"/>
        <v>0</v>
      </c>
      <c r="AG76" s="95">
        <f t="shared" si="46"/>
        <v>0</v>
      </c>
      <c r="AH76" s="95">
        <f t="shared" si="46"/>
        <v>0</v>
      </c>
      <c r="AI76" s="95">
        <f t="shared" si="47"/>
        <v>0</v>
      </c>
      <c r="AJ76" s="95">
        <f t="shared" si="47"/>
        <v>0</v>
      </c>
      <c r="AK76" s="95">
        <f t="shared" si="47"/>
        <v>0</v>
      </c>
      <c r="AL76" s="95">
        <f t="shared" si="47"/>
        <v>0</v>
      </c>
      <c r="AM76" s="95">
        <f t="shared" si="47"/>
        <v>0</v>
      </c>
      <c r="AN76" s="95">
        <f t="shared" si="47"/>
        <v>0</v>
      </c>
      <c r="AO76" s="95">
        <f t="shared" si="47"/>
        <v>0</v>
      </c>
      <c r="AP76" s="95">
        <f t="shared" si="47"/>
        <v>0</v>
      </c>
      <c r="AQ76" s="95">
        <f t="shared" si="47"/>
        <v>0</v>
      </c>
      <c r="AR76" s="96">
        <f t="shared" si="47"/>
        <v>0</v>
      </c>
    </row>
    <row r="77" spans="2:44" s="45" customFormat="1" outlineLevel="1" x14ac:dyDescent="0.15">
      <c r="B77" s="87"/>
      <c r="C77" s="88" t="str">
        <f t="shared" si="30"/>
        <v/>
      </c>
      <c r="D77" s="93">
        <f t="shared" si="31"/>
        <v>0</v>
      </c>
      <c r="E77" s="94">
        <f t="shared" si="44"/>
        <v>0</v>
      </c>
      <c r="F77" s="95">
        <f t="shared" si="44"/>
        <v>0</v>
      </c>
      <c r="G77" s="95">
        <f t="shared" si="44"/>
        <v>0</v>
      </c>
      <c r="H77" s="95">
        <f t="shared" si="44"/>
        <v>0</v>
      </c>
      <c r="I77" s="95">
        <f t="shared" si="44"/>
        <v>0</v>
      </c>
      <c r="J77" s="95">
        <f t="shared" si="44"/>
        <v>0</v>
      </c>
      <c r="K77" s="95">
        <f t="shared" si="44"/>
        <v>0</v>
      </c>
      <c r="L77" s="95">
        <f t="shared" si="44"/>
        <v>0</v>
      </c>
      <c r="M77" s="95">
        <f t="shared" si="44"/>
        <v>0</v>
      </c>
      <c r="N77" s="95">
        <f t="shared" si="44"/>
        <v>0</v>
      </c>
      <c r="O77" s="95">
        <f t="shared" si="45"/>
        <v>0</v>
      </c>
      <c r="P77" s="95">
        <f t="shared" si="45"/>
        <v>0</v>
      </c>
      <c r="Q77" s="95">
        <f t="shared" si="45"/>
        <v>0</v>
      </c>
      <c r="R77" s="95">
        <f t="shared" si="45"/>
        <v>0</v>
      </c>
      <c r="S77" s="95">
        <f t="shared" si="45"/>
        <v>0</v>
      </c>
      <c r="T77" s="95">
        <f t="shared" si="45"/>
        <v>0</v>
      </c>
      <c r="U77" s="95">
        <f t="shared" si="45"/>
        <v>0</v>
      </c>
      <c r="V77" s="95">
        <f t="shared" si="45"/>
        <v>0</v>
      </c>
      <c r="W77" s="95">
        <f t="shared" si="45"/>
        <v>0</v>
      </c>
      <c r="X77" s="95">
        <f t="shared" si="45"/>
        <v>0</v>
      </c>
      <c r="Y77" s="95">
        <f t="shared" si="46"/>
        <v>0</v>
      </c>
      <c r="Z77" s="95">
        <f t="shared" si="46"/>
        <v>0</v>
      </c>
      <c r="AA77" s="95">
        <f t="shared" si="46"/>
        <v>0</v>
      </c>
      <c r="AB77" s="95">
        <f t="shared" si="46"/>
        <v>0</v>
      </c>
      <c r="AC77" s="95">
        <f t="shared" si="46"/>
        <v>0</v>
      </c>
      <c r="AD77" s="95">
        <f t="shared" si="46"/>
        <v>0</v>
      </c>
      <c r="AE77" s="95">
        <f t="shared" si="46"/>
        <v>0</v>
      </c>
      <c r="AF77" s="95">
        <f t="shared" si="46"/>
        <v>0</v>
      </c>
      <c r="AG77" s="95">
        <f t="shared" si="46"/>
        <v>0</v>
      </c>
      <c r="AH77" s="95">
        <f t="shared" si="46"/>
        <v>0</v>
      </c>
      <c r="AI77" s="95">
        <f t="shared" si="47"/>
        <v>0</v>
      </c>
      <c r="AJ77" s="95">
        <f t="shared" si="47"/>
        <v>0</v>
      </c>
      <c r="AK77" s="95">
        <f t="shared" si="47"/>
        <v>0</v>
      </c>
      <c r="AL77" s="95">
        <f t="shared" si="47"/>
        <v>0</v>
      </c>
      <c r="AM77" s="95">
        <f t="shared" si="47"/>
        <v>0</v>
      </c>
      <c r="AN77" s="95">
        <f t="shared" si="47"/>
        <v>0</v>
      </c>
      <c r="AO77" s="95">
        <f t="shared" si="47"/>
        <v>0</v>
      </c>
      <c r="AP77" s="95">
        <f t="shared" si="47"/>
        <v>0</v>
      </c>
      <c r="AQ77" s="95">
        <f t="shared" si="47"/>
        <v>0</v>
      </c>
      <c r="AR77" s="96">
        <f t="shared" si="47"/>
        <v>0</v>
      </c>
    </row>
    <row r="78" spans="2:44" s="45" customFormat="1" outlineLevel="1" x14ac:dyDescent="0.15">
      <c r="B78" s="87"/>
      <c r="C78" s="88" t="str">
        <f t="shared" si="30"/>
        <v/>
      </c>
      <c r="D78" s="93">
        <f t="shared" si="31"/>
        <v>0</v>
      </c>
      <c r="E78" s="94">
        <f t="shared" si="44"/>
        <v>0</v>
      </c>
      <c r="F78" s="95">
        <f t="shared" si="44"/>
        <v>0</v>
      </c>
      <c r="G78" s="95">
        <f t="shared" si="44"/>
        <v>0</v>
      </c>
      <c r="H78" s="95">
        <f t="shared" si="44"/>
        <v>0</v>
      </c>
      <c r="I78" s="95">
        <f t="shared" si="44"/>
        <v>0</v>
      </c>
      <c r="J78" s="95">
        <f t="shared" si="44"/>
        <v>0</v>
      </c>
      <c r="K78" s="95">
        <f t="shared" si="44"/>
        <v>0</v>
      </c>
      <c r="L78" s="95">
        <f t="shared" si="44"/>
        <v>0</v>
      </c>
      <c r="M78" s="95">
        <f t="shared" si="44"/>
        <v>0</v>
      </c>
      <c r="N78" s="95">
        <f t="shared" si="44"/>
        <v>0</v>
      </c>
      <c r="O78" s="95">
        <f t="shared" si="45"/>
        <v>0</v>
      </c>
      <c r="P78" s="95">
        <f t="shared" si="45"/>
        <v>0</v>
      </c>
      <c r="Q78" s="95">
        <f t="shared" si="45"/>
        <v>0</v>
      </c>
      <c r="R78" s="95">
        <f t="shared" si="45"/>
        <v>0</v>
      </c>
      <c r="S78" s="95">
        <f t="shared" si="45"/>
        <v>0</v>
      </c>
      <c r="T78" s="95">
        <f t="shared" si="45"/>
        <v>0</v>
      </c>
      <c r="U78" s="95">
        <f t="shared" si="45"/>
        <v>0</v>
      </c>
      <c r="V78" s="95">
        <f t="shared" si="45"/>
        <v>0</v>
      </c>
      <c r="W78" s="95">
        <f t="shared" si="45"/>
        <v>0</v>
      </c>
      <c r="X78" s="95">
        <f t="shared" si="45"/>
        <v>0</v>
      </c>
      <c r="Y78" s="95">
        <f t="shared" si="46"/>
        <v>0</v>
      </c>
      <c r="Z78" s="95">
        <f t="shared" si="46"/>
        <v>0</v>
      </c>
      <c r="AA78" s="95">
        <f t="shared" si="46"/>
        <v>0</v>
      </c>
      <c r="AB78" s="95">
        <f t="shared" si="46"/>
        <v>0</v>
      </c>
      <c r="AC78" s="95">
        <f t="shared" si="46"/>
        <v>0</v>
      </c>
      <c r="AD78" s="95">
        <f t="shared" si="46"/>
        <v>0</v>
      </c>
      <c r="AE78" s="95">
        <f t="shared" si="46"/>
        <v>0</v>
      </c>
      <c r="AF78" s="95">
        <f t="shared" si="46"/>
        <v>0</v>
      </c>
      <c r="AG78" s="95">
        <f t="shared" si="46"/>
        <v>0</v>
      </c>
      <c r="AH78" s="95">
        <f t="shared" si="46"/>
        <v>0</v>
      </c>
      <c r="AI78" s="95">
        <f t="shared" si="47"/>
        <v>0</v>
      </c>
      <c r="AJ78" s="95">
        <f t="shared" si="47"/>
        <v>0</v>
      </c>
      <c r="AK78" s="95">
        <f t="shared" si="47"/>
        <v>0</v>
      </c>
      <c r="AL78" s="95">
        <f t="shared" si="47"/>
        <v>0</v>
      </c>
      <c r="AM78" s="95">
        <f t="shared" si="47"/>
        <v>0</v>
      </c>
      <c r="AN78" s="95">
        <f t="shared" si="47"/>
        <v>0</v>
      </c>
      <c r="AO78" s="95">
        <f t="shared" si="47"/>
        <v>0</v>
      </c>
      <c r="AP78" s="95">
        <f t="shared" si="47"/>
        <v>0</v>
      </c>
      <c r="AQ78" s="95">
        <f t="shared" si="47"/>
        <v>0</v>
      </c>
      <c r="AR78" s="96">
        <f t="shared" si="47"/>
        <v>0</v>
      </c>
    </row>
    <row r="79" spans="2:44" s="45" customFormat="1" outlineLevel="1" x14ac:dyDescent="0.15">
      <c r="B79" s="87"/>
      <c r="C79" s="88" t="str">
        <f t="shared" si="30"/>
        <v/>
      </c>
      <c r="D79" s="93">
        <f t="shared" si="31"/>
        <v>0</v>
      </c>
      <c r="E79" s="94">
        <f t="shared" si="44"/>
        <v>0</v>
      </c>
      <c r="F79" s="95">
        <f t="shared" si="44"/>
        <v>0</v>
      </c>
      <c r="G79" s="95">
        <f t="shared" si="44"/>
        <v>0</v>
      </c>
      <c r="H79" s="95">
        <f t="shared" si="44"/>
        <v>0</v>
      </c>
      <c r="I79" s="95">
        <f t="shared" si="44"/>
        <v>0</v>
      </c>
      <c r="J79" s="95">
        <f t="shared" si="44"/>
        <v>0</v>
      </c>
      <c r="K79" s="95">
        <f t="shared" si="44"/>
        <v>0</v>
      </c>
      <c r="L79" s="95">
        <f t="shared" si="44"/>
        <v>0</v>
      </c>
      <c r="M79" s="95">
        <f t="shared" si="44"/>
        <v>0</v>
      </c>
      <c r="N79" s="95">
        <f t="shared" si="44"/>
        <v>0</v>
      </c>
      <c r="O79" s="95">
        <f t="shared" si="45"/>
        <v>0</v>
      </c>
      <c r="P79" s="95">
        <f t="shared" si="45"/>
        <v>0</v>
      </c>
      <c r="Q79" s="95">
        <f t="shared" si="45"/>
        <v>0</v>
      </c>
      <c r="R79" s="95">
        <f t="shared" si="45"/>
        <v>0</v>
      </c>
      <c r="S79" s="95">
        <f t="shared" si="45"/>
        <v>0</v>
      </c>
      <c r="T79" s="95">
        <f t="shared" si="45"/>
        <v>0</v>
      </c>
      <c r="U79" s="95">
        <f t="shared" si="45"/>
        <v>0</v>
      </c>
      <c r="V79" s="95">
        <f t="shared" si="45"/>
        <v>0</v>
      </c>
      <c r="W79" s="95">
        <f t="shared" si="45"/>
        <v>0</v>
      </c>
      <c r="X79" s="95">
        <f t="shared" si="45"/>
        <v>0</v>
      </c>
      <c r="Y79" s="95">
        <f t="shared" si="46"/>
        <v>0</v>
      </c>
      <c r="Z79" s="95">
        <f t="shared" si="46"/>
        <v>0</v>
      </c>
      <c r="AA79" s="95">
        <f t="shared" si="46"/>
        <v>0</v>
      </c>
      <c r="AB79" s="95">
        <f t="shared" si="46"/>
        <v>0</v>
      </c>
      <c r="AC79" s="95">
        <f t="shared" si="46"/>
        <v>0</v>
      </c>
      <c r="AD79" s="95">
        <f t="shared" si="46"/>
        <v>0</v>
      </c>
      <c r="AE79" s="95">
        <f t="shared" si="46"/>
        <v>0</v>
      </c>
      <c r="AF79" s="95">
        <f t="shared" si="46"/>
        <v>0</v>
      </c>
      <c r="AG79" s="95">
        <f t="shared" si="46"/>
        <v>0</v>
      </c>
      <c r="AH79" s="95">
        <f t="shared" si="46"/>
        <v>0</v>
      </c>
      <c r="AI79" s="95">
        <f t="shared" si="47"/>
        <v>0</v>
      </c>
      <c r="AJ79" s="95">
        <f t="shared" si="47"/>
        <v>0</v>
      </c>
      <c r="AK79" s="95">
        <f t="shared" si="47"/>
        <v>0</v>
      </c>
      <c r="AL79" s="95">
        <f t="shared" si="47"/>
        <v>0</v>
      </c>
      <c r="AM79" s="95">
        <f t="shared" si="47"/>
        <v>0</v>
      </c>
      <c r="AN79" s="95">
        <f t="shared" si="47"/>
        <v>0</v>
      </c>
      <c r="AO79" s="95">
        <f t="shared" si="47"/>
        <v>0</v>
      </c>
      <c r="AP79" s="95">
        <f t="shared" si="47"/>
        <v>0</v>
      </c>
      <c r="AQ79" s="95">
        <f t="shared" si="47"/>
        <v>0</v>
      </c>
      <c r="AR79" s="96">
        <f t="shared" si="47"/>
        <v>0</v>
      </c>
    </row>
    <row r="80" spans="2:44" s="45" customFormat="1" outlineLevel="1" x14ac:dyDescent="0.15">
      <c r="B80" s="87"/>
      <c r="C80" s="88" t="str">
        <f t="shared" si="30"/>
        <v/>
      </c>
      <c r="D80" s="93">
        <f t="shared" si="31"/>
        <v>0</v>
      </c>
      <c r="E80" s="94">
        <f t="shared" si="44"/>
        <v>0</v>
      </c>
      <c r="F80" s="95">
        <f t="shared" si="44"/>
        <v>0</v>
      </c>
      <c r="G80" s="95">
        <f t="shared" si="44"/>
        <v>0</v>
      </c>
      <c r="H80" s="95">
        <f t="shared" si="44"/>
        <v>0</v>
      </c>
      <c r="I80" s="95">
        <f t="shared" si="44"/>
        <v>0</v>
      </c>
      <c r="J80" s="95">
        <f t="shared" si="44"/>
        <v>0</v>
      </c>
      <c r="K80" s="95">
        <f t="shared" si="44"/>
        <v>0</v>
      </c>
      <c r="L80" s="95">
        <f t="shared" si="44"/>
        <v>0</v>
      </c>
      <c r="M80" s="95">
        <f t="shared" si="44"/>
        <v>0</v>
      </c>
      <c r="N80" s="95">
        <f t="shared" si="44"/>
        <v>0</v>
      </c>
      <c r="O80" s="95">
        <f t="shared" si="45"/>
        <v>0</v>
      </c>
      <c r="P80" s="95">
        <f t="shared" si="45"/>
        <v>0</v>
      </c>
      <c r="Q80" s="95">
        <f t="shared" si="45"/>
        <v>0</v>
      </c>
      <c r="R80" s="95">
        <f t="shared" si="45"/>
        <v>0</v>
      </c>
      <c r="S80" s="95">
        <f t="shared" si="45"/>
        <v>0</v>
      </c>
      <c r="T80" s="95">
        <f t="shared" si="45"/>
        <v>0</v>
      </c>
      <c r="U80" s="95">
        <f t="shared" si="45"/>
        <v>0</v>
      </c>
      <c r="V80" s="95">
        <f t="shared" si="45"/>
        <v>0</v>
      </c>
      <c r="W80" s="95">
        <f t="shared" si="45"/>
        <v>0</v>
      </c>
      <c r="X80" s="95">
        <f t="shared" si="45"/>
        <v>0</v>
      </c>
      <c r="Y80" s="95">
        <f t="shared" si="46"/>
        <v>0</v>
      </c>
      <c r="Z80" s="95">
        <f t="shared" si="46"/>
        <v>0</v>
      </c>
      <c r="AA80" s="95">
        <f t="shared" si="46"/>
        <v>0</v>
      </c>
      <c r="AB80" s="95">
        <f t="shared" si="46"/>
        <v>0</v>
      </c>
      <c r="AC80" s="95">
        <f t="shared" si="46"/>
        <v>0</v>
      </c>
      <c r="AD80" s="95">
        <f t="shared" si="46"/>
        <v>0</v>
      </c>
      <c r="AE80" s="95">
        <f t="shared" si="46"/>
        <v>0</v>
      </c>
      <c r="AF80" s="95">
        <f t="shared" si="46"/>
        <v>0</v>
      </c>
      <c r="AG80" s="95">
        <f t="shared" si="46"/>
        <v>0</v>
      </c>
      <c r="AH80" s="95">
        <f t="shared" si="46"/>
        <v>0</v>
      </c>
      <c r="AI80" s="95">
        <f t="shared" si="47"/>
        <v>0</v>
      </c>
      <c r="AJ80" s="95">
        <f t="shared" si="47"/>
        <v>0</v>
      </c>
      <c r="AK80" s="95">
        <f t="shared" si="47"/>
        <v>0</v>
      </c>
      <c r="AL80" s="95">
        <f t="shared" si="47"/>
        <v>0</v>
      </c>
      <c r="AM80" s="95">
        <f t="shared" si="47"/>
        <v>0</v>
      </c>
      <c r="AN80" s="95">
        <f t="shared" si="47"/>
        <v>0</v>
      </c>
      <c r="AO80" s="95">
        <f t="shared" si="47"/>
        <v>0</v>
      </c>
      <c r="AP80" s="95">
        <f t="shared" si="47"/>
        <v>0</v>
      </c>
      <c r="AQ80" s="95">
        <f t="shared" si="47"/>
        <v>0</v>
      </c>
      <c r="AR80" s="96">
        <f t="shared" si="47"/>
        <v>0</v>
      </c>
    </row>
    <row r="81" spans="2:44" s="45" customFormat="1" outlineLevel="1" x14ac:dyDescent="0.15">
      <c r="B81" s="87"/>
      <c r="C81" s="88" t="str">
        <f t="shared" si="30"/>
        <v/>
      </c>
      <c r="D81" s="97">
        <f t="shared" si="31"/>
        <v>0</v>
      </c>
      <c r="E81" s="98">
        <f t="shared" si="44"/>
        <v>0</v>
      </c>
      <c r="F81" s="83">
        <f t="shared" si="44"/>
        <v>0</v>
      </c>
      <c r="G81" s="83">
        <f t="shared" si="44"/>
        <v>0</v>
      </c>
      <c r="H81" s="83">
        <f t="shared" si="44"/>
        <v>0</v>
      </c>
      <c r="I81" s="83">
        <f t="shared" si="44"/>
        <v>0</v>
      </c>
      <c r="J81" s="83">
        <f t="shared" si="44"/>
        <v>0</v>
      </c>
      <c r="K81" s="83">
        <f t="shared" si="44"/>
        <v>0</v>
      </c>
      <c r="L81" s="83">
        <f t="shared" si="44"/>
        <v>0</v>
      </c>
      <c r="M81" s="83">
        <f t="shared" si="44"/>
        <v>0</v>
      </c>
      <c r="N81" s="83">
        <f t="shared" si="44"/>
        <v>0</v>
      </c>
      <c r="O81" s="83">
        <f t="shared" si="45"/>
        <v>0</v>
      </c>
      <c r="P81" s="83">
        <f t="shared" si="45"/>
        <v>0</v>
      </c>
      <c r="Q81" s="83">
        <f t="shared" si="45"/>
        <v>0</v>
      </c>
      <c r="R81" s="83">
        <f t="shared" si="45"/>
        <v>0</v>
      </c>
      <c r="S81" s="83">
        <f t="shared" si="45"/>
        <v>0</v>
      </c>
      <c r="T81" s="83">
        <f t="shared" si="45"/>
        <v>0</v>
      </c>
      <c r="U81" s="83">
        <f t="shared" si="45"/>
        <v>0</v>
      </c>
      <c r="V81" s="83">
        <f t="shared" si="45"/>
        <v>0</v>
      </c>
      <c r="W81" s="83">
        <f t="shared" si="45"/>
        <v>0</v>
      </c>
      <c r="X81" s="83">
        <f t="shared" si="45"/>
        <v>0</v>
      </c>
      <c r="Y81" s="83">
        <f t="shared" si="46"/>
        <v>0</v>
      </c>
      <c r="Z81" s="83">
        <f t="shared" si="46"/>
        <v>0</v>
      </c>
      <c r="AA81" s="83">
        <f t="shared" si="46"/>
        <v>0</v>
      </c>
      <c r="AB81" s="83">
        <f t="shared" si="46"/>
        <v>0</v>
      </c>
      <c r="AC81" s="83">
        <f t="shared" si="46"/>
        <v>0</v>
      </c>
      <c r="AD81" s="83">
        <f t="shared" si="46"/>
        <v>0</v>
      </c>
      <c r="AE81" s="83">
        <f t="shared" si="46"/>
        <v>0</v>
      </c>
      <c r="AF81" s="83">
        <f t="shared" si="46"/>
        <v>0</v>
      </c>
      <c r="AG81" s="83">
        <f t="shared" si="46"/>
        <v>0</v>
      </c>
      <c r="AH81" s="83">
        <f t="shared" si="46"/>
        <v>0</v>
      </c>
      <c r="AI81" s="83">
        <f t="shared" si="47"/>
        <v>0</v>
      </c>
      <c r="AJ81" s="83">
        <f t="shared" si="47"/>
        <v>0</v>
      </c>
      <c r="AK81" s="83">
        <f t="shared" si="47"/>
        <v>0</v>
      </c>
      <c r="AL81" s="83">
        <f t="shared" si="47"/>
        <v>0</v>
      </c>
      <c r="AM81" s="83">
        <f t="shared" si="47"/>
        <v>0</v>
      </c>
      <c r="AN81" s="83">
        <f t="shared" si="47"/>
        <v>0</v>
      </c>
      <c r="AO81" s="83">
        <f t="shared" si="47"/>
        <v>0</v>
      </c>
      <c r="AP81" s="83">
        <f t="shared" si="47"/>
        <v>0</v>
      </c>
      <c r="AQ81" s="83">
        <f t="shared" si="47"/>
        <v>0</v>
      </c>
      <c r="AR81" s="84">
        <f t="shared" si="47"/>
        <v>0</v>
      </c>
    </row>
    <row r="82" spans="2:44" s="45" customFormat="1" outlineLevel="1" x14ac:dyDescent="0.15">
      <c r="B82" s="87"/>
      <c r="C82" s="269" t="s">
        <v>32</v>
      </c>
      <c r="D82" s="337">
        <f t="shared" ref="D82:AR82" si="48">SUM(D42:D81)</f>
        <v>0.2825804830768946</v>
      </c>
      <c r="E82" s="338">
        <f t="shared" si="48"/>
        <v>1.38113061777223E-4</v>
      </c>
      <c r="F82" s="326">
        <f t="shared" si="48"/>
        <v>3.7241965630673598E-4</v>
      </c>
      <c r="G82" s="326">
        <f t="shared" si="48"/>
        <v>9.7989278637088898E-4</v>
      </c>
      <c r="H82" s="326">
        <f t="shared" si="48"/>
        <v>2.4033086391790971E-3</v>
      </c>
      <c r="I82" s="326">
        <f t="shared" si="48"/>
        <v>5.078231307455822E-3</v>
      </c>
      <c r="J82" s="326">
        <f t="shared" si="48"/>
        <v>8.5295065574988137E-3</v>
      </c>
      <c r="K82" s="326">
        <f t="shared" si="48"/>
        <v>1.1358456965035457E-2</v>
      </c>
      <c r="L82" s="326">
        <f t="shared" si="48"/>
        <v>1.2949002755293336E-2</v>
      </c>
      <c r="M82" s="326">
        <f t="shared" si="48"/>
        <v>1.3664737401520383E-2</v>
      </c>
      <c r="N82" s="326">
        <f t="shared" si="48"/>
        <v>1.4129024153844733E-2</v>
      </c>
      <c r="O82" s="326">
        <f t="shared" si="48"/>
        <v>1.4129024153844733E-2</v>
      </c>
      <c r="P82" s="326">
        <f t="shared" si="48"/>
        <v>1.4129024153844733E-2</v>
      </c>
      <c r="Q82" s="326">
        <f t="shared" si="48"/>
        <v>1.4129024153844733E-2</v>
      </c>
      <c r="R82" s="326">
        <f t="shared" si="48"/>
        <v>1.4129024153844733E-2</v>
      </c>
      <c r="S82" s="326">
        <f t="shared" si="48"/>
        <v>1.4129024153844733E-2</v>
      </c>
      <c r="T82" s="326">
        <f t="shared" si="48"/>
        <v>1.4129024153844733E-2</v>
      </c>
      <c r="U82" s="326">
        <f t="shared" si="48"/>
        <v>1.4129024153844733E-2</v>
      </c>
      <c r="V82" s="326">
        <f t="shared" si="48"/>
        <v>1.4129024153844733E-2</v>
      </c>
      <c r="W82" s="326">
        <f t="shared" si="48"/>
        <v>1.4129024153844733E-2</v>
      </c>
      <c r="X82" s="326">
        <f t="shared" si="48"/>
        <v>1.4129024153844733E-2</v>
      </c>
      <c r="Y82" s="326">
        <f t="shared" si="48"/>
        <v>0</v>
      </c>
      <c r="Z82" s="326">
        <f t="shared" si="48"/>
        <v>0</v>
      </c>
      <c r="AA82" s="326">
        <f t="shared" si="48"/>
        <v>0</v>
      </c>
      <c r="AB82" s="326">
        <f t="shared" si="48"/>
        <v>0</v>
      </c>
      <c r="AC82" s="326">
        <f t="shared" si="48"/>
        <v>0</v>
      </c>
      <c r="AD82" s="326">
        <f t="shared" si="48"/>
        <v>0</v>
      </c>
      <c r="AE82" s="326">
        <f t="shared" si="48"/>
        <v>0</v>
      </c>
      <c r="AF82" s="326">
        <f t="shared" si="48"/>
        <v>0</v>
      </c>
      <c r="AG82" s="326">
        <f t="shared" si="48"/>
        <v>0</v>
      </c>
      <c r="AH82" s="326">
        <f t="shared" si="48"/>
        <v>0</v>
      </c>
      <c r="AI82" s="326">
        <f t="shared" si="48"/>
        <v>0</v>
      </c>
      <c r="AJ82" s="326">
        <f t="shared" si="48"/>
        <v>0</v>
      </c>
      <c r="AK82" s="326">
        <f t="shared" si="48"/>
        <v>0</v>
      </c>
      <c r="AL82" s="326">
        <f t="shared" si="48"/>
        <v>0</v>
      </c>
      <c r="AM82" s="326">
        <f t="shared" si="48"/>
        <v>0</v>
      </c>
      <c r="AN82" s="326">
        <f t="shared" si="48"/>
        <v>0</v>
      </c>
      <c r="AO82" s="326">
        <f t="shared" si="48"/>
        <v>0</v>
      </c>
      <c r="AP82" s="326">
        <f t="shared" si="48"/>
        <v>0</v>
      </c>
      <c r="AQ82" s="326">
        <f t="shared" si="48"/>
        <v>0</v>
      </c>
      <c r="AR82" s="327">
        <f t="shared" si="48"/>
        <v>0</v>
      </c>
    </row>
    <row r="83" spans="2:44" s="45" customFormat="1" x14ac:dyDescent="0.15">
      <c r="B83" s="75"/>
      <c r="C83" s="35"/>
      <c r="D83" s="99"/>
      <c r="F83" s="86"/>
      <c r="G83" s="86"/>
      <c r="H83" s="86"/>
      <c r="I83" s="86"/>
      <c r="J83" s="86"/>
      <c r="K83" s="86"/>
      <c r="L83" s="86"/>
      <c r="M83" s="86"/>
      <c r="N83" s="86"/>
      <c r="O83" s="86"/>
      <c r="P83" s="86"/>
      <c r="Q83" s="86"/>
      <c r="R83" s="86"/>
      <c r="S83" s="86"/>
      <c r="T83" s="86"/>
      <c r="U83" s="86"/>
      <c r="V83" s="86"/>
      <c r="W83" s="86"/>
      <c r="X83" s="86"/>
      <c r="Y83" s="86"/>
      <c r="Z83" s="86"/>
      <c r="AA83" s="86"/>
      <c r="AB83" s="86"/>
      <c r="AC83" s="86"/>
      <c r="AD83" s="86"/>
      <c r="AE83" s="86"/>
      <c r="AF83" s="86"/>
      <c r="AG83" s="86"/>
      <c r="AH83" s="86"/>
      <c r="AI83" s="86"/>
      <c r="AJ83" s="86"/>
      <c r="AK83" s="86"/>
      <c r="AL83" s="86"/>
      <c r="AM83" s="86"/>
      <c r="AN83" s="86"/>
      <c r="AO83" s="86"/>
      <c r="AP83" s="86"/>
      <c r="AQ83" s="86"/>
      <c r="AR83" s="86"/>
    </row>
    <row r="84" spans="2:44" s="45" customFormat="1" x14ac:dyDescent="0.15">
      <c r="B84" s="202" t="s">
        <v>33</v>
      </c>
      <c r="C84" s="203"/>
      <c r="E84" s="328">
        <f>INDEX($D$42:$D$81,Year,1)</f>
        <v>2.76226123554446E-3</v>
      </c>
      <c r="F84" s="329">
        <f>IF(Year&gt;Contract_Length,,E84-E85+INDEX($D$42:$D$81,Year,1))</f>
        <v>7.3102800643574974E-3</v>
      </c>
      <c r="G84" s="329">
        <f t="shared" ref="G84:AR84" si="49">IF(Year&gt;Contract_Length,,F84-F85+INDEX($D$42:$D$81,Year,1))</f>
        <v>1.9087323009333825E-2</v>
      </c>
      <c r="H84" s="329">
        <f t="shared" si="49"/>
        <v>4.6575747279127097E-2</v>
      </c>
      <c r="I84" s="329">
        <f t="shared" si="49"/>
        <v>9.7670892005482512E-2</v>
      </c>
      <c r="J84" s="329">
        <f t="shared" si="49"/>
        <v>0.16161816569888654</v>
      </c>
      <c r="K84" s="329">
        <f t="shared" si="49"/>
        <v>0.20966766729212058</v>
      </c>
      <c r="L84" s="329">
        <f t="shared" si="49"/>
        <v>0.2301201261322427</v>
      </c>
      <c r="M84" s="329">
        <f t="shared" si="49"/>
        <v>0.23148581630149029</v>
      </c>
      <c r="N84" s="329">
        <f t="shared" si="49"/>
        <v>0.2271068139464569</v>
      </c>
      <c r="O84" s="329">
        <f t="shared" si="49"/>
        <v>0.21297778979261217</v>
      </c>
      <c r="P84" s="329">
        <f t="shared" si="49"/>
        <v>0.19884876563876744</v>
      </c>
      <c r="Q84" s="329">
        <f t="shared" si="49"/>
        <v>0.18471974148492271</v>
      </c>
      <c r="R84" s="329">
        <f t="shared" si="49"/>
        <v>0.17059071733107797</v>
      </c>
      <c r="S84" s="329">
        <f t="shared" si="49"/>
        <v>0.15646169317723324</v>
      </c>
      <c r="T84" s="329">
        <f t="shared" si="49"/>
        <v>0.14233266902338851</v>
      </c>
      <c r="U84" s="329">
        <f t="shared" si="49"/>
        <v>0.12820364486954378</v>
      </c>
      <c r="V84" s="329">
        <f t="shared" si="49"/>
        <v>0.11407462071569904</v>
      </c>
      <c r="W84" s="329">
        <f t="shared" si="49"/>
        <v>9.9945596561854311E-2</v>
      </c>
      <c r="X84" s="329">
        <f t="shared" si="49"/>
        <v>8.5816572408009578E-2</v>
      </c>
      <c r="Y84" s="329">
        <f t="shared" si="49"/>
        <v>0</v>
      </c>
      <c r="Z84" s="329">
        <f t="shared" si="49"/>
        <v>0</v>
      </c>
      <c r="AA84" s="329">
        <f t="shared" si="49"/>
        <v>0</v>
      </c>
      <c r="AB84" s="329">
        <f t="shared" si="49"/>
        <v>0</v>
      </c>
      <c r="AC84" s="329">
        <f t="shared" si="49"/>
        <v>0</v>
      </c>
      <c r="AD84" s="329">
        <f t="shared" si="49"/>
        <v>0</v>
      </c>
      <c r="AE84" s="329">
        <f t="shared" si="49"/>
        <v>0</v>
      </c>
      <c r="AF84" s="329">
        <f t="shared" si="49"/>
        <v>0</v>
      </c>
      <c r="AG84" s="329">
        <f t="shared" si="49"/>
        <v>0</v>
      </c>
      <c r="AH84" s="329">
        <f t="shared" si="49"/>
        <v>0</v>
      </c>
      <c r="AI84" s="329">
        <f t="shared" si="49"/>
        <v>0</v>
      </c>
      <c r="AJ84" s="329">
        <f t="shared" si="49"/>
        <v>0</v>
      </c>
      <c r="AK84" s="329">
        <f t="shared" si="49"/>
        <v>0</v>
      </c>
      <c r="AL84" s="329">
        <f t="shared" si="49"/>
        <v>0</v>
      </c>
      <c r="AM84" s="329">
        <f t="shared" si="49"/>
        <v>0</v>
      </c>
      <c r="AN84" s="329">
        <f t="shared" si="49"/>
        <v>0</v>
      </c>
      <c r="AO84" s="329">
        <f t="shared" si="49"/>
        <v>0</v>
      </c>
      <c r="AP84" s="329">
        <f t="shared" si="49"/>
        <v>0</v>
      </c>
      <c r="AQ84" s="329">
        <f t="shared" si="49"/>
        <v>0</v>
      </c>
      <c r="AR84" s="330">
        <f t="shared" si="49"/>
        <v>0</v>
      </c>
    </row>
    <row r="85" spans="2:44" s="45" customFormat="1" x14ac:dyDescent="0.15">
      <c r="B85" s="202" t="s">
        <v>34</v>
      </c>
      <c r="C85" s="203"/>
      <c r="E85" s="331">
        <f>E82</f>
        <v>1.38113061777223E-4</v>
      </c>
      <c r="F85" s="332">
        <f>F82</f>
        <v>3.7241965630673598E-4</v>
      </c>
      <c r="G85" s="332">
        <f>G82</f>
        <v>9.7989278637088898E-4</v>
      </c>
      <c r="H85" s="332">
        <f t="shared" ref="H85:AR85" si="50">H82</f>
        <v>2.4033086391790971E-3</v>
      </c>
      <c r="I85" s="332">
        <f t="shared" si="50"/>
        <v>5.078231307455822E-3</v>
      </c>
      <c r="J85" s="332">
        <f t="shared" si="50"/>
        <v>8.5295065574988137E-3</v>
      </c>
      <c r="K85" s="332">
        <f t="shared" si="50"/>
        <v>1.1358456965035457E-2</v>
      </c>
      <c r="L85" s="332">
        <f t="shared" si="50"/>
        <v>1.2949002755293336E-2</v>
      </c>
      <c r="M85" s="332">
        <f t="shared" si="50"/>
        <v>1.3664737401520383E-2</v>
      </c>
      <c r="N85" s="332">
        <f t="shared" si="50"/>
        <v>1.4129024153844733E-2</v>
      </c>
      <c r="O85" s="332">
        <f t="shared" si="50"/>
        <v>1.4129024153844733E-2</v>
      </c>
      <c r="P85" s="332">
        <f t="shared" si="50"/>
        <v>1.4129024153844733E-2</v>
      </c>
      <c r="Q85" s="332">
        <f t="shared" si="50"/>
        <v>1.4129024153844733E-2</v>
      </c>
      <c r="R85" s="332">
        <f t="shared" si="50"/>
        <v>1.4129024153844733E-2</v>
      </c>
      <c r="S85" s="332">
        <f t="shared" si="50"/>
        <v>1.4129024153844733E-2</v>
      </c>
      <c r="T85" s="332">
        <f t="shared" si="50"/>
        <v>1.4129024153844733E-2</v>
      </c>
      <c r="U85" s="332">
        <f t="shared" si="50"/>
        <v>1.4129024153844733E-2</v>
      </c>
      <c r="V85" s="332">
        <f t="shared" si="50"/>
        <v>1.4129024153844733E-2</v>
      </c>
      <c r="W85" s="332">
        <f t="shared" si="50"/>
        <v>1.4129024153844733E-2</v>
      </c>
      <c r="X85" s="332">
        <f t="shared" si="50"/>
        <v>1.4129024153844733E-2</v>
      </c>
      <c r="Y85" s="332">
        <f t="shared" si="50"/>
        <v>0</v>
      </c>
      <c r="Z85" s="332">
        <f t="shared" si="50"/>
        <v>0</v>
      </c>
      <c r="AA85" s="332">
        <f t="shared" si="50"/>
        <v>0</v>
      </c>
      <c r="AB85" s="332">
        <f t="shared" si="50"/>
        <v>0</v>
      </c>
      <c r="AC85" s="332">
        <f t="shared" si="50"/>
        <v>0</v>
      </c>
      <c r="AD85" s="332">
        <f t="shared" si="50"/>
        <v>0</v>
      </c>
      <c r="AE85" s="332">
        <f t="shared" si="50"/>
        <v>0</v>
      </c>
      <c r="AF85" s="332">
        <f t="shared" si="50"/>
        <v>0</v>
      </c>
      <c r="AG85" s="332">
        <f t="shared" si="50"/>
        <v>0</v>
      </c>
      <c r="AH85" s="332">
        <f t="shared" si="50"/>
        <v>0</v>
      </c>
      <c r="AI85" s="332">
        <f t="shared" si="50"/>
        <v>0</v>
      </c>
      <c r="AJ85" s="332">
        <f t="shared" si="50"/>
        <v>0</v>
      </c>
      <c r="AK85" s="332">
        <f t="shared" si="50"/>
        <v>0</v>
      </c>
      <c r="AL85" s="332">
        <f t="shared" si="50"/>
        <v>0</v>
      </c>
      <c r="AM85" s="332">
        <f t="shared" si="50"/>
        <v>0</v>
      </c>
      <c r="AN85" s="332">
        <f t="shared" si="50"/>
        <v>0</v>
      </c>
      <c r="AO85" s="332">
        <f t="shared" si="50"/>
        <v>0</v>
      </c>
      <c r="AP85" s="332">
        <f t="shared" si="50"/>
        <v>0</v>
      </c>
      <c r="AQ85" s="332">
        <f t="shared" si="50"/>
        <v>0</v>
      </c>
      <c r="AR85" s="333">
        <f t="shared" si="50"/>
        <v>0</v>
      </c>
    </row>
    <row r="86" spans="2:44" s="45" customFormat="1" x14ac:dyDescent="0.15">
      <c r="B86" s="202" t="s">
        <v>35</v>
      </c>
      <c r="C86" s="203"/>
      <c r="E86" s="334">
        <f t="shared" ref="E86:AR86" si="51">E84*IntRate_Cur</f>
        <v>1.38113061777223E-4</v>
      </c>
      <c r="F86" s="335">
        <f>F84*IntRate_Cur</f>
        <v>3.6551400321787491E-4</v>
      </c>
      <c r="G86" s="335">
        <f t="shared" si="51"/>
        <v>9.543661504666913E-4</v>
      </c>
      <c r="H86" s="335">
        <f t="shared" si="51"/>
        <v>2.3287873639563548E-3</v>
      </c>
      <c r="I86" s="335">
        <f t="shared" si="51"/>
        <v>4.8835446002741256E-3</v>
      </c>
      <c r="J86" s="335">
        <f t="shared" si="51"/>
        <v>8.080908284944328E-3</v>
      </c>
      <c r="K86" s="335">
        <f t="shared" si="51"/>
        <v>1.048338336460603E-2</v>
      </c>
      <c r="L86" s="335">
        <f t="shared" si="51"/>
        <v>1.1506006306612136E-2</v>
      </c>
      <c r="M86" s="335">
        <f t="shared" si="51"/>
        <v>1.1574290815074516E-2</v>
      </c>
      <c r="N86" s="335">
        <f t="shared" si="51"/>
        <v>1.1355340697322846E-2</v>
      </c>
      <c r="O86" s="335">
        <f t="shared" si="51"/>
        <v>1.0648889489630609E-2</v>
      </c>
      <c r="P86" s="335">
        <f t="shared" si="51"/>
        <v>9.9424382819383733E-3</v>
      </c>
      <c r="Q86" s="335">
        <f t="shared" si="51"/>
        <v>9.2359870742461363E-3</v>
      </c>
      <c r="R86" s="335">
        <f t="shared" si="51"/>
        <v>8.5295358665538994E-3</v>
      </c>
      <c r="S86" s="335">
        <f t="shared" si="51"/>
        <v>7.8230846588616624E-3</v>
      </c>
      <c r="T86" s="335">
        <f t="shared" si="51"/>
        <v>7.1166334511694254E-3</v>
      </c>
      <c r="U86" s="335">
        <f t="shared" si="51"/>
        <v>6.4101822434771893E-3</v>
      </c>
      <c r="V86" s="335">
        <f t="shared" si="51"/>
        <v>5.7037310357849523E-3</v>
      </c>
      <c r="W86" s="335">
        <f t="shared" si="51"/>
        <v>4.9972798280927162E-3</v>
      </c>
      <c r="X86" s="335">
        <f t="shared" si="51"/>
        <v>4.2908286204004793E-3</v>
      </c>
      <c r="Y86" s="335">
        <f t="shared" si="51"/>
        <v>0</v>
      </c>
      <c r="Z86" s="335">
        <f t="shared" si="51"/>
        <v>0</v>
      </c>
      <c r="AA86" s="335">
        <f t="shared" si="51"/>
        <v>0</v>
      </c>
      <c r="AB86" s="335">
        <f t="shared" si="51"/>
        <v>0</v>
      </c>
      <c r="AC86" s="335">
        <f t="shared" si="51"/>
        <v>0</v>
      </c>
      <c r="AD86" s="335">
        <f t="shared" si="51"/>
        <v>0</v>
      </c>
      <c r="AE86" s="335">
        <f t="shared" si="51"/>
        <v>0</v>
      </c>
      <c r="AF86" s="335">
        <f t="shared" si="51"/>
        <v>0</v>
      </c>
      <c r="AG86" s="335">
        <f t="shared" si="51"/>
        <v>0</v>
      </c>
      <c r="AH86" s="335">
        <f t="shared" si="51"/>
        <v>0</v>
      </c>
      <c r="AI86" s="335">
        <f t="shared" si="51"/>
        <v>0</v>
      </c>
      <c r="AJ86" s="335">
        <f t="shared" si="51"/>
        <v>0</v>
      </c>
      <c r="AK86" s="335">
        <f t="shared" si="51"/>
        <v>0</v>
      </c>
      <c r="AL86" s="335">
        <f t="shared" si="51"/>
        <v>0</v>
      </c>
      <c r="AM86" s="335">
        <f t="shared" si="51"/>
        <v>0</v>
      </c>
      <c r="AN86" s="335">
        <f t="shared" si="51"/>
        <v>0</v>
      </c>
      <c r="AO86" s="335">
        <f t="shared" si="51"/>
        <v>0</v>
      </c>
      <c r="AP86" s="335">
        <f t="shared" si="51"/>
        <v>0</v>
      </c>
      <c r="AQ86" s="335">
        <f t="shared" si="51"/>
        <v>0</v>
      </c>
      <c r="AR86" s="336">
        <f t="shared" si="51"/>
        <v>0</v>
      </c>
    </row>
    <row r="87" spans="2:44" s="45" customFormat="1" x14ac:dyDescent="0.15">
      <c r="B87" s="75"/>
      <c r="C87" s="104"/>
      <c r="D87" s="105"/>
      <c r="E87" s="106"/>
      <c r="F87" s="339">
        <f>INDEX($D$42:$D$81,Year,1)</f>
        <v>4.68613189059026E-3</v>
      </c>
      <c r="G87" s="106"/>
      <c r="H87" s="106"/>
      <c r="I87" s="106"/>
      <c r="J87" s="106"/>
      <c r="K87" s="106"/>
      <c r="L87" s="106"/>
      <c r="M87" s="106"/>
      <c r="N87" s="106"/>
      <c r="O87" s="105"/>
      <c r="P87" s="105"/>
      <c r="Q87" s="105"/>
      <c r="R87" s="105"/>
      <c r="S87" s="105"/>
      <c r="T87" s="105"/>
      <c r="U87" s="105"/>
      <c r="V87" s="105"/>
      <c r="W87" s="105"/>
      <c r="X87" s="105"/>
      <c r="Y87" s="105"/>
      <c r="Z87" s="105"/>
      <c r="AA87" s="105"/>
      <c r="AB87" s="105"/>
      <c r="AC87" s="105"/>
      <c r="AD87" s="105"/>
      <c r="AE87" s="105"/>
      <c r="AF87" s="105"/>
      <c r="AG87" s="105"/>
      <c r="AH87" s="105"/>
      <c r="AI87" s="105"/>
      <c r="AJ87" s="105"/>
      <c r="AK87" s="105"/>
      <c r="AL87" s="105"/>
      <c r="AM87" s="105"/>
      <c r="AN87" s="105"/>
      <c r="AO87" s="105"/>
      <c r="AP87" s="105"/>
      <c r="AQ87" s="105"/>
      <c r="AR87" s="105"/>
    </row>
    <row r="88" spans="2:44" s="193" customFormat="1" x14ac:dyDescent="0.15">
      <c r="B88" s="190" t="s">
        <v>36</v>
      </c>
      <c r="C88" s="191"/>
      <c r="D88" s="192"/>
      <c r="E88" s="192"/>
      <c r="F88" s="192"/>
      <c r="G88" s="192"/>
      <c r="H88" s="192"/>
      <c r="I88" s="192"/>
      <c r="J88" s="192">
        <f>RealExRate_Det</f>
        <v>134.98588075760037</v>
      </c>
      <c r="K88" s="192">
        <f>J88*J89*0.5</f>
        <v>0.18643313288127317</v>
      </c>
      <c r="L88" s="192"/>
      <c r="M88" s="192"/>
      <c r="N88" s="192"/>
      <c r="O88" s="192"/>
      <c r="P88" s="192"/>
      <c r="Q88" s="192"/>
      <c r="R88" s="192"/>
      <c r="S88" s="192"/>
      <c r="T88" s="192"/>
      <c r="U88" s="192"/>
      <c r="V88" s="192"/>
      <c r="W88" s="192"/>
      <c r="X88" s="192"/>
    </row>
    <row r="89" spans="2:44" s="45" customFormat="1" x14ac:dyDescent="0.15">
      <c r="B89" s="68" t="s">
        <v>37</v>
      </c>
      <c r="C89" s="35"/>
      <c r="D89" s="107"/>
      <c r="E89" s="107"/>
      <c r="F89" s="107"/>
      <c r="G89" s="107"/>
      <c r="H89" s="107"/>
      <c r="I89" s="107"/>
      <c r="J89" s="107">
        <f>IF(Year&lt;=Grace_Period,,INDEX(84:84,1,COLUMN()-Grace_Period))</f>
        <v>2.76226123554446E-3</v>
      </c>
      <c r="K89" s="107"/>
      <c r="L89" s="107"/>
      <c r="M89" s="107"/>
      <c r="N89" s="107"/>
      <c r="O89" s="107"/>
      <c r="P89" s="107"/>
      <c r="Q89" s="107"/>
      <c r="R89" s="107"/>
      <c r="S89" s="107"/>
      <c r="T89" s="107"/>
      <c r="U89" s="107"/>
      <c r="V89" s="107"/>
      <c r="W89" s="107"/>
      <c r="X89" s="107"/>
    </row>
    <row r="90" spans="2:44" s="45" customFormat="1" x14ac:dyDescent="0.15">
      <c r="B90" s="35"/>
      <c r="C90" s="81" t="s">
        <v>33</v>
      </c>
      <c r="E90" s="340">
        <f t="shared" ref="E90:AR90" si="52">IF(Year&lt;=Grace_Period,,INDEX(84:84,1,COLUMN()-Grace_Period))*IF(ServExt_LoanIntDen=lbl_Dom,1,RealExRate_Det)*ServExt_LoanPct</f>
        <v>0</v>
      </c>
      <c r="F90" s="341">
        <f t="shared" si="52"/>
        <v>0</v>
      </c>
      <c r="G90" s="341">
        <f t="shared" si="52"/>
        <v>0</v>
      </c>
      <c r="H90" s="341">
        <f t="shared" si="52"/>
        <v>0</v>
      </c>
      <c r="I90" s="341">
        <f t="shared" si="52"/>
        <v>0</v>
      </c>
      <c r="J90" s="341">
        <f t="shared" si="52"/>
        <v>0.18643313288127317</v>
      </c>
      <c r="K90" s="341">
        <f t="shared" si="52"/>
        <v>0.51868906052289787</v>
      </c>
      <c r="L90" s="341">
        <f t="shared" si="52"/>
        <v>1.4237469938590357</v>
      </c>
      <c r="M90" s="341">
        <f t="shared" si="52"/>
        <v>3.6522656003082825</v>
      </c>
      <c r="N90" s="341">
        <f t="shared" si="52"/>
        <v>8.051603858884711</v>
      </c>
      <c r="O90" s="341">
        <f t="shared" si="52"/>
        <v>14.006258671989402</v>
      </c>
      <c r="P90" s="341">
        <f t="shared" si="52"/>
        <v>19.10196992034977</v>
      </c>
      <c r="Q90" s="341">
        <f t="shared" si="52"/>
        <v>22.040224859206944</v>
      </c>
      <c r="R90" s="341">
        <f t="shared" si="52"/>
        <v>23.307759465906994</v>
      </c>
      <c r="S90" s="341">
        <f t="shared" si="52"/>
        <v>24.039256444875065</v>
      </c>
      <c r="T90" s="341">
        <f t="shared" si="52"/>
        <v>23.699539402166209</v>
      </c>
      <c r="U90" s="341">
        <f t="shared" si="52"/>
        <v>23.261794426805594</v>
      </c>
      <c r="V90" s="341">
        <f t="shared" si="52"/>
        <v>22.716862542421193</v>
      </c>
      <c r="W90" s="341">
        <f t="shared" si="52"/>
        <v>22.054903279629396</v>
      </c>
      <c r="X90" s="341">
        <f t="shared" si="52"/>
        <v>21.265348870680409</v>
      </c>
      <c r="Y90" s="200">
        <f t="shared" si="52"/>
        <v>20.336855538580046</v>
      </c>
      <c r="Z90" s="200">
        <f t="shared" si="52"/>
        <v>19.257251703158918</v>
      </c>
      <c r="AA90" s="200">
        <f t="shared" si="52"/>
        <v>18.013482915993531</v>
      </c>
      <c r="AB90" s="200">
        <f t="shared" si="52"/>
        <v>16.59155332490063</v>
      </c>
      <c r="AC90" s="200">
        <f t="shared" si="52"/>
        <v>14.97646345689054</v>
      </c>
      <c r="AD90" s="200">
        <f t="shared" si="52"/>
        <v>0</v>
      </c>
      <c r="AE90" s="200">
        <f t="shared" si="52"/>
        <v>0</v>
      </c>
      <c r="AF90" s="200">
        <f t="shared" si="52"/>
        <v>0</v>
      </c>
      <c r="AG90" s="200">
        <f t="shared" si="52"/>
        <v>0</v>
      </c>
      <c r="AH90" s="200">
        <f t="shared" si="52"/>
        <v>0</v>
      </c>
      <c r="AI90" s="200">
        <f t="shared" si="52"/>
        <v>0</v>
      </c>
      <c r="AJ90" s="200">
        <f t="shared" si="52"/>
        <v>0</v>
      </c>
      <c r="AK90" s="200">
        <f t="shared" si="52"/>
        <v>0</v>
      </c>
      <c r="AL90" s="200">
        <f t="shared" si="52"/>
        <v>0</v>
      </c>
      <c r="AM90" s="200">
        <f t="shared" si="52"/>
        <v>0</v>
      </c>
      <c r="AN90" s="200">
        <f t="shared" si="52"/>
        <v>0</v>
      </c>
      <c r="AO90" s="200">
        <f t="shared" si="52"/>
        <v>0</v>
      </c>
      <c r="AP90" s="200">
        <f t="shared" si="52"/>
        <v>0</v>
      </c>
      <c r="AQ90" s="200">
        <f t="shared" si="52"/>
        <v>0</v>
      </c>
      <c r="AR90" s="201">
        <f t="shared" si="52"/>
        <v>0</v>
      </c>
    </row>
    <row r="91" spans="2:44" s="45" customFormat="1" x14ac:dyDescent="0.15">
      <c r="B91" s="35"/>
      <c r="C91" s="81" t="s">
        <v>34</v>
      </c>
      <c r="E91" s="342">
        <f t="shared" ref="E91:AR91" si="53">IF(Year&lt;=Grace_Period,,INDEX(85:85,1,COLUMN()-Grace_Period))*IF(ServExt_LoanIntDen=lbl_Dom,1,RealExRate_Det)*ServExt_LoanPct</f>
        <v>0</v>
      </c>
      <c r="F91" s="343">
        <f t="shared" si="53"/>
        <v>0</v>
      </c>
      <c r="G91" s="343">
        <f t="shared" si="53"/>
        <v>0</v>
      </c>
      <c r="H91" s="343">
        <f t="shared" si="53"/>
        <v>0</v>
      </c>
      <c r="I91" s="343">
        <f t="shared" si="53"/>
        <v>0</v>
      </c>
      <c r="J91" s="343">
        <f t="shared" si="53"/>
        <v>9.3216566440636577E-3</v>
      </c>
      <c r="K91" s="343">
        <f t="shared" si="53"/>
        <v>2.6424432436157174E-2</v>
      </c>
      <c r="L91" s="343">
        <f t="shared" si="53"/>
        <v>7.3091412987430715E-2</v>
      </c>
      <c r="M91" s="343">
        <f t="shared" si="53"/>
        <v>0.18845691121591879</v>
      </c>
      <c r="N91" s="343">
        <f t="shared" si="53"/>
        <v>0.41862939870688709</v>
      </c>
      <c r="O91" s="343">
        <f t="shared" si="53"/>
        <v>0.73918964908522833</v>
      </c>
      <c r="P91" s="343">
        <f t="shared" si="53"/>
        <v>1.0348228989708823</v>
      </c>
      <c r="Q91" s="343">
        <f t="shared" si="53"/>
        <v>1.2402171736388921</v>
      </c>
      <c r="R91" s="343">
        <f t="shared" si="53"/>
        <v>1.375870096959239</v>
      </c>
      <c r="S91" s="343">
        <f t="shared" si="53"/>
        <v>1.4955572184205104</v>
      </c>
      <c r="T91" s="343">
        <f t="shared" si="53"/>
        <v>1.5722360767020069</v>
      </c>
      <c r="U91" s="343">
        <f t="shared" si="53"/>
        <v>1.6528463441164576</v>
      </c>
      <c r="V91" s="343">
        <f t="shared" si="53"/>
        <v>1.7375895883204115</v>
      </c>
      <c r="W91" s="343">
        <f t="shared" si="53"/>
        <v>1.8266777115651633</v>
      </c>
      <c r="X91" s="343">
        <f t="shared" si="53"/>
        <v>1.9203334805627561</v>
      </c>
      <c r="Y91" s="102">
        <f t="shared" si="53"/>
        <v>2.0187910835187948</v>
      </c>
      <c r="Z91" s="102">
        <f t="shared" si="53"/>
        <v>2.122296715724945</v>
      </c>
      <c r="AA91" s="102">
        <f t="shared" si="53"/>
        <v>2.2311091951753981</v>
      </c>
      <c r="AB91" s="102">
        <f t="shared" si="53"/>
        <v>2.3455006097466691</v>
      </c>
      <c r="AC91" s="102">
        <f t="shared" si="53"/>
        <v>2.4657569975590143</v>
      </c>
      <c r="AD91" s="102">
        <f t="shared" si="53"/>
        <v>0</v>
      </c>
      <c r="AE91" s="102">
        <f t="shared" si="53"/>
        <v>0</v>
      </c>
      <c r="AF91" s="102">
        <f t="shared" si="53"/>
        <v>0</v>
      </c>
      <c r="AG91" s="102">
        <f t="shared" si="53"/>
        <v>0</v>
      </c>
      <c r="AH91" s="102">
        <f t="shared" si="53"/>
        <v>0</v>
      </c>
      <c r="AI91" s="102">
        <f t="shared" si="53"/>
        <v>0</v>
      </c>
      <c r="AJ91" s="102">
        <f t="shared" si="53"/>
        <v>0</v>
      </c>
      <c r="AK91" s="102">
        <f t="shared" si="53"/>
        <v>0</v>
      </c>
      <c r="AL91" s="102">
        <f t="shared" si="53"/>
        <v>0</v>
      </c>
      <c r="AM91" s="102">
        <f t="shared" si="53"/>
        <v>0</v>
      </c>
      <c r="AN91" s="102">
        <f t="shared" si="53"/>
        <v>0</v>
      </c>
      <c r="AO91" s="102">
        <f t="shared" si="53"/>
        <v>0</v>
      </c>
      <c r="AP91" s="102">
        <f t="shared" si="53"/>
        <v>0</v>
      </c>
      <c r="AQ91" s="102">
        <f t="shared" si="53"/>
        <v>0</v>
      </c>
      <c r="AR91" s="103">
        <f t="shared" si="53"/>
        <v>0</v>
      </c>
    </row>
    <row r="92" spans="2:44" s="45" customFormat="1" x14ac:dyDescent="0.15">
      <c r="B92" s="35"/>
      <c r="C92" s="81" t="s">
        <v>35</v>
      </c>
      <c r="E92" s="344">
        <f t="shared" ref="E92:AR92" si="54">IF(Year&lt;=Grace_Period,,INDEX(86:86,1,COLUMN()-Grace_Period))*IF(ServExt_LoanIntDen=lbl_Dom,1,RealExRate_Det)*ServExt_LoanPct</f>
        <v>0</v>
      </c>
      <c r="F92" s="345">
        <f t="shared" si="54"/>
        <v>0</v>
      </c>
      <c r="G92" s="345">
        <f t="shared" si="54"/>
        <v>0</v>
      </c>
      <c r="H92" s="345">
        <f t="shared" si="54"/>
        <v>0</v>
      </c>
      <c r="I92" s="345">
        <f t="shared" si="54"/>
        <v>0</v>
      </c>
      <c r="J92" s="345">
        <f t="shared" si="54"/>
        <v>9.3216566440636577E-3</v>
      </c>
      <c r="K92" s="345">
        <f t="shared" si="54"/>
        <v>2.5934453026144895E-2</v>
      </c>
      <c r="L92" s="345">
        <f t="shared" si="54"/>
        <v>7.118734969295179E-2</v>
      </c>
      <c r="M92" s="345">
        <f t="shared" si="54"/>
        <v>0.18261328001541413</v>
      </c>
      <c r="N92" s="345">
        <f t="shared" si="54"/>
        <v>0.40258019294423558</v>
      </c>
      <c r="O92" s="345">
        <f t="shared" si="54"/>
        <v>0.70031293359947022</v>
      </c>
      <c r="P92" s="345">
        <f t="shared" si="54"/>
        <v>0.95509849601748864</v>
      </c>
      <c r="Q92" s="345">
        <f t="shared" si="54"/>
        <v>1.1020112429603472</v>
      </c>
      <c r="R92" s="345">
        <f t="shared" si="54"/>
        <v>1.1653879732953498</v>
      </c>
      <c r="S92" s="345">
        <f t="shared" si="54"/>
        <v>1.2019628222437533</v>
      </c>
      <c r="T92" s="345">
        <f t="shared" si="54"/>
        <v>1.1849769701083104</v>
      </c>
      <c r="U92" s="345">
        <f t="shared" si="54"/>
        <v>1.16308972134028</v>
      </c>
      <c r="V92" s="345">
        <f t="shared" si="54"/>
        <v>1.1358431271210598</v>
      </c>
      <c r="W92" s="345">
        <f t="shared" si="54"/>
        <v>1.10274516398147</v>
      </c>
      <c r="X92" s="345">
        <f t="shared" si="54"/>
        <v>1.0632674435340206</v>
      </c>
      <c r="Y92" s="83">
        <f t="shared" si="54"/>
        <v>1.0168427769290023</v>
      </c>
      <c r="Z92" s="83">
        <f t="shared" si="54"/>
        <v>0.96286258515794587</v>
      </c>
      <c r="AA92" s="83">
        <f t="shared" si="54"/>
        <v>0.90067414579967664</v>
      </c>
      <c r="AB92" s="83">
        <f t="shared" si="54"/>
        <v>0.82957766624503171</v>
      </c>
      <c r="AC92" s="83">
        <f t="shared" si="54"/>
        <v>0.74882317284452715</v>
      </c>
      <c r="AD92" s="83">
        <f t="shared" si="54"/>
        <v>0</v>
      </c>
      <c r="AE92" s="83">
        <f t="shared" si="54"/>
        <v>0</v>
      </c>
      <c r="AF92" s="83">
        <f t="shared" si="54"/>
        <v>0</v>
      </c>
      <c r="AG92" s="83">
        <f t="shared" si="54"/>
        <v>0</v>
      </c>
      <c r="AH92" s="83">
        <f t="shared" si="54"/>
        <v>0</v>
      </c>
      <c r="AI92" s="83">
        <f t="shared" si="54"/>
        <v>0</v>
      </c>
      <c r="AJ92" s="83">
        <f t="shared" si="54"/>
        <v>0</v>
      </c>
      <c r="AK92" s="83">
        <f t="shared" si="54"/>
        <v>0</v>
      </c>
      <c r="AL92" s="83">
        <f t="shared" si="54"/>
        <v>0</v>
      </c>
      <c r="AM92" s="83">
        <f t="shared" si="54"/>
        <v>0</v>
      </c>
      <c r="AN92" s="83">
        <f t="shared" si="54"/>
        <v>0</v>
      </c>
      <c r="AO92" s="83">
        <f t="shared" si="54"/>
        <v>0</v>
      </c>
      <c r="AP92" s="83">
        <f t="shared" si="54"/>
        <v>0</v>
      </c>
      <c r="AQ92" s="83">
        <f t="shared" si="54"/>
        <v>0</v>
      </c>
      <c r="AR92" s="84">
        <f t="shared" si="54"/>
        <v>0</v>
      </c>
    </row>
    <row r="93" spans="2:44" s="45" customFormat="1" x14ac:dyDescent="0.15">
      <c r="B93" s="68" t="s">
        <v>38</v>
      </c>
      <c r="C93" s="81"/>
      <c r="E93" s="108"/>
    </row>
    <row r="94" spans="2:44" s="45" customFormat="1" x14ac:dyDescent="0.15">
      <c r="B94" s="35"/>
      <c r="C94" s="81" t="s">
        <v>33</v>
      </c>
      <c r="E94" s="100">
        <f t="shared" ref="E94:AR94" si="55">IF(Year&lt;=Grace_Period,,INDEX(84:84,1,COLUMN()-Grace_Period))*IF(ServExt_LoanIntDen=lbl_Dom,1,RealExRate_Det)*ServExt_CAPct</f>
        <v>0</v>
      </c>
      <c r="F94" s="91">
        <f t="shared" si="55"/>
        <v>0</v>
      </c>
      <c r="G94" s="91">
        <f t="shared" si="55"/>
        <v>0</v>
      </c>
      <c r="H94" s="91">
        <f t="shared" si="55"/>
        <v>0</v>
      </c>
      <c r="I94" s="91">
        <f t="shared" si="55"/>
        <v>0</v>
      </c>
      <c r="J94" s="91">
        <f t="shared" si="55"/>
        <v>0.18643313288127317</v>
      </c>
      <c r="K94" s="91">
        <f t="shared" si="55"/>
        <v>0.51868906052289787</v>
      </c>
      <c r="L94" s="91">
        <f t="shared" si="55"/>
        <v>1.4237469938590357</v>
      </c>
      <c r="M94" s="91">
        <f t="shared" si="55"/>
        <v>3.6522656003082825</v>
      </c>
      <c r="N94" s="91">
        <f t="shared" si="55"/>
        <v>8.051603858884711</v>
      </c>
      <c r="O94" s="91">
        <f t="shared" si="55"/>
        <v>14.006258671989402</v>
      </c>
      <c r="P94" s="91">
        <f t="shared" si="55"/>
        <v>19.10196992034977</v>
      </c>
      <c r="Q94" s="91">
        <f t="shared" si="55"/>
        <v>22.040224859206944</v>
      </c>
      <c r="R94" s="91">
        <f t="shared" si="55"/>
        <v>23.307759465906994</v>
      </c>
      <c r="S94" s="91">
        <f t="shared" si="55"/>
        <v>24.039256444875065</v>
      </c>
      <c r="T94" s="91">
        <f t="shared" si="55"/>
        <v>23.699539402166209</v>
      </c>
      <c r="U94" s="91">
        <f t="shared" si="55"/>
        <v>23.261794426805594</v>
      </c>
      <c r="V94" s="91">
        <f t="shared" si="55"/>
        <v>22.716862542421193</v>
      </c>
      <c r="W94" s="91">
        <f t="shared" si="55"/>
        <v>22.054903279629396</v>
      </c>
      <c r="X94" s="91">
        <f t="shared" si="55"/>
        <v>21.265348870680409</v>
      </c>
      <c r="Y94" s="91">
        <f t="shared" si="55"/>
        <v>20.336855538580046</v>
      </c>
      <c r="Z94" s="91">
        <f t="shared" si="55"/>
        <v>19.257251703158918</v>
      </c>
      <c r="AA94" s="91">
        <f t="shared" si="55"/>
        <v>18.013482915993531</v>
      </c>
      <c r="AB94" s="91">
        <f t="shared" si="55"/>
        <v>16.59155332490063</v>
      </c>
      <c r="AC94" s="91">
        <f t="shared" si="55"/>
        <v>14.97646345689054</v>
      </c>
      <c r="AD94" s="91">
        <f t="shared" si="55"/>
        <v>0</v>
      </c>
      <c r="AE94" s="91">
        <f t="shared" si="55"/>
        <v>0</v>
      </c>
      <c r="AF94" s="91">
        <f t="shared" si="55"/>
        <v>0</v>
      </c>
      <c r="AG94" s="91">
        <f t="shared" si="55"/>
        <v>0</v>
      </c>
      <c r="AH94" s="91">
        <f t="shared" si="55"/>
        <v>0</v>
      </c>
      <c r="AI94" s="91">
        <f t="shared" si="55"/>
        <v>0</v>
      </c>
      <c r="AJ94" s="91">
        <f t="shared" si="55"/>
        <v>0</v>
      </c>
      <c r="AK94" s="91">
        <f t="shared" si="55"/>
        <v>0</v>
      </c>
      <c r="AL94" s="91">
        <f t="shared" si="55"/>
        <v>0</v>
      </c>
      <c r="AM94" s="91">
        <f t="shared" si="55"/>
        <v>0</v>
      </c>
      <c r="AN94" s="91">
        <f t="shared" si="55"/>
        <v>0</v>
      </c>
      <c r="AO94" s="91">
        <f t="shared" si="55"/>
        <v>0</v>
      </c>
      <c r="AP94" s="91">
        <f t="shared" si="55"/>
        <v>0</v>
      </c>
      <c r="AQ94" s="91">
        <f t="shared" si="55"/>
        <v>0</v>
      </c>
      <c r="AR94" s="92">
        <f t="shared" si="55"/>
        <v>0</v>
      </c>
    </row>
    <row r="95" spans="2:44" s="45" customFormat="1" x14ac:dyDescent="0.15">
      <c r="B95" s="35"/>
      <c r="C95" s="81" t="s">
        <v>34</v>
      </c>
      <c r="E95" s="101">
        <f t="shared" ref="E95:AR95" si="56">IF(Year&lt;=Grace_Period,,INDEX(85:85,1,COLUMN()-Grace_Period))*IF(ServExt_LoanIntDen=lbl_Dom,1,RealExRate_Det)*ServExt_CAPct</f>
        <v>0</v>
      </c>
      <c r="F95" s="102">
        <f t="shared" si="56"/>
        <v>0</v>
      </c>
      <c r="G95" s="102">
        <f t="shared" si="56"/>
        <v>0</v>
      </c>
      <c r="H95" s="102">
        <f t="shared" si="56"/>
        <v>0</v>
      </c>
      <c r="I95" s="102">
        <f t="shared" si="56"/>
        <v>0</v>
      </c>
      <c r="J95" s="102">
        <f t="shared" si="56"/>
        <v>9.3216566440636577E-3</v>
      </c>
      <c r="K95" s="102">
        <f t="shared" si="56"/>
        <v>2.6424432436157174E-2</v>
      </c>
      <c r="L95" s="102">
        <f t="shared" si="56"/>
        <v>7.3091412987430715E-2</v>
      </c>
      <c r="M95" s="102">
        <f t="shared" si="56"/>
        <v>0.18845691121591879</v>
      </c>
      <c r="N95" s="102">
        <f t="shared" si="56"/>
        <v>0.41862939870688709</v>
      </c>
      <c r="O95" s="102">
        <f t="shared" si="56"/>
        <v>0.73918964908522833</v>
      </c>
      <c r="P95" s="102">
        <f t="shared" si="56"/>
        <v>1.0348228989708823</v>
      </c>
      <c r="Q95" s="102">
        <f t="shared" si="56"/>
        <v>1.2402171736388921</v>
      </c>
      <c r="R95" s="102">
        <f t="shared" si="56"/>
        <v>1.375870096959239</v>
      </c>
      <c r="S95" s="102">
        <f t="shared" si="56"/>
        <v>1.4955572184205104</v>
      </c>
      <c r="T95" s="102">
        <f t="shared" si="56"/>
        <v>1.5722360767020069</v>
      </c>
      <c r="U95" s="102">
        <f t="shared" si="56"/>
        <v>1.6528463441164576</v>
      </c>
      <c r="V95" s="102">
        <f t="shared" si="56"/>
        <v>1.7375895883204115</v>
      </c>
      <c r="W95" s="102">
        <f t="shared" si="56"/>
        <v>1.8266777115651633</v>
      </c>
      <c r="X95" s="102">
        <f t="shared" si="56"/>
        <v>1.9203334805627561</v>
      </c>
      <c r="Y95" s="102">
        <f t="shared" si="56"/>
        <v>2.0187910835187948</v>
      </c>
      <c r="Z95" s="102">
        <f t="shared" si="56"/>
        <v>2.122296715724945</v>
      </c>
      <c r="AA95" s="102">
        <f t="shared" si="56"/>
        <v>2.2311091951753981</v>
      </c>
      <c r="AB95" s="102">
        <f t="shared" si="56"/>
        <v>2.3455006097466691</v>
      </c>
      <c r="AC95" s="102">
        <f t="shared" si="56"/>
        <v>2.4657569975590143</v>
      </c>
      <c r="AD95" s="102">
        <f t="shared" si="56"/>
        <v>0</v>
      </c>
      <c r="AE95" s="102">
        <f t="shared" si="56"/>
        <v>0</v>
      </c>
      <c r="AF95" s="102">
        <f t="shared" si="56"/>
        <v>0</v>
      </c>
      <c r="AG95" s="102">
        <f t="shared" si="56"/>
        <v>0</v>
      </c>
      <c r="AH95" s="102">
        <f t="shared" si="56"/>
        <v>0</v>
      </c>
      <c r="AI95" s="102">
        <f t="shared" si="56"/>
        <v>0</v>
      </c>
      <c r="AJ95" s="102">
        <f t="shared" si="56"/>
        <v>0</v>
      </c>
      <c r="AK95" s="102">
        <f t="shared" si="56"/>
        <v>0</v>
      </c>
      <c r="AL95" s="102">
        <f t="shared" si="56"/>
        <v>0</v>
      </c>
      <c r="AM95" s="102">
        <f t="shared" si="56"/>
        <v>0</v>
      </c>
      <c r="AN95" s="102">
        <f t="shared" si="56"/>
        <v>0</v>
      </c>
      <c r="AO95" s="102">
        <f t="shared" si="56"/>
        <v>0</v>
      </c>
      <c r="AP95" s="102">
        <f t="shared" si="56"/>
        <v>0</v>
      </c>
      <c r="AQ95" s="102">
        <f t="shared" si="56"/>
        <v>0</v>
      </c>
      <c r="AR95" s="103">
        <f t="shared" si="56"/>
        <v>0</v>
      </c>
    </row>
    <row r="96" spans="2:44" s="45" customFormat="1" x14ac:dyDescent="0.15">
      <c r="B96" s="35"/>
      <c r="C96" s="81" t="s">
        <v>35</v>
      </c>
      <c r="E96" s="82">
        <f t="shared" ref="E96:AR96" si="57">IF(Year&lt;=Grace_Period,,INDEX(86:86,1,COLUMN()-Grace_Period))*IF(ServExt_LoanIntDen=lbl_Dom,1,RealExRate_Det)*ServExt_CAPct</f>
        <v>0</v>
      </c>
      <c r="F96" s="83">
        <f t="shared" si="57"/>
        <v>0</v>
      </c>
      <c r="G96" s="83">
        <f t="shared" si="57"/>
        <v>0</v>
      </c>
      <c r="H96" s="83">
        <f t="shared" si="57"/>
        <v>0</v>
      </c>
      <c r="I96" s="83">
        <f t="shared" si="57"/>
        <v>0</v>
      </c>
      <c r="J96" s="83">
        <f t="shared" si="57"/>
        <v>9.3216566440636577E-3</v>
      </c>
      <c r="K96" s="83">
        <f t="shared" si="57"/>
        <v>2.5934453026144895E-2</v>
      </c>
      <c r="L96" s="83">
        <f t="shared" si="57"/>
        <v>7.118734969295179E-2</v>
      </c>
      <c r="M96" s="83">
        <f t="shared" si="57"/>
        <v>0.18261328001541413</v>
      </c>
      <c r="N96" s="83">
        <f t="shared" si="57"/>
        <v>0.40258019294423558</v>
      </c>
      <c r="O96" s="83">
        <f t="shared" si="57"/>
        <v>0.70031293359947022</v>
      </c>
      <c r="P96" s="83">
        <f t="shared" si="57"/>
        <v>0.95509849601748864</v>
      </c>
      <c r="Q96" s="83">
        <f t="shared" si="57"/>
        <v>1.1020112429603472</v>
      </c>
      <c r="R96" s="83">
        <f t="shared" si="57"/>
        <v>1.1653879732953498</v>
      </c>
      <c r="S96" s="83">
        <f t="shared" si="57"/>
        <v>1.2019628222437533</v>
      </c>
      <c r="T96" s="83">
        <f t="shared" si="57"/>
        <v>1.1849769701083104</v>
      </c>
      <c r="U96" s="83">
        <f t="shared" si="57"/>
        <v>1.16308972134028</v>
      </c>
      <c r="V96" s="83">
        <f t="shared" si="57"/>
        <v>1.1358431271210598</v>
      </c>
      <c r="W96" s="83">
        <f t="shared" si="57"/>
        <v>1.10274516398147</v>
      </c>
      <c r="X96" s="83">
        <f t="shared" si="57"/>
        <v>1.0632674435340206</v>
      </c>
      <c r="Y96" s="83">
        <f t="shared" si="57"/>
        <v>1.0168427769290023</v>
      </c>
      <c r="Z96" s="83">
        <f t="shared" si="57"/>
        <v>0.96286258515794587</v>
      </c>
      <c r="AA96" s="83">
        <f t="shared" si="57"/>
        <v>0.90067414579967664</v>
      </c>
      <c r="AB96" s="83">
        <f t="shared" si="57"/>
        <v>0.82957766624503171</v>
      </c>
      <c r="AC96" s="83">
        <f t="shared" si="57"/>
        <v>0.74882317284452715</v>
      </c>
      <c r="AD96" s="83">
        <f t="shared" si="57"/>
        <v>0</v>
      </c>
      <c r="AE96" s="83">
        <f t="shared" si="57"/>
        <v>0</v>
      </c>
      <c r="AF96" s="83">
        <f t="shared" si="57"/>
        <v>0</v>
      </c>
      <c r="AG96" s="83">
        <f t="shared" si="57"/>
        <v>0</v>
      </c>
      <c r="AH96" s="83">
        <f t="shared" si="57"/>
        <v>0</v>
      </c>
      <c r="AI96" s="83">
        <f t="shared" si="57"/>
        <v>0</v>
      </c>
      <c r="AJ96" s="83">
        <f t="shared" si="57"/>
        <v>0</v>
      </c>
      <c r="AK96" s="83">
        <f t="shared" si="57"/>
        <v>0</v>
      </c>
      <c r="AL96" s="83">
        <f t="shared" si="57"/>
        <v>0</v>
      </c>
      <c r="AM96" s="83">
        <f t="shared" si="57"/>
        <v>0</v>
      </c>
      <c r="AN96" s="83">
        <f t="shared" si="57"/>
        <v>0</v>
      </c>
      <c r="AO96" s="83">
        <f t="shared" si="57"/>
        <v>0</v>
      </c>
      <c r="AP96" s="83">
        <f t="shared" si="57"/>
        <v>0</v>
      </c>
      <c r="AQ96" s="83">
        <f t="shared" si="57"/>
        <v>0</v>
      </c>
      <c r="AR96" s="84">
        <f t="shared" si="57"/>
        <v>0</v>
      </c>
    </row>
    <row r="97" spans="1:44" s="43" customFormat="1" x14ac:dyDescent="0.15"/>
    <row r="98" spans="1:44" s="26" customFormat="1" ht="18" x14ac:dyDescent="0.2">
      <c r="A98" s="24" t="s">
        <v>39</v>
      </c>
      <c r="B98" s="25"/>
      <c r="C98" s="25"/>
    </row>
    <row r="99" spans="1:44" s="43" customFormat="1" x14ac:dyDescent="0.15">
      <c r="B99" s="68" t="s">
        <v>85</v>
      </c>
      <c r="C99" s="28"/>
    </row>
    <row r="100" spans="1:44" s="45" customFormat="1" x14ac:dyDescent="0.15">
      <c r="B100" s="35"/>
      <c r="C100" s="35" t="s">
        <v>86</v>
      </c>
      <c r="D100" s="46"/>
      <c r="E100" s="47">
        <f>D103</f>
        <v>100</v>
      </c>
      <c r="F100" s="47">
        <f t="shared" ref="F100:AR100" si="58">E103</f>
        <v>105.98121888933633</v>
      </c>
      <c r="G100" s="47">
        <f t="shared" si="58"/>
        <v>113.07809353159843</v>
      </c>
      <c r="H100" s="47">
        <f t="shared" si="58"/>
        <v>121.26857114190128</v>
      </c>
      <c r="I100" s="47">
        <f t="shared" si="58"/>
        <v>130.52282647363782</v>
      </c>
      <c r="J100" s="47">
        <f t="shared" si="58"/>
        <v>140.82282467164859</v>
      </c>
      <c r="K100" s="47">
        <f t="shared" si="58"/>
        <v>152.17162481266072</v>
      </c>
      <c r="L100" s="47">
        <f t="shared" si="58"/>
        <v>164.59498646637644</v>
      </c>
      <c r="M100" s="47">
        <f t="shared" si="58"/>
        <v>178.13930124895313</v>
      </c>
      <c r="N100" s="47">
        <f t="shared" si="58"/>
        <v>192.86861980332861</v>
      </c>
      <c r="O100" s="47">
        <f t="shared" si="58"/>
        <v>208.86205846151088</v>
      </c>
      <c r="P100" s="47">
        <f t="shared" si="58"/>
        <v>226.21196420828494</v>
      </c>
      <c r="Q100" s="47">
        <f t="shared" si="58"/>
        <v>245.02281985810771</v>
      </c>
      <c r="R100" s="47">
        <f t="shared" si="58"/>
        <v>265.41075006475904</v>
      </c>
      <c r="S100" s="47">
        <f t="shared" si="58"/>
        <v>287.50348206735407</v>
      </c>
      <c r="T100" s="47">
        <f t="shared" si="58"/>
        <v>311.44064407922951</v>
      </c>
      <c r="U100" s="47">
        <f t="shared" si="58"/>
        <v>337.37431751932758</v>
      </c>
      <c r="V100" s="47">
        <f t="shared" si="58"/>
        <v>365.46978699952382</v>
      </c>
      <c r="W100" s="47">
        <f t="shared" si="58"/>
        <v>395.9064525665317</v>
      </c>
      <c r="X100" s="47">
        <f t="shared" si="58"/>
        <v>428.87888323284335</v>
      </c>
      <c r="Y100" s="47">
        <f t="shared" si="58"/>
        <v>464.59800087958126</v>
      </c>
      <c r="Z100" s="47">
        <f t="shared" si="58"/>
        <v>503.29239053788228</v>
      </c>
      <c r="AA100" s="47">
        <f t="shared" si="58"/>
        <v>545.2097378794233</v>
      </c>
      <c r="AB100" s="47">
        <f t="shared" si="58"/>
        <v>590.61839819305749</v>
      </c>
      <c r="AC100" s="47">
        <f t="shared" si="58"/>
        <v>639.80910368580555</v>
      </c>
      <c r="AD100" s="47">
        <f t="shared" si="58"/>
        <v>693.09681795309984</v>
      </c>
      <c r="AE100" s="47">
        <f t="shared" si="58"/>
        <v>750.82274813545507</v>
      </c>
      <c r="AF100" s="47">
        <f t="shared" si="58"/>
        <v>813.35652676339521</v>
      </c>
      <c r="AG100" s="47">
        <f t="shared" si="58"/>
        <v>881.09857668794029</v>
      </c>
      <c r="AH100" s="47">
        <f t="shared" si="58"/>
        <v>954.48267386717828</v>
      </c>
      <c r="AI100" s="47">
        <f t="shared" si="58"/>
        <v>1033.97872417698</v>
      </c>
      <c r="AJ100" s="47">
        <f t="shared" si="58"/>
        <v>1120.0957718692816</v>
      </c>
      <c r="AK100" s="47">
        <f t="shared" si="58"/>
        <v>1213.385258839872</v>
      </c>
      <c r="AL100" s="47">
        <f t="shared" si="58"/>
        <v>1314.4445555095258</v>
      </c>
      <c r="AM100" s="47">
        <f t="shared" si="58"/>
        <v>1423.9207858848849</v>
      </c>
      <c r="AN100" s="47">
        <f t="shared" si="58"/>
        <v>1542.5149712643993</v>
      </c>
      <c r="AO100" s="47">
        <f t="shared" si="58"/>
        <v>1670.9865191049057</v>
      </c>
      <c r="AP100" s="47">
        <f t="shared" si="58"/>
        <v>1810.1580857810277</v>
      </c>
      <c r="AQ100" s="47">
        <f t="shared" si="58"/>
        <v>1960.9208443679304</v>
      </c>
      <c r="AR100" s="48">
        <f t="shared" si="58"/>
        <v>2124.2401911742054</v>
      </c>
    </row>
    <row r="101" spans="1:44" s="45" customFormat="1" x14ac:dyDescent="0.15">
      <c r="B101" s="35"/>
      <c r="C101" s="45" t="s">
        <v>44</v>
      </c>
      <c r="D101" s="109"/>
      <c r="E101" s="61">
        <f>E100*DepRate</f>
        <v>5</v>
      </c>
      <c r="F101" s="61">
        <f t="shared" ref="F101:AR101" si="59">F100*DepRate</f>
        <v>5.2990609444668166</v>
      </c>
      <c r="G101" s="61">
        <f t="shared" si="59"/>
        <v>5.6539046765799217</v>
      </c>
      <c r="H101" s="61">
        <f t="shared" si="59"/>
        <v>6.0634285570950643</v>
      </c>
      <c r="I101" s="61">
        <f t="shared" si="59"/>
        <v>6.526141323681891</v>
      </c>
      <c r="J101" s="61">
        <f t="shared" si="59"/>
        <v>7.0411412335824295</v>
      </c>
      <c r="K101" s="61">
        <f t="shared" si="59"/>
        <v>7.6085812406330362</v>
      </c>
      <c r="L101" s="61">
        <f t="shared" si="59"/>
        <v>8.2297493233188224</v>
      </c>
      <c r="M101" s="61">
        <f t="shared" si="59"/>
        <v>8.9069650624476573</v>
      </c>
      <c r="N101" s="61">
        <f t="shared" si="59"/>
        <v>9.643430990166431</v>
      </c>
      <c r="O101" s="61">
        <f t="shared" si="59"/>
        <v>10.443102923075545</v>
      </c>
      <c r="P101" s="61">
        <f t="shared" si="59"/>
        <v>11.310598210414248</v>
      </c>
      <c r="Q101" s="61">
        <f t="shared" si="59"/>
        <v>12.251140992905386</v>
      </c>
      <c r="R101" s="61">
        <f t="shared" si="59"/>
        <v>13.270537503237954</v>
      </c>
      <c r="S101" s="61">
        <f t="shared" si="59"/>
        <v>14.375174103367705</v>
      </c>
      <c r="T101" s="61">
        <f t="shared" si="59"/>
        <v>15.572032203961477</v>
      </c>
      <c r="U101" s="61">
        <f t="shared" si="59"/>
        <v>16.86871587596638</v>
      </c>
      <c r="V101" s="61">
        <f t="shared" si="59"/>
        <v>18.273489349976192</v>
      </c>
      <c r="W101" s="61">
        <f t="shared" si="59"/>
        <v>19.795322628326588</v>
      </c>
      <c r="X101" s="61">
        <f t="shared" si="59"/>
        <v>21.443944161642168</v>
      </c>
      <c r="Y101" s="61">
        <f t="shared" si="59"/>
        <v>23.229900043979065</v>
      </c>
      <c r="Z101" s="61">
        <f t="shared" si="59"/>
        <v>25.164619526894114</v>
      </c>
      <c r="AA101" s="61">
        <f t="shared" si="59"/>
        <v>27.260486893971166</v>
      </c>
      <c r="AB101" s="61">
        <f t="shared" si="59"/>
        <v>29.530919909652876</v>
      </c>
      <c r="AC101" s="61">
        <f t="shared" si="59"/>
        <v>31.99045518429028</v>
      </c>
      <c r="AD101" s="61">
        <f t="shared" si="59"/>
        <v>34.654840897654992</v>
      </c>
      <c r="AE101" s="61">
        <f t="shared" si="59"/>
        <v>37.541137406772755</v>
      </c>
      <c r="AF101" s="61">
        <f t="shared" si="59"/>
        <v>40.66782633816976</v>
      </c>
      <c r="AG101" s="61">
        <f t="shared" si="59"/>
        <v>44.054928834397018</v>
      </c>
      <c r="AH101" s="61">
        <f t="shared" si="59"/>
        <v>47.724133693358915</v>
      </c>
      <c r="AI101" s="61">
        <f t="shared" si="59"/>
        <v>51.698936208849005</v>
      </c>
      <c r="AJ101" s="61">
        <f t="shared" si="59"/>
        <v>56.004788593464085</v>
      </c>
      <c r="AK101" s="61">
        <f t="shared" si="59"/>
        <v>60.669262941993601</v>
      </c>
      <c r="AL101" s="61">
        <f t="shared" si="59"/>
        <v>65.722227775476298</v>
      </c>
      <c r="AM101" s="61">
        <f t="shared" si="59"/>
        <v>71.196039294244244</v>
      </c>
      <c r="AN101" s="61">
        <f t="shared" si="59"/>
        <v>77.125748563219972</v>
      </c>
      <c r="AO101" s="61">
        <f t="shared" si="59"/>
        <v>83.549325955245294</v>
      </c>
      <c r="AP101" s="61">
        <f t="shared" si="59"/>
        <v>90.507904289051396</v>
      </c>
      <c r="AQ101" s="61">
        <f t="shared" si="59"/>
        <v>98.046042218396522</v>
      </c>
      <c r="AR101" s="62">
        <f t="shared" si="59"/>
        <v>106.21200955871028</v>
      </c>
    </row>
    <row r="102" spans="1:44" s="45" customFormat="1" x14ac:dyDescent="0.15">
      <c r="B102" s="35"/>
      <c r="C102" s="35" t="s">
        <v>45</v>
      </c>
      <c r="D102" s="109"/>
      <c r="E102" s="61">
        <f>E103-E100+E101</f>
        <v>10.981218889336333</v>
      </c>
      <c r="F102" s="61">
        <f t="shared" ref="F102:AR102" si="60">F103-F100+F101</f>
        <v>12.39593558672891</v>
      </c>
      <c r="G102" s="61">
        <f t="shared" si="60"/>
        <v>13.844382286882771</v>
      </c>
      <c r="H102" s="61">
        <f t="shared" si="60"/>
        <v>15.31768388883161</v>
      </c>
      <c r="I102" s="61">
        <f t="shared" si="60"/>
        <v>16.82613952169266</v>
      </c>
      <c r="J102" s="61">
        <f t="shared" si="60"/>
        <v>18.389941374594564</v>
      </c>
      <c r="K102" s="61">
        <f t="shared" si="60"/>
        <v>20.031942894348752</v>
      </c>
      <c r="L102" s="61">
        <f t="shared" si="60"/>
        <v>21.774064105895512</v>
      </c>
      <c r="M102" s="61">
        <f t="shared" si="60"/>
        <v>23.636283616823139</v>
      </c>
      <c r="N102" s="61">
        <f t="shared" si="60"/>
        <v>25.6368696483487</v>
      </c>
      <c r="O102" s="61">
        <f t="shared" si="60"/>
        <v>27.793008669849598</v>
      </c>
      <c r="P102" s="61">
        <f t="shared" si="60"/>
        <v>30.121453860237018</v>
      </c>
      <c r="Q102" s="61">
        <f t="shared" si="60"/>
        <v>32.639071199556717</v>
      </c>
      <c r="R102" s="61">
        <f t="shared" si="60"/>
        <v>35.363269505832982</v>
      </c>
      <c r="S102" s="61">
        <f t="shared" si="60"/>
        <v>38.312336115243149</v>
      </c>
      <c r="T102" s="61">
        <f t="shared" si="60"/>
        <v>41.505705644059539</v>
      </c>
      <c r="U102" s="61">
        <f t="shared" si="60"/>
        <v>44.964185356162623</v>
      </c>
      <c r="V102" s="61">
        <f t="shared" si="60"/>
        <v>48.710154916984067</v>
      </c>
      <c r="W102" s="61">
        <f t="shared" si="60"/>
        <v>52.76775329463824</v>
      </c>
      <c r="X102" s="61">
        <f t="shared" si="60"/>
        <v>57.163061808380078</v>
      </c>
      <c r="Y102" s="61">
        <f t="shared" si="60"/>
        <v>61.924289702280085</v>
      </c>
      <c r="Z102" s="61">
        <f t="shared" si="60"/>
        <v>67.081966868435131</v>
      </c>
      <c r="AA102" s="61">
        <f t="shared" si="60"/>
        <v>72.669147207605349</v>
      </c>
      <c r="AB102" s="61">
        <f t="shared" si="60"/>
        <v>78.721625402400946</v>
      </c>
      <c r="AC102" s="61">
        <f t="shared" si="60"/>
        <v>85.278169451584574</v>
      </c>
      <c r="AD102" s="61">
        <f t="shared" si="60"/>
        <v>92.38077108001022</v>
      </c>
      <c r="AE102" s="61">
        <f t="shared" si="60"/>
        <v>100.07491603471288</v>
      </c>
      <c r="AF102" s="61">
        <f t="shared" si="60"/>
        <v>108.40987626271485</v>
      </c>
      <c r="AG102" s="61">
        <f t="shared" si="60"/>
        <v>117.439026013635</v>
      </c>
      <c r="AH102" s="61">
        <f t="shared" si="60"/>
        <v>127.22018400316063</v>
      </c>
      <c r="AI102" s="61">
        <f t="shared" si="60"/>
        <v>137.81598390115064</v>
      </c>
      <c r="AJ102" s="61">
        <f t="shared" si="60"/>
        <v>149.29427556405443</v>
      </c>
      <c r="AK102" s="61">
        <f t="shared" si="60"/>
        <v>161.7285596116474</v>
      </c>
      <c r="AL102" s="61">
        <f t="shared" si="60"/>
        <v>175.19845815083545</v>
      </c>
      <c r="AM102" s="61">
        <f t="shared" si="60"/>
        <v>189.79022467375859</v>
      </c>
      <c r="AN102" s="61">
        <f t="shared" si="60"/>
        <v>205.59729640372643</v>
      </c>
      <c r="AO102" s="61">
        <f t="shared" si="60"/>
        <v>222.72089263136729</v>
      </c>
      <c r="AP102" s="61">
        <f t="shared" si="60"/>
        <v>241.27066287595409</v>
      </c>
      <c r="AQ102" s="61">
        <f t="shared" si="60"/>
        <v>261.36538902467152</v>
      </c>
      <c r="AR102" s="62">
        <f t="shared" si="60"/>
        <v>283.13374594741856</v>
      </c>
    </row>
    <row r="103" spans="1:44" s="45" customFormat="1" x14ac:dyDescent="0.15">
      <c r="B103" s="35"/>
      <c r="C103" s="35" t="s">
        <v>87</v>
      </c>
      <c r="D103" s="49">
        <f>InitAssetBase/MonDenValue</f>
        <v>100</v>
      </c>
      <c r="E103" s="50">
        <f t="shared" ref="E103:AR103" si="61">E100*EXP(Inflation_Det)</f>
        <v>105.98121888933633</v>
      </c>
      <c r="F103" s="50">
        <f t="shared" si="61"/>
        <v>113.07809353159843</v>
      </c>
      <c r="G103" s="50">
        <f t="shared" si="61"/>
        <v>121.26857114190128</v>
      </c>
      <c r="H103" s="50">
        <f t="shared" si="61"/>
        <v>130.52282647363782</v>
      </c>
      <c r="I103" s="50">
        <f t="shared" si="61"/>
        <v>140.82282467164859</v>
      </c>
      <c r="J103" s="50">
        <f t="shared" si="61"/>
        <v>152.17162481266072</v>
      </c>
      <c r="K103" s="50">
        <f t="shared" si="61"/>
        <v>164.59498646637644</v>
      </c>
      <c r="L103" s="50">
        <f t="shared" si="61"/>
        <v>178.13930124895313</v>
      </c>
      <c r="M103" s="50">
        <f t="shared" si="61"/>
        <v>192.86861980332861</v>
      </c>
      <c r="N103" s="50">
        <f t="shared" si="61"/>
        <v>208.86205846151088</v>
      </c>
      <c r="O103" s="50">
        <f t="shared" si="61"/>
        <v>226.21196420828494</v>
      </c>
      <c r="P103" s="50">
        <f t="shared" si="61"/>
        <v>245.02281985810771</v>
      </c>
      <c r="Q103" s="50">
        <f t="shared" si="61"/>
        <v>265.41075006475904</v>
      </c>
      <c r="R103" s="50">
        <f t="shared" si="61"/>
        <v>287.50348206735407</v>
      </c>
      <c r="S103" s="50">
        <f t="shared" si="61"/>
        <v>311.44064407922951</v>
      </c>
      <c r="T103" s="50">
        <f t="shared" si="61"/>
        <v>337.37431751932758</v>
      </c>
      <c r="U103" s="50">
        <f t="shared" si="61"/>
        <v>365.46978699952382</v>
      </c>
      <c r="V103" s="50">
        <f t="shared" si="61"/>
        <v>395.9064525665317</v>
      </c>
      <c r="W103" s="50">
        <f t="shared" si="61"/>
        <v>428.87888323284335</v>
      </c>
      <c r="X103" s="50">
        <f t="shared" si="61"/>
        <v>464.59800087958126</v>
      </c>
      <c r="Y103" s="50">
        <f t="shared" si="61"/>
        <v>503.29239053788228</v>
      </c>
      <c r="Z103" s="50">
        <f t="shared" si="61"/>
        <v>545.2097378794233</v>
      </c>
      <c r="AA103" s="50">
        <f t="shared" si="61"/>
        <v>590.61839819305749</v>
      </c>
      <c r="AB103" s="50">
        <f t="shared" si="61"/>
        <v>639.80910368580555</v>
      </c>
      <c r="AC103" s="50">
        <f t="shared" si="61"/>
        <v>693.09681795309984</v>
      </c>
      <c r="AD103" s="50">
        <f t="shared" si="61"/>
        <v>750.82274813545507</v>
      </c>
      <c r="AE103" s="50">
        <f t="shared" si="61"/>
        <v>813.35652676339521</v>
      </c>
      <c r="AF103" s="50">
        <f t="shared" si="61"/>
        <v>881.09857668794029</v>
      </c>
      <c r="AG103" s="50">
        <f t="shared" si="61"/>
        <v>954.48267386717828</v>
      </c>
      <c r="AH103" s="50">
        <f t="shared" si="61"/>
        <v>1033.97872417698</v>
      </c>
      <c r="AI103" s="50">
        <f t="shared" si="61"/>
        <v>1120.0957718692816</v>
      </c>
      <c r="AJ103" s="50">
        <f t="shared" si="61"/>
        <v>1213.385258839872</v>
      </c>
      <c r="AK103" s="50">
        <f t="shared" si="61"/>
        <v>1314.4445555095258</v>
      </c>
      <c r="AL103" s="50">
        <f t="shared" si="61"/>
        <v>1423.9207858848849</v>
      </c>
      <c r="AM103" s="50">
        <f t="shared" si="61"/>
        <v>1542.5149712643993</v>
      </c>
      <c r="AN103" s="50">
        <f t="shared" si="61"/>
        <v>1670.9865191049057</v>
      </c>
      <c r="AO103" s="50">
        <f t="shared" si="61"/>
        <v>1810.1580857810277</v>
      </c>
      <c r="AP103" s="50">
        <f t="shared" si="61"/>
        <v>1960.9208443679304</v>
      </c>
      <c r="AQ103" s="50">
        <f t="shared" si="61"/>
        <v>2124.2401911742054</v>
      </c>
      <c r="AR103" s="51">
        <f t="shared" si="61"/>
        <v>2301.1619275629137</v>
      </c>
    </row>
    <row r="104" spans="1:44" s="43" customFormat="1" x14ac:dyDescent="0.15">
      <c r="B104" s="28"/>
    </row>
    <row r="105" spans="1:44" s="45" customFormat="1" x14ac:dyDescent="0.15">
      <c r="B105" s="35"/>
      <c r="C105" s="35" t="s">
        <v>48</v>
      </c>
      <c r="D105" s="46"/>
      <c r="E105" s="47">
        <f>D108</f>
        <v>0</v>
      </c>
      <c r="F105" s="47">
        <f t="shared" ref="F105:AR105" si="62">E108</f>
        <v>0.55173822553788499</v>
      </c>
      <c r="G105" s="47">
        <f t="shared" si="62"/>
        <v>1.5081568841729602</v>
      </c>
      <c r="H105" s="47">
        <f t="shared" si="62"/>
        <v>4.1147247593386007</v>
      </c>
      <c r="I105" s="47">
        <f t="shared" si="62"/>
        <v>10.515531906161323</v>
      </c>
      <c r="J105" s="47">
        <f t="shared" si="62"/>
        <v>23.041496347070989</v>
      </c>
      <c r="K105" s="47">
        <f t="shared" si="62"/>
        <v>39.59261184554795</v>
      </c>
      <c r="L105" s="47">
        <f t="shared" si="62"/>
        <v>52.867973788947261</v>
      </c>
      <c r="M105" s="47">
        <f t="shared" si="62"/>
        <v>59.241273971516911</v>
      </c>
      <c r="N105" s="47">
        <f t="shared" si="62"/>
        <v>60.544692668511487</v>
      </c>
      <c r="O105" s="47">
        <f t="shared" si="62"/>
        <v>60.426279923279374</v>
      </c>
      <c r="P105" s="47">
        <f t="shared" si="62"/>
        <v>57.404965927115406</v>
      </c>
      <c r="Q105" s="47">
        <f t="shared" si="62"/>
        <v>54.534717630759637</v>
      </c>
      <c r="R105" s="47">
        <f t="shared" si="62"/>
        <v>51.807981749221653</v>
      </c>
      <c r="S105" s="47">
        <f t="shared" si="62"/>
        <v>49.217582661760574</v>
      </c>
      <c r="T105" s="47">
        <f t="shared" si="62"/>
        <v>46.756703528672546</v>
      </c>
      <c r="U105" s="47">
        <f t="shared" si="62"/>
        <v>44.418868352238917</v>
      </c>
      <c r="V105" s="47">
        <f t="shared" si="62"/>
        <v>42.197924934626968</v>
      </c>
      <c r="W105" s="47">
        <f t="shared" si="62"/>
        <v>40.088028687895623</v>
      </c>
      <c r="X105" s="47">
        <f t="shared" si="62"/>
        <v>38.083627253500843</v>
      </c>
      <c r="Y105" s="47">
        <f t="shared" si="62"/>
        <v>36.179445890825804</v>
      </c>
      <c r="Z105" s="47">
        <f t="shared" si="62"/>
        <v>34.370473596284512</v>
      </c>
      <c r="AA105" s="47">
        <f t="shared" si="62"/>
        <v>32.651949916470286</v>
      </c>
      <c r="AB105" s="47">
        <f t="shared" si="62"/>
        <v>31.019352420646772</v>
      </c>
      <c r="AC105" s="47">
        <f t="shared" si="62"/>
        <v>29.468384799614434</v>
      </c>
      <c r="AD105" s="47">
        <f t="shared" si="62"/>
        <v>27.994965559633712</v>
      </c>
      <c r="AE105" s="47">
        <f t="shared" si="62"/>
        <v>26.595217281652026</v>
      </c>
      <c r="AF105" s="47">
        <f t="shared" si="62"/>
        <v>25.265456417569425</v>
      </c>
      <c r="AG105" s="47">
        <f t="shared" si="62"/>
        <v>24.002183596690955</v>
      </c>
      <c r="AH105" s="47">
        <f t="shared" si="62"/>
        <v>22.802074416856406</v>
      </c>
      <c r="AI105" s="47">
        <f t="shared" si="62"/>
        <v>21.661970696013586</v>
      </c>
      <c r="AJ105" s="47">
        <f t="shared" si="62"/>
        <v>20.578872161212907</v>
      </c>
      <c r="AK105" s="47">
        <f t="shared" si="62"/>
        <v>19.549928553152263</v>
      </c>
      <c r="AL105" s="47">
        <f t="shared" si="62"/>
        <v>18.57243212549465</v>
      </c>
      <c r="AM105" s="47">
        <f t="shared" si="62"/>
        <v>17.643810519219919</v>
      </c>
      <c r="AN105" s="47">
        <f t="shared" si="62"/>
        <v>16.761619993258922</v>
      </c>
      <c r="AO105" s="47">
        <f t="shared" si="62"/>
        <v>15.923538993595976</v>
      </c>
      <c r="AP105" s="47">
        <f t="shared" si="62"/>
        <v>15.127362043916177</v>
      </c>
      <c r="AQ105" s="47">
        <f t="shared" si="62"/>
        <v>14.370993941720368</v>
      </c>
      <c r="AR105" s="48">
        <f t="shared" si="62"/>
        <v>13.652444244634349</v>
      </c>
    </row>
    <row r="106" spans="1:44" s="45" customFormat="1" x14ac:dyDescent="0.15">
      <c r="B106" s="35"/>
      <c r="C106" s="35" t="s">
        <v>49</v>
      </c>
      <c r="D106" s="109"/>
      <c r="E106" s="204">
        <f>E38</f>
        <v>0.58077707951356317</v>
      </c>
      <c r="F106" s="204">
        <f t="shared" ref="F106:AR106" si="63">F38</f>
        <v>1.0357953367494417</v>
      </c>
      <c r="G106" s="204">
        <f t="shared" si="63"/>
        <v>2.8231323361834617</v>
      </c>
      <c r="H106" s="204">
        <f t="shared" si="63"/>
        <v>6.9542561945154242</v>
      </c>
      <c r="I106" s="204">
        <f t="shared" si="63"/>
        <v>13.738674774966036</v>
      </c>
      <c r="J106" s="204">
        <f t="shared" si="63"/>
        <v>18.634937174558434</v>
      </c>
      <c r="K106" s="204">
        <f t="shared" si="63"/>
        <v>16.057886879659687</v>
      </c>
      <c r="L106" s="204">
        <f t="shared" si="63"/>
        <v>9.4912619705442243</v>
      </c>
      <c r="M106" s="204">
        <f t="shared" si="63"/>
        <v>4.4899814690214912</v>
      </c>
      <c r="N106" s="204">
        <f t="shared" si="63"/>
        <v>3.0619177770457497</v>
      </c>
      <c r="O106" s="204">
        <f t="shared" si="63"/>
        <v>0</v>
      </c>
      <c r="P106" s="204">
        <f t="shared" si="63"/>
        <v>0</v>
      </c>
      <c r="Q106" s="204">
        <f t="shared" si="63"/>
        <v>0</v>
      </c>
      <c r="R106" s="204">
        <f t="shared" si="63"/>
        <v>0</v>
      </c>
      <c r="S106" s="204">
        <f t="shared" si="63"/>
        <v>0</v>
      </c>
      <c r="T106" s="204">
        <f t="shared" si="63"/>
        <v>0</v>
      </c>
      <c r="U106" s="204">
        <f t="shared" si="63"/>
        <v>0</v>
      </c>
      <c r="V106" s="204">
        <f t="shared" si="63"/>
        <v>0</v>
      </c>
      <c r="W106" s="204">
        <f t="shared" si="63"/>
        <v>0</v>
      </c>
      <c r="X106" s="204">
        <f t="shared" si="63"/>
        <v>0</v>
      </c>
      <c r="Y106" s="204">
        <f t="shared" si="63"/>
        <v>0</v>
      </c>
      <c r="Z106" s="204">
        <f t="shared" si="63"/>
        <v>0</v>
      </c>
      <c r="AA106" s="204">
        <f t="shared" si="63"/>
        <v>0</v>
      </c>
      <c r="AB106" s="204">
        <f t="shared" si="63"/>
        <v>0</v>
      </c>
      <c r="AC106" s="204">
        <f t="shared" si="63"/>
        <v>0</v>
      </c>
      <c r="AD106" s="204">
        <f t="shared" si="63"/>
        <v>0</v>
      </c>
      <c r="AE106" s="204">
        <f t="shared" si="63"/>
        <v>0</v>
      </c>
      <c r="AF106" s="204">
        <f t="shared" si="63"/>
        <v>0</v>
      </c>
      <c r="AG106" s="204">
        <f t="shared" si="63"/>
        <v>0</v>
      </c>
      <c r="AH106" s="204">
        <f t="shared" si="63"/>
        <v>0</v>
      </c>
      <c r="AI106" s="204">
        <f t="shared" si="63"/>
        <v>0</v>
      </c>
      <c r="AJ106" s="204">
        <f t="shared" si="63"/>
        <v>0</v>
      </c>
      <c r="AK106" s="204">
        <f t="shared" si="63"/>
        <v>0</v>
      </c>
      <c r="AL106" s="204">
        <f t="shared" si="63"/>
        <v>0</v>
      </c>
      <c r="AM106" s="204">
        <f t="shared" si="63"/>
        <v>0</v>
      </c>
      <c r="AN106" s="204">
        <f t="shared" si="63"/>
        <v>0</v>
      </c>
      <c r="AO106" s="204">
        <f t="shared" si="63"/>
        <v>0</v>
      </c>
      <c r="AP106" s="204">
        <f t="shared" si="63"/>
        <v>0</v>
      </c>
      <c r="AQ106" s="204">
        <f t="shared" si="63"/>
        <v>0</v>
      </c>
      <c r="AR106" s="205">
        <f t="shared" si="63"/>
        <v>0</v>
      </c>
    </row>
    <row r="107" spans="1:44" s="45" customFormat="1" x14ac:dyDescent="0.15">
      <c r="B107" s="35"/>
      <c r="C107" s="35" t="s">
        <v>44</v>
      </c>
      <c r="D107" s="109"/>
      <c r="E107" s="61">
        <f>(E105+E106)*DepRate</f>
        <v>2.903885397567816E-2</v>
      </c>
      <c r="F107" s="61">
        <f t="shared" ref="F107:AR107" si="64">(F105+F106)*DepRate</f>
        <v>7.9376678114366328E-2</v>
      </c>
      <c r="G107" s="61">
        <f t="shared" si="64"/>
        <v>0.21656446101782112</v>
      </c>
      <c r="H107" s="61">
        <f t="shared" si="64"/>
        <v>0.55344904769270131</v>
      </c>
      <c r="I107" s="61">
        <f t="shared" si="64"/>
        <v>1.2127103340563679</v>
      </c>
      <c r="J107" s="61">
        <f t="shared" si="64"/>
        <v>2.0838216760814712</v>
      </c>
      <c r="K107" s="61">
        <f t="shared" si="64"/>
        <v>2.7825249362603821</v>
      </c>
      <c r="L107" s="61">
        <f t="shared" si="64"/>
        <v>3.1179617879745742</v>
      </c>
      <c r="M107" s="61">
        <f t="shared" si="64"/>
        <v>3.1865627720269205</v>
      </c>
      <c r="N107" s="61">
        <f t="shared" si="64"/>
        <v>3.1803305222778619</v>
      </c>
      <c r="O107" s="61">
        <f t="shared" si="64"/>
        <v>3.0213139961639688</v>
      </c>
      <c r="P107" s="61">
        <f t="shared" si="64"/>
        <v>2.8702482963557703</v>
      </c>
      <c r="Q107" s="61">
        <f t="shared" si="64"/>
        <v>2.7267358815379819</v>
      </c>
      <c r="R107" s="61">
        <f t="shared" si="64"/>
        <v>2.5903990874610829</v>
      </c>
      <c r="S107" s="61">
        <f t="shared" si="64"/>
        <v>2.4608791330880289</v>
      </c>
      <c r="T107" s="61">
        <f t="shared" si="64"/>
        <v>2.3378351764336274</v>
      </c>
      <c r="U107" s="61">
        <f t="shared" si="64"/>
        <v>2.220943417611946</v>
      </c>
      <c r="V107" s="61">
        <f t="shared" si="64"/>
        <v>2.1098962467313487</v>
      </c>
      <c r="W107" s="61">
        <f t="shared" si="64"/>
        <v>2.0044014343947811</v>
      </c>
      <c r="X107" s="61">
        <f t="shared" si="64"/>
        <v>1.9041813626750423</v>
      </c>
      <c r="Y107" s="61">
        <f t="shared" si="64"/>
        <v>1.8089722945412903</v>
      </c>
      <c r="Z107" s="61">
        <f t="shared" si="64"/>
        <v>1.7185236798142256</v>
      </c>
      <c r="AA107" s="61">
        <f t="shared" si="64"/>
        <v>1.6325974958235143</v>
      </c>
      <c r="AB107" s="61">
        <f t="shared" si="64"/>
        <v>1.5509676210323387</v>
      </c>
      <c r="AC107" s="61">
        <f t="shared" si="64"/>
        <v>1.4734192399807218</v>
      </c>
      <c r="AD107" s="61">
        <f t="shared" si="64"/>
        <v>1.3997482779816857</v>
      </c>
      <c r="AE107" s="61">
        <f t="shared" si="64"/>
        <v>1.3297608640826013</v>
      </c>
      <c r="AF107" s="61">
        <f t="shared" si="64"/>
        <v>1.2632728208784714</v>
      </c>
      <c r="AG107" s="61">
        <f t="shared" si="64"/>
        <v>1.2001091798345478</v>
      </c>
      <c r="AH107" s="61">
        <f t="shared" si="64"/>
        <v>1.1401037208428204</v>
      </c>
      <c r="AI107" s="61">
        <f t="shared" si="64"/>
        <v>1.0830985348006794</v>
      </c>
      <c r="AJ107" s="61">
        <f t="shared" si="64"/>
        <v>1.0289436080606453</v>
      </c>
      <c r="AK107" s="61">
        <f t="shared" si="64"/>
        <v>0.97749642765761324</v>
      </c>
      <c r="AL107" s="61">
        <f t="shared" si="64"/>
        <v>0.92862160627473256</v>
      </c>
      <c r="AM107" s="61">
        <f t="shared" si="64"/>
        <v>0.88219052596099601</v>
      </c>
      <c r="AN107" s="61">
        <f t="shared" si="64"/>
        <v>0.83808099966294614</v>
      </c>
      <c r="AO107" s="61">
        <f t="shared" si="64"/>
        <v>0.7961769496797988</v>
      </c>
      <c r="AP107" s="61">
        <f t="shared" si="64"/>
        <v>0.75636810219580886</v>
      </c>
      <c r="AQ107" s="61">
        <f t="shared" si="64"/>
        <v>0.71854969708601846</v>
      </c>
      <c r="AR107" s="62">
        <f t="shared" si="64"/>
        <v>0.68262221223171748</v>
      </c>
    </row>
    <row r="108" spans="1:44" s="45" customFormat="1" x14ac:dyDescent="0.15">
      <c r="B108" s="35"/>
      <c r="C108" s="35" t="s">
        <v>50</v>
      </c>
      <c r="D108" s="49">
        <v>0</v>
      </c>
      <c r="E108" s="50">
        <f>E105+E106-E107</f>
        <v>0.55173822553788499</v>
      </c>
      <c r="F108" s="50">
        <f t="shared" ref="F108:AR108" si="65">F105+F106-F107</f>
        <v>1.5081568841729602</v>
      </c>
      <c r="G108" s="50">
        <f t="shared" si="65"/>
        <v>4.1147247593386007</v>
      </c>
      <c r="H108" s="50">
        <f t="shared" si="65"/>
        <v>10.515531906161323</v>
      </c>
      <c r="I108" s="50">
        <f t="shared" si="65"/>
        <v>23.041496347070989</v>
      </c>
      <c r="J108" s="50">
        <f t="shared" si="65"/>
        <v>39.59261184554795</v>
      </c>
      <c r="K108" s="50">
        <f t="shared" si="65"/>
        <v>52.867973788947261</v>
      </c>
      <c r="L108" s="50">
        <f t="shared" si="65"/>
        <v>59.241273971516911</v>
      </c>
      <c r="M108" s="50">
        <f t="shared" si="65"/>
        <v>60.544692668511487</v>
      </c>
      <c r="N108" s="50">
        <f t="shared" si="65"/>
        <v>60.426279923279374</v>
      </c>
      <c r="O108" s="50">
        <f t="shared" si="65"/>
        <v>57.404965927115406</v>
      </c>
      <c r="P108" s="50">
        <f t="shared" si="65"/>
        <v>54.534717630759637</v>
      </c>
      <c r="Q108" s="50">
        <f t="shared" si="65"/>
        <v>51.807981749221653</v>
      </c>
      <c r="R108" s="50">
        <f t="shared" si="65"/>
        <v>49.217582661760574</v>
      </c>
      <c r="S108" s="50">
        <f t="shared" si="65"/>
        <v>46.756703528672546</v>
      </c>
      <c r="T108" s="50">
        <f t="shared" si="65"/>
        <v>44.418868352238917</v>
      </c>
      <c r="U108" s="50">
        <f t="shared" si="65"/>
        <v>42.197924934626968</v>
      </c>
      <c r="V108" s="50">
        <f t="shared" si="65"/>
        <v>40.088028687895623</v>
      </c>
      <c r="W108" s="50">
        <f t="shared" si="65"/>
        <v>38.083627253500843</v>
      </c>
      <c r="X108" s="50">
        <f t="shared" si="65"/>
        <v>36.179445890825804</v>
      </c>
      <c r="Y108" s="50">
        <f t="shared" si="65"/>
        <v>34.370473596284512</v>
      </c>
      <c r="Z108" s="50">
        <f t="shared" si="65"/>
        <v>32.651949916470286</v>
      </c>
      <c r="AA108" s="50">
        <f t="shared" si="65"/>
        <v>31.019352420646772</v>
      </c>
      <c r="AB108" s="50">
        <f t="shared" si="65"/>
        <v>29.468384799614434</v>
      </c>
      <c r="AC108" s="50">
        <f t="shared" si="65"/>
        <v>27.994965559633712</v>
      </c>
      <c r="AD108" s="50">
        <f t="shared" si="65"/>
        <v>26.595217281652026</v>
      </c>
      <c r="AE108" s="50">
        <f t="shared" si="65"/>
        <v>25.265456417569425</v>
      </c>
      <c r="AF108" s="50">
        <f t="shared" si="65"/>
        <v>24.002183596690955</v>
      </c>
      <c r="AG108" s="50">
        <f t="shared" si="65"/>
        <v>22.802074416856406</v>
      </c>
      <c r="AH108" s="50">
        <f t="shared" si="65"/>
        <v>21.661970696013586</v>
      </c>
      <c r="AI108" s="50">
        <f t="shared" si="65"/>
        <v>20.578872161212907</v>
      </c>
      <c r="AJ108" s="50">
        <f t="shared" si="65"/>
        <v>19.549928553152263</v>
      </c>
      <c r="AK108" s="50">
        <f t="shared" si="65"/>
        <v>18.57243212549465</v>
      </c>
      <c r="AL108" s="50">
        <f t="shared" si="65"/>
        <v>17.643810519219919</v>
      </c>
      <c r="AM108" s="50">
        <f t="shared" si="65"/>
        <v>16.761619993258922</v>
      </c>
      <c r="AN108" s="50">
        <f t="shared" si="65"/>
        <v>15.923538993595976</v>
      </c>
      <c r="AO108" s="50">
        <f t="shared" si="65"/>
        <v>15.127362043916177</v>
      </c>
      <c r="AP108" s="50">
        <f t="shared" si="65"/>
        <v>14.370993941720368</v>
      </c>
      <c r="AQ108" s="50">
        <f t="shared" si="65"/>
        <v>13.652444244634349</v>
      </c>
      <c r="AR108" s="51">
        <f t="shared" si="65"/>
        <v>12.969822032402632</v>
      </c>
    </row>
    <row r="109" spans="1:44" s="43" customFormat="1" x14ac:dyDescent="0.15">
      <c r="B109" s="68" t="s">
        <v>4</v>
      </c>
      <c r="E109" s="69"/>
      <c r="F109" s="69"/>
      <c r="G109" s="69"/>
      <c r="H109" s="69"/>
      <c r="I109" s="69"/>
      <c r="J109" s="69"/>
      <c r="K109" s="69"/>
      <c r="L109" s="69"/>
      <c r="M109" s="69"/>
      <c r="N109" s="69"/>
      <c r="O109" s="69"/>
      <c r="P109" s="69"/>
      <c r="Q109" s="69"/>
      <c r="R109" s="69"/>
      <c r="S109" s="69"/>
      <c r="T109" s="69"/>
      <c r="U109" s="69"/>
      <c r="V109" s="69"/>
      <c r="W109" s="69"/>
      <c r="X109" s="69"/>
    </row>
    <row r="110" spans="1:44" s="45" customFormat="1" x14ac:dyDescent="0.15">
      <c r="C110" s="110" t="s">
        <v>51</v>
      </c>
      <c r="D110" s="111"/>
      <c r="E110" s="112">
        <f t="shared" ref="E110:AR110" si="66">IF(Year="",,BilledDemand_Det*DiscountFactor)</f>
        <v>1.3162651429969998</v>
      </c>
      <c r="F110" s="47">
        <f t="shared" si="66"/>
        <v>1.2747593851393468</v>
      </c>
      <c r="G110" s="47">
        <f t="shared" si="66"/>
        <v>1.2674406949325774</v>
      </c>
      <c r="H110" s="47">
        <f t="shared" si="66"/>
        <v>1.3250420380889365</v>
      </c>
      <c r="I110" s="47">
        <f t="shared" si="66"/>
        <v>1.4684136898658642</v>
      </c>
      <c r="J110" s="47">
        <f t="shared" si="66"/>
        <v>1.6451459497366463</v>
      </c>
      <c r="K110" s="47">
        <f t="shared" si="66"/>
        <v>1.7531126354528921</v>
      </c>
      <c r="L110" s="47">
        <f t="shared" si="66"/>
        <v>1.7653811833012665</v>
      </c>
      <c r="M110" s="47">
        <f t="shared" si="66"/>
        <v>1.7199179314907576</v>
      </c>
      <c r="N110" s="47">
        <f t="shared" si="66"/>
        <v>1.6603776809633342</v>
      </c>
      <c r="O110" s="47">
        <f t="shared" si="66"/>
        <v>1.5794001059165825</v>
      </c>
      <c r="P110" s="47">
        <f t="shared" si="66"/>
        <v>1.502371853807398</v>
      </c>
      <c r="Q110" s="47">
        <f t="shared" si="66"/>
        <v>1.4291003138832816</v>
      </c>
      <c r="R110" s="47">
        <f t="shared" si="66"/>
        <v>1.359402269128984</v>
      </c>
      <c r="S110" s="47">
        <f t="shared" si="66"/>
        <v>1.2931034381285278</v>
      </c>
      <c r="T110" s="47">
        <f t="shared" si="66"/>
        <v>1.2300380392708943</v>
      </c>
      <c r="U110" s="47">
        <f t="shared" si="66"/>
        <v>1.1700483762096392</v>
      </c>
      <c r="V110" s="47">
        <f t="shared" si="66"/>
        <v>1.1129844435398901</v>
      </c>
      <c r="W110" s="47">
        <f t="shared" si="66"/>
        <v>1.0587035517066969</v>
      </c>
      <c r="X110" s="47">
        <f t="shared" si="66"/>
        <v>1.0070699702068231</v>
      </c>
      <c r="Y110" s="47">
        <f t="shared" si="66"/>
        <v>0</v>
      </c>
      <c r="Z110" s="47">
        <f t="shared" si="66"/>
        <v>0</v>
      </c>
      <c r="AA110" s="47">
        <f t="shared" si="66"/>
        <v>0</v>
      </c>
      <c r="AB110" s="47">
        <f t="shared" si="66"/>
        <v>0</v>
      </c>
      <c r="AC110" s="47">
        <f t="shared" si="66"/>
        <v>0</v>
      </c>
      <c r="AD110" s="47">
        <f t="shared" si="66"/>
        <v>0</v>
      </c>
      <c r="AE110" s="47">
        <f t="shared" si="66"/>
        <v>0</v>
      </c>
      <c r="AF110" s="47">
        <f t="shared" si="66"/>
        <v>0</v>
      </c>
      <c r="AG110" s="47">
        <f t="shared" si="66"/>
        <v>0</v>
      </c>
      <c r="AH110" s="47">
        <f t="shared" si="66"/>
        <v>0</v>
      </c>
      <c r="AI110" s="47">
        <f t="shared" si="66"/>
        <v>0</v>
      </c>
      <c r="AJ110" s="47">
        <f t="shared" si="66"/>
        <v>0</v>
      </c>
      <c r="AK110" s="47">
        <f t="shared" si="66"/>
        <v>0</v>
      </c>
      <c r="AL110" s="47">
        <f t="shared" si="66"/>
        <v>0</v>
      </c>
      <c r="AM110" s="47">
        <f t="shared" si="66"/>
        <v>0</v>
      </c>
      <c r="AN110" s="47">
        <f t="shared" si="66"/>
        <v>0</v>
      </c>
      <c r="AO110" s="47">
        <f t="shared" si="66"/>
        <v>0</v>
      </c>
      <c r="AP110" s="47">
        <f t="shared" si="66"/>
        <v>0</v>
      </c>
      <c r="AQ110" s="47">
        <f t="shared" si="66"/>
        <v>0</v>
      </c>
      <c r="AR110" s="48">
        <f t="shared" si="66"/>
        <v>0</v>
      </c>
    </row>
    <row r="111" spans="1:44" s="45" customFormat="1" x14ac:dyDescent="0.15">
      <c r="C111" s="110" t="s">
        <v>52</v>
      </c>
      <c r="D111" s="113"/>
      <c r="E111" s="114">
        <f t="shared" ref="E111:AR111" si="67">IF(Year="","",IF(OR(Tariff_Period=1,MOD(Year,Tariff_Period)=1),E110,D111+E110))</f>
        <v>1.3162651429969998</v>
      </c>
      <c r="F111" s="50">
        <f t="shared" si="67"/>
        <v>2.5910245281363466</v>
      </c>
      <c r="G111" s="50">
        <f t="shared" si="67"/>
        <v>3.858465223068924</v>
      </c>
      <c r="H111" s="50">
        <f t="shared" si="67"/>
        <v>5.1835072611578603</v>
      </c>
      <c r="I111" s="50">
        <f t="shared" si="67"/>
        <v>6.6519209510237243</v>
      </c>
      <c r="J111" s="50">
        <f t="shared" si="67"/>
        <v>1.6451459497366463</v>
      </c>
      <c r="K111" s="50">
        <f t="shared" si="67"/>
        <v>3.3982585851895384</v>
      </c>
      <c r="L111" s="50">
        <f t="shared" si="67"/>
        <v>5.1636397684908051</v>
      </c>
      <c r="M111" s="50">
        <f t="shared" si="67"/>
        <v>6.8835576999815622</v>
      </c>
      <c r="N111" s="50">
        <f t="shared" si="67"/>
        <v>8.5439353809448964</v>
      </c>
      <c r="O111" s="50">
        <f t="shared" si="67"/>
        <v>1.5794001059165825</v>
      </c>
      <c r="P111" s="50">
        <f t="shared" si="67"/>
        <v>3.0817719597239805</v>
      </c>
      <c r="Q111" s="50">
        <f t="shared" si="67"/>
        <v>4.5108722736072622</v>
      </c>
      <c r="R111" s="50">
        <f t="shared" si="67"/>
        <v>5.8702745427362464</v>
      </c>
      <c r="S111" s="50">
        <f t="shared" si="67"/>
        <v>7.163377980864774</v>
      </c>
      <c r="T111" s="50">
        <f t="shared" si="67"/>
        <v>1.2300380392708943</v>
      </c>
      <c r="U111" s="50">
        <f t="shared" si="67"/>
        <v>2.4000864154805335</v>
      </c>
      <c r="V111" s="50">
        <f t="shared" si="67"/>
        <v>3.5130708590204236</v>
      </c>
      <c r="W111" s="50">
        <f t="shared" si="67"/>
        <v>4.5717744107271203</v>
      </c>
      <c r="X111" s="50">
        <f t="shared" si="67"/>
        <v>5.5788443809339432</v>
      </c>
      <c r="Y111" s="50" t="str">
        <f t="shared" si="67"/>
        <v/>
      </c>
      <c r="Z111" s="50" t="str">
        <f t="shared" si="67"/>
        <v/>
      </c>
      <c r="AA111" s="50" t="str">
        <f t="shared" si="67"/>
        <v/>
      </c>
      <c r="AB111" s="50" t="str">
        <f t="shared" si="67"/>
        <v/>
      </c>
      <c r="AC111" s="50" t="str">
        <f t="shared" si="67"/>
        <v/>
      </c>
      <c r="AD111" s="50" t="str">
        <f t="shared" si="67"/>
        <v/>
      </c>
      <c r="AE111" s="50" t="str">
        <f t="shared" si="67"/>
        <v/>
      </c>
      <c r="AF111" s="50" t="str">
        <f t="shared" si="67"/>
        <v/>
      </c>
      <c r="AG111" s="50" t="str">
        <f t="shared" si="67"/>
        <v/>
      </c>
      <c r="AH111" s="50" t="str">
        <f t="shared" si="67"/>
        <v/>
      </c>
      <c r="AI111" s="50" t="str">
        <f t="shared" si="67"/>
        <v/>
      </c>
      <c r="AJ111" s="50" t="str">
        <f t="shared" si="67"/>
        <v/>
      </c>
      <c r="AK111" s="50" t="str">
        <f t="shared" si="67"/>
        <v/>
      </c>
      <c r="AL111" s="50" t="str">
        <f t="shared" si="67"/>
        <v/>
      </c>
      <c r="AM111" s="50" t="str">
        <f t="shared" si="67"/>
        <v/>
      </c>
      <c r="AN111" s="50" t="str">
        <f t="shared" si="67"/>
        <v/>
      </c>
      <c r="AO111" s="50" t="str">
        <f t="shared" si="67"/>
        <v/>
      </c>
      <c r="AP111" s="50" t="str">
        <f t="shared" si="67"/>
        <v/>
      </c>
      <c r="AQ111" s="50" t="str">
        <f t="shared" si="67"/>
        <v/>
      </c>
      <c r="AR111" s="51" t="str">
        <f t="shared" si="67"/>
        <v/>
      </c>
    </row>
    <row r="112" spans="1:44" s="45" customFormat="1" x14ac:dyDescent="0.15">
      <c r="B112" s="35"/>
      <c r="C112" s="35" t="str">
        <f>CONCATENATE(Tariff_Period," year discounted demand")</f>
        <v>5 year discounted demand</v>
      </c>
      <c r="D112" s="115">
        <f t="shared" ref="D112:AR112" si="68">IF(Year&gt;Contract_Length,"",IF(Year&lt;INT(Contract_Length/Tariff_Period)*Tariff_Period,IF(MOD(Year,Tariff_Period)=0,INDEX(111:111,1,COLUMN()+Tariff_Period),),IF(Year=INT(Contract_Length/Tariff_Period)*Tariff_Period,INDEX(111:111,1,Contract_Length+4),)))</f>
        <v>6.6519209510237243</v>
      </c>
      <c r="E112" s="50">
        <f t="shared" si="68"/>
        <v>0</v>
      </c>
      <c r="F112" s="50">
        <f t="shared" si="68"/>
        <v>0</v>
      </c>
      <c r="G112" s="50">
        <f>IF(Year&gt;Contract_Length,"",IF(Year&lt;INT(Contract_Length/Tariff_Period)*Tariff_Period,IF(MOD(Year,Tariff_Period)=0,INDEX(111:111,1,COLUMN()+Tariff_Period),),IF(Year=INT(Contract_Length/Tariff_Period)*Tariff_Period,INDEX(111:111,1,Contract_Length+4),)))</f>
        <v>0</v>
      </c>
      <c r="H112" s="50">
        <f>IF(Year&gt;Contract_Length,"",IF(Year&lt;INT(Contract_Length/Tariff_Period)*Tariff_Period,IF(MOD(Year,Tariff_Period)=0,INDEX(111:111,1,COLUMN()+Tariff_Period),),IF(Year=INT(Contract_Length/Tariff_Period)*Tariff_Period,INDEX(111:111,1,Contract_Length+4),)))</f>
        <v>0</v>
      </c>
      <c r="I112" s="50">
        <f t="shared" si="68"/>
        <v>8.5439353809448964</v>
      </c>
      <c r="J112" s="50">
        <f t="shared" si="68"/>
        <v>0</v>
      </c>
      <c r="K112" s="50">
        <f t="shared" si="68"/>
        <v>0</v>
      </c>
      <c r="L112" s="50">
        <f t="shared" si="68"/>
        <v>0</v>
      </c>
      <c r="M112" s="50">
        <f t="shared" si="68"/>
        <v>0</v>
      </c>
      <c r="N112" s="50">
        <f t="shared" si="68"/>
        <v>7.163377980864774</v>
      </c>
      <c r="O112" s="50">
        <f t="shared" si="68"/>
        <v>0</v>
      </c>
      <c r="P112" s="50">
        <f t="shared" si="68"/>
        <v>0</v>
      </c>
      <c r="Q112" s="50">
        <f t="shared" si="68"/>
        <v>0</v>
      </c>
      <c r="R112" s="50">
        <f t="shared" si="68"/>
        <v>0</v>
      </c>
      <c r="S112" s="50">
        <f t="shared" si="68"/>
        <v>5.5788443809339432</v>
      </c>
      <c r="T112" s="50">
        <f t="shared" si="68"/>
        <v>0</v>
      </c>
      <c r="U112" s="50">
        <f t="shared" si="68"/>
        <v>0</v>
      </c>
      <c r="V112" s="50">
        <f t="shared" si="68"/>
        <v>0</v>
      </c>
      <c r="W112" s="50">
        <f t="shared" si="68"/>
        <v>0</v>
      </c>
      <c r="X112" s="50">
        <f t="shared" si="68"/>
        <v>5.5788443809339432</v>
      </c>
      <c r="Y112" s="50" t="str">
        <f t="shared" si="68"/>
        <v/>
      </c>
      <c r="Z112" s="50" t="str">
        <f t="shared" si="68"/>
        <v/>
      </c>
      <c r="AA112" s="50" t="str">
        <f t="shared" si="68"/>
        <v/>
      </c>
      <c r="AB112" s="50" t="str">
        <f t="shared" si="68"/>
        <v/>
      </c>
      <c r="AC112" s="50" t="str">
        <f t="shared" si="68"/>
        <v/>
      </c>
      <c r="AD112" s="50" t="str">
        <f t="shared" si="68"/>
        <v/>
      </c>
      <c r="AE112" s="50" t="str">
        <f t="shared" si="68"/>
        <v/>
      </c>
      <c r="AF112" s="50" t="str">
        <f t="shared" si="68"/>
        <v/>
      </c>
      <c r="AG112" s="50" t="str">
        <f t="shared" si="68"/>
        <v/>
      </c>
      <c r="AH112" s="50" t="str">
        <f t="shared" si="68"/>
        <v/>
      </c>
      <c r="AI112" s="50" t="str">
        <f t="shared" si="68"/>
        <v/>
      </c>
      <c r="AJ112" s="50" t="str">
        <f t="shared" si="68"/>
        <v/>
      </c>
      <c r="AK112" s="50" t="str">
        <f t="shared" si="68"/>
        <v/>
      </c>
      <c r="AL112" s="50" t="str">
        <f t="shared" si="68"/>
        <v/>
      </c>
      <c r="AM112" s="50" t="str">
        <f t="shared" si="68"/>
        <v/>
      </c>
      <c r="AN112" s="50" t="str">
        <f t="shared" si="68"/>
        <v/>
      </c>
      <c r="AO112" s="50" t="str">
        <f t="shared" si="68"/>
        <v/>
      </c>
      <c r="AP112" s="50" t="str">
        <f t="shared" si="68"/>
        <v/>
      </c>
      <c r="AQ112" s="50" t="str">
        <f t="shared" si="68"/>
        <v/>
      </c>
      <c r="AR112" s="51" t="str">
        <f t="shared" si="68"/>
        <v/>
      </c>
    </row>
    <row r="113" spans="1:44" s="43" customFormat="1" x14ac:dyDescent="0.15">
      <c r="A113" s="35"/>
      <c r="B113" s="68" t="s">
        <v>53</v>
      </c>
      <c r="D113" s="45"/>
      <c r="E113" s="45"/>
      <c r="F113" s="116"/>
      <c r="J113" s="45"/>
      <c r="O113" s="45"/>
    </row>
    <row r="114" spans="1:44" s="45" customFormat="1" x14ac:dyDescent="0.15">
      <c r="B114" s="35"/>
      <c r="C114" s="35" t="s">
        <v>38</v>
      </c>
      <c r="E114" s="46">
        <f t="shared" ref="E114:AR114" si="69">IF(Year="",,DisRate_Cur*SUM(E105:E106)*ServExt_CAPct)</f>
        <v>2.0327197782974711E-2</v>
      </c>
      <c r="F114" s="47">
        <f t="shared" si="69"/>
        <v>5.5563674680056435E-2</v>
      </c>
      <c r="G114" s="47">
        <f t="shared" si="69"/>
        <v>0.15159512271247477</v>
      </c>
      <c r="H114" s="47">
        <f t="shared" si="69"/>
        <v>0.3874143333848909</v>
      </c>
      <c r="I114" s="47">
        <f t="shared" si="69"/>
        <v>0.84889723383945759</v>
      </c>
      <c r="J114" s="47">
        <f t="shared" si="69"/>
        <v>1.4586751732570298</v>
      </c>
      <c r="K114" s="47">
        <f t="shared" si="69"/>
        <v>1.9477674553822677</v>
      </c>
      <c r="L114" s="47">
        <f t="shared" si="69"/>
        <v>2.1825732515822023</v>
      </c>
      <c r="M114" s="47">
        <f t="shared" si="69"/>
        <v>2.2305939404188444</v>
      </c>
      <c r="N114" s="47">
        <f t="shared" si="69"/>
        <v>2.2262313655945034</v>
      </c>
      <c r="O114" s="47">
        <f t="shared" si="69"/>
        <v>2.1149197973147782</v>
      </c>
      <c r="P114" s="47">
        <f t="shared" si="69"/>
        <v>2.0091738074490393</v>
      </c>
      <c r="Q114" s="47">
        <f t="shared" si="69"/>
        <v>1.9087151170765875</v>
      </c>
      <c r="R114" s="47">
        <f t="shared" si="69"/>
        <v>1.813279361222758</v>
      </c>
      <c r="S114" s="47">
        <f t="shared" si="69"/>
        <v>1.7226153931616202</v>
      </c>
      <c r="T114" s="47">
        <f t="shared" si="69"/>
        <v>1.6364846235035393</v>
      </c>
      <c r="U114" s="47">
        <f t="shared" si="69"/>
        <v>1.5546603923283622</v>
      </c>
      <c r="V114" s="47">
        <f t="shared" si="69"/>
        <v>1.4769273727119441</v>
      </c>
      <c r="W114" s="47">
        <f t="shared" si="69"/>
        <v>1.4030810040763468</v>
      </c>
      <c r="X114" s="47">
        <f t="shared" si="69"/>
        <v>1.3329269538725297</v>
      </c>
      <c r="Y114" s="47">
        <f t="shared" si="69"/>
        <v>0</v>
      </c>
      <c r="Z114" s="47">
        <f t="shared" si="69"/>
        <v>0</v>
      </c>
      <c r="AA114" s="47">
        <f t="shared" si="69"/>
        <v>0</v>
      </c>
      <c r="AB114" s="47">
        <f t="shared" si="69"/>
        <v>0</v>
      </c>
      <c r="AC114" s="47">
        <f t="shared" si="69"/>
        <v>0</v>
      </c>
      <c r="AD114" s="47">
        <f t="shared" si="69"/>
        <v>0</v>
      </c>
      <c r="AE114" s="47">
        <f t="shared" si="69"/>
        <v>0</v>
      </c>
      <c r="AF114" s="47">
        <f t="shared" si="69"/>
        <v>0</v>
      </c>
      <c r="AG114" s="47">
        <f t="shared" si="69"/>
        <v>0</v>
      </c>
      <c r="AH114" s="47">
        <f t="shared" si="69"/>
        <v>0</v>
      </c>
      <c r="AI114" s="47">
        <f t="shared" si="69"/>
        <v>0</v>
      </c>
      <c r="AJ114" s="47">
        <f t="shared" si="69"/>
        <v>0</v>
      </c>
      <c r="AK114" s="47">
        <f t="shared" si="69"/>
        <v>0</v>
      </c>
      <c r="AL114" s="47">
        <f t="shared" si="69"/>
        <v>0</v>
      </c>
      <c r="AM114" s="47">
        <f t="shared" si="69"/>
        <v>0</v>
      </c>
      <c r="AN114" s="47">
        <f t="shared" si="69"/>
        <v>0</v>
      </c>
      <c r="AO114" s="47">
        <f t="shared" si="69"/>
        <v>0</v>
      </c>
      <c r="AP114" s="47">
        <f t="shared" si="69"/>
        <v>0</v>
      </c>
      <c r="AQ114" s="47">
        <f t="shared" si="69"/>
        <v>0</v>
      </c>
      <c r="AR114" s="48">
        <f t="shared" si="69"/>
        <v>0</v>
      </c>
    </row>
    <row r="115" spans="1:44" s="45" customFormat="1" x14ac:dyDescent="0.15">
      <c r="B115" s="35"/>
      <c r="C115" s="35" t="s">
        <v>37</v>
      </c>
      <c r="E115" s="117">
        <f t="shared" ref="E115:AR115" si="70">IF(Year="",,DisRate_Cur*SUM(E105:E106)*ServExt_LoanPct)</f>
        <v>2.0327197782974711E-2</v>
      </c>
      <c r="F115" s="118">
        <f t="shared" si="70"/>
        <v>5.5563674680056435E-2</v>
      </c>
      <c r="G115" s="118">
        <f t="shared" si="70"/>
        <v>0.15159512271247477</v>
      </c>
      <c r="H115" s="118">
        <f t="shared" si="70"/>
        <v>0.3874143333848909</v>
      </c>
      <c r="I115" s="118">
        <f t="shared" si="70"/>
        <v>0.84889723383945759</v>
      </c>
      <c r="J115" s="118">
        <f t="shared" si="70"/>
        <v>1.4586751732570298</v>
      </c>
      <c r="K115" s="118">
        <f t="shared" si="70"/>
        <v>1.9477674553822677</v>
      </c>
      <c r="L115" s="118">
        <f t="shared" si="70"/>
        <v>2.1825732515822023</v>
      </c>
      <c r="M115" s="118">
        <f t="shared" si="70"/>
        <v>2.2305939404188444</v>
      </c>
      <c r="N115" s="118">
        <f t="shared" si="70"/>
        <v>2.2262313655945034</v>
      </c>
      <c r="O115" s="118">
        <f t="shared" si="70"/>
        <v>2.1149197973147782</v>
      </c>
      <c r="P115" s="118">
        <f t="shared" si="70"/>
        <v>2.0091738074490393</v>
      </c>
      <c r="Q115" s="118">
        <f t="shared" si="70"/>
        <v>1.9087151170765875</v>
      </c>
      <c r="R115" s="118">
        <f t="shared" si="70"/>
        <v>1.813279361222758</v>
      </c>
      <c r="S115" s="118">
        <f t="shared" si="70"/>
        <v>1.7226153931616202</v>
      </c>
      <c r="T115" s="118">
        <f t="shared" si="70"/>
        <v>1.6364846235035393</v>
      </c>
      <c r="U115" s="118">
        <f t="shared" si="70"/>
        <v>1.5546603923283622</v>
      </c>
      <c r="V115" s="118">
        <f t="shared" si="70"/>
        <v>1.4769273727119441</v>
      </c>
      <c r="W115" s="118">
        <f t="shared" si="70"/>
        <v>1.4030810040763468</v>
      </c>
      <c r="X115" s="118">
        <f t="shared" si="70"/>
        <v>1.3329269538725297</v>
      </c>
      <c r="Y115" s="118">
        <f t="shared" si="70"/>
        <v>0</v>
      </c>
      <c r="Z115" s="118">
        <f t="shared" si="70"/>
        <v>0</v>
      </c>
      <c r="AA115" s="118">
        <f t="shared" si="70"/>
        <v>0</v>
      </c>
      <c r="AB115" s="118">
        <f t="shared" si="70"/>
        <v>0</v>
      </c>
      <c r="AC115" s="118">
        <f t="shared" si="70"/>
        <v>0</v>
      </c>
      <c r="AD115" s="118">
        <f t="shared" si="70"/>
        <v>0</v>
      </c>
      <c r="AE115" s="118">
        <f t="shared" si="70"/>
        <v>0</v>
      </c>
      <c r="AF115" s="118">
        <f t="shared" si="70"/>
        <v>0</v>
      </c>
      <c r="AG115" s="118">
        <f t="shared" si="70"/>
        <v>0</v>
      </c>
      <c r="AH115" s="118">
        <f t="shared" si="70"/>
        <v>0</v>
      </c>
      <c r="AI115" s="118">
        <f t="shared" si="70"/>
        <v>0</v>
      </c>
      <c r="AJ115" s="118">
        <f t="shared" si="70"/>
        <v>0</v>
      </c>
      <c r="AK115" s="118">
        <f t="shared" si="70"/>
        <v>0</v>
      </c>
      <c r="AL115" s="118">
        <f t="shared" si="70"/>
        <v>0</v>
      </c>
      <c r="AM115" s="118">
        <f t="shared" si="70"/>
        <v>0</v>
      </c>
      <c r="AN115" s="118">
        <f t="shared" si="70"/>
        <v>0</v>
      </c>
      <c r="AO115" s="118">
        <f t="shared" si="70"/>
        <v>0</v>
      </c>
      <c r="AP115" s="118">
        <f t="shared" si="70"/>
        <v>0</v>
      </c>
      <c r="AQ115" s="118">
        <f t="shared" si="70"/>
        <v>0</v>
      </c>
      <c r="AR115" s="119">
        <f t="shared" si="70"/>
        <v>0</v>
      </c>
    </row>
    <row r="116" spans="1:44" s="43" customFormat="1" x14ac:dyDescent="0.15">
      <c r="B116" s="68" t="s">
        <v>54</v>
      </c>
    </row>
    <row r="117" spans="1:44" s="45" customFormat="1" x14ac:dyDescent="0.15">
      <c r="B117" s="35"/>
      <c r="C117" s="35" t="s">
        <v>38</v>
      </c>
      <c r="E117" s="46">
        <f t="shared" ref="E117:AR117" si="71">IF(Year="",,E107*ServExt_CAPct*DeflateFactor_Det)</f>
        <v>1.3700000000000002E-2</v>
      </c>
      <c r="F117" s="47">
        <f t="shared" si="71"/>
        <v>3.5098167839284176E-2</v>
      </c>
      <c r="G117" s="47">
        <f t="shared" si="71"/>
        <v>8.9291256167441047E-2</v>
      </c>
      <c r="H117" s="47">
        <f t="shared" si="71"/>
        <v>0.21201235931114448</v>
      </c>
      <c r="I117" s="47">
        <f t="shared" si="71"/>
        <v>0.4305801765033474</v>
      </c>
      <c r="J117" s="47">
        <f t="shared" si="71"/>
        <v>0.6846945607129038</v>
      </c>
      <c r="K117" s="47">
        <f t="shared" si="71"/>
        <v>0.84526418331362652</v>
      </c>
      <c r="L117" s="47">
        <f t="shared" si="71"/>
        <v>0.87514708043486766</v>
      </c>
      <c r="M117" s="47">
        <f t="shared" si="71"/>
        <v>0.82609674276621881</v>
      </c>
      <c r="N117" s="47">
        <f t="shared" si="71"/>
        <v>0.76134711725632387</v>
      </c>
      <c r="O117" s="47">
        <f t="shared" si="71"/>
        <v>0.66780596833996142</v>
      </c>
      <c r="P117" s="47">
        <f t="shared" si="71"/>
        <v>0.58571040403867802</v>
      </c>
      <c r="Q117" s="47">
        <f t="shared" si="71"/>
        <v>0.51368226058527577</v>
      </c>
      <c r="R117" s="47">
        <f t="shared" si="71"/>
        <v>0.45049873289086356</v>
      </c>
      <c r="S117" s="47">
        <f t="shared" si="71"/>
        <v>0.3950799582314613</v>
      </c>
      <c r="T117" s="47">
        <f t="shared" si="71"/>
        <v>0.34647497675926325</v>
      </c>
      <c r="U117" s="47">
        <f t="shared" si="71"/>
        <v>0.30384774564345035</v>
      </c>
      <c r="V117" s="47">
        <f t="shared" si="71"/>
        <v>0.26646398827975437</v>
      </c>
      <c r="W117" s="47">
        <f t="shared" si="71"/>
        <v>0.23367919391202202</v>
      </c>
      <c r="X117" s="47">
        <f t="shared" si="71"/>
        <v>0.20492784720016319</v>
      </c>
      <c r="Y117" s="47">
        <f t="shared" si="71"/>
        <v>0</v>
      </c>
      <c r="Z117" s="47">
        <f t="shared" si="71"/>
        <v>0</v>
      </c>
      <c r="AA117" s="47">
        <f t="shared" si="71"/>
        <v>0</v>
      </c>
      <c r="AB117" s="47">
        <f t="shared" si="71"/>
        <v>0</v>
      </c>
      <c r="AC117" s="47">
        <f t="shared" si="71"/>
        <v>0</v>
      </c>
      <c r="AD117" s="47">
        <f t="shared" si="71"/>
        <v>0</v>
      </c>
      <c r="AE117" s="47">
        <f t="shared" si="71"/>
        <v>0</v>
      </c>
      <c r="AF117" s="47">
        <f t="shared" si="71"/>
        <v>0</v>
      </c>
      <c r="AG117" s="47">
        <f t="shared" si="71"/>
        <v>0</v>
      </c>
      <c r="AH117" s="47">
        <f t="shared" si="71"/>
        <v>0</v>
      </c>
      <c r="AI117" s="47">
        <f t="shared" si="71"/>
        <v>0</v>
      </c>
      <c r="AJ117" s="47">
        <f t="shared" si="71"/>
        <v>0</v>
      </c>
      <c r="AK117" s="47">
        <f t="shared" si="71"/>
        <v>0</v>
      </c>
      <c r="AL117" s="47">
        <f t="shared" si="71"/>
        <v>0</v>
      </c>
      <c r="AM117" s="47">
        <f t="shared" si="71"/>
        <v>0</v>
      </c>
      <c r="AN117" s="47">
        <f t="shared" si="71"/>
        <v>0</v>
      </c>
      <c r="AO117" s="47">
        <f t="shared" si="71"/>
        <v>0</v>
      </c>
      <c r="AP117" s="47">
        <f t="shared" si="71"/>
        <v>0</v>
      </c>
      <c r="AQ117" s="47">
        <f t="shared" si="71"/>
        <v>0</v>
      </c>
      <c r="AR117" s="48">
        <f t="shared" si="71"/>
        <v>0</v>
      </c>
    </row>
    <row r="118" spans="1:44" s="45" customFormat="1" x14ac:dyDescent="0.15">
      <c r="B118" s="35"/>
      <c r="C118" s="35" t="s">
        <v>37</v>
      </c>
      <c r="E118" s="49">
        <f t="shared" ref="E118:AR118" si="72">IF(Year="",,E107*ServExt_LoanPct*DeflateFactor_Det)</f>
        <v>1.3700000000000002E-2</v>
      </c>
      <c r="F118" s="50">
        <f t="shared" si="72"/>
        <v>3.5098167839284176E-2</v>
      </c>
      <c r="G118" s="50">
        <f t="shared" si="72"/>
        <v>8.9291256167441047E-2</v>
      </c>
      <c r="H118" s="50">
        <f t="shared" si="72"/>
        <v>0.21201235931114448</v>
      </c>
      <c r="I118" s="50">
        <f t="shared" si="72"/>
        <v>0.4305801765033474</v>
      </c>
      <c r="J118" s="50">
        <f t="shared" si="72"/>
        <v>0.6846945607129038</v>
      </c>
      <c r="K118" s="50">
        <f t="shared" si="72"/>
        <v>0.84526418331362652</v>
      </c>
      <c r="L118" s="50">
        <f t="shared" si="72"/>
        <v>0.87514708043486766</v>
      </c>
      <c r="M118" s="50">
        <f t="shared" si="72"/>
        <v>0.82609674276621881</v>
      </c>
      <c r="N118" s="50">
        <f t="shared" si="72"/>
        <v>0.76134711725632387</v>
      </c>
      <c r="O118" s="50">
        <f t="shared" si="72"/>
        <v>0.66780596833996142</v>
      </c>
      <c r="P118" s="50">
        <f t="shared" si="72"/>
        <v>0.58571040403867802</v>
      </c>
      <c r="Q118" s="50">
        <f t="shared" si="72"/>
        <v>0.51368226058527577</v>
      </c>
      <c r="R118" s="50">
        <f t="shared" si="72"/>
        <v>0.45049873289086356</v>
      </c>
      <c r="S118" s="50">
        <f t="shared" si="72"/>
        <v>0.3950799582314613</v>
      </c>
      <c r="T118" s="50">
        <f t="shared" si="72"/>
        <v>0.34647497675926325</v>
      </c>
      <c r="U118" s="50">
        <f t="shared" si="72"/>
        <v>0.30384774564345035</v>
      </c>
      <c r="V118" s="50">
        <f t="shared" si="72"/>
        <v>0.26646398827975437</v>
      </c>
      <c r="W118" s="50">
        <f t="shared" si="72"/>
        <v>0.23367919391202202</v>
      </c>
      <c r="X118" s="50">
        <f t="shared" si="72"/>
        <v>0.20492784720016319</v>
      </c>
      <c r="Y118" s="50">
        <f t="shared" si="72"/>
        <v>0</v>
      </c>
      <c r="Z118" s="50">
        <f t="shared" si="72"/>
        <v>0</v>
      </c>
      <c r="AA118" s="50">
        <f t="shared" si="72"/>
        <v>0</v>
      </c>
      <c r="AB118" s="50">
        <f t="shared" si="72"/>
        <v>0</v>
      </c>
      <c r="AC118" s="50">
        <f t="shared" si="72"/>
        <v>0</v>
      </c>
      <c r="AD118" s="50">
        <f t="shared" si="72"/>
        <v>0</v>
      </c>
      <c r="AE118" s="50">
        <f t="shared" si="72"/>
        <v>0</v>
      </c>
      <c r="AF118" s="50">
        <f t="shared" si="72"/>
        <v>0</v>
      </c>
      <c r="AG118" s="50">
        <f t="shared" si="72"/>
        <v>0</v>
      </c>
      <c r="AH118" s="50">
        <f t="shared" si="72"/>
        <v>0</v>
      </c>
      <c r="AI118" s="50">
        <f t="shared" si="72"/>
        <v>0</v>
      </c>
      <c r="AJ118" s="50">
        <f t="shared" si="72"/>
        <v>0</v>
      </c>
      <c r="AK118" s="50">
        <f t="shared" si="72"/>
        <v>0</v>
      </c>
      <c r="AL118" s="50">
        <f t="shared" si="72"/>
        <v>0</v>
      </c>
      <c r="AM118" s="50">
        <f t="shared" si="72"/>
        <v>0</v>
      </c>
      <c r="AN118" s="50">
        <f t="shared" si="72"/>
        <v>0</v>
      </c>
      <c r="AO118" s="50">
        <f t="shared" si="72"/>
        <v>0</v>
      </c>
      <c r="AP118" s="50">
        <f t="shared" si="72"/>
        <v>0</v>
      </c>
      <c r="AQ118" s="50">
        <f t="shared" si="72"/>
        <v>0</v>
      </c>
      <c r="AR118" s="51">
        <f t="shared" si="72"/>
        <v>0</v>
      </c>
    </row>
    <row r="119" spans="1:44" s="45" customFormat="1" x14ac:dyDescent="0.15">
      <c r="B119" s="68" t="s">
        <v>55</v>
      </c>
      <c r="E119" s="46">
        <f t="shared" ref="E119:AR119" si="73">IF(Year="",,E102*DeflateFactor_Det)</f>
        <v>10.361476311008202</v>
      </c>
      <c r="F119" s="47">
        <f t="shared" si="73"/>
        <v>10.96227854537095</v>
      </c>
      <c r="G119" s="47">
        <f t="shared" si="73"/>
        <v>11.416298680292767</v>
      </c>
      <c r="H119" s="47">
        <f t="shared" si="73"/>
        <v>11.735636058973467</v>
      </c>
      <c r="I119" s="47">
        <f t="shared" si="73"/>
        <v>11.948446255729888</v>
      </c>
      <c r="J119" s="47">
        <f t="shared" si="73"/>
        <v>12.085000339080636</v>
      </c>
      <c r="K119" s="47">
        <f t="shared" si="73"/>
        <v>12.170445360704159</v>
      </c>
      <c r="L119" s="47">
        <f t="shared" si="73"/>
        <v>12.223054628167557</v>
      </c>
      <c r="M119" s="47">
        <f t="shared" si="73"/>
        <v>12.255121460881222</v>
      </c>
      <c r="N119" s="47">
        <f t="shared" si="73"/>
        <v>12.274546098602713</v>
      </c>
      <c r="O119" s="47">
        <f t="shared" si="73"/>
        <v>12.286268220658368</v>
      </c>
      <c r="P119" s="47">
        <f t="shared" si="73"/>
        <v>12.293325934980381</v>
      </c>
      <c r="Q119" s="47">
        <f t="shared" si="73"/>
        <v>12.297569405758026</v>
      </c>
      <c r="R119" s="47">
        <f t="shared" si="73"/>
        <v>12.300118680840304</v>
      </c>
      <c r="S119" s="47">
        <f t="shared" si="73"/>
        <v>12.301649397275392</v>
      </c>
      <c r="T119" s="47">
        <f t="shared" si="73"/>
        <v>12.302568242077802</v>
      </c>
      <c r="U119" s="47">
        <f t="shared" si="73"/>
        <v>12.303119698433841</v>
      </c>
      <c r="V119" s="47">
        <f t="shared" si="73"/>
        <v>12.303450626078991</v>
      </c>
      <c r="W119" s="47">
        <f t="shared" si="73"/>
        <v>12.303649202049895</v>
      </c>
      <c r="X119" s="47">
        <f t="shared" si="73"/>
        <v>12.303768354611607</v>
      </c>
      <c r="Y119" s="47">
        <f t="shared" si="73"/>
        <v>0</v>
      </c>
      <c r="Z119" s="47">
        <f t="shared" si="73"/>
        <v>0</v>
      </c>
      <c r="AA119" s="47">
        <f t="shared" si="73"/>
        <v>0</v>
      </c>
      <c r="AB119" s="47">
        <f t="shared" si="73"/>
        <v>0</v>
      </c>
      <c r="AC119" s="47">
        <f t="shared" si="73"/>
        <v>0</v>
      </c>
      <c r="AD119" s="47">
        <f t="shared" si="73"/>
        <v>0</v>
      </c>
      <c r="AE119" s="47">
        <f t="shared" si="73"/>
        <v>0</v>
      </c>
      <c r="AF119" s="47">
        <f t="shared" si="73"/>
        <v>0</v>
      </c>
      <c r="AG119" s="47">
        <f t="shared" si="73"/>
        <v>0</v>
      </c>
      <c r="AH119" s="47">
        <f t="shared" si="73"/>
        <v>0</v>
      </c>
      <c r="AI119" s="47">
        <f t="shared" si="73"/>
        <v>0</v>
      </c>
      <c r="AJ119" s="47">
        <f t="shared" si="73"/>
        <v>0</v>
      </c>
      <c r="AK119" s="47">
        <f t="shared" si="73"/>
        <v>0</v>
      </c>
      <c r="AL119" s="47">
        <f t="shared" si="73"/>
        <v>0</v>
      </c>
      <c r="AM119" s="47">
        <f t="shared" si="73"/>
        <v>0</v>
      </c>
      <c r="AN119" s="47">
        <f t="shared" si="73"/>
        <v>0</v>
      </c>
      <c r="AO119" s="47">
        <f t="shared" si="73"/>
        <v>0</v>
      </c>
      <c r="AP119" s="47">
        <f t="shared" si="73"/>
        <v>0</v>
      </c>
      <c r="AQ119" s="47">
        <f t="shared" si="73"/>
        <v>0</v>
      </c>
      <c r="AR119" s="48">
        <f t="shared" si="73"/>
        <v>0</v>
      </c>
    </row>
    <row r="120" spans="1:44" s="45" customFormat="1" x14ac:dyDescent="0.15">
      <c r="B120" s="212" t="s">
        <v>88</v>
      </c>
      <c r="C120" s="206"/>
      <c r="E120" s="120">
        <f t="shared" ref="E120:AR120" si="74">IF(Year="",,(E30+E33*BilledDemand_Det/(1-UFW_FC)))</f>
        <v>25.003805182612119</v>
      </c>
      <c r="F120" s="121">
        <f t="shared" si="74"/>
        <v>26.383548706026744</v>
      </c>
      <c r="G120" s="121">
        <f t="shared" si="74"/>
        <v>28.399559011898948</v>
      </c>
      <c r="H120" s="121">
        <f t="shared" si="74"/>
        <v>31.603669101490105</v>
      </c>
      <c r="I120" s="121">
        <f t="shared" si="74"/>
        <v>36.577155671294307</v>
      </c>
      <c r="J120" s="121">
        <f t="shared" si="74"/>
        <v>42.875795944635051</v>
      </c>
      <c r="K120" s="121">
        <f t="shared" si="74"/>
        <v>48.731990044350589</v>
      </c>
      <c r="L120" s="121">
        <f t="shared" si="74"/>
        <v>53.216904676692749</v>
      </c>
      <c r="M120" s="121">
        <f t="shared" si="74"/>
        <v>56.711144458149946</v>
      </c>
      <c r="N120" s="121">
        <f t="shared" si="74"/>
        <v>60.028221875158003</v>
      </c>
      <c r="O120" s="121">
        <f t="shared" si="74"/>
        <v>62.824940422905833</v>
      </c>
      <c r="P120" s="121">
        <f t="shared" si="74"/>
        <v>65.756492249407771</v>
      </c>
      <c r="Q120" s="121">
        <f t="shared" si="74"/>
        <v>68.82952978857432</v>
      </c>
      <c r="R120" s="121">
        <f t="shared" si="74"/>
        <v>72.051038614953711</v>
      </c>
      <c r="S120" s="121">
        <f t="shared" si="74"/>
        <v>75.428354282501715</v>
      </c>
      <c r="T120" s="121">
        <f t="shared" si="74"/>
        <v>78.969180019332413</v>
      </c>
      <c r="U120" s="121">
        <f t="shared" si="74"/>
        <v>82.681605322112546</v>
      </c>
      <c r="V120" s="121">
        <f t="shared" si="74"/>
        <v>86.574125495994537</v>
      </c>
      <c r="W120" s="121">
        <f t="shared" si="74"/>
        <v>90.655662188328463</v>
      </c>
      <c r="X120" s="121">
        <f t="shared" si="74"/>
        <v>94.935584966860205</v>
      </c>
      <c r="Y120" s="121">
        <f t="shared" si="74"/>
        <v>0</v>
      </c>
      <c r="Z120" s="121">
        <f t="shared" si="74"/>
        <v>0</v>
      </c>
      <c r="AA120" s="121">
        <f t="shared" si="74"/>
        <v>0</v>
      </c>
      <c r="AB120" s="121">
        <f t="shared" si="74"/>
        <v>0</v>
      </c>
      <c r="AC120" s="121">
        <f t="shared" si="74"/>
        <v>0</v>
      </c>
      <c r="AD120" s="121">
        <f t="shared" si="74"/>
        <v>0</v>
      </c>
      <c r="AE120" s="121">
        <f t="shared" si="74"/>
        <v>0</v>
      </c>
      <c r="AF120" s="121">
        <f t="shared" si="74"/>
        <v>0</v>
      </c>
      <c r="AG120" s="121">
        <f t="shared" si="74"/>
        <v>0</v>
      </c>
      <c r="AH120" s="121">
        <f t="shared" si="74"/>
        <v>0</v>
      </c>
      <c r="AI120" s="121">
        <f t="shared" si="74"/>
        <v>0</v>
      </c>
      <c r="AJ120" s="121">
        <f t="shared" si="74"/>
        <v>0</v>
      </c>
      <c r="AK120" s="121">
        <f t="shared" si="74"/>
        <v>0</v>
      </c>
      <c r="AL120" s="121">
        <f t="shared" si="74"/>
        <v>0</v>
      </c>
      <c r="AM120" s="121">
        <f t="shared" si="74"/>
        <v>0</v>
      </c>
      <c r="AN120" s="121">
        <f t="shared" si="74"/>
        <v>0</v>
      </c>
      <c r="AO120" s="121">
        <f t="shared" si="74"/>
        <v>0</v>
      </c>
      <c r="AP120" s="121">
        <f t="shared" si="74"/>
        <v>0</v>
      </c>
      <c r="AQ120" s="121">
        <f t="shared" si="74"/>
        <v>0</v>
      </c>
      <c r="AR120" s="122">
        <f t="shared" si="74"/>
        <v>0</v>
      </c>
    </row>
    <row r="121" spans="1:44" s="45" customFormat="1" x14ac:dyDescent="0.15">
      <c r="B121" s="212" t="s">
        <v>89</v>
      </c>
      <c r="C121" s="206"/>
      <c r="E121" s="120">
        <f t="shared" ref="E121:AR121" si="75">IF(Year="",,(E31+E34*BilledDemand_Det/(1-UFW_FC))*RealExRate_Det)</f>
        <v>26.285777687897159</v>
      </c>
      <c r="F121" s="121">
        <f t="shared" si="75"/>
        <v>29.158330745533153</v>
      </c>
      <c r="G121" s="121">
        <f t="shared" si="75"/>
        <v>32.995580138406815</v>
      </c>
      <c r="H121" s="121">
        <f t="shared" si="75"/>
        <v>38.600808608541364</v>
      </c>
      <c r="I121" s="121">
        <f t="shared" si="75"/>
        <v>46.965997552086073</v>
      </c>
      <c r="J121" s="121">
        <f t="shared" si="75"/>
        <v>57.876270787697131</v>
      </c>
      <c r="K121" s="121">
        <f t="shared" si="75"/>
        <v>69.153985650307646</v>
      </c>
      <c r="L121" s="121">
        <f t="shared" si="75"/>
        <v>79.390292728711515</v>
      </c>
      <c r="M121" s="121">
        <f t="shared" si="75"/>
        <v>88.940778906809896</v>
      </c>
      <c r="N121" s="121">
        <f t="shared" si="75"/>
        <v>98.969806247879831</v>
      </c>
      <c r="O121" s="121">
        <f t="shared" si="75"/>
        <v>108.89151758534094</v>
      </c>
      <c r="P121" s="121">
        <f t="shared" si="75"/>
        <v>119.8161407753788</v>
      </c>
      <c r="Q121" s="121">
        <f t="shared" si="75"/>
        <v>131.84577455184242</v>
      </c>
      <c r="R121" s="121">
        <f t="shared" si="75"/>
        <v>145.09297408692308</v>
      </c>
      <c r="S121" s="121">
        <f t="shared" si="75"/>
        <v>159.68182726912303</v>
      </c>
      <c r="T121" s="121">
        <f t="shared" si="75"/>
        <v>175.74914222251411</v>
      </c>
      <c r="U121" s="121">
        <f t="shared" si="75"/>
        <v>193.44575760406815</v>
      </c>
      <c r="V121" s="121">
        <f t="shared" si="75"/>
        <v>212.93798841564075</v>
      </c>
      <c r="W121" s="121">
        <f t="shared" si="75"/>
        <v>234.40922139203559</v>
      </c>
      <c r="X121" s="121">
        <f t="shared" si="75"/>
        <v>258.06167548954619</v>
      </c>
      <c r="Y121" s="121">
        <f t="shared" si="75"/>
        <v>0</v>
      </c>
      <c r="Z121" s="121">
        <f t="shared" si="75"/>
        <v>0</v>
      </c>
      <c r="AA121" s="121">
        <f t="shared" si="75"/>
        <v>0</v>
      </c>
      <c r="AB121" s="121">
        <f t="shared" si="75"/>
        <v>0</v>
      </c>
      <c r="AC121" s="121">
        <f t="shared" si="75"/>
        <v>0</v>
      </c>
      <c r="AD121" s="121">
        <f t="shared" si="75"/>
        <v>0</v>
      </c>
      <c r="AE121" s="121">
        <f t="shared" si="75"/>
        <v>0</v>
      </c>
      <c r="AF121" s="121">
        <f t="shared" si="75"/>
        <v>0</v>
      </c>
      <c r="AG121" s="121">
        <f t="shared" si="75"/>
        <v>0</v>
      </c>
      <c r="AH121" s="121">
        <f t="shared" si="75"/>
        <v>0</v>
      </c>
      <c r="AI121" s="121">
        <f t="shared" si="75"/>
        <v>0</v>
      </c>
      <c r="AJ121" s="121">
        <f t="shared" si="75"/>
        <v>0</v>
      </c>
      <c r="AK121" s="121">
        <f t="shared" si="75"/>
        <v>0</v>
      </c>
      <c r="AL121" s="121">
        <f t="shared" si="75"/>
        <v>0</v>
      </c>
      <c r="AM121" s="121">
        <f t="shared" si="75"/>
        <v>0</v>
      </c>
      <c r="AN121" s="121">
        <f t="shared" si="75"/>
        <v>0</v>
      </c>
      <c r="AO121" s="121">
        <f t="shared" si="75"/>
        <v>0</v>
      </c>
      <c r="AP121" s="121">
        <f t="shared" si="75"/>
        <v>0</v>
      </c>
      <c r="AQ121" s="121">
        <f t="shared" si="75"/>
        <v>0</v>
      </c>
      <c r="AR121" s="122">
        <f t="shared" si="75"/>
        <v>0</v>
      </c>
    </row>
    <row r="122" spans="1:44" s="45" customFormat="1" x14ac:dyDescent="0.15">
      <c r="A122" s="35" t="s">
        <v>147</v>
      </c>
      <c r="B122" s="68" t="s">
        <v>57</v>
      </c>
      <c r="C122" s="35"/>
      <c r="E122" s="123">
        <f t="shared" ref="E122:AR122" si="76">IF(Year="",,Man_Fee)</f>
        <v>0</v>
      </c>
      <c r="F122" s="124">
        <f t="shared" si="76"/>
        <v>0</v>
      </c>
      <c r="G122" s="124">
        <f t="shared" si="76"/>
        <v>0</v>
      </c>
      <c r="H122" s="124">
        <f t="shared" si="76"/>
        <v>0</v>
      </c>
      <c r="I122" s="124">
        <f t="shared" si="76"/>
        <v>0</v>
      </c>
      <c r="J122" s="124">
        <f t="shared" si="76"/>
        <v>0</v>
      </c>
      <c r="K122" s="124">
        <f t="shared" si="76"/>
        <v>0</v>
      </c>
      <c r="L122" s="124">
        <f t="shared" si="76"/>
        <v>0</v>
      </c>
      <c r="M122" s="124">
        <f t="shared" si="76"/>
        <v>0</v>
      </c>
      <c r="N122" s="124">
        <f t="shared" si="76"/>
        <v>0</v>
      </c>
      <c r="O122" s="124">
        <f t="shared" si="76"/>
        <v>0</v>
      </c>
      <c r="P122" s="124">
        <f t="shared" si="76"/>
        <v>0</v>
      </c>
      <c r="Q122" s="124">
        <f t="shared" si="76"/>
        <v>0</v>
      </c>
      <c r="R122" s="124">
        <f t="shared" si="76"/>
        <v>0</v>
      </c>
      <c r="S122" s="124">
        <f t="shared" si="76"/>
        <v>0</v>
      </c>
      <c r="T122" s="124">
        <f t="shared" si="76"/>
        <v>0</v>
      </c>
      <c r="U122" s="124">
        <f t="shared" si="76"/>
        <v>0</v>
      </c>
      <c r="V122" s="124">
        <f t="shared" si="76"/>
        <v>0</v>
      </c>
      <c r="W122" s="124">
        <f t="shared" si="76"/>
        <v>0</v>
      </c>
      <c r="X122" s="124">
        <f t="shared" si="76"/>
        <v>0</v>
      </c>
      <c r="Y122" s="124">
        <f t="shared" si="76"/>
        <v>0</v>
      </c>
      <c r="Z122" s="124">
        <f t="shared" si="76"/>
        <v>0</v>
      </c>
      <c r="AA122" s="124">
        <f t="shared" si="76"/>
        <v>0</v>
      </c>
      <c r="AB122" s="124">
        <f t="shared" si="76"/>
        <v>0</v>
      </c>
      <c r="AC122" s="124">
        <f t="shared" si="76"/>
        <v>0</v>
      </c>
      <c r="AD122" s="124">
        <f t="shared" si="76"/>
        <v>0</v>
      </c>
      <c r="AE122" s="124">
        <f t="shared" si="76"/>
        <v>0</v>
      </c>
      <c r="AF122" s="124">
        <f t="shared" si="76"/>
        <v>0</v>
      </c>
      <c r="AG122" s="124">
        <f t="shared" si="76"/>
        <v>0</v>
      </c>
      <c r="AH122" s="124">
        <f t="shared" si="76"/>
        <v>0</v>
      </c>
      <c r="AI122" s="124">
        <f t="shared" si="76"/>
        <v>0</v>
      </c>
      <c r="AJ122" s="124">
        <f t="shared" si="76"/>
        <v>0</v>
      </c>
      <c r="AK122" s="124">
        <f t="shared" si="76"/>
        <v>0</v>
      </c>
      <c r="AL122" s="124">
        <f t="shared" si="76"/>
        <v>0</v>
      </c>
      <c r="AM122" s="124">
        <f t="shared" si="76"/>
        <v>0</v>
      </c>
      <c r="AN122" s="124">
        <f t="shared" si="76"/>
        <v>0</v>
      </c>
      <c r="AO122" s="124">
        <f t="shared" si="76"/>
        <v>0</v>
      </c>
      <c r="AP122" s="124">
        <f t="shared" si="76"/>
        <v>0</v>
      </c>
      <c r="AQ122" s="124">
        <f t="shared" si="76"/>
        <v>0</v>
      </c>
      <c r="AR122" s="125">
        <f t="shared" si="76"/>
        <v>0</v>
      </c>
    </row>
    <row r="123" spans="1:44" s="43" customFormat="1" x14ac:dyDescent="0.15">
      <c r="D123" s="45"/>
      <c r="E123" s="126"/>
      <c r="F123" s="126"/>
      <c r="G123" s="126"/>
      <c r="H123" s="126"/>
      <c r="I123" s="126"/>
      <c r="J123" s="126"/>
      <c r="K123" s="126"/>
    </row>
    <row r="124" spans="1:44" s="43" customFormat="1" x14ac:dyDescent="0.15">
      <c r="B124" s="74" t="s">
        <v>58</v>
      </c>
    </row>
    <row r="125" spans="1:44" s="43" customFormat="1" x14ac:dyDescent="0.15">
      <c r="B125" s="110" t="s">
        <v>38</v>
      </c>
    </row>
    <row r="126" spans="1:44" s="45" customFormat="1" x14ac:dyDescent="0.15">
      <c r="B126" s="110"/>
      <c r="C126" s="45" t="s">
        <v>59</v>
      </c>
      <c r="E126" s="46">
        <f>SUM(E$114:E$114,E$117:E$117,-E122)</f>
        <v>3.4027197782974715E-2</v>
      </c>
      <c r="F126" s="47">
        <f t="shared" ref="F126:AR126" si="77">SUM(F$114:F$114,F$117:F$117,-F122)</f>
        <v>9.0661842519340619E-2</v>
      </c>
      <c r="G126" s="47">
        <f t="shared" si="77"/>
        <v>0.24088637887991582</v>
      </c>
      <c r="H126" s="47">
        <f t="shared" si="77"/>
        <v>0.59942669269603543</v>
      </c>
      <c r="I126" s="47">
        <f t="shared" si="77"/>
        <v>1.279477410342805</v>
      </c>
      <c r="J126" s="47">
        <f t="shared" si="77"/>
        <v>2.1433697339699336</v>
      </c>
      <c r="K126" s="47">
        <f t="shared" si="77"/>
        <v>2.7930316386958944</v>
      </c>
      <c r="L126" s="47">
        <f t="shared" si="77"/>
        <v>3.0577203320170701</v>
      </c>
      <c r="M126" s="47">
        <f t="shared" si="77"/>
        <v>3.0566906831850633</v>
      </c>
      <c r="N126" s="47">
        <f t="shared" si="77"/>
        <v>2.9875784828508274</v>
      </c>
      <c r="O126" s="47">
        <f t="shared" si="77"/>
        <v>2.7827257656547397</v>
      </c>
      <c r="P126" s="47">
        <f t="shared" si="77"/>
        <v>2.5948842114877175</v>
      </c>
      <c r="Q126" s="47">
        <f t="shared" si="77"/>
        <v>2.4223973776618632</v>
      </c>
      <c r="R126" s="47">
        <f t="shared" si="77"/>
        <v>2.2637780941136216</v>
      </c>
      <c r="S126" s="47">
        <f t="shared" si="77"/>
        <v>2.1176953513930816</v>
      </c>
      <c r="T126" s="47">
        <f t="shared" si="77"/>
        <v>1.9829596002628025</v>
      </c>
      <c r="U126" s="47">
        <f t="shared" si="77"/>
        <v>1.8585081379718125</v>
      </c>
      <c r="V126" s="47">
        <f t="shared" si="77"/>
        <v>1.7433913609916984</v>
      </c>
      <c r="W126" s="47">
        <f t="shared" si="77"/>
        <v>1.6367601979883688</v>
      </c>
      <c r="X126" s="47">
        <f t="shared" si="77"/>
        <v>1.5378548010726929</v>
      </c>
      <c r="Y126" s="47">
        <f t="shared" si="77"/>
        <v>0</v>
      </c>
      <c r="Z126" s="47">
        <f t="shared" si="77"/>
        <v>0</v>
      </c>
      <c r="AA126" s="47">
        <f t="shared" si="77"/>
        <v>0</v>
      </c>
      <c r="AB126" s="47">
        <f t="shared" si="77"/>
        <v>0</v>
      </c>
      <c r="AC126" s="47">
        <f t="shared" si="77"/>
        <v>0</v>
      </c>
      <c r="AD126" s="47">
        <f t="shared" si="77"/>
        <v>0</v>
      </c>
      <c r="AE126" s="47">
        <f t="shared" si="77"/>
        <v>0</v>
      </c>
      <c r="AF126" s="47">
        <f t="shared" si="77"/>
        <v>0</v>
      </c>
      <c r="AG126" s="47">
        <f t="shared" si="77"/>
        <v>0</v>
      </c>
      <c r="AH126" s="47">
        <f t="shared" si="77"/>
        <v>0</v>
      </c>
      <c r="AI126" s="47">
        <f t="shared" si="77"/>
        <v>0</v>
      </c>
      <c r="AJ126" s="47">
        <f t="shared" si="77"/>
        <v>0</v>
      </c>
      <c r="AK126" s="47">
        <f t="shared" si="77"/>
        <v>0</v>
      </c>
      <c r="AL126" s="47">
        <f t="shared" si="77"/>
        <v>0</v>
      </c>
      <c r="AM126" s="47">
        <f t="shared" si="77"/>
        <v>0</v>
      </c>
      <c r="AN126" s="47">
        <f t="shared" si="77"/>
        <v>0</v>
      </c>
      <c r="AO126" s="47">
        <f t="shared" si="77"/>
        <v>0</v>
      </c>
      <c r="AP126" s="47">
        <f t="shared" si="77"/>
        <v>0</v>
      </c>
      <c r="AQ126" s="47">
        <f t="shared" si="77"/>
        <v>0</v>
      </c>
      <c r="AR126" s="48">
        <f t="shared" si="77"/>
        <v>0</v>
      </c>
    </row>
    <row r="127" spans="1:44" s="45" customFormat="1" x14ac:dyDescent="0.15">
      <c r="B127" s="68"/>
      <c r="C127" s="35" t="s">
        <v>60</v>
      </c>
      <c r="E127" s="120">
        <f>IF(Year="",,E126*DiscountFactor)</f>
        <v>3.1726748921563006E-2</v>
      </c>
      <c r="F127" s="121">
        <f t="shared" ref="F127:AR127" si="78">IF(Year="",,F126*DiscountFactor)</f>
        <v>7.8817619430618394E-2</v>
      </c>
      <c r="G127" s="121">
        <f t="shared" si="78"/>
        <v>0.1952587037888654</v>
      </c>
      <c r="H127" s="121">
        <f t="shared" si="78"/>
        <v>0.45303694853424109</v>
      </c>
      <c r="I127" s="121">
        <f t="shared" si="78"/>
        <v>0.9016324921327179</v>
      </c>
      <c r="J127" s="121">
        <f t="shared" si="78"/>
        <v>1.4082942673927896</v>
      </c>
      <c r="K127" s="121">
        <f t="shared" si="78"/>
        <v>1.7110849016572569</v>
      </c>
      <c r="L127" s="121">
        <f t="shared" si="78"/>
        <v>1.7465975683629587</v>
      </c>
      <c r="M127" s="121">
        <f t="shared" si="78"/>
        <v>1.6279683960785365</v>
      </c>
      <c r="N127" s="121">
        <f t="shared" si="78"/>
        <v>1.4835875685071571</v>
      </c>
      <c r="O127" s="121">
        <f t="shared" si="78"/>
        <v>1.2884383950245131</v>
      </c>
      <c r="P127" s="121">
        <f t="shared" si="78"/>
        <v>1.1202388211792178</v>
      </c>
      <c r="Q127" s="121">
        <f t="shared" si="78"/>
        <v>0.97507362474445669</v>
      </c>
      <c r="R127" s="121">
        <f t="shared" si="78"/>
        <v>0.84962104405751071</v>
      </c>
      <c r="S127" s="121">
        <f t="shared" si="78"/>
        <v>0.74106154456965256</v>
      </c>
      <c r="T127" s="121">
        <f t="shared" si="78"/>
        <v>0.64699965111953206</v>
      </c>
      <c r="U127" s="121">
        <f t="shared" si="78"/>
        <v>0.56539769501204151</v>
      </c>
      <c r="V127" s="121">
        <f t="shared" si="78"/>
        <v>0.4945199793102103</v>
      </c>
      <c r="W127" s="121">
        <f t="shared" si="78"/>
        <v>0.43288585456852169</v>
      </c>
      <c r="X127" s="121">
        <f t="shared" si="78"/>
        <v>0.37923032492754949</v>
      </c>
      <c r="Y127" s="121">
        <f t="shared" si="78"/>
        <v>0</v>
      </c>
      <c r="Z127" s="121">
        <f t="shared" si="78"/>
        <v>0</v>
      </c>
      <c r="AA127" s="121">
        <f t="shared" si="78"/>
        <v>0</v>
      </c>
      <c r="AB127" s="121">
        <f t="shared" si="78"/>
        <v>0</v>
      </c>
      <c r="AC127" s="121">
        <f t="shared" si="78"/>
        <v>0</v>
      </c>
      <c r="AD127" s="121">
        <f t="shared" si="78"/>
        <v>0</v>
      </c>
      <c r="AE127" s="121">
        <f t="shared" si="78"/>
        <v>0</v>
      </c>
      <c r="AF127" s="121">
        <f t="shared" si="78"/>
        <v>0</v>
      </c>
      <c r="AG127" s="121">
        <f t="shared" si="78"/>
        <v>0</v>
      </c>
      <c r="AH127" s="121">
        <f t="shared" si="78"/>
        <v>0</v>
      </c>
      <c r="AI127" s="121">
        <f t="shared" si="78"/>
        <v>0</v>
      </c>
      <c r="AJ127" s="121">
        <f t="shared" si="78"/>
        <v>0</v>
      </c>
      <c r="AK127" s="121">
        <f t="shared" si="78"/>
        <v>0</v>
      </c>
      <c r="AL127" s="121">
        <f t="shared" si="78"/>
        <v>0</v>
      </c>
      <c r="AM127" s="121">
        <f t="shared" si="78"/>
        <v>0</v>
      </c>
      <c r="AN127" s="121">
        <f t="shared" si="78"/>
        <v>0</v>
      </c>
      <c r="AO127" s="121">
        <f t="shared" si="78"/>
        <v>0</v>
      </c>
      <c r="AP127" s="121">
        <f t="shared" si="78"/>
        <v>0</v>
      </c>
      <c r="AQ127" s="121">
        <f t="shared" si="78"/>
        <v>0</v>
      </c>
      <c r="AR127" s="122">
        <f t="shared" si="78"/>
        <v>0</v>
      </c>
    </row>
    <row r="128" spans="1:44" s="45" customFormat="1" x14ac:dyDescent="0.15">
      <c r="C128" s="110" t="s">
        <v>61</v>
      </c>
      <c r="D128" s="111"/>
      <c r="E128" s="114">
        <f t="shared" ref="E128:AR128" si="79">IF(Year="","",IF(OR(Tariff_Period=1,MOD(Year,Tariff_Period)=1),E127,D128+E127))</f>
        <v>3.1726748921563006E-2</v>
      </c>
      <c r="F128" s="50">
        <f t="shared" si="79"/>
        <v>0.1105443683521814</v>
      </c>
      <c r="G128" s="50">
        <f t="shared" si="79"/>
        <v>0.30580307214104679</v>
      </c>
      <c r="H128" s="50">
        <f t="shared" si="79"/>
        <v>0.75884002067528789</v>
      </c>
      <c r="I128" s="50">
        <f t="shared" si="79"/>
        <v>1.6604725128080058</v>
      </c>
      <c r="J128" s="50">
        <f t="shared" si="79"/>
        <v>1.4082942673927896</v>
      </c>
      <c r="K128" s="50">
        <f t="shared" si="79"/>
        <v>3.1193791690500463</v>
      </c>
      <c r="L128" s="50">
        <f t="shared" si="79"/>
        <v>4.8659767374130052</v>
      </c>
      <c r="M128" s="50">
        <f t="shared" si="79"/>
        <v>6.4939451334915415</v>
      </c>
      <c r="N128" s="50">
        <f t="shared" si="79"/>
        <v>7.9775327019986984</v>
      </c>
      <c r="O128" s="50">
        <f t="shared" si="79"/>
        <v>1.2884383950245131</v>
      </c>
      <c r="P128" s="50">
        <f t="shared" si="79"/>
        <v>2.4086772162037309</v>
      </c>
      <c r="Q128" s="50">
        <f t="shared" si="79"/>
        <v>3.3837508409481876</v>
      </c>
      <c r="R128" s="50">
        <f t="shared" si="79"/>
        <v>4.2333718850056981</v>
      </c>
      <c r="S128" s="50">
        <f t="shared" si="79"/>
        <v>4.9744334295753507</v>
      </c>
      <c r="T128" s="50">
        <f t="shared" si="79"/>
        <v>0.64699965111953206</v>
      </c>
      <c r="U128" s="50">
        <f t="shared" si="79"/>
        <v>1.2123973461315736</v>
      </c>
      <c r="V128" s="50">
        <f t="shared" si="79"/>
        <v>1.706917325441784</v>
      </c>
      <c r="W128" s="50">
        <f t="shared" si="79"/>
        <v>2.1398031800103059</v>
      </c>
      <c r="X128" s="50">
        <f t="shared" si="79"/>
        <v>2.5190335049378554</v>
      </c>
      <c r="Y128" s="50" t="str">
        <f t="shared" si="79"/>
        <v/>
      </c>
      <c r="Z128" s="50" t="str">
        <f t="shared" si="79"/>
        <v/>
      </c>
      <c r="AA128" s="50" t="str">
        <f t="shared" si="79"/>
        <v/>
      </c>
      <c r="AB128" s="50" t="str">
        <f t="shared" si="79"/>
        <v/>
      </c>
      <c r="AC128" s="50" t="str">
        <f t="shared" si="79"/>
        <v/>
      </c>
      <c r="AD128" s="50" t="str">
        <f t="shared" si="79"/>
        <v/>
      </c>
      <c r="AE128" s="50" t="str">
        <f t="shared" si="79"/>
        <v/>
      </c>
      <c r="AF128" s="50" t="str">
        <f t="shared" si="79"/>
        <v/>
      </c>
      <c r="AG128" s="50" t="str">
        <f t="shared" si="79"/>
        <v/>
      </c>
      <c r="AH128" s="50" t="str">
        <f t="shared" si="79"/>
        <v/>
      </c>
      <c r="AI128" s="50" t="str">
        <f t="shared" si="79"/>
        <v/>
      </c>
      <c r="AJ128" s="50" t="str">
        <f t="shared" si="79"/>
        <v/>
      </c>
      <c r="AK128" s="50" t="str">
        <f t="shared" si="79"/>
        <v/>
      </c>
      <c r="AL128" s="50" t="str">
        <f t="shared" si="79"/>
        <v/>
      </c>
      <c r="AM128" s="50" t="str">
        <f t="shared" si="79"/>
        <v/>
      </c>
      <c r="AN128" s="50" t="str">
        <f t="shared" si="79"/>
        <v/>
      </c>
      <c r="AO128" s="50" t="str">
        <f t="shared" si="79"/>
        <v/>
      </c>
      <c r="AP128" s="50" t="str">
        <f t="shared" si="79"/>
        <v/>
      </c>
      <c r="AQ128" s="50" t="str">
        <f t="shared" si="79"/>
        <v/>
      </c>
      <c r="AR128" s="51" t="str">
        <f t="shared" si="79"/>
        <v/>
      </c>
    </row>
    <row r="129" spans="2:44" s="43" customFormat="1" x14ac:dyDescent="0.15">
      <c r="B129" s="110" t="s">
        <v>37</v>
      </c>
      <c r="D129" s="45"/>
      <c r="E129" s="126"/>
      <c r="F129" s="126"/>
      <c r="G129" s="126"/>
      <c r="H129" s="126"/>
      <c r="I129" s="126"/>
      <c r="J129" s="126"/>
      <c r="K129" s="126"/>
      <c r="L129" s="126"/>
      <c r="M129" s="126"/>
      <c r="N129" s="126"/>
    </row>
    <row r="130" spans="2:44" s="45" customFormat="1" x14ac:dyDescent="0.15">
      <c r="C130" s="45" t="s">
        <v>59</v>
      </c>
      <c r="E130" s="46">
        <f>SUM(E$115,E$118,E$119,E120,E121)</f>
        <v>61.685086379300451</v>
      </c>
      <c r="F130" s="47">
        <f t="shared" ref="F130:AR130" si="80">SUM(F$115,F$118,F$119,F120,F121)</f>
        <v>66.594819839450182</v>
      </c>
      <c r="G130" s="47">
        <f t="shared" si="80"/>
        <v>73.052324209478456</v>
      </c>
      <c r="H130" s="47">
        <f t="shared" si="80"/>
        <v>82.539540461700966</v>
      </c>
      <c r="I130" s="47">
        <f t="shared" si="80"/>
        <v>96.77107688945307</v>
      </c>
      <c r="J130" s="47">
        <f t="shared" si="80"/>
        <v>114.98043680538275</v>
      </c>
      <c r="K130" s="47">
        <f t="shared" si="80"/>
        <v>132.8494526940583</v>
      </c>
      <c r="L130" s="47">
        <f t="shared" si="80"/>
        <v>147.88797236558889</v>
      </c>
      <c r="M130" s="47">
        <f t="shared" si="80"/>
        <v>160.96373550902612</v>
      </c>
      <c r="N130" s="47">
        <f t="shared" si="80"/>
        <v>174.26015270449136</v>
      </c>
      <c r="O130" s="47">
        <f t="shared" si="80"/>
        <v>186.78545199455988</v>
      </c>
      <c r="P130" s="47">
        <f t="shared" si="80"/>
        <v>200.46084317125468</v>
      </c>
      <c r="Q130" s="47">
        <f t="shared" si="80"/>
        <v>215.39527112383664</v>
      </c>
      <c r="R130" s="47">
        <f t="shared" si="80"/>
        <v>231.70790947683071</v>
      </c>
      <c r="S130" s="47">
        <f t="shared" si="80"/>
        <v>249.52952630029324</v>
      </c>
      <c r="T130" s="47">
        <f t="shared" si="80"/>
        <v>269.00385008418709</v>
      </c>
      <c r="U130" s="47">
        <f t="shared" si="80"/>
        <v>290.28899076258637</v>
      </c>
      <c r="V130" s="47">
        <f t="shared" si="80"/>
        <v>313.55895589870596</v>
      </c>
      <c r="W130" s="47">
        <f t="shared" si="80"/>
        <v>339.00529298040232</v>
      </c>
      <c r="X130" s="47">
        <f t="shared" si="80"/>
        <v>366.83888361209068</v>
      </c>
      <c r="Y130" s="47">
        <f t="shared" si="80"/>
        <v>0</v>
      </c>
      <c r="Z130" s="47">
        <f t="shared" si="80"/>
        <v>0</v>
      </c>
      <c r="AA130" s="47">
        <f t="shared" si="80"/>
        <v>0</v>
      </c>
      <c r="AB130" s="47">
        <f t="shared" si="80"/>
        <v>0</v>
      </c>
      <c r="AC130" s="47">
        <f t="shared" si="80"/>
        <v>0</v>
      </c>
      <c r="AD130" s="47">
        <f t="shared" si="80"/>
        <v>0</v>
      </c>
      <c r="AE130" s="47">
        <f t="shared" si="80"/>
        <v>0</v>
      </c>
      <c r="AF130" s="47">
        <f t="shared" si="80"/>
        <v>0</v>
      </c>
      <c r="AG130" s="47">
        <f t="shared" si="80"/>
        <v>0</v>
      </c>
      <c r="AH130" s="47">
        <f t="shared" si="80"/>
        <v>0</v>
      </c>
      <c r="AI130" s="47">
        <f t="shared" si="80"/>
        <v>0</v>
      </c>
      <c r="AJ130" s="47">
        <f t="shared" si="80"/>
        <v>0</v>
      </c>
      <c r="AK130" s="47">
        <f t="shared" si="80"/>
        <v>0</v>
      </c>
      <c r="AL130" s="47">
        <f t="shared" si="80"/>
        <v>0</v>
      </c>
      <c r="AM130" s="47">
        <f t="shared" si="80"/>
        <v>0</v>
      </c>
      <c r="AN130" s="47">
        <f t="shared" si="80"/>
        <v>0</v>
      </c>
      <c r="AO130" s="47">
        <f t="shared" si="80"/>
        <v>0</v>
      </c>
      <c r="AP130" s="47">
        <f t="shared" si="80"/>
        <v>0</v>
      </c>
      <c r="AQ130" s="47">
        <f t="shared" si="80"/>
        <v>0</v>
      </c>
      <c r="AR130" s="48">
        <f t="shared" si="80"/>
        <v>0</v>
      </c>
    </row>
    <row r="131" spans="2:44" s="45" customFormat="1" x14ac:dyDescent="0.15">
      <c r="B131" s="68"/>
      <c r="C131" s="35" t="s">
        <v>60</v>
      </c>
      <c r="E131" s="120">
        <f>IF(Year="",,E130*DiscountFactor)</f>
        <v>57.514793320424324</v>
      </c>
      <c r="F131" s="121">
        <f t="shared" ref="F131:AR131" si="81">IF(Year="",,F130*DiscountFactor)</f>
        <v>57.8947550623258</v>
      </c>
      <c r="G131" s="121">
        <f t="shared" si="81"/>
        <v>59.215063135709748</v>
      </c>
      <c r="H131" s="121">
        <f t="shared" si="81"/>
        <v>62.382042708180606</v>
      </c>
      <c r="I131" s="121">
        <f t="shared" si="81"/>
        <v>68.193425313251439</v>
      </c>
      <c r="J131" s="121">
        <f t="shared" si="81"/>
        <v>75.547530343922872</v>
      </c>
      <c r="K131" s="121">
        <f t="shared" si="81"/>
        <v>81.38708117333411</v>
      </c>
      <c r="L131" s="121">
        <f t="shared" si="81"/>
        <v>84.474950249447474</v>
      </c>
      <c r="M131" s="121">
        <f t="shared" si="81"/>
        <v>85.727965791550105</v>
      </c>
      <c r="N131" s="121">
        <f t="shared" si="81"/>
        <v>86.535030869497291</v>
      </c>
      <c r="O131" s="121">
        <f t="shared" si="81"/>
        <v>86.4841052439008</v>
      </c>
      <c r="P131" s="121">
        <f t="shared" si="81"/>
        <v>86.541055532497055</v>
      </c>
      <c r="Q131" s="121">
        <f t="shared" si="81"/>
        <v>86.70181436963702</v>
      </c>
      <c r="R131" s="121">
        <f t="shared" si="81"/>
        <v>86.962550118309991</v>
      </c>
      <c r="S131" s="121">
        <f t="shared" si="81"/>
        <v>87.319800770297505</v>
      </c>
      <c r="T131" s="121">
        <f t="shared" si="81"/>
        <v>87.770520958275526</v>
      </c>
      <c r="U131" s="121">
        <f t="shared" si="81"/>
        <v>88.312083714441854</v>
      </c>
      <c r="V131" s="121">
        <f t="shared" si="81"/>
        <v>88.942260385731927</v>
      </c>
      <c r="W131" s="121">
        <f t="shared" si="81"/>
        <v>89.659191453601295</v>
      </c>
      <c r="X131" s="121">
        <f t="shared" si="81"/>
        <v>90.461354954469954</v>
      </c>
      <c r="Y131" s="121">
        <f t="shared" si="81"/>
        <v>0</v>
      </c>
      <c r="Z131" s="121">
        <f t="shared" si="81"/>
        <v>0</v>
      </c>
      <c r="AA131" s="121">
        <f t="shared" si="81"/>
        <v>0</v>
      </c>
      <c r="AB131" s="121">
        <f t="shared" si="81"/>
        <v>0</v>
      </c>
      <c r="AC131" s="121">
        <f t="shared" si="81"/>
        <v>0</v>
      </c>
      <c r="AD131" s="121">
        <f t="shared" si="81"/>
        <v>0</v>
      </c>
      <c r="AE131" s="121">
        <f t="shared" si="81"/>
        <v>0</v>
      </c>
      <c r="AF131" s="121">
        <f t="shared" si="81"/>
        <v>0</v>
      </c>
      <c r="AG131" s="121">
        <f t="shared" si="81"/>
        <v>0</v>
      </c>
      <c r="AH131" s="121">
        <f t="shared" si="81"/>
        <v>0</v>
      </c>
      <c r="AI131" s="121">
        <f t="shared" si="81"/>
        <v>0</v>
      </c>
      <c r="AJ131" s="121">
        <f t="shared" si="81"/>
        <v>0</v>
      </c>
      <c r="AK131" s="121">
        <f t="shared" si="81"/>
        <v>0</v>
      </c>
      <c r="AL131" s="121">
        <f t="shared" si="81"/>
        <v>0</v>
      </c>
      <c r="AM131" s="121">
        <f t="shared" si="81"/>
        <v>0</v>
      </c>
      <c r="AN131" s="121">
        <f t="shared" si="81"/>
        <v>0</v>
      </c>
      <c r="AO131" s="121">
        <f t="shared" si="81"/>
        <v>0</v>
      </c>
      <c r="AP131" s="121">
        <f t="shared" si="81"/>
        <v>0</v>
      </c>
      <c r="AQ131" s="121">
        <f t="shared" si="81"/>
        <v>0</v>
      </c>
      <c r="AR131" s="122">
        <f t="shared" si="81"/>
        <v>0</v>
      </c>
    </row>
    <row r="132" spans="2:44" s="45" customFormat="1" x14ac:dyDescent="0.15">
      <c r="C132" s="110" t="s">
        <v>61</v>
      </c>
      <c r="D132" s="111"/>
      <c r="E132" s="114">
        <f t="shared" ref="E132:AR132" si="82">IF(Year="","",IF(OR(Tariff_Period=1,MOD(Year,Tariff_Period)=1),E131,D132+E131))</f>
        <v>57.514793320424324</v>
      </c>
      <c r="F132" s="50">
        <f t="shared" si="82"/>
        <v>115.40954838275013</v>
      </c>
      <c r="G132" s="50">
        <f t="shared" si="82"/>
        <v>174.62461151845989</v>
      </c>
      <c r="H132" s="50">
        <f t="shared" si="82"/>
        <v>237.00665422664048</v>
      </c>
      <c r="I132" s="50">
        <f t="shared" si="82"/>
        <v>305.20007953989193</v>
      </c>
      <c r="J132" s="50">
        <f t="shared" si="82"/>
        <v>75.547530343922872</v>
      </c>
      <c r="K132" s="50">
        <f t="shared" si="82"/>
        <v>156.934611517257</v>
      </c>
      <c r="L132" s="50">
        <f t="shared" si="82"/>
        <v>241.40956176670448</v>
      </c>
      <c r="M132" s="50">
        <f t="shared" si="82"/>
        <v>327.13752755825459</v>
      </c>
      <c r="N132" s="50">
        <f t="shared" si="82"/>
        <v>413.67255842775188</v>
      </c>
      <c r="O132" s="50">
        <f t="shared" si="82"/>
        <v>86.4841052439008</v>
      </c>
      <c r="P132" s="50">
        <f t="shared" si="82"/>
        <v>173.02516077639785</v>
      </c>
      <c r="Q132" s="50">
        <f t="shared" si="82"/>
        <v>259.72697514603487</v>
      </c>
      <c r="R132" s="50">
        <f t="shared" si="82"/>
        <v>346.68952526434487</v>
      </c>
      <c r="S132" s="50">
        <f t="shared" si="82"/>
        <v>434.00932603464236</v>
      </c>
      <c r="T132" s="50">
        <f t="shared" si="82"/>
        <v>87.770520958275526</v>
      </c>
      <c r="U132" s="50">
        <f t="shared" si="82"/>
        <v>176.08260467271737</v>
      </c>
      <c r="V132" s="50">
        <f t="shared" si="82"/>
        <v>265.02486505844928</v>
      </c>
      <c r="W132" s="50">
        <f t="shared" si="82"/>
        <v>354.68405651205057</v>
      </c>
      <c r="X132" s="50">
        <f t="shared" si="82"/>
        <v>445.1454114665205</v>
      </c>
      <c r="Y132" s="50" t="str">
        <f t="shared" si="82"/>
        <v/>
      </c>
      <c r="Z132" s="50" t="str">
        <f t="shared" si="82"/>
        <v/>
      </c>
      <c r="AA132" s="50" t="str">
        <f t="shared" si="82"/>
        <v/>
      </c>
      <c r="AB132" s="50" t="str">
        <f t="shared" si="82"/>
        <v/>
      </c>
      <c r="AC132" s="50" t="str">
        <f t="shared" si="82"/>
        <v/>
      </c>
      <c r="AD132" s="50" t="str">
        <f t="shared" si="82"/>
        <v/>
      </c>
      <c r="AE132" s="50" t="str">
        <f t="shared" si="82"/>
        <v/>
      </c>
      <c r="AF132" s="50" t="str">
        <f t="shared" si="82"/>
        <v/>
      </c>
      <c r="AG132" s="50" t="str">
        <f t="shared" si="82"/>
        <v/>
      </c>
      <c r="AH132" s="50" t="str">
        <f t="shared" si="82"/>
        <v/>
      </c>
      <c r="AI132" s="50" t="str">
        <f t="shared" si="82"/>
        <v/>
      </c>
      <c r="AJ132" s="50" t="str">
        <f t="shared" si="82"/>
        <v/>
      </c>
      <c r="AK132" s="50" t="str">
        <f t="shared" si="82"/>
        <v/>
      </c>
      <c r="AL132" s="50" t="str">
        <f t="shared" si="82"/>
        <v/>
      </c>
      <c r="AM132" s="50" t="str">
        <f t="shared" si="82"/>
        <v/>
      </c>
      <c r="AN132" s="50" t="str">
        <f t="shared" si="82"/>
        <v/>
      </c>
      <c r="AO132" s="50" t="str">
        <f t="shared" si="82"/>
        <v/>
      </c>
      <c r="AP132" s="50" t="str">
        <f t="shared" si="82"/>
        <v/>
      </c>
      <c r="AQ132" s="50" t="str">
        <f t="shared" si="82"/>
        <v/>
      </c>
      <c r="AR132" s="51" t="str">
        <f t="shared" si="82"/>
        <v/>
      </c>
    </row>
    <row r="133" spans="2:44" s="43" customFormat="1" x14ac:dyDescent="0.15"/>
    <row r="134" spans="2:44" s="43" customFormat="1" x14ac:dyDescent="0.15">
      <c r="B134" s="74" t="s">
        <v>60</v>
      </c>
      <c r="E134" s="69"/>
    </row>
    <row r="135" spans="2:44" s="45" customFormat="1" x14ac:dyDescent="0.15">
      <c r="C135" s="110" t="s">
        <v>38</v>
      </c>
      <c r="D135" s="46">
        <f t="shared" ref="D135:AR135" si="83">IF(Year&gt;Contract_Length,"",IF(Year&lt;INT(Contract_Length/Tariff_Period)*Tariff_Period,IF(MOD(Year,Tariff_Period)=0,INDEX(128:128,1,COLUMN()+Tariff_Period),),IF(Year=INT(Contract_Length/Tariff_Period)*Tariff_Period,INDEX(128:128,1,Contract_Length+4),)))</f>
        <v>1.6604725128080058</v>
      </c>
      <c r="E135" s="47">
        <f t="shared" si="83"/>
        <v>0</v>
      </c>
      <c r="F135" s="47">
        <f t="shared" si="83"/>
        <v>0</v>
      </c>
      <c r="G135" s="47">
        <f t="shared" si="83"/>
        <v>0</v>
      </c>
      <c r="H135" s="47">
        <f t="shared" si="83"/>
        <v>0</v>
      </c>
      <c r="I135" s="47">
        <f t="shared" si="83"/>
        <v>7.9775327019986984</v>
      </c>
      <c r="J135" s="47">
        <f t="shared" si="83"/>
        <v>0</v>
      </c>
      <c r="K135" s="47">
        <f t="shared" si="83"/>
        <v>0</v>
      </c>
      <c r="L135" s="47">
        <f t="shared" si="83"/>
        <v>0</v>
      </c>
      <c r="M135" s="47">
        <f t="shared" si="83"/>
        <v>0</v>
      </c>
      <c r="N135" s="47">
        <f t="shared" si="83"/>
        <v>4.9744334295753507</v>
      </c>
      <c r="O135" s="47">
        <f t="shared" si="83"/>
        <v>0</v>
      </c>
      <c r="P135" s="47">
        <f t="shared" si="83"/>
        <v>0</v>
      </c>
      <c r="Q135" s="47">
        <f t="shared" si="83"/>
        <v>0</v>
      </c>
      <c r="R135" s="47">
        <f t="shared" si="83"/>
        <v>0</v>
      </c>
      <c r="S135" s="47">
        <f t="shared" si="83"/>
        <v>2.5190335049378554</v>
      </c>
      <c r="T135" s="47">
        <f t="shared" si="83"/>
        <v>0</v>
      </c>
      <c r="U135" s="47">
        <f t="shared" si="83"/>
        <v>0</v>
      </c>
      <c r="V135" s="47">
        <f t="shared" si="83"/>
        <v>0</v>
      </c>
      <c r="W135" s="47">
        <f t="shared" si="83"/>
        <v>0</v>
      </c>
      <c r="X135" s="47">
        <f t="shared" si="83"/>
        <v>2.5190335049378554</v>
      </c>
      <c r="Y135" s="47" t="str">
        <f t="shared" si="83"/>
        <v/>
      </c>
      <c r="Z135" s="47" t="str">
        <f t="shared" si="83"/>
        <v/>
      </c>
      <c r="AA135" s="47" t="str">
        <f t="shared" si="83"/>
        <v/>
      </c>
      <c r="AB135" s="47" t="str">
        <f t="shared" si="83"/>
        <v/>
      </c>
      <c r="AC135" s="47" t="str">
        <f t="shared" si="83"/>
        <v/>
      </c>
      <c r="AD135" s="47" t="str">
        <f t="shared" si="83"/>
        <v/>
      </c>
      <c r="AE135" s="47" t="str">
        <f t="shared" si="83"/>
        <v/>
      </c>
      <c r="AF135" s="47" t="str">
        <f t="shared" si="83"/>
        <v/>
      </c>
      <c r="AG135" s="47" t="str">
        <f t="shared" si="83"/>
        <v/>
      </c>
      <c r="AH135" s="47" t="str">
        <f t="shared" si="83"/>
        <v/>
      </c>
      <c r="AI135" s="47" t="str">
        <f t="shared" si="83"/>
        <v/>
      </c>
      <c r="AJ135" s="47" t="str">
        <f t="shared" si="83"/>
        <v/>
      </c>
      <c r="AK135" s="47" t="str">
        <f t="shared" si="83"/>
        <v/>
      </c>
      <c r="AL135" s="47" t="str">
        <f t="shared" si="83"/>
        <v/>
      </c>
      <c r="AM135" s="47" t="str">
        <f t="shared" si="83"/>
        <v/>
      </c>
      <c r="AN135" s="47" t="str">
        <f t="shared" si="83"/>
        <v/>
      </c>
      <c r="AO135" s="47" t="str">
        <f t="shared" si="83"/>
        <v/>
      </c>
      <c r="AP135" s="47" t="str">
        <f t="shared" si="83"/>
        <v/>
      </c>
      <c r="AQ135" s="47" t="str">
        <f t="shared" si="83"/>
        <v/>
      </c>
      <c r="AR135" s="48" t="str">
        <f t="shared" si="83"/>
        <v/>
      </c>
    </row>
    <row r="136" spans="2:44" s="45" customFormat="1" x14ac:dyDescent="0.15">
      <c r="C136" s="110" t="s">
        <v>37</v>
      </c>
      <c r="D136" s="49">
        <f t="shared" ref="D136:AR136" si="84">IF(Year&gt;Contract_Length,"",IF(Year&lt;INT(Contract_Length/Tariff_Period)*Tariff_Period,IF(MOD(Year,Tariff_Period)=0,INDEX(132:132,1,COLUMN()+Tariff_Period),),IF(Year=INT(Contract_Length/Tariff_Period)*Tariff_Period,INDEX(132:132,1,Contract_Length+4),)))</f>
        <v>305.20007953989193</v>
      </c>
      <c r="E136" s="50">
        <f t="shared" si="84"/>
        <v>0</v>
      </c>
      <c r="F136" s="50">
        <f t="shared" si="84"/>
        <v>0</v>
      </c>
      <c r="G136" s="50">
        <f t="shared" si="84"/>
        <v>0</v>
      </c>
      <c r="H136" s="50">
        <f t="shared" si="84"/>
        <v>0</v>
      </c>
      <c r="I136" s="50">
        <f t="shared" si="84"/>
        <v>413.67255842775188</v>
      </c>
      <c r="J136" s="50">
        <f t="shared" si="84"/>
        <v>0</v>
      </c>
      <c r="K136" s="50">
        <f t="shared" si="84"/>
        <v>0</v>
      </c>
      <c r="L136" s="50">
        <f t="shared" si="84"/>
        <v>0</v>
      </c>
      <c r="M136" s="50">
        <f t="shared" si="84"/>
        <v>0</v>
      </c>
      <c r="N136" s="50">
        <f t="shared" si="84"/>
        <v>434.00932603464236</v>
      </c>
      <c r="O136" s="50">
        <f t="shared" si="84"/>
        <v>0</v>
      </c>
      <c r="P136" s="50">
        <f t="shared" si="84"/>
        <v>0</v>
      </c>
      <c r="Q136" s="50">
        <f t="shared" si="84"/>
        <v>0</v>
      </c>
      <c r="R136" s="50">
        <f t="shared" si="84"/>
        <v>0</v>
      </c>
      <c r="S136" s="50">
        <f t="shared" si="84"/>
        <v>445.1454114665205</v>
      </c>
      <c r="T136" s="50">
        <f t="shared" si="84"/>
        <v>0</v>
      </c>
      <c r="U136" s="50">
        <f t="shared" si="84"/>
        <v>0</v>
      </c>
      <c r="V136" s="50">
        <f t="shared" si="84"/>
        <v>0</v>
      </c>
      <c r="W136" s="50">
        <f t="shared" si="84"/>
        <v>0</v>
      </c>
      <c r="X136" s="50">
        <f t="shared" si="84"/>
        <v>445.1454114665205</v>
      </c>
      <c r="Y136" s="50" t="str">
        <f t="shared" si="84"/>
        <v/>
      </c>
      <c r="Z136" s="50" t="str">
        <f t="shared" si="84"/>
        <v/>
      </c>
      <c r="AA136" s="50" t="str">
        <f t="shared" si="84"/>
        <v/>
      </c>
      <c r="AB136" s="50" t="str">
        <f t="shared" si="84"/>
        <v/>
      </c>
      <c r="AC136" s="50" t="str">
        <f t="shared" si="84"/>
        <v/>
      </c>
      <c r="AD136" s="50" t="str">
        <f t="shared" si="84"/>
        <v/>
      </c>
      <c r="AE136" s="50" t="str">
        <f t="shared" si="84"/>
        <v/>
      </c>
      <c r="AF136" s="50" t="str">
        <f t="shared" si="84"/>
        <v/>
      </c>
      <c r="AG136" s="50" t="str">
        <f t="shared" si="84"/>
        <v/>
      </c>
      <c r="AH136" s="50" t="str">
        <f t="shared" si="84"/>
        <v/>
      </c>
      <c r="AI136" s="50" t="str">
        <f t="shared" si="84"/>
        <v/>
      </c>
      <c r="AJ136" s="50" t="str">
        <f t="shared" si="84"/>
        <v/>
      </c>
      <c r="AK136" s="50" t="str">
        <f t="shared" si="84"/>
        <v/>
      </c>
      <c r="AL136" s="50" t="str">
        <f t="shared" si="84"/>
        <v/>
      </c>
      <c r="AM136" s="50" t="str">
        <f t="shared" si="84"/>
        <v/>
      </c>
      <c r="AN136" s="50" t="str">
        <f t="shared" si="84"/>
        <v/>
      </c>
      <c r="AO136" s="50" t="str">
        <f t="shared" si="84"/>
        <v/>
      </c>
      <c r="AP136" s="50" t="str">
        <f t="shared" si="84"/>
        <v/>
      </c>
      <c r="AQ136" s="50" t="str">
        <f t="shared" si="84"/>
        <v/>
      </c>
      <c r="AR136" s="51" t="str">
        <f t="shared" si="84"/>
        <v/>
      </c>
    </row>
    <row r="137" spans="2:44" s="45" customFormat="1" x14ac:dyDescent="0.15">
      <c r="C137" s="127"/>
    </row>
    <row r="138" spans="2:44" s="45" customFormat="1" ht="15" x14ac:dyDescent="0.15">
      <c r="B138" s="128" t="s">
        <v>122</v>
      </c>
    </row>
    <row r="139" spans="2:44" s="45" customFormat="1" x14ac:dyDescent="0.15">
      <c r="B139" s="35" t="s">
        <v>62</v>
      </c>
    </row>
    <row r="140" spans="2:44" s="45" customFormat="1" x14ac:dyDescent="0.15">
      <c r="C140" s="110" t="s">
        <v>38</v>
      </c>
      <c r="E140" s="282">
        <f>IF(Year="","",IF(SUM(110:110)=0,,SUM(127:127)/SUM(110:110)))</f>
        <v>0.6131943551702338</v>
      </c>
      <c r="F140" s="130">
        <f t="shared" ref="F140:AR140" si="85">IF(Year="","",IF(SUM(110:110)=0,,SUM(127:127)/SUM(110:110)))</f>
        <v>0.6131943551702338</v>
      </c>
      <c r="G140" s="130">
        <f t="shared" si="85"/>
        <v>0.6131943551702338</v>
      </c>
      <c r="H140" s="130">
        <f t="shared" si="85"/>
        <v>0.6131943551702338</v>
      </c>
      <c r="I140" s="130">
        <f t="shared" si="85"/>
        <v>0.6131943551702338</v>
      </c>
      <c r="J140" s="130">
        <f t="shared" si="85"/>
        <v>0.6131943551702338</v>
      </c>
      <c r="K140" s="130">
        <f t="shared" si="85"/>
        <v>0.6131943551702338</v>
      </c>
      <c r="L140" s="130">
        <f t="shared" si="85"/>
        <v>0.6131943551702338</v>
      </c>
      <c r="M140" s="130">
        <f t="shared" si="85"/>
        <v>0.6131943551702338</v>
      </c>
      <c r="N140" s="130">
        <f t="shared" si="85"/>
        <v>0.6131943551702338</v>
      </c>
      <c r="O140" s="130">
        <f t="shared" si="85"/>
        <v>0.6131943551702338</v>
      </c>
      <c r="P140" s="130">
        <f t="shared" si="85"/>
        <v>0.6131943551702338</v>
      </c>
      <c r="Q140" s="130">
        <f t="shared" si="85"/>
        <v>0.6131943551702338</v>
      </c>
      <c r="R140" s="130">
        <f t="shared" si="85"/>
        <v>0.6131943551702338</v>
      </c>
      <c r="S140" s="130">
        <f t="shared" si="85"/>
        <v>0.6131943551702338</v>
      </c>
      <c r="T140" s="130">
        <f t="shared" si="85"/>
        <v>0.6131943551702338</v>
      </c>
      <c r="U140" s="130">
        <f t="shared" si="85"/>
        <v>0.6131943551702338</v>
      </c>
      <c r="V140" s="130">
        <f t="shared" si="85"/>
        <v>0.6131943551702338</v>
      </c>
      <c r="W140" s="130">
        <f t="shared" si="85"/>
        <v>0.6131943551702338</v>
      </c>
      <c r="X140" s="130">
        <f t="shared" si="85"/>
        <v>0.6131943551702338</v>
      </c>
      <c r="Y140" s="130" t="str">
        <f t="shared" si="85"/>
        <v/>
      </c>
      <c r="Z140" s="130" t="str">
        <f t="shared" si="85"/>
        <v/>
      </c>
      <c r="AA140" s="130" t="str">
        <f t="shared" si="85"/>
        <v/>
      </c>
      <c r="AB140" s="130" t="str">
        <f t="shared" si="85"/>
        <v/>
      </c>
      <c r="AC140" s="130" t="str">
        <f t="shared" si="85"/>
        <v/>
      </c>
      <c r="AD140" s="130" t="str">
        <f t="shared" si="85"/>
        <v/>
      </c>
      <c r="AE140" s="130" t="str">
        <f t="shared" si="85"/>
        <v/>
      </c>
      <c r="AF140" s="130" t="str">
        <f t="shared" si="85"/>
        <v/>
      </c>
      <c r="AG140" s="130" t="str">
        <f t="shared" si="85"/>
        <v/>
      </c>
      <c r="AH140" s="130" t="str">
        <f t="shared" si="85"/>
        <v/>
      </c>
      <c r="AI140" s="130" t="str">
        <f t="shared" si="85"/>
        <v/>
      </c>
      <c r="AJ140" s="130" t="str">
        <f t="shared" si="85"/>
        <v/>
      </c>
      <c r="AK140" s="130" t="str">
        <f t="shared" si="85"/>
        <v/>
      </c>
      <c r="AL140" s="130" t="str">
        <f t="shared" si="85"/>
        <v/>
      </c>
      <c r="AM140" s="130" t="str">
        <f t="shared" si="85"/>
        <v/>
      </c>
      <c r="AN140" s="130" t="str">
        <f t="shared" si="85"/>
        <v/>
      </c>
      <c r="AO140" s="130" t="str">
        <f t="shared" si="85"/>
        <v/>
      </c>
      <c r="AP140" s="130" t="str">
        <f t="shared" si="85"/>
        <v/>
      </c>
      <c r="AQ140" s="130" t="str">
        <f t="shared" si="85"/>
        <v/>
      </c>
      <c r="AR140" s="131" t="str">
        <f t="shared" si="85"/>
        <v/>
      </c>
    </row>
    <row r="141" spans="2:44" s="45" customFormat="1" x14ac:dyDescent="0.15">
      <c r="C141" s="110" t="s">
        <v>37</v>
      </c>
      <c r="E141" s="283">
        <f>IF(Year="","",IF(SUM(110:110)=0,,SUM(131:131)/SUM(110:110)))</f>
        <v>57.198900217333403</v>
      </c>
      <c r="F141" s="124">
        <f t="shared" ref="F141:AR141" si="86">IF(Year="","",IF(SUM(110:110)=0,,SUM(131:131)/SUM(110:110)))</f>
        <v>57.198900217333403</v>
      </c>
      <c r="G141" s="124">
        <f t="shared" si="86"/>
        <v>57.198900217333403</v>
      </c>
      <c r="H141" s="124">
        <f t="shared" si="86"/>
        <v>57.198900217333403</v>
      </c>
      <c r="I141" s="124">
        <f t="shared" si="86"/>
        <v>57.198900217333403</v>
      </c>
      <c r="J141" s="124">
        <f t="shared" si="86"/>
        <v>57.198900217333403</v>
      </c>
      <c r="K141" s="124">
        <f t="shared" si="86"/>
        <v>57.198900217333403</v>
      </c>
      <c r="L141" s="124">
        <f t="shared" si="86"/>
        <v>57.198900217333403</v>
      </c>
      <c r="M141" s="124">
        <f t="shared" si="86"/>
        <v>57.198900217333403</v>
      </c>
      <c r="N141" s="124">
        <f t="shared" si="86"/>
        <v>57.198900217333403</v>
      </c>
      <c r="O141" s="124">
        <f t="shared" si="86"/>
        <v>57.198900217333403</v>
      </c>
      <c r="P141" s="124">
        <f t="shared" si="86"/>
        <v>57.198900217333403</v>
      </c>
      <c r="Q141" s="124">
        <f t="shared" si="86"/>
        <v>57.198900217333403</v>
      </c>
      <c r="R141" s="124">
        <f t="shared" si="86"/>
        <v>57.198900217333403</v>
      </c>
      <c r="S141" s="124">
        <f t="shared" si="86"/>
        <v>57.198900217333403</v>
      </c>
      <c r="T141" s="124">
        <f t="shared" si="86"/>
        <v>57.198900217333403</v>
      </c>
      <c r="U141" s="124">
        <f t="shared" si="86"/>
        <v>57.198900217333403</v>
      </c>
      <c r="V141" s="124">
        <f t="shared" si="86"/>
        <v>57.198900217333403</v>
      </c>
      <c r="W141" s="124">
        <f t="shared" si="86"/>
        <v>57.198900217333403</v>
      </c>
      <c r="X141" s="124">
        <f t="shared" si="86"/>
        <v>57.198900217333403</v>
      </c>
      <c r="Y141" s="124" t="str">
        <f t="shared" si="86"/>
        <v/>
      </c>
      <c r="Z141" s="124" t="str">
        <f t="shared" si="86"/>
        <v/>
      </c>
      <c r="AA141" s="124" t="str">
        <f t="shared" si="86"/>
        <v/>
      </c>
      <c r="AB141" s="124" t="str">
        <f t="shared" si="86"/>
        <v/>
      </c>
      <c r="AC141" s="124" t="str">
        <f t="shared" si="86"/>
        <v/>
      </c>
      <c r="AD141" s="124" t="str">
        <f t="shared" si="86"/>
        <v/>
      </c>
      <c r="AE141" s="124" t="str">
        <f t="shared" si="86"/>
        <v/>
      </c>
      <c r="AF141" s="124" t="str">
        <f t="shared" si="86"/>
        <v/>
      </c>
      <c r="AG141" s="124" t="str">
        <f t="shared" si="86"/>
        <v/>
      </c>
      <c r="AH141" s="124" t="str">
        <f t="shared" si="86"/>
        <v/>
      </c>
      <c r="AI141" s="124" t="str">
        <f t="shared" si="86"/>
        <v/>
      </c>
      <c r="AJ141" s="124" t="str">
        <f t="shared" si="86"/>
        <v/>
      </c>
      <c r="AK141" s="124" t="str">
        <f t="shared" si="86"/>
        <v/>
      </c>
      <c r="AL141" s="124" t="str">
        <f t="shared" si="86"/>
        <v/>
      </c>
      <c r="AM141" s="124" t="str">
        <f t="shared" si="86"/>
        <v/>
      </c>
      <c r="AN141" s="124" t="str">
        <f t="shared" si="86"/>
        <v/>
      </c>
      <c r="AO141" s="124" t="str">
        <f t="shared" si="86"/>
        <v/>
      </c>
      <c r="AP141" s="124" t="str">
        <f t="shared" si="86"/>
        <v/>
      </c>
      <c r="AQ141" s="124" t="str">
        <f t="shared" si="86"/>
        <v/>
      </c>
      <c r="AR141" s="125" t="str">
        <f t="shared" si="86"/>
        <v/>
      </c>
    </row>
    <row r="142" spans="2:44" s="43" customFormat="1" x14ac:dyDescent="0.15">
      <c r="B142" s="43" t="str">
        <f>CONCATENATE(Tariff_Period," year reset period")</f>
        <v>5 year reset period</v>
      </c>
      <c r="Y142" s="69"/>
      <c r="Z142" s="69"/>
      <c r="AA142" s="69"/>
      <c r="AB142" s="69"/>
      <c r="AC142" s="69"/>
      <c r="AD142" s="69"/>
      <c r="AE142" s="69"/>
      <c r="AF142" s="69"/>
      <c r="AG142" s="69"/>
      <c r="AH142" s="69"/>
      <c r="AI142" s="69"/>
      <c r="AJ142" s="69"/>
      <c r="AK142" s="69"/>
      <c r="AL142" s="69"/>
      <c r="AM142" s="69"/>
      <c r="AN142" s="69"/>
      <c r="AO142" s="69"/>
      <c r="AP142" s="69"/>
      <c r="AQ142" s="69"/>
      <c r="AR142" s="69"/>
    </row>
    <row r="143" spans="2:44" s="45" customFormat="1" x14ac:dyDescent="0.15">
      <c r="C143" s="110" t="s">
        <v>38</v>
      </c>
      <c r="E143" s="282">
        <f t="shared" ref="E143:AR143" si="87">IF(Year&gt;Contract_Length,"",IF(OR(Tariff_Period=1,MOD(Year,Tariff_Period)=1),IF(D112=0,,D135/D112),D143))</f>
        <v>0.24962300740396812</v>
      </c>
      <c r="F143" s="284">
        <f t="shared" si="87"/>
        <v>0.24962300740396812</v>
      </c>
      <c r="G143" s="284">
        <f t="shared" si="87"/>
        <v>0.24962300740396812</v>
      </c>
      <c r="H143" s="130">
        <f t="shared" si="87"/>
        <v>0.24962300740396812</v>
      </c>
      <c r="I143" s="130">
        <f t="shared" si="87"/>
        <v>0.24962300740396812</v>
      </c>
      <c r="J143" s="130">
        <f t="shared" si="87"/>
        <v>0.93370705024181044</v>
      </c>
      <c r="K143" s="130">
        <f t="shared" si="87"/>
        <v>0.93370705024181044</v>
      </c>
      <c r="L143" s="130">
        <f t="shared" si="87"/>
        <v>0.93370705024181044</v>
      </c>
      <c r="M143" s="130">
        <f t="shared" si="87"/>
        <v>0.93370705024181044</v>
      </c>
      <c r="N143" s="130">
        <f t="shared" si="87"/>
        <v>0.93370705024181044</v>
      </c>
      <c r="O143" s="130">
        <f t="shared" si="87"/>
        <v>0.6944256526548428</v>
      </c>
      <c r="P143" s="130">
        <f t="shared" si="87"/>
        <v>0.6944256526548428</v>
      </c>
      <c r="Q143" s="130">
        <f t="shared" si="87"/>
        <v>0.6944256526548428</v>
      </c>
      <c r="R143" s="130">
        <f t="shared" si="87"/>
        <v>0.6944256526548428</v>
      </c>
      <c r="S143" s="130">
        <f t="shared" si="87"/>
        <v>0.6944256526548428</v>
      </c>
      <c r="T143" s="130">
        <f t="shared" si="87"/>
        <v>0.45153320883923798</v>
      </c>
      <c r="U143" s="130">
        <f t="shared" si="87"/>
        <v>0.45153320883923798</v>
      </c>
      <c r="V143" s="130">
        <f t="shared" si="87"/>
        <v>0.45153320883923798</v>
      </c>
      <c r="W143" s="130">
        <f t="shared" si="87"/>
        <v>0.45153320883923798</v>
      </c>
      <c r="X143" s="130">
        <f t="shared" si="87"/>
        <v>0.45153320883923798</v>
      </c>
      <c r="Y143" s="130" t="str">
        <f t="shared" si="87"/>
        <v/>
      </c>
      <c r="Z143" s="130" t="str">
        <f t="shared" si="87"/>
        <v/>
      </c>
      <c r="AA143" s="130" t="str">
        <f t="shared" si="87"/>
        <v/>
      </c>
      <c r="AB143" s="130" t="str">
        <f t="shared" si="87"/>
        <v/>
      </c>
      <c r="AC143" s="130" t="str">
        <f t="shared" si="87"/>
        <v/>
      </c>
      <c r="AD143" s="130" t="str">
        <f t="shared" si="87"/>
        <v/>
      </c>
      <c r="AE143" s="130" t="str">
        <f t="shared" si="87"/>
        <v/>
      </c>
      <c r="AF143" s="130" t="str">
        <f t="shared" si="87"/>
        <v/>
      </c>
      <c r="AG143" s="130" t="str">
        <f t="shared" si="87"/>
        <v/>
      </c>
      <c r="AH143" s="130" t="str">
        <f t="shared" si="87"/>
        <v/>
      </c>
      <c r="AI143" s="130" t="str">
        <f t="shared" si="87"/>
        <v/>
      </c>
      <c r="AJ143" s="130" t="str">
        <f t="shared" si="87"/>
        <v/>
      </c>
      <c r="AK143" s="130" t="str">
        <f t="shared" si="87"/>
        <v/>
      </c>
      <c r="AL143" s="130" t="str">
        <f t="shared" si="87"/>
        <v/>
      </c>
      <c r="AM143" s="130" t="str">
        <f t="shared" si="87"/>
        <v/>
      </c>
      <c r="AN143" s="130" t="str">
        <f t="shared" si="87"/>
        <v/>
      </c>
      <c r="AO143" s="130" t="str">
        <f t="shared" si="87"/>
        <v/>
      </c>
      <c r="AP143" s="130" t="str">
        <f t="shared" si="87"/>
        <v/>
      </c>
      <c r="AQ143" s="130" t="str">
        <f t="shared" si="87"/>
        <v/>
      </c>
      <c r="AR143" s="131" t="str">
        <f t="shared" si="87"/>
        <v/>
      </c>
    </row>
    <row r="144" spans="2:44" s="45" customFormat="1" x14ac:dyDescent="0.15">
      <c r="C144" s="110" t="s">
        <v>37</v>
      </c>
      <c r="E144" s="283">
        <f t="shared" ref="E144:AR144" si="88">IF(Year&gt;Contract_Length,"",IF(OR(Tariff_Period=1,MOD(Year,Tariff_Period)=1),IF(D112=0,,D136/D112),D144))</f>
        <v>45.881495253325575</v>
      </c>
      <c r="F144" s="285">
        <f t="shared" si="88"/>
        <v>45.881495253325575</v>
      </c>
      <c r="G144" s="285">
        <f t="shared" si="88"/>
        <v>45.881495253325575</v>
      </c>
      <c r="H144" s="124">
        <f t="shared" si="88"/>
        <v>45.881495253325575</v>
      </c>
      <c r="I144" s="124">
        <f t="shared" si="88"/>
        <v>45.881495253325575</v>
      </c>
      <c r="J144" s="124">
        <f t="shared" si="88"/>
        <v>48.417098208671462</v>
      </c>
      <c r="K144" s="124">
        <f t="shared" si="88"/>
        <v>48.417098208671462</v>
      </c>
      <c r="L144" s="124">
        <f t="shared" si="88"/>
        <v>48.417098208671462</v>
      </c>
      <c r="M144" s="124">
        <f t="shared" si="88"/>
        <v>48.417098208671462</v>
      </c>
      <c r="N144" s="124">
        <f t="shared" si="88"/>
        <v>48.417098208671462</v>
      </c>
      <c r="O144" s="124">
        <f t="shared" si="88"/>
        <v>60.587243503552784</v>
      </c>
      <c r="P144" s="124">
        <f t="shared" si="88"/>
        <v>60.587243503552784</v>
      </c>
      <c r="Q144" s="124">
        <f t="shared" si="88"/>
        <v>60.587243503552784</v>
      </c>
      <c r="R144" s="124">
        <f t="shared" si="88"/>
        <v>60.587243503552784</v>
      </c>
      <c r="S144" s="124">
        <f t="shared" si="88"/>
        <v>60.587243503552784</v>
      </c>
      <c r="T144" s="124">
        <f t="shared" si="88"/>
        <v>79.791688219128929</v>
      </c>
      <c r="U144" s="124">
        <f t="shared" si="88"/>
        <v>79.791688219128929</v>
      </c>
      <c r="V144" s="124">
        <f t="shared" si="88"/>
        <v>79.791688219128929</v>
      </c>
      <c r="W144" s="124">
        <f t="shared" si="88"/>
        <v>79.791688219128929</v>
      </c>
      <c r="X144" s="124">
        <f t="shared" si="88"/>
        <v>79.791688219128929</v>
      </c>
      <c r="Y144" s="124" t="str">
        <f t="shared" si="88"/>
        <v/>
      </c>
      <c r="Z144" s="124" t="str">
        <f t="shared" si="88"/>
        <v/>
      </c>
      <c r="AA144" s="124" t="str">
        <f t="shared" si="88"/>
        <v/>
      </c>
      <c r="AB144" s="124" t="str">
        <f t="shared" si="88"/>
        <v/>
      </c>
      <c r="AC144" s="124" t="str">
        <f t="shared" si="88"/>
        <v/>
      </c>
      <c r="AD144" s="124" t="str">
        <f t="shared" si="88"/>
        <v/>
      </c>
      <c r="AE144" s="124" t="str">
        <f t="shared" si="88"/>
        <v/>
      </c>
      <c r="AF144" s="124" t="str">
        <f t="shared" si="88"/>
        <v/>
      </c>
      <c r="AG144" s="124" t="str">
        <f t="shared" si="88"/>
        <v/>
      </c>
      <c r="AH144" s="124" t="str">
        <f t="shared" si="88"/>
        <v/>
      </c>
      <c r="AI144" s="124" t="str">
        <f t="shared" si="88"/>
        <v/>
      </c>
      <c r="AJ144" s="124" t="str">
        <f t="shared" si="88"/>
        <v/>
      </c>
      <c r="AK144" s="124" t="str">
        <f t="shared" si="88"/>
        <v/>
      </c>
      <c r="AL144" s="124" t="str">
        <f t="shared" si="88"/>
        <v/>
      </c>
      <c r="AM144" s="124" t="str">
        <f t="shared" si="88"/>
        <v/>
      </c>
      <c r="AN144" s="124" t="str">
        <f t="shared" si="88"/>
        <v/>
      </c>
      <c r="AO144" s="124" t="str">
        <f t="shared" si="88"/>
        <v/>
      </c>
      <c r="AP144" s="124" t="str">
        <f t="shared" si="88"/>
        <v/>
      </c>
      <c r="AQ144" s="124" t="str">
        <f t="shared" si="88"/>
        <v/>
      </c>
      <c r="AR144" s="125" t="str">
        <f t="shared" si="88"/>
        <v/>
      </c>
    </row>
    <row r="145" spans="1:44" s="43" customFormat="1" x14ac:dyDescent="0.15">
      <c r="E145" s="132"/>
      <c r="F145" s="132"/>
      <c r="G145" s="132"/>
      <c r="H145" s="132"/>
      <c r="I145" s="132"/>
      <c r="J145" s="132"/>
      <c r="K145" s="132"/>
      <c r="L145" s="132"/>
      <c r="M145" s="132"/>
      <c r="N145" s="132"/>
      <c r="O145" s="132"/>
      <c r="P145" s="132"/>
      <c r="Q145" s="132"/>
      <c r="R145" s="132"/>
      <c r="S145" s="132"/>
      <c r="T145" s="132"/>
      <c r="U145" s="132"/>
      <c r="V145" s="132"/>
      <c r="W145" s="132"/>
      <c r="X145" s="132"/>
      <c r="Y145" s="132"/>
      <c r="Z145" s="132"/>
      <c r="AA145" s="132"/>
      <c r="AB145" s="132"/>
      <c r="AC145" s="132"/>
      <c r="AD145" s="132"/>
      <c r="AE145" s="132"/>
      <c r="AF145" s="132"/>
      <c r="AG145" s="132"/>
      <c r="AH145" s="132"/>
      <c r="AI145" s="132"/>
      <c r="AJ145" s="132"/>
      <c r="AK145" s="132"/>
      <c r="AL145" s="132"/>
      <c r="AM145" s="132"/>
      <c r="AN145" s="132"/>
      <c r="AO145" s="132"/>
      <c r="AP145" s="132"/>
      <c r="AQ145" s="132"/>
      <c r="AR145" s="132"/>
    </row>
    <row r="146" spans="1:44" s="43" customFormat="1" x14ac:dyDescent="0.15">
      <c r="A146" s="28" t="s">
        <v>150</v>
      </c>
      <c r="C146" s="28"/>
      <c r="F146" s="132"/>
      <c r="G146" s="132"/>
    </row>
    <row r="147" spans="1:44" s="26" customFormat="1" ht="18" x14ac:dyDescent="0.2">
      <c r="A147" s="24" t="s">
        <v>63</v>
      </c>
      <c r="B147" s="25"/>
      <c r="C147" s="25"/>
    </row>
    <row r="148" spans="1:44" s="45" customFormat="1" x14ac:dyDescent="0.15">
      <c r="B148" s="266" t="s">
        <v>64</v>
      </c>
      <c r="C148" s="266"/>
      <c r="D148" s="133">
        <f t="shared" ref="D148:AR148" si="89">IF(DeflateFactor_Det=0,,1/DeflateFactor_Det)</f>
        <v>1</v>
      </c>
      <c r="E148" s="134">
        <f t="shared" si="89"/>
        <v>1.0598121888933634</v>
      </c>
      <c r="F148" s="134">
        <f t="shared" si="89"/>
        <v>1.1307809353159843</v>
      </c>
      <c r="G148" s="134">
        <f t="shared" si="89"/>
        <v>1.2126857114190128</v>
      </c>
      <c r="H148" s="134">
        <f t="shared" si="89"/>
        <v>1.3052282647363784</v>
      </c>
      <c r="I148" s="134">
        <f t="shared" si="89"/>
        <v>1.4082282467164859</v>
      </c>
      <c r="J148" s="134">
        <f t="shared" si="89"/>
        <v>1.5217162481266073</v>
      </c>
      <c r="K148" s="134">
        <f t="shared" si="89"/>
        <v>1.6459498646637647</v>
      </c>
      <c r="L148" s="134">
        <f t="shared" si="89"/>
        <v>1.7813930124895314</v>
      </c>
      <c r="M148" s="134">
        <f t="shared" si="89"/>
        <v>1.9286861980332863</v>
      </c>
      <c r="N148" s="134">
        <f t="shared" si="89"/>
        <v>2.0886205846151089</v>
      </c>
      <c r="O148" s="134">
        <f t="shared" si="89"/>
        <v>2.2621196420828498</v>
      </c>
      <c r="P148" s="134">
        <f t="shared" si="89"/>
        <v>2.4502281985810774</v>
      </c>
      <c r="Q148" s="134">
        <f t="shared" si="89"/>
        <v>2.6541075006475912</v>
      </c>
      <c r="R148" s="134">
        <f t="shared" si="89"/>
        <v>2.8750348206735414</v>
      </c>
      <c r="S148" s="134">
        <f t="shared" si="89"/>
        <v>3.1144064407922962</v>
      </c>
      <c r="T148" s="134">
        <f t="shared" si="89"/>
        <v>3.3737431751932769</v>
      </c>
      <c r="U148" s="134">
        <f t="shared" si="89"/>
        <v>3.6546978699952386</v>
      </c>
      <c r="V148" s="134">
        <f t="shared" si="89"/>
        <v>3.9590645256653172</v>
      </c>
      <c r="W148" s="134">
        <f t="shared" si="89"/>
        <v>4.288788832328434</v>
      </c>
      <c r="X148" s="134">
        <f t="shared" si="89"/>
        <v>4.6459800087958127</v>
      </c>
      <c r="Y148" s="134">
        <f t="shared" si="89"/>
        <v>5.0329239053788237</v>
      </c>
      <c r="Z148" s="134">
        <f t="shared" si="89"/>
        <v>5.4520973787942326</v>
      </c>
      <c r="AA148" s="134">
        <f t="shared" si="89"/>
        <v>5.9061839819305755</v>
      </c>
      <c r="AB148" s="134">
        <f t="shared" si="89"/>
        <v>6.398091036858057</v>
      </c>
      <c r="AC148" s="134">
        <f t="shared" si="89"/>
        <v>6.9309681795309999</v>
      </c>
      <c r="AD148" s="134">
        <f t="shared" si="89"/>
        <v>7.5082274813545533</v>
      </c>
      <c r="AE148" s="134">
        <f t="shared" si="89"/>
        <v>8.1335652676339567</v>
      </c>
      <c r="AF148" s="134">
        <f t="shared" si="89"/>
        <v>8.8109857668794067</v>
      </c>
      <c r="AG148" s="134">
        <f t="shared" si="89"/>
        <v>9.5448267386717855</v>
      </c>
      <c r="AH148" s="134">
        <f t="shared" si="89"/>
        <v>10.339787241769802</v>
      </c>
      <c r="AI148" s="134">
        <f t="shared" si="89"/>
        <v>11.200957718692814</v>
      </c>
      <c r="AJ148" s="134">
        <f t="shared" si="89"/>
        <v>12.133852588398719</v>
      </c>
      <c r="AK148" s="134">
        <f t="shared" si="89"/>
        <v>13.144445555095258</v>
      </c>
      <c r="AL148" s="134">
        <f t="shared" si="89"/>
        <v>14.239207858848848</v>
      </c>
      <c r="AM148" s="134">
        <f t="shared" si="89"/>
        <v>15.425149712643989</v>
      </c>
      <c r="AN148" s="134">
        <f t="shared" si="89"/>
        <v>16.709865191049055</v>
      </c>
      <c r="AO148" s="134">
        <f t="shared" si="89"/>
        <v>18.101580857810276</v>
      </c>
      <c r="AP148" s="134">
        <f t="shared" si="89"/>
        <v>19.609208443679304</v>
      </c>
      <c r="AQ148" s="134">
        <f t="shared" si="89"/>
        <v>21.242401911742053</v>
      </c>
      <c r="AR148" s="135">
        <f t="shared" si="89"/>
        <v>23.011619275629137</v>
      </c>
    </row>
    <row r="149" spans="1:44" s="45" customFormat="1" x14ac:dyDescent="0.15">
      <c r="B149" s="75" t="s">
        <v>62</v>
      </c>
      <c r="E149" s="107"/>
    </row>
    <row r="150" spans="1:44" s="45" customFormat="1" x14ac:dyDescent="0.15">
      <c r="C150" s="35" t="s">
        <v>38</v>
      </c>
      <c r="E150" s="46">
        <f t="shared" ref="E150:AR150" si="90">IF(Year="",,E140*TariffIndex_Det)</f>
        <v>0.64987085177002002</v>
      </c>
      <c r="F150" s="47">
        <f t="shared" si="90"/>
        <v>0.69338848646987883</v>
      </c>
      <c r="G150" s="47">
        <f t="shared" si="90"/>
        <v>0.7436120328377378</v>
      </c>
      <c r="H150" s="47">
        <f t="shared" si="90"/>
        <v>0.80035860414498683</v>
      </c>
      <c r="I150" s="47">
        <f t="shared" si="90"/>
        <v>0.86351761167782448</v>
      </c>
      <c r="J150" s="47">
        <f t="shared" si="90"/>
        <v>0.93310781352206251</v>
      </c>
      <c r="K150" s="47">
        <f t="shared" si="90"/>
        <v>1.0092871659050309</v>
      </c>
      <c r="L150" s="47">
        <f t="shared" si="90"/>
        <v>1.0923401395982784</v>
      </c>
      <c r="M150" s="47">
        <f t="shared" si="90"/>
        <v>1.1826594895287508</v>
      </c>
      <c r="N150" s="47">
        <f t="shared" si="90"/>
        <v>1.2807303525783384</v>
      </c>
      <c r="O150" s="47">
        <f t="shared" si="90"/>
        <v>1.3871189952449132</v>
      </c>
      <c r="P150" s="47">
        <f t="shared" si="90"/>
        <v>1.5024661002488473</v>
      </c>
      <c r="Q150" s="47">
        <f t="shared" si="90"/>
        <v>1.6274837374120805</v>
      </c>
      <c r="R150" s="47">
        <f t="shared" si="90"/>
        <v>1.762955122954881</v>
      </c>
      <c r="S150" s="47">
        <f t="shared" si="90"/>
        <v>1.9097364491996549</v>
      </c>
      <c r="T150" s="47">
        <f t="shared" si="90"/>
        <v>2.0687602708226187</v>
      </c>
      <c r="U150" s="47">
        <f t="shared" si="90"/>
        <v>2.2410401037337571</v>
      </c>
      <c r="V150" s="47">
        <f t="shared" si="90"/>
        <v>2.4276760188926918</v>
      </c>
      <c r="W150" s="47">
        <f t="shared" si="90"/>
        <v>2.629861102500934</v>
      </c>
      <c r="X150" s="47">
        <f t="shared" si="90"/>
        <v>2.8488887156273455</v>
      </c>
      <c r="Y150" s="47">
        <f t="shared" si="90"/>
        <v>0</v>
      </c>
      <c r="Z150" s="47">
        <f t="shared" si="90"/>
        <v>0</v>
      </c>
      <c r="AA150" s="47">
        <f t="shared" si="90"/>
        <v>0</v>
      </c>
      <c r="AB150" s="47">
        <f t="shared" si="90"/>
        <v>0</v>
      </c>
      <c r="AC150" s="47">
        <f t="shared" si="90"/>
        <v>0</v>
      </c>
      <c r="AD150" s="47">
        <f t="shared" si="90"/>
        <v>0</v>
      </c>
      <c r="AE150" s="47">
        <f t="shared" si="90"/>
        <v>0</v>
      </c>
      <c r="AF150" s="47">
        <f t="shared" si="90"/>
        <v>0</v>
      </c>
      <c r="AG150" s="47">
        <f t="shared" si="90"/>
        <v>0</v>
      </c>
      <c r="AH150" s="47">
        <f t="shared" si="90"/>
        <v>0</v>
      </c>
      <c r="AI150" s="47">
        <f t="shared" si="90"/>
        <v>0</v>
      </c>
      <c r="AJ150" s="47">
        <f t="shared" si="90"/>
        <v>0</v>
      </c>
      <c r="AK150" s="47">
        <f t="shared" si="90"/>
        <v>0</v>
      </c>
      <c r="AL150" s="47">
        <f t="shared" si="90"/>
        <v>0</v>
      </c>
      <c r="AM150" s="47">
        <f t="shared" si="90"/>
        <v>0</v>
      </c>
      <c r="AN150" s="47">
        <f t="shared" si="90"/>
        <v>0</v>
      </c>
      <c r="AO150" s="47">
        <f t="shared" si="90"/>
        <v>0</v>
      </c>
      <c r="AP150" s="47">
        <f t="shared" si="90"/>
        <v>0</v>
      </c>
      <c r="AQ150" s="47">
        <f t="shared" si="90"/>
        <v>0</v>
      </c>
      <c r="AR150" s="48">
        <f t="shared" si="90"/>
        <v>0</v>
      </c>
    </row>
    <row r="151" spans="1:44" s="45" customFormat="1" x14ac:dyDescent="0.15">
      <c r="C151" s="35" t="s">
        <v>37</v>
      </c>
      <c r="E151" s="49">
        <f t="shared" ref="E151:AR151" si="91">IF(Year="",,E141*TariffIndex_Det)</f>
        <v>60.620091641625194</v>
      </c>
      <c r="F151" s="50">
        <f t="shared" si="91"/>
        <v>64.679425886801923</v>
      </c>
      <c r="G151" s="50">
        <f t="shared" si="91"/>
        <v>69.364289002442078</v>
      </c>
      <c r="H151" s="50">
        <f t="shared" si="91"/>
        <v>74.657621275499338</v>
      </c>
      <c r="I151" s="50">
        <f t="shared" si="91"/>
        <v>80.549106967166651</v>
      </c>
      <c r="J151" s="50">
        <f t="shared" si="91"/>
        <v>87.040495835688773</v>
      </c>
      <c r="K151" s="50">
        <f t="shared" si="91"/>
        <v>94.146522071636099</v>
      </c>
      <c r="L151" s="50">
        <f t="shared" si="91"/>
        <v>101.89372116924366</v>
      </c>
      <c r="M151" s="50">
        <f t="shared" si="91"/>
        <v>110.31872939185408</v>
      </c>
      <c r="N151" s="50">
        <f t="shared" si="91"/>
        <v>119.46680041126817</v>
      </c>
      <c r="O151" s="50">
        <f t="shared" si="91"/>
        <v>129.39075568716689</v>
      </c>
      <c r="P151" s="50">
        <f t="shared" si="91"/>
        <v>140.15035824033563</v>
      </c>
      <c r="Q151" s="50">
        <f t="shared" si="91"/>
        <v>151.81203009561773</v>
      </c>
      <c r="R151" s="50">
        <f t="shared" si="91"/>
        <v>164.44882982906492</v>
      </c>
      <c r="S151" s="50">
        <f t="shared" si="91"/>
        <v>178.14062324309901</v>
      </c>
      <c r="T151" s="50">
        <f t="shared" si="91"/>
        <v>192.97439923678982</v>
      </c>
      <c r="U151" s="50">
        <f t="shared" si="91"/>
        <v>209.04469879035858</v>
      </c>
      <c r="V151" s="50">
        <f t="shared" si="91"/>
        <v>226.45413675751487</v>
      </c>
      <c r="W151" s="50">
        <f t="shared" si="91"/>
        <v>245.31400447356793</v>
      </c>
      <c r="X151" s="50">
        <f t="shared" si="91"/>
        <v>265.74494693483746</v>
      </c>
      <c r="Y151" s="50">
        <f t="shared" si="91"/>
        <v>0</v>
      </c>
      <c r="Z151" s="50">
        <f t="shared" si="91"/>
        <v>0</v>
      </c>
      <c r="AA151" s="50">
        <f t="shared" si="91"/>
        <v>0</v>
      </c>
      <c r="AB151" s="50">
        <f t="shared" si="91"/>
        <v>0</v>
      </c>
      <c r="AC151" s="50">
        <f t="shared" si="91"/>
        <v>0</v>
      </c>
      <c r="AD151" s="50">
        <f t="shared" si="91"/>
        <v>0</v>
      </c>
      <c r="AE151" s="50">
        <f t="shared" si="91"/>
        <v>0</v>
      </c>
      <c r="AF151" s="50">
        <f t="shared" si="91"/>
        <v>0</v>
      </c>
      <c r="AG151" s="50">
        <f t="shared" si="91"/>
        <v>0</v>
      </c>
      <c r="AH151" s="50">
        <f t="shared" si="91"/>
        <v>0</v>
      </c>
      <c r="AI151" s="50">
        <f t="shared" si="91"/>
        <v>0</v>
      </c>
      <c r="AJ151" s="50">
        <f t="shared" si="91"/>
        <v>0</v>
      </c>
      <c r="AK151" s="50">
        <f t="shared" si="91"/>
        <v>0</v>
      </c>
      <c r="AL151" s="50">
        <f t="shared" si="91"/>
        <v>0</v>
      </c>
      <c r="AM151" s="50">
        <f t="shared" si="91"/>
        <v>0</v>
      </c>
      <c r="AN151" s="50">
        <f t="shared" si="91"/>
        <v>0</v>
      </c>
      <c r="AO151" s="50">
        <f t="shared" si="91"/>
        <v>0</v>
      </c>
      <c r="AP151" s="50">
        <f t="shared" si="91"/>
        <v>0</v>
      </c>
      <c r="AQ151" s="50">
        <f t="shared" si="91"/>
        <v>0</v>
      </c>
      <c r="AR151" s="51">
        <f t="shared" si="91"/>
        <v>0</v>
      </c>
    </row>
    <row r="152" spans="1:44" s="45" customFormat="1" x14ac:dyDescent="0.15">
      <c r="B152" s="68" t="str">
        <f>CONCATENATE(Tariff_Period," year reset period")</f>
        <v>5 year reset period</v>
      </c>
      <c r="E152" s="107"/>
    </row>
    <row r="153" spans="1:44" s="45" customFormat="1" x14ac:dyDescent="0.15">
      <c r="C153" s="35" t="s">
        <v>38</v>
      </c>
      <c r="E153" s="46">
        <f>IF(Year="",,E143*TariffIndex_Det)</f>
        <v>0.2645535058749437</v>
      </c>
      <c r="F153" s="47">
        <f t="shared" ref="F153:AR153" si="92">IF(Year="",,F143*TariffIndex_Det)</f>
        <v>0.28226893778864798</v>
      </c>
      <c r="G153" s="47">
        <f t="shared" si="92"/>
        <v>0.30271425432023458</v>
      </c>
      <c r="H153" s="47">
        <f t="shared" si="92"/>
        <v>0.32581500479215747</v>
      </c>
      <c r="I153" s="47">
        <f t="shared" si="92"/>
        <v>0.35152617005658643</v>
      </c>
      <c r="J153" s="47">
        <f t="shared" si="92"/>
        <v>1.4208371893433294</v>
      </c>
      <c r="K153" s="47">
        <f t="shared" si="92"/>
        <v>1.5368349929811109</v>
      </c>
      <c r="L153" s="47">
        <f t="shared" si="92"/>
        <v>1.6632992150129731</v>
      </c>
      <c r="M153" s="47">
        <f t="shared" si="92"/>
        <v>1.8008279008077521</v>
      </c>
      <c r="N153" s="47">
        <f t="shared" si="92"/>
        <v>1.9501597651352991</v>
      </c>
      <c r="O153" s="47">
        <f t="shared" si="92"/>
        <v>1.5708739088367223</v>
      </c>
      <c r="P153" s="47">
        <f t="shared" si="92"/>
        <v>1.7015013159529644</v>
      </c>
      <c r="Q153" s="47">
        <f t="shared" si="92"/>
        <v>1.843080333353317</v>
      </c>
      <c r="R153" s="47">
        <f t="shared" si="92"/>
        <v>1.9964979317516229</v>
      </c>
      <c r="S153" s="47">
        <f t="shared" si="92"/>
        <v>2.1627237252796365</v>
      </c>
      <c r="T153" s="47">
        <f t="shared" si="92"/>
        <v>1.5233570816944997</v>
      </c>
      <c r="U153" s="47">
        <f t="shared" si="92"/>
        <v>1.6502174565768783</v>
      </c>
      <c r="V153" s="47">
        <f t="shared" si="92"/>
        <v>1.7876491092752562</v>
      </c>
      <c r="W153" s="47">
        <f t="shared" si="92"/>
        <v>1.9365305834951463</v>
      </c>
      <c r="X153" s="47">
        <f t="shared" si="92"/>
        <v>2.0978142615745243</v>
      </c>
      <c r="Y153" s="47">
        <f t="shared" si="92"/>
        <v>0</v>
      </c>
      <c r="Z153" s="47">
        <f t="shared" si="92"/>
        <v>0</v>
      </c>
      <c r="AA153" s="47">
        <f t="shared" si="92"/>
        <v>0</v>
      </c>
      <c r="AB153" s="47">
        <f t="shared" si="92"/>
        <v>0</v>
      </c>
      <c r="AC153" s="47">
        <f t="shared" si="92"/>
        <v>0</v>
      </c>
      <c r="AD153" s="47">
        <f t="shared" si="92"/>
        <v>0</v>
      </c>
      <c r="AE153" s="47">
        <f t="shared" si="92"/>
        <v>0</v>
      </c>
      <c r="AF153" s="47">
        <f t="shared" si="92"/>
        <v>0</v>
      </c>
      <c r="AG153" s="47">
        <f t="shared" si="92"/>
        <v>0</v>
      </c>
      <c r="AH153" s="47">
        <f t="shared" si="92"/>
        <v>0</v>
      </c>
      <c r="AI153" s="47">
        <f t="shared" si="92"/>
        <v>0</v>
      </c>
      <c r="AJ153" s="47">
        <f t="shared" si="92"/>
        <v>0</v>
      </c>
      <c r="AK153" s="47">
        <f t="shared" si="92"/>
        <v>0</v>
      </c>
      <c r="AL153" s="47">
        <f t="shared" si="92"/>
        <v>0</v>
      </c>
      <c r="AM153" s="47">
        <f t="shared" si="92"/>
        <v>0</v>
      </c>
      <c r="AN153" s="47">
        <f t="shared" si="92"/>
        <v>0</v>
      </c>
      <c r="AO153" s="47">
        <f t="shared" si="92"/>
        <v>0</v>
      </c>
      <c r="AP153" s="47">
        <f t="shared" si="92"/>
        <v>0</v>
      </c>
      <c r="AQ153" s="47">
        <f t="shared" si="92"/>
        <v>0</v>
      </c>
      <c r="AR153" s="48">
        <f t="shared" si="92"/>
        <v>0</v>
      </c>
    </row>
    <row r="154" spans="1:44" s="45" customFormat="1" x14ac:dyDescent="0.15">
      <c r="C154" s="35" t="s">
        <v>37</v>
      </c>
      <c r="E154" s="49">
        <f>IF(Year="",,E144*TariffIndex_Det)</f>
        <v>48.625767914127437</v>
      </c>
      <c r="F154" s="50">
        <f t="shared" ref="F154:AR154" si="93">IF(Year="",,F144*TariffIndex_Det)</f>
        <v>51.881920116251386</v>
      </c>
      <c r="G154" s="50">
        <f t="shared" si="93"/>
        <v>55.639833712247182</v>
      </c>
      <c r="H154" s="50">
        <f t="shared" si="93"/>
        <v>59.885824433008523</v>
      </c>
      <c r="I154" s="50">
        <f t="shared" si="93"/>
        <v>64.611617617321443</v>
      </c>
      <c r="J154" s="50">
        <f t="shared" si="93"/>
        <v>73.677085031277016</v>
      </c>
      <c r="K154" s="50">
        <f t="shared" si="93"/>
        <v>79.692116243974993</v>
      </c>
      <c r="L154" s="50">
        <f t="shared" si="93"/>
        <v>86.249880433946757</v>
      </c>
      <c r="M154" s="50">
        <f t="shared" si="93"/>
        <v>93.3813890638868</v>
      </c>
      <c r="N154" s="50">
        <f t="shared" si="93"/>
        <v>101.12494796596253</v>
      </c>
      <c r="O154" s="50">
        <f t="shared" si="93"/>
        <v>137.0555935890433</v>
      </c>
      <c r="P154" s="50">
        <f t="shared" si="93"/>
        <v>148.45257250670323</v>
      </c>
      <c r="Q154" s="50">
        <f t="shared" si="93"/>
        <v>160.80505742634148</v>
      </c>
      <c r="R154" s="50">
        <f t="shared" si="93"/>
        <v>174.19043476134107</v>
      </c>
      <c r="S154" s="50">
        <f t="shared" si="93"/>
        <v>188.69330139731599</v>
      </c>
      <c r="T154" s="50">
        <f t="shared" si="93"/>
        <v>269.19666356643603</v>
      </c>
      <c r="U154" s="50">
        <f t="shared" si="93"/>
        <v>291.61451297777467</v>
      </c>
      <c r="V154" s="50">
        <f t="shared" si="93"/>
        <v>315.90044227130056</v>
      </c>
      <c r="W154" s="50">
        <f t="shared" si="93"/>
        <v>342.20970134683245</v>
      </c>
      <c r="X154" s="50">
        <f t="shared" si="93"/>
        <v>370.71058833414139</v>
      </c>
      <c r="Y154" s="50">
        <f t="shared" si="93"/>
        <v>0</v>
      </c>
      <c r="Z154" s="50">
        <f t="shared" si="93"/>
        <v>0</v>
      </c>
      <c r="AA154" s="50">
        <f t="shared" si="93"/>
        <v>0</v>
      </c>
      <c r="AB154" s="50">
        <f t="shared" si="93"/>
        <v>0</v>
      </c>
      <c r="AC154" s="50">
        <f t="shared" si="93"/>
        <v>0</v>
      </c>
      <c r="AD154" s="50">
        <f t="shared" si="93"/>
        <v>0</v>
      </c>
      <c r="AE154" s="50">
        <f t="shared" si="93"/>
        <v>0</v>
      </c>
      <c r="AF154" s="50">
        <f t="shared" si="93"/>
        <v>0</v>
      </c>
      <c r="AG154" s="50">
        <f t="shared" si="93"/>
        <v>0</v>
      </c>
      <c r="AH154" s="50">
        <f t="shared" si="93"/>
        <v>0</v>
      </c>
      <c r="AI154" s="50">
        <f t="shared" si="93"/>
        <v>0</v>
      </c>
      <c r="AJ154" s="50">
        <f t="shared" si="93"/>
        <v>0</v>
      </c>
      <c r="AK154" s="50">
        <f t="shared" si="93"/>
        <v>0</v>
      </c>
      <c r="AL154" s="50">
        <f t="shared" si="93"/>
        <v>0</v>
      </c>
      <c r="AM154" s="50">
        <f t="shared" si="93"/>
        <v>0</v>
      </c>
      <c r="AN154" s="50">
        <f t="shared" si="93"/>
        <v>0</v>
      </c>
      <c r="AO154" s="50">
        <f t="shared" si="93"/>
        <v>0</v>
      </c>
      <c r="AP154" s="50">
        <f t="shared" si="93"/>
        <v>0</v>
      </c>
      <c r="AQ154" s="50">
        <f t="shared" si="93"/>
        <v>0</v>
      </c>
      <c r="AR154" s="51">
        <f t="shared" si="93"/>
        <v>0</v>
      </c>
    </row>
    <row r="155" spans="1:44" s="105" customFormat="1" x14ac:dyDescent="0.15">
      <c r="C155" s="136"/>
    </row>
    <row r="156" spans="1:44" s="139" customFormat="1" ht="18" x14ac:dyDescent="0.2">
      <c r="A156" s="137" t="str">
        <f>CONCATENATE("Profit (",MonDenomination,")")</f>
        <v>Profit (Millions)</v>
      </c>
      <c r="B156" s="138"/>
      <c r="C156" s="138"/>
      <c r="D156" s="45"/>
    </row>
    <row r="157" spans="1:44" s="45" customFormat="1" x14ac:dyDescent="0.15">
      <c r="A157" s="75"/>
      <c r="B157" s="77" t="s">
        <v>65</v>
      </c>
    </row>
    <row r="158" spans="1:44" s="45" customFormat="1" ht="13.5" customHeight="1" x14ac:dyDescent="0.15">
      <c r="C158" s="35" t="s">
        <v>62</v>
      </c>
      <c r="E158" s="46">
        <f t="shared" ref="E158:AR158" si="94">IF(Year="",,(E150+E151)*BilledDemand_Det*Collection_FC)</f>
        <v>86.495120646471776</v>
      </c>
      <c r="F158" s="47">
        <f t="shared" si="94"/>
        <v>95.857616874213022</v>
      </c>
      <c r="G158" s="47">
        <f t="shared" si="94"/>
        <v>109.62167997980994</v>
      </c>
      <c r="H158" s="47">
        <f t="shared" si="94"/>
        <v>132.29312826605053</v>
      </c>
      <c r="I158" s="47">
        <f t="shared" si="94"/>
        <v>169.64585353954888</v>
      </c>
      <c r="J158" s="47">
        <f t="shared" si="94"/>
        <v>220.27260974792347</v>
      </c>
      <c r="K158" s="47">
        <f t="shared" si="94"/>
        <v>272.30111711586108</v>
      </c>
      <c r="L158" s="47">
        <f t="shared" si="94"/>
        <v>318.28916290631668</v>
      </c>
      <c r="M158" s="47">
        <f t="shared" si="94"/>
        <v>360.07546071992743</v>
      </c>
      <c r="N158" s="47">
        <f t="shared" si="94"/>
        <v>403.73024248002815</v>
      </c>
      <c r="O158" s="47">
        <f t="shared" si="94"/>
        <v>446.10099209145329</v>
      </c>
      <c r="P158" s="47">
        <f t="shared" si="94"/>
        <v>492.95813919759189</v>
      </c>
      <c r="Q158" s="47">
        <f t="shared" si="94"/>
        <v>544.76338140225141</v>
      </c>
      <c r="R158" s="47">
        <f t="shared" si="94"/>
        <v>602.03036443965198</v>
      </c>
      <c r="S158" s="47">
        <f t="shared" si="94"/>
        <v>665.32901850618714</v>
      </c>
      <c r="T158" s="47">
        <f t="shared" si="94"/>
        <v>735.2907211772623</v>
      </c>
      <c r="U158" s="47">
        <f t="shared" si="94"/>
        <v>812.61425452193805</v>
      </c>
      <c r="V158" s="47">
        <f t="shared" si="94"/>
        <v>898.07255751949413</v>
      </c>
      <c r="W158" s="47">
        <f t="shared" si="94"/>
        <v>992.52030143979152</v>
      </c>
      <c r="X158" s="47">
        <f t="shared" si="94"/>
        <v>1096.9023370875798</v>
      </c>
      <c r="Y158" s="47">
        <f t="shared" si="94"/>
        <v>0</v>
      </c>
      <c r="Z158" s="47">
        <f t="shared" si="94"/>
        <v>0</v>
      </c>
      <c r="AA158" s="47">
        <f t="shared" si="94"/>
        <v>0</v>
      </c>
      <c r="AB158" s="47">
        <f t="shared" si="94"/>
        <v>0</v>
      </c>
      <c r="AC158" s="47">
        <f t="shared" si="94"/>
        <v>0</v>
      </c>
      <c r="AD158" s="47">
        <f t="shared" si="94"/>
        <v>0</v>
      </c>
      <c r="AE158" s="47">
        <f t="shared" si="94"/>
        <v>0</v>
      </c>
      <c r="AF158" s="47">
        <f t="shared" si="94"/>
        <v>0</v>
      </c>
      <c r="AG158" s="47">
        <f t="shared" si="94"/>
        <v>0</v>
      </c>
      <c r="AH158" s="47">
        <f t="shared" si="94"/>
        <v>0</v>
      </c>
      <c r="AI158" s="47">
        <f t="shared" si="94"/>
        <v>0</v>
      </c>
      <c r="AJ158" s="47">
        <f t="shared" si="94"/>
        <v>0</v>
      </c>
      <c r="AK158" s="47">
        <f t="shared" si="94"/>
        <v>0</v>
      </c>
      <c r="AL158" s="47">
        <f t="shared" si="94"/>
        <v>0</v>
      </c>
      <c r="AM158" s="47">
        <f t="shared" si="94"/>
        <v>0</v>
      </c>
      <c r="AN158" s="47">
        <f t="shared" si="94"/>
        <v>0</v>
      </c>
      <c r="AO158" s="47">
        <f t="shared" si="94"/>
        <v>0</v>
      </c>
      <c r="AP158" s="47">
        <f t="shared" si="94"/>
        <v>0</v>
      </c>
      <c r="AQ158" s="47">
        <f t="shared" si="94"/>
        <v>0</v>
      </c>
      <c r="AR158" s="48">
        <f t="shared" si="94"/>
        <v>0</v>
      </c>
    </row>
    <row r="159" spans="1:44" s="45" customFormat="1" x14ac:dyDescent="0.15">
      <c r="C159" s="43" t="str">
        <f>CONCATENATE(Tariff_Period," year reset period")</f>
        <v>5 year reset period</v>
      </c>
      <c r="E159" s="49">
        <f t="shared" ref="E159:AR159" si="95">IF(Year="",,(E153+E154)*BilledDemand_Det*Collection_FC)</f>
        <v>69.018717779103312</v>
      </c>
      <c r="F159" s="50">
        <f t="shared" si="95"/>
        <v>76.489514744535967</v>
      </c>
      <c r="G159" s="50">
        <f t="shared" si="95"/>
        <v>87.472538756511995</v>
      </c>
      <c r="H159" s="50">
        <f t="shared" si="95"/>
        <v>105.56320420927359</v>
      </c>
      <c r="I159" s="50">
        <f t="shared" si="95"/>
        <v>135.36878381496112</v>
      </c>
      <c r="J159" s="50">
        <f t="shared" si="95"/>
        <v>188.03384910936302</v>
      </c>
      <c r="K159" s="50">
        <f t="shared" si="95"/>
        <v>232.44754409851217</v>
      </c>
      <c r="L159" s="50">
        <f t="shared" si="95"/>
        <v>271.70485018342606</v>
      </c>
      <c r="M159" s="50">
        <f t="shared" si="95"/>
        <v>307.37536966796421</v>
      </c>
      <c r="N159" s="50">
        <f t="shared" si="95"/>
        <v>344.64090466014835</v>
      </c>
      <c r="O159" s="50">
        <f t="shared" si="95"/>
        <v>472.87360213734132</v>
      </c>
      <c r="P159" s="50">
        <f t="shared" si="95"/>
        <v>522.54286611740577</v>
      </c>
      <c r="Q159" s="50">
        <f t="shared" si="95"/>
        <v>577.4571835594362</v>
      </c>
      <c r="R159" s="50">
        <f t="shared" si="95"/>
        <v>638.16102648404933</v>
      </c>
      <c r="S159" s="50">
        <f t="shared" si="95"/>
        <v>705.25852926824336</v>
      </c>
      <c r="T159" s="50">
        <f t="shared" si="95"/>
        <v>1020.5839554794441</v>
      </c>
      <c r="U159" s="50">
        <f t="shared" si="95"/>
        <v>1127.9090654525523</v>
      </c>
      <c r="V159" s="50">
        <f t="shared" si="95"/>
        <v>1246.5252405107176</v>
      </c>
      <c r="W159" s="50">
        <f t="shared" si="95"/>
        <v>1377.6187648815342</v>
      </c>
      <c r="X159" s="50">
        <f t="shared" si="95"/>
        <v>1522.5010920403095</v>
      </c>
      <c r="Y159" s="50">
        <f t="shared" si="95"/>
        <v>0</v>
      </c>
      <c r="Z159" s="50">
        <f t="shared" si="95"/>
        <v>0</v>
      </c>
      <c r="AA159" s="50">
        <f t="shared" si="95"/>
        <v>0</v>
      </c>
      <c r="AB159" s="50">
        <f t="shared" si="95"/>
        <v>0</v>
      </c>
      <c r="AC159" s="50">
        <f t="shared" si="95"/>
        <v>0</v>
      </c>
      <c r="AD159" s="50">
        <f t="shared" si="95"/>
        <v>0</v>
      </c>
      <c r="AE159" s="50">
        <f t="shared" si="95"/>
        <v>0</v>
      </c>
      <c r="AF159" s="50">
        <f t="shared" si="95"/>
        <v>0</v>
      </c>
      <c r="AG159" s="50">
        <f t="shared" si="95"/>
        <v>0</v>
      </c>
      <c r="AH159" s="50">
        <f t="shared" si="95"/>
        <v>0</v>
      </c>
      <c r="AI159" s="50">
        <f t="shared" si="95"/>
        <v>0</v>
      </c>
      <c r="AJ159" s="50">
        <f t="shared" si="95"/>
        <v>0</v>
      </c>
      <c r="AK159" s="50">
        <f t="shared" si="95"/>
        <v>0</v>
      </c>
      <c r="AL159" s="50">
        <f t="shared" si="95"/>
        <v>0</v>
      </c>
      <c r="AM159" s="50">
        <f t="shared" si="95"/>
        <v>0</v>
      </c>
      <c r="AN159" s="50">
        <f t="shared" si="95"/>
        <v>0</v>
      </c>
      <c r="AO159" s="50">
        <f t="shared" si="95"/>
        <v>0</v>
      </c>
      <c r="AP159" s="50">
        <f t="shared" si="95"/>
        <v>0</v>
      </c>
      <c r="AQ159" s="50">
        <f t="shared" si="95"/>
        <v>0</v>
      </c>
      <c r="AR159" s="51">
        <f t="shared" si="95"/>
        <v>0</v>
      </c>
    </row>
    <row r="160" spans="1:44" s="45" customFormat="1" x14ac:dyDescent="0.15">
      <c r="B160" s="75"/>
    </row>
    <row r="161" spans="1:64" s="45" customFormat="1" x14ac:dyDescent="0.15">
      <c r="A161" s="75"/>
      <c r="B161" s="77" t="s">
        <v>66</v>
      </c>
    </row>
    <row r="162" spans="1:64" s="45" customFormat="1" x14ac:dyDescent="0.15">
      <c r="B162" s="75"/>
      <c r="C162" s="45" t="s">
        <v>24</v>
      </c>
      <c r="E162" s="46">
        <f t="shared" ref="E162:AR162" si="96">IF(Year="",,(E120+E121)/DeflateFactor_Det)</f>
        <v>54.357325089421991</v>
      </c>
      <c r="F162" s="47">
        <f t="shared" si="96"/>
        <v>62.805698395442548</v>
      </c>
      <c r="G162" s="47">
        <f t="shared" si="96"/>
        <v>74.45300799815783</v>
      </c>
      <c r="H162" s="47">
        <f t="shared" si="96"/>
        <v>91.632868618188127</v>
      </c>
      <c r="I162" s="47">
        <f t="shared" si="96"/>
        <v>117.6478281889277</v>
      </c>
      <c r="J162" s="47">
        <f t="shared" si="96"/>
        <v>153.3160569789261</v>
      </c>
      <c r="K162" s="47">
        <f t="shared" si="96"/>
        <v>194.03440574037859</v>
      </c>
      <c r="L162" s="47">
        <f t="shared" si="96"/>
        <v>236.22553486380707</v>
      </c>
      <c r="M162" s="47">
        <f t="shared" si="96"/>
        <v>280.91685431099995</v>
      </c>
      <c r="N162" s="47">
        <f t="shared" si="96"/>
        <v>332.08655445098879</v>
      </c>
      <c r="O162" s="47">
        <f t="shared" si="96"/>
        <v>388.44317252934985</v>
      </c>
      <c r="P162" s="47">
        <f t="shared" si="96"/>
        <v>454.69529832227016</v>
      </c>
      <c r="Q162" s="47">
        <f t="shared" si="96"/>
        <v>532.61383044463821</v>
      </c>
      <c r="R162" s="47">
        <f t="shared" si="96"/>
        <v>624.29659761867345</v>
      </c>
      <c r="S162" s="47">
        <f t="shared" si="96"/>
        <v>732.22866372022622</v>
      </c>
      <c r="T162" s="47">
        <f t="shared" si="96"/>
        <v>859.35420126011161</v>
      </c>
      <c r="U162" s="47">
        <f t="shared" si="96"/>
        <v>1009.1620851337148</v>
      </c>
      <c r="V162" s="47">
        <f t="shared" si="96"/>
        <v>1185.7877851945848</v>
      </c>
      <c r="W162" s="47">
        <f t="shared" si="96"/>
        <v>1394.1346424816079</v>
      </c>
      <c r="X162" s="47">
        <f t="shared" si="96"/>
        <v>1640.0182152401528</v>
      </c>
      <c r="Y162" s="47">
        <f t="shared" si="96"/>
        <v>0</v>
      </c>
      <c r="Z162" s="47">
        <f t="shared" si="96"/>
        <v>0</v>
      </c>
      <c r="AA162" s="47">
        <f t="shared" si="96"/>
        <v>0</v>
      </c>
      <c r="AB162" s="47">
        <f t="shared" si="96"/>
        <v>0</v>
      </c>
      <c r="AC162" s="47">
        <f t="shared" si="96"/>
        <v>0</v>
      </c>
      <c r="AD162" s="47">
        <f t="shared" si="96"/>
        <v>0</v>
      </c>
      <c r="AE162" s="47">
        <f t="shared" si="96"/>
        <v>0</v>
      </c>
      <c r="AF162" s="47">
        <f t="shared" si="96"/>
        <v>0</v>
      </c>
      <c r="AG162" s="47">
        <f t="shared" si="96"/>
        <v>0</v>
      </c>
      <c r="AH162" s="47">
        <f t="shared" si="96"/>
        <v>0</v>
      </c>
      <c r="AI162" s="47">
        <f t="shared" si="96"/>
        <v>0</v>
      </c>
      <c r="AJ162" s="47">
        <f t="shared" si="96"/>
        <v>0</v>
      </c>
      <c r="AK162" s="47">
        <f t="shared" si="96"/>
        <v>0</v>
      </c>
      <c r="AL162" s="47">
        <f t="shared" si="96"/>
        <v>0</v>
      </c>
      <c r="AM162" s="47">
        <f t="shared" si="96"/>
        <v>0</v>
      </c>
      <c r="AN162" s="47">
        <f t="shared" si="96"/>
        <v>0</v>
      </c>
      <c r="AO162" s="47">
        <f t="shared" si="96"/>
        <v>0</v>
      </c>
      <c r="AP162" s="47">
        <f t="shared" si="96"/>
        <v>0</v>
      </c>
      <c r="AQ162" s="47">
        <f t="shared" si="96"/>
        <v>0</v>
      </c>
      <c r="AR162" s="48">
        <f t="shared" si="96"/>
        <v>0</v>
      </c>
    </row>
    <row r="163" spans="1:64" s="45" customFormat="1" x14ac:dyDescent="0.15">
      <c r="C163" s="35" t="s">
        <v>45</v>
      </c>
      <c r="E163" s="109">
        <f>IF(Year="",,E119/DeflateFactor_Det)</f>
        <v>10.981218889336334</v>
      </c>
      <c r="F163" s="61">
        <f t="shared" ref="F163:AR163" si="97">IF(Year="",,F119/DeflateFactor_Det)</f>
        <v>12.39593558672891</v>
      </c>
      <c r="G163" s="61">
        <f t="shared" si="97"/>
        <v>13.844382286882771</v>
      </c>
      <c r="H163" s="61">
        <f t="shared" si="97"/>
        <v>15.31768388883161</v>
      </c>
      <c r="I163" s="61">
        <f t="shared" si="97"/>
        <v>16.82613952169266</v>
      </c>
      <c r="J163" s="61">
        <f t="shared" si="97"/>
        <v>18.389941374594564</v>
      </c>
      <c r="K163" s="61">
        <f t="shared" si="97"/>
        <v>20.031942894348752</v>
      </c>
      <c r="L163" s="61">
        <f t="shared" si="97"/>
        <v>21.774064105895512</v>
      </c>
      <c r="M163" s="61">
        <f t="shared" si="97"/>
        <v>23.636283616823139</v>
      </c>
      <c r="N163" s="61">
        <f t="shared" si="97"/>
        <v>25.6368696483487</v>
      </c>
      <c r="O163" s="61">
        <f t="shared" si="97"/>
        <v>27.793008669849595</v>
      </c>
      <c r="P163" s="61">
        <f t="shared" si="97"/>
        <v>30.121453860237018</v>
      </c>
      <c r="Q163" s="61">
        <f t="shared" si="97"/>
        <v>32.639071199556717</v>
      </c>
      <c r="R163" s="61">
        <f t="shared" si="97"/>
        <v>35.363269505832982</v>
      </c>
      <c r="S163" s="61">
        <f t="shared" si="97"/>
        <v>38.312336115243149</v>
      </c>
      <c r="T163" s="61">
        <f t="shared" si="97"/>
        <v>41.505705644059539</v>
      </c>
      <c r="U163" s="61">
        <f t="shared" si="97"/>
        <v>44.964185356162623</v>
      </c>
      <c r="V163" s="61">
        <f t="shared" si="97"/>
        <v>48.710154916984067</v>
      </c>
      <c r="W163" s="61">
        <f t="shared" si="97"/>
        <v>52.76775329463824</v>
      </c>
      <c r="X163" s="61">
        <f t="shared" si="97"/>
        <v>57.163061808380078</v>
      </c>
      <c r="Y163" s="61">
        <f t="shared" si="97"/>
        <v>0</v>
      </c>
      <c r="Z163" s="61">
        <f t="shared" si="97"/>
        <v>0</v>
      </c>
      <c r="AA163" s="61">
        <f t="shared" si="97"/>
        <v>0</v>
      </c>
      <c r="AB163" s="61">
        <f t="shared" si="97"/>
        <v>0</v>
      </c>
      <c r="AC163" s="61">
        <f t="shared" si="97"/>
        <v>0</v>
      </c>
      <c r="AD163" s="61">
        <f t="shared" si="97"/>
        <v>0</v>
      </c>
      <c r="AE163" s="61">
        <f t="shared" si="97"/>
        <v>0</v>
      </c>
      <c r="AF163" s="61">
        <f t="shared" si="97"/>
        <v>0</v>
      </c>
      <c r="AG163" s="61">
        <f t="shared" si="97"/>
        <v>0</v>
      </c>
      <c r="AH163" s="61">
        <f t="shared" si="97"/>
        <v>0</v>
      </c>
      <c r="AI163" s="61">
        <f t="shared" si="97"/>
        <v>0</v>
      </c>
      <c r="AJ163" s="61">
        <f t="shared" si="97"/>
        <v>0</v>
      </c>
      <c r="AK163" s="61">
        <f t="shared" si="97"/>
        <v>0</v>
      </c>
      <c r="AL163" s="61">
        <f t="shared" si="97"/>
        <v>0</v>
      </c>
      <c r="AM163" s="61">
        <f t="shared" si="97"/>
        <v>0</v>
      </c>
      <c r="AN163" s="61">
        <f t="shared" si="97"/>
        <v>0</v>
      </c>
      <c r="AO163" s="61">
        <f t="shared" si="97"/>
        <v>0</v>
      </c>
      <c r="AP163" s="61">
        <f t="shared" si="97"/>
        <v>0</v>
      </c>
      <c r="AQ163" s="61">
        <f t="shared" si="97"/>
        <v>0</v>
      </c>
      <c r="AR163" s="62">
        <f t="shared" si="97"/>
        <v>0</v>
      </c>
    </row>
    <row r="164" spans="1:64" s="45" customFormat="1" x14ac:dyDescent="0.15">
      <c r="C164" s="35" t="s">
        <v>67</v>
      </c>
      <c r="E164" s="109">
        <f t="shared" ref="E164:AR164" si="98">IF(Year="",,SUM(E114:E115)/DeflateFactor_Det)</f>
        <v>4.3086023952885501E-2</v>
      </c>
      <c r="F164" s="61">
        <f t="shared" si="98"/>
        <v>0.12566068804861458</v>
      </c>
      <c r="G164" s="61">
        <f t="shared" si="98"/>
        <v>0.36767447846846002</v>
      </c>
      <c r="H164" s="61">
        <f t="shared" si="98"/>
        <v>1.0113282761959239</v>
      </c>
      <c r="I164" s="61">
        <f t="shared" si="98"/>
        <v>2.3908821265044282</v>
      </c>
      <c r="J164" s="61">
        <f t="shared" si="98"/>
        <v>4.4393794237682327</v>
      </c>
      <c r="K164" s="61">
        <f t="shared" si="98"/>
        <v>6.4118551591658575</v>
      </c>
      <c r="L164" s="61">
        <f t="shared" si="98"/>
        <v>7.7760414792301829</v>
      </c>
      <c r="M164" s="61">
        <f t="shared" si="98"/>
        <v>8.604231492605015</v>
      </c>
      <c r="N164" s="61">
        <f t="shared" si="98"/>
        <v>9.2995053125929683</v>
      </c>
      <c r="O164" s="61">
        <f t="shared" si="98"/>
        <v>9.5684032298712776</v>
      </c>
      <c r="P164" s="61">
        <f t="shared" si="98"/>
        <v>9.8458686377242888</v>
      </c>
      <c r="Q164" s="61">
        <f t="shared" si="98"/>
        <v>10.131870217664831</v>
      </c>
      <c r="R164" s="61">
        <f t="shared" si="98"/>
        <v>10.426482606248211</v>
      </c>
      <c r="S164" s="61">
        <f t="shared" si="98"/>
        <v>10.729848950941006</v>
      </c>
      <c r="T164" s="61">
        <f t="shared" si="98"/>
        <v>11.042157659707611</v>
      </c>
      <c r="U164" s="61">
        <f t="shared" si="98"/>
        <v>11.363628048816855</v>
      </c>
      <c r="V164" s="61">
        <f t="shared" si="98"/>
        <v>11.694501536575871</v>
      </c>
      <c r="W164" s="61">
        <f t="shared" si="98"/>
        <v>12.035036282269605</v>
      </c>
      <c r="X164" s="61">
        <f t="shared" si="98"/>
        <v>12.385503961753743</v>
      </c>
      <c r="Y164" s="61">
        <f t="shared" si="98"/>
        <v>0</v>
      </c>
      <c r="Z164" s="61">
        <f t="shared" si="98"/>
        <v>0</v>
      </c>
      <c r="AA164" s="61">
        <f t="shared" si="98"/>
        <v>0</v>
      </c>
      <c r="AB164" s="61">
        <f t="shared" si="98"/>
        <v>0</v>
      </c>
      <c r="AC164" s="61">
        <f t="shared" si="98"/>
        <v>0</v>
      </c>
      <c r="AD164" s="61">
        <f t="shared" si="98"/>
        <v>0</v>
      </c>
      <c r="AE164" s="61">
        <f t="shared" si="98"/>
        <v>0</v>
      </c>
      <c r="AF164" s="61">
        <f t="shared" si="98"/>
        <v>0</v>
      </c>
      <c r="AG164" s="61">
        <f t="shared" si="98"/>
        <v>0</v>
      </c>
      <c r="AH164" s="61">
        <f t="shared" si="98"/>
        <v>0</v>
      </c>
      <c r="AI164" s="61">
        <f t="shared" si="98"/>
        <v>0</v>
      </c>
      <c r="AJ164" s="61">
        <f t="shared" si="98"/>
        <v>0</v>
      </c>
      <c r="AK164" s="61">
        <f t="shared" si="98"/>
        <v>0</v>
      </c>
      <c r="AL164" s="61">
        <f t="shared" si="98"/>
        <v>0</v>
      </c>
      <c r="AM164" s="61">
        <f t="shared" si="98"/>
        <v>0</v>
      </c>
      <c r="AN164" s="61">
        <f t="shared" si="98"/>
        <v>0</v>
      </c>
      <c r="AO164" s="61">
        <f t="shared" si="98"/>
        <v>0</v>
      </c>
      <c r="AP164" s="61">
        <f t="shared" si="98"/>
        <v>0</v>
      </c>
      <c r="AQ164" s="61">
        <f t="shared" si="98"/>
        <v>0</v>
      </c>
      <c r="AR164" s="62">
        <f t="shared" si="98"/>
        <v>0</v>
      </c>
    </row>
    <row r="165" spans="1:64" s="45" customFormat="1" x14ac:dyDescent="0.15">
      <c r="C165" s="35" t="s">
        <v>44</v>
      </c>
      <c r="E165" s="109">
        <f t="shared" ref="E165:AR165" si="99">IF(Year="",,SUM(E117:E118)/DeflateFactor_Det)</f>
        <v>2.903885397567816E-2</v>
      </c>
      <c r="F165" s="61">
        <f t="shared" si="99"/>
        <v>7.9376678114366328E-2</v>
      </c>
      <c r="G165" s="61">
        <f t="shared" si="99"/>
        <v>0.21656446101782112</v>
      </c>
      <c r="H165" s="61">
        <f t="shared" si="99"/>
        <v>0.55344904769270131</v>
      </c>
      <c r="I165" s="61">
        <f t="shared" si="99"/>
        <v>1.2127103340563679</v>
      </c>
      <c r="J165" s="61">
        <f t="shared" si="99"/>
        <v>2.0838216760814712</v>
      </c>
      <c r="K165" s="61">
        <f t="shared" si="99"/>
        <v>2.7825249362603821</v>
      </c>
      <c r="L165" s="61">
        <f t="shared" si="99"/>
        <v>3.1179617879745742</v>
      </c>
      <c r="M165" s="61">
        <f t="shared" si="99"/>
        <v>3.1865627720269205</v>
      </c>
      <c r="N165" s="61">
        <f t="shared" si="99"/>
        <v>3.1803305222778619</v>
      </c>
      <c r="O165" s="61">
        <f t="shared" si="99"/>
        <v>3.0213139961639688</v>
      </c>
      <c r="P165" s="61">
        <f t="shared" si="99"/>
        <v>2.8702482963557703</v>
      </c>
      <c r="Q165" s="61">
        <f t="shared" si="99"/>
        <v>2.7267358815379819</v>
      </c>
      <c r="R165" s="61">
        <f t="shared" si="99"/>
        <v>2.5903990874610829</v>
      </c>
      <c r="S165" s="61">
        <f t="shared" si="99"/>
        <v>2.4608791330880289</v>
      </c>
      <c r="T165" s="61">
        <f t="shared" si="99"/>
        <v>2.3378351764336274</v>
      </c>
      <c r="U165" s="61">
        <f t="shared" si="99"/>
        <v>2.220943417611946</v>
      </c>
      <c r="V165" s="61">
        <f t="shared" si="99"/>
        <v>2.1098962467313487</v>
      </c>
      <c r="W165" s="61">
        <f t="shared" si="99"/>
        <v>2.0044014343947811</v>
      </c>
      <c r="X165" s="61">
        <f t="shared" si="99"/>
        <v>1.9041813626750423</v>
      </c>
      <c r="Y165" s="61">
        <f t="shared" si="99"/>
        <v>0</v>
      </c>
      <c r="Z165" s="61">
        <f t="shared" si="99"/>
        <v>0</v>
      </c>
      <c r="AA165" s="61">
        <f t="shared" si="99"/>
        <v>0</v>
      </c>
      <c r="AB165" s="61">
        <f t="shared" si="99"/>
        <v>0</v>
      </c>
      <c r="AC165" s="61">
        <f t="shared" si="99"/>
        <v>0</v>
      </c>
      <c r="AD165" s="61">
        <f t="shared" si="99"/>
        <v>0</v>
      </c>
      <c r="AE165" s="61">
        <f t="shared" si="99"/>
        <v>0</v>
      </c>
      <c r="AF165" s="61">
        <f t="shared" si="99"/>
        <v>0</v>
      </c>
      <c r="AG165" s="61">
        <f t="shared" si="99"/>
        <v>0</v>
      </c>
      <c r="AH165" s="61">
        <f t="shared" si="99"/>
        <v>0</v>
      </c>
      <c r="AI165" s="61">
        <f t="shared" si="99"/>
        <v>0</v>
      </c>
      <c r="AJ165" s="61">
        <f t="shared" si="99"/>
        <v>0</v>
      </c>
      <c r="AK165" s="61">
        <f t="shared" si="99"/>
        <v>0</v>
      </c>
      <c r="AL165" s="61">
        <f t="shared" si="99"/>
        <v>0</v>
      </c>
      <c r="AM165" s="61">
        <f t="shared" si="99"/>
        <v>0</v>
      </c>
      <c r="AN165" s="61">
        <f t="shared" si="99"/>
        <v>0</v>
      </c>
      <c r="AO165" s="61">
        <f t="shared" si="99"/>
        <v>0</v>
      </c>
      <c r="AP165" s="61">
        <f t="shared" si="99"/>
        <v>0</v>
      </c>
      <c r="AQ165" s="61">
        <f t="shared" si="99"/>
        <v>0</v>
      </c>
      <c r="AR165" s="62">
        <f t="shared" si="99"/>
        <v>0</v>
      </c>
    </row>
    <row r="166" spans="1:64" s="45" customFormat="1" ht="14" thickBot="1" x14ac:dyDescent="0.2">
      <c r="C166" s="35" t="s">
        <v>68</v>
      </c>
      <c r="E166" s="109">
        <f>IF(Year="",,-E122/DeflateFactor_Det)</f>
        <v>0</v>
      </c>
      <c r="F166" s="61">
        <f t="shared" ref="F166:AR166" si="100">IF(Year="",,-F122/DeflateFactor_Det)</f>
        <v>0</v>
      </c>
      <c r="G166" s="61">
        <f t="shared" si="100"/>
        <v>0</v>
      </c>
      <c r="H166" s="61">
        <f t="shared" si="100"/>
        <v>0</v>
      </c>
      <c r="I166" s="61">
        <f t="shared" si="100"/>
        <v>0</v>
      </c>
      <c r="J166" s="61">
        <f t="shared" si="100"/>
        <v>0</v>
      </c>
      <c r="K166" s="61">
        <f t="shared" si="100"/>
        <v>0</v>
      </c>
      <c r="L166" s="61">
        <f t="shared" si="100"/>
        <v>0</v>
      </c>
      <c r="M166" s="61">
        <f t="shared" si="100"/>
        <v>0</v>
      </c>
      <c r="N166" s="61">
        <f t="shared" si="100"/>
        <v>0</v>
      </c>
      <c r="O166" s="61">
        <f t="shared" si="100"/>
        <v>0</v>
      </c>
      <c r="P166" s="61">
        <f t="shared" si="100"/>
        <v>0</v>
      </c>
      <c r="Q166" s="61">
        <f t="shared" si="100"/>
        <v>0</v>
      </c>
      <c r="R166" s="61">
        <f t="shared" si="100"/>
        <v>0</v>
      </c>
      <c r="S166" s="61">
        <f t="shared" si="100"/>
        <v>0</v>
      </c>
      <c r="T166" s="61">
        <f t="shared" si="100"/>
        <v>0</v>
      </c>
      <c r="U166" s="61">
        <f t="shared" si="100"/>
        <v>0</v>
      </c>
      <c r="V166" s="61">
        <f t="shared" si="100"/>
        <v>0</v>
      </c>
      <c r="W166" s="61">
        <f t="shared" si="100"/>
        <v>0</v>
      </c>
      <c r="X166" s="61">
        <f t="shared" si="100"/>
        <v>0</v>
      </c>
      <c r="Y166" s="61">
        <f t="shared" si="100"/>
        <v>0</v>
      </c>
      <c r="Z166" s="61">
        <f t="shared" si="100"/>
        <v>0</v>
      </c>
      <c r="AA166" s="61">
        <f t="shared" si="100"/>
        <v>0</v>
      </c>
      <c r="AB166" s="61">
        <f t="shared" si="100"/>
        <v>0</v>
      </c>
      <c r="AC166" s="61">
        <f t="shared" si="100"/>
        <v>0</v>
      </c>
      <c r="AD166" s="61">
        <f t="shared" si="100"/>
        <v>0</v>
      </c>
      <c r="AE166" s="61">
        <f t="shared" si="100"/>
        <v>0</v>
      </c>
      <c r="AF166" s="61">
        <f t="shared" si="100"/>
        <v>0</v>
      </c>
      <c r="AG166" s="61">
        <f t="shared" si="100"/>
        <v>0</v>
      </c>
      <c r="AH166" s="61">
        <f t="shared" si="100"/>
        <v>0</v>
      </c>
      <c r="AI166" s="61">
        <f t="shared" si="100"/>
        <v>0</v>
      </c>
      <c r="AJ166" s="61">
        <f t="shared" si="100"/>
        <v>0</v>
      </c>
      <c r="AK166" s="61">
        <f t="shared" si="100"/>
        <v>0</v>
      </c>
      <c r="AL166" s="61">
        <f t="shared" si="100"/>
        <v>0</v>
      </c>
      <c r="AM166" s="61">
        <f t="shared" si="100"/>
        <v>0</v>
      </c>
      <c r="AN166" s="61">
        <f t="shared" si="100"/>
        <v>0</v>
      </c>
      <c r="AO166" s="61">
        <f t="shared" si="100"/>
        <v>0</v>
      </c>
      <c r="AP166" s="61">
        <f t="shared" si="100"/>
        <v>0</v>
      </c>
      <c r="AQ166" s="61">
        <f t="shared" si="100"/>
        <v>0</v>
      </c>
      <c r="AR166" s="62">
        <f t="shared" si="100"/>
        <v>0</v>
      </c>
    </row>
    <row r="167" spans="1:64" s="45" customFormat="1" ht="15" thickTop="1" thickBot="1" x14ac:dyDescent="0.2">
      <c r="C167" s="75" t="s">
        <v>32</v>
      </c>
      <c r="E167" s="140">
        <f>SUM(E162:E166)</f>
        <v>65.410668856686883</v>
      </c>
      <c r="F167" s="141">
        <f>SUM(F162:F166)</f>
        <v>75.406671348334442</v>
      </c>
      <c r="G167" s="141">
        <f t="shared" ref="G167:AR167" si="101">SUM(G162:G166)</f>
        <v>88.88162922452689</v>
      </c>
      <c r="H167" s="141">
        <f t="shared" si="101"/>
        <v>108.51532983090836</v>
      </c>
      <c r="I167" s="141">
        <f t="shared" si="101"/>
        <v>138.07756017118118</v>
      </c>
      <c r="J167" s="141">
        <f t="shared" si="101"/>
        <v>178.22919945337037</v>
      </c>
      <c r="K167" s="141">
        <f t="shared" si="101"/>
        <v>223.2607287301536</v>
      </c>
      <c r="L167" s="141">
        <f t="shared" si="101"/>
        <v>268.89360223690733</v>
      </c>
      <c r="M167" s="141">
        <f t="shared" si="101"/>
        <v>316.3439321924551</v>
      </c>
      <c r="N167" s="141">
        <f t="shared" si="101"/>
        <v>370.20325993420829</v>
      </c>
      <c r="O167" s="141">
        <f t="shared" si="101"/>
        <v>428.8258984252347</v>
      </c>
      <c r="P167" s="141">
        <f t="shared" si="101"/>
        <v>497.53286911658722</v>
      </c>
      <c r="Q167" s="141">
        <f t="shared" si="101"/>
        <v>578.11150774339774</v>
      </c>
      <c r="R167" s="141">
        <f t="shared" si="101"/>
        <v>672.67674881821563</v>
      </c>
      <c r="S167" s="141">
        <f t="shared" si="101"/>
        <v>783.73172791949844</v>
      </c>
      <c r="T167" s="141">
        <f t="shared" si="101"/>
        <v>914.23989974031235</v>
      </c>
      <c r="U167" s="141">
        <f t="shared" si="101"/>
        <v>1067.7108419563065</v>
      </c>
      <c r="V167" s="141">
        <f t="shared" si="101"/>
        <v>1248.302337894876</v>
      </c>
      <c r="W167" s="141">
        <f t="shared" si="101"/>
        <v>1460.9418334929105</v>
      </c>
      <c r="X167" s="141">
        <f t="shared" si="101"/>
        <v>1711.4709623729616</v>
      </c>
      <c r="Y167" s="141">
        <f t="shared" si="101"/>
        <v>0</v>
      </c>
      <c r="Z167" s="141">
        <f t="shared" si="101"/>
        <v>0</v>
      </c>
      <c r="AA167" s="141">
        <f t="shared" si="101"/>
        <v>0</v>
      </c>
      <c r="AB167" s="141">
        <f t="shared" si="101"/>
        <v>0</v>
      </c>
      <c r="AC167" s="141">
        <f t="shared" si="101"/>
        <v>0</v>
      </c>
      <c r="AD167" s="141">
        <f t="shared" si="101"/>
        <v>0</v>
      </c>
      <c r="AE167" s="141">
        <f t="shared" si="101"/>
        <v>0</v>
      </c>
      <c r="AF167" s="141">
        <f t="shared" si="101"/>
        <v>0</v>
      </c>
      <c r="AG167" s="141">
        <f t="shared" si="101"/>
        <v>0</v>
      </c>
      <c r="AH167" s="141">
        <f t="shared" si="101"/>
        <v>0</v>
      </c>
      <c r="AI167" s="141">
        <f t="shared" si="101"/>
        <v>0</v>
      </c>
      <c r="AJ167" s="141">
        <f t="shared" si="101"/>
        <v>0</v>
      </c>
      <c r="AK167" s="141">
        <f t="shared" si="101"/>
        <v>0</v>
      </c>
      <c r="AL167" s="141">
        <f t="shared" si="101"/>
        <v>0</v>
      </c>
      <c r="AM167" s="141">
        <f t="shared" si="101"/>
        <v>0</v>
      </c>
      <c r="AN167" s="141">
        <f t="shared" si="101"/>
        <v>0</v>
      </c>
      <c r="AO167" s="141">
        <f t="shared" si="101"/>
        <v>0</v>
      </c>
      <c r="AP167" s="141">
        <f t="shared" si="101"/>
        <v>0</v>
      </c>
      <c r="AQ167" s="141">
        <f t="shared" si="101"/>
        <v>0</v>
      </c>
      <c r="AR167" s="142">
        <f t="shared" si="101"/>
        <v>0</v>
      </c>
      <c r="AS167" s="105"/>
      <c r="AT167" s="105"/>
      <c r="AU167" s="105"/>
      <c r="AV167" s="105"/>
      <c r="AW167" s="105"/>
      <c r="AX167" s="105"/>
      <c r="AY167" s="105"/>
      <c r="AZ167" s="105"/>
      <c r="BA167" s="105"/>
      <c r="BB167" s="105"/>
      <c r="BC167" s="105"/>
      <c r="BD167" s="105"/>
      <c r="BE167" s="105"/>
      <c r="BF167" s="105"/>
      <c r="BG167" s="105"/>
      <c r="BH167" s="105"/>
      <c r="BI167" s="105"/>
      <c r="BJ167" s="105"/>
      <c r="BK167" s="105"/>
      <c r="BL167" s="105"/>
    </row>
    <row r="168" spans="1:64" s="45" customFormat="1" ht="14" thickTop="1" x14ac:dyDescent="0.15">
      <c r="B168" s="75"/>
    </row>
    <row r="169" spans="1:64" s="45" customFormat="1" x14ac:dyDescent="0.15">
      <c r="A169" s="75"/>
      <c r="B169" s="77" t="s">
        <v>90</v>
      </c>
    </row>
    <row r="170" spans="1:64" s="45" customFormat="1" x14ac:dyDescent="0.15">
      <c r="C170" s="35" t="s">
        <v>62</v>
      </c>
      <c r="E170" s="46">
        <f t="shared" ref="E170:AR170" si="102">(E158-E167)*DeflateFactor_Det*DiscountFactor</f>
        <v>18.549524860086699</v>
      </c>
      <c r="F170" s="47">
        <f t="shared" si="102"/>
        <v>15.722937449106094</v>
      </c>
      <c r="G170" s="47">
        <f t="shared" si="102"/>
        <v>13.863079480983275</v>
      </c>
      <c r="H170" s="47">
        <f t="shared" si="102"/>
        <v>13.76837596182572</v>
      </c>
      <c r="I170" s="47">
        <f t="shared" si="102"/>
        <v>15.797013304700206</v>
      </c>
      <c r="J170" s="47">
        <f t="shared" si="102"/>
        <v>18.153508620430642</v>
      </c>
      <c r="K170" s="47">
        <f t="shared" si="102"/>
        <v>18.252947402062322</v>
      </c>
      <c r="L170" s="47">
        <f t="shared" si="102"/>
        <v>15.838836107720768</v>
      </c>
      <c r="M170" s="47">
        <f t="shared" si="102"/>
        <v>12.076123924659843</v>
      </c>
      <c r="N170" s="47">
        <f t="shared" si="102"/>
        <v>7.9712930799220914</v>
      </c>
      <c r="O170" s="47">
        <f t="shared" si="102"/>
        <v>3.5358846521464362</v>
      </c>
      <c r="P170" s="47">
        <f t="shared" si="102"/>
        <v>-0.80603065829535459</v>
      </c>
      <c r="Q170" s="47">
        <f t="shared" si="102"/>
        <v>-5.0576054945665643</v>
      </c>
      <c r="R170" s="47">
        <f t="shared" si="102"/>
        <v>-9.2222786174066229</v>
      </c>
      <c r="S170" s="47">
        <f t="shared" si="102"/>
        <v>-13.303844057751116</v>
      </c>
      <c r="T170" s="47">
        <f t="shared" si="102"/>
        <v>-17.306445155289179</v>
      </c>
      <c r="U170" s="47">
        <f t="shared" si="102"/>
        <v>-21.234534029617944</v>
      </c>
      <c r="V170" s="47">
        <f t="shared" si="102"/>
        <v>-25.09281845738867</v>
      </c>
      <c r="W170" s="47">
        <f t="shared" si="102"/>
        <v>-28.886207452656759</v>
      </c>
      <c r="X170" s="47">
        <f t="shared" si="102"/>
        <v>-32.619760920672228</v>
      </c>
      <c r="Y170" s="47">
        <f t="shared" si="102"/>
        <v>0</v>
      </c>
      <c r="Z170" s="47">
        <f t="shared" si="102"/>
        <v>0</v>
      </c>
      <c r="AA170" s="47">
        <f t="shared" si="102"/>
        <v>0</v>
      </c>
      <c r="AB170" s="47">
        <f t="shared" si="102"/>
        <v>0</v>
      </c>
      <c r="AC170" s="47">
        <f t="shared" si="102"/>
        <v>0</v>
      </c>
      <c r="AD170" s="47">
        <f t="shared" si="102"/>
        <v>0</v>
      </c>
      <c r="AE170" s="47">
        <f t="shared" si="102"/>
        <v>0</v>
      </c>
      <c r="AF170" s="47">
        <f t="shared" si="102"/>
        <v>0</v>
      </c>
      <c r="AG170" s="47">
        <f t="shared" si="102"/>
        <v>0</v>
      </c>
      <c r="AH170" s="47">
        <f t="shared" si="102"/>
        <v>0</v>
      </c>
      <c r="AI170" s="47">
        <f t="shared" si="102"/>
        <v>0</v>
      </c>
      <c r="AJ170" s="47">
        <f t="shared" si="102"/>
        <v>0</v>
      </c>
      <c r="AK170" s="47">
        <f t="shared" si="102"/>
        <v>0</v>
      </c>
      <c r="AL170" s="47">
        <f t="shared" si="102"/>
        <v>0</v>
      </c>
      <c r="AM170" s="47">
        <f t="shared" si="102"/>
        <v>0</v>
      </c>
      <c r="AN170" s="47">
        <f t="shared" si="102"/>
        <v>0</v>
      </c>
      <c r="AO170" s="47">
        <f t="shared" si="102"/>
        <v>0</v>
      </c>
      <c r="AP170" s="47">
        <f t="shared" si="102"/>
        <v>0</v>
      </c>
      <c r="AQ170" s="47">
        <f t="shared" si="102"/>
        <v>0</v>
      </c>
      <c r="AR170" s="48">
        <f t="shared" si="102"/>
        <v>0</v>
      </c>
    </row>
    <row r="171" spans="1:64" s="45" customFormat="1" x14ac:dyDescent="0.15">
      <c r="C171" s="43" t="str">
        <f>CONCATENATE(Tariff_Period," year reset period")</f>
        <v>5 year reset period</v>
      </c>
      <c r="E171" s="49">
        <f t="shared" ref="E171:AR171" si="103">(E159-E167)*DeflateFactor_Det*DiscountFactor</f>
        <v>3.1742629047247992</v>
      </c>
      <c r="F171" s="50">
        <f t="shared" si="103"/>
        <v>0.83250326808167319</v>
      </c>
      <c r="G171" s="50">
        <f t="shared" si="103"/>
        <v>-0.94186525310264702</v>
      </c>
      <c r="H171" s="50">
        <f t="shared" si="103"/>
        <v>-1.7094086971960176</v>
      </c>
      <c r="I171" s="50">
        <f t="shared" si="103"/>
        <v>-1.3554922225077553</v>
      </c>
      <c r="J171" s="50">
        <f t="shared" si="103"/>
        <v>4.2334527766274963</v>
      </c>
      <c r="K171" s="50">
        <f t="shared" si="103"/>
        <v>3.4193541941845207</v>
      </c>
      <c r="L171" s="50">
        <f t="shared" si="103"/>
        <v>0.90143516704026938</v>
      </c>
      <c r="M171" s="50">
        <f t="shared" si="103"/>
        <v>-2.4765992893153546</v>
      </c>
      <c r="N171" s="50">
        <f t="shared" si="103"/>
        <v>-6.0776428485369118</v>
      </c>
      <c r="O171" s="50">
        <f t="shared" si="103"/>
        <v>9.0157311171339973</v>
      </c>
      <c r="P171" s="50">
        <f t="shared" si="103"/>
        <v>4.4065605409470265</v>
      </c>
      <c r="Q171" s="50">
        <f t="shared" si="103"/>
        <v>-9.923536795374531E-2</v>
      </c>
      <c r="R171" s="50">
        <f t="shared" si="103"/>
        <v>-4.5057310554071686</v>
      </c>
      <c r="S171" s="50">
        <f t="shared" si="103"/>
        <v>-8.8173252347201156</v>
      </c>
      <c r="T171" s="50">
        <f t="shared" si="103"/>
        <v>10.28469414064311</v>
      </c>
      <c r="U171" s="50">
        <f t="shared" si="103"/>
        <v>5.0109695241707506</v>
      </c>
      <c r="V171" s="50">
        <f t="shared" si="103"/>
        <v>-0.12732321618679254</v>
      </c>
      <c r="W171" s="50">
        <f t="shared" si="103"/>
        <v>-5.1382937819929877</v>
      </c>
      <c r="X171" s="50">
        <f t="shared" si="103"/>
        <v>-10.030046666634098</v>
      </c>
      <c r="Y171" s="50">
        <f t="shared" si="103"/>
        <v>0</v>
      </c>
      <c r="Z171" s="50">
        <f t="shared" si="103"/>
        <v>0</v>
      </c>
      <c r="AA171" s="50">
        <f t="shared" si="103"/>
        <v>0</v>
      </c>
      <c r="AB171" s="50">
        <f t="shared" si="103"/>
        <v>0</v>
      </c>
      <c r="AC171" s="50">
        <f t="shared" si="103"/>
        <v>0</v>
      </c>
      <c r="AD171" s="50">
        <f t="shared" si="103"/>
        <v>0</v>
      </c>
      <c r="AE171" s="50">
        <f t="shared" si="103"/>
        <v>0</v>
      </c>
      <c r="AF171" s="50">
        <f t="shared" si="103"/>
        <v>0</v>
      </c>
      <c r="AG171" s="50">
        <f t="shared" si="103"/>
        <v>0</v>
      </c>
      <c r="AH171" s="50">
        <f t="shared" si="103"/>
        <v>0</v>
      </c>
      <c r="AI171" s="50">
        <f t="shared" si="103"/>
        <v>0</v>
      </c>
      <c r="AJ171" s="50">
        <f t="shared" si="103"/>
        <v>0</v>
      </c>
      <c r="AK171" s="50">
        <f t="shared" si="103"/>
        <v>0</v>
      </c>
      <c r="AL171" s="50">
        <f t="shared" si="103"/>
        <v>0</v>
      </c>
      <c r="AM171" s="50">
        <f t="shared" si="103"/>
        <v>0</v>
      </c>
      <c r="AN171" s="50">
        <f t="shared" si="103"/>
        <v>0</v>
      </c>
      <c r="AO171" s="50">
        <f t="shared" si="103"/>
        <v>0</v>
      </c>
      <c r="AP171" s="50">
        <f t="shared" si="103"/>
        <v>0</v>
      </c>
      <c r="AQ171" s="50">
        <f t="shared" si="103"/>
        <v>0</v>
      </c>
      <c r="AR171" s="51">
        <f t="shared" si="103"/>
        <v>0</v>
      </c>
    </row>
    <row r="172" spans="1:64" s="45" customFormat="1" x14ac:dyDescent="0.15">
      <c r="B172" s="75"/>
    </row>
    <row r="173" spans="1:64" s="45" customFormat="1" x14ac:dyDescent="0.15">
      <c r="B173" s="75"/>
    </row>
    <row r="174" spans="1:64" s="139" customFormat="1" ht="18" x14ac:dyDescent="0.2">
      <c r="A174" s="137" t="str">
        <f>CONCATENATE("PV Cash flows (",MonDenomination,")")</f>
        <v>PV Cash flows (Millions)</v>
      </c>
      <c r="B174" s="138"/>
      <c r="C174" s="138"/>
      <c r="D174" s="45"/>
    </row>
    <row r="175" spans="1:64" s="45" customFormat="1" ht="12" customHeight="1" x14ac:dyDescent="0.15">
      <c r="B175" s="77" t="s">
        <v>62</v>
      </c>
    </row>
    <row r="176" spans="1:64" s="45" customFormat="1" x14ac:dyDescent="0.15">
      <c r="C176" s="35" t="s">
        <v>38</v>
      </c>
      <c r="E176" s="46">
        <f>IF(Year="",,(E150*BilledDemand_Det*Collection_FC-E95-E96-(E38-E39)*ServExt_CAPct)*DiscountFactor*DeflateFactor_Det)</f>
        <v>0.67938840226598607</v>
      </c>
      <c r="F176" s="47">
        <f t="shared" ref="F176:AR176" si="104">IF(Year="",,(F150*BilledDemand_Det*Collection_FC-F95-F96-(F38-F39)*ServExt_CAPct)*DiscountFactor*DeflateFactor_Det)</f>
        <v>0.58259222326139892</v>
      </c>
      <c r="G176" s="47">
        <f t="shared" si="104"/>
        <v>0.30542744849104597</v>
      </c>
      <c r="H176" s="47">
        <f t="shared" si="104"/>
        <v>-0.19419564549962859</v>
      </c>
      <c r="I176" s="47">
        <f t="shared" si="104"/>
        <v>-0.81831126514350006</v>
      </c>
      <c r="J176" s="47">
        <f t="shared" si="104"/>
        <v>-1.010804441048865</v>
      </c>
      <c r="K176" s="47">
        <f t="shared" si="104"/>
        <v>-0.43868510316383641</v>
      </c>
      <c r="L176" s="47">
        <f>IF(Year="",,(L150*BilledDemand_Det*Collection_FC-L95-L96-(L38-L39)*ServExt_CAPct)*DiscountFactor*DeflateFactor_Det)</f>
        <v>0.27540788112069087</v>
      </c>
      <c r="M176" s="47">
        <f t="shared" si="104"/>
        <v>0.64220737071428979</v>
      </c>
      <c r="N176" s="47">
        <f t="shared" si="104"/>
        <v>0.64088693068152858</v>
      </c>
      <c r="O176" s="47">
        <f t="shared" si="104"/>
        <v>0.67384030092874814</v>
      </c>
      <c r="P176" s="47">
        <f t="shared" si="104"/>
        <v>0.57063777737525367</v>
      </c>
      <c r="Q176" s="47">
        <f t="shared" si="104"/>
        <v>0.52109187127384438</v>
      </c>
      <c r="R176" s="47">
        <f t="shared" si="104"/>
        <v>0.50183838655810997</v>
      </c>
      <c r="S176" s="47">
        <f t="shared" si="104"/>
        <v>0.48982774283598851</v>
      </c>
      <c r="T176" s="47">
        <f t="shared" si="104"/>
        <v>0.48759814697652587</v>
      </c>
      <c r="U176" s="47">
        <f t="shared" si="104"/>
        <v>0.48306529508891888</v>
      </c>
      <c r="V176" s="47">
        <f t="shared" si="104"/>
        <v>0.47660372068681617</v>
      </c>
      <c r="W176" s="47">
        <f t="shared" si="104"/>
        <v>0.4685419657998014</v>
      </c>
      <c r="X176" s="47">
        <f t="shared" si="104"/>
        <v>0.45916756861523211</v>
      </c>
      <c r="Y176" s="47">
        <f t="shared" si="104"/>
        <v>0</v>
      </c>
      <c r="Z176" s="47">
        <f t="shared" si="104"/>
        <v>0</v>
      </c>
      <c r="AA176" s="47">
        <f t="shared" si="104"/>
        <v>0</v>
      </c>
      <c r="AB176" s="47">
        <f t="shared" si="104"/>
        <v>0</v>
      </c>
      <c r="AC176" s="47">
        <f t="shared" si="104"/>
        <v>0</v>
      </c>
      <c r="AD176" s="47">
        <f t="shared" si="104"/>
        <v>0</v>
      </c>
      <c r="AE176" s="47">
        <f t="shared" si="104"/>
        <v>0</v>
      </c>
      <c r="AF176" s="47">
        <f t="shared" si="104"/>
        <v>0</v>
      </c>
      <c r="AG176" s="47">
        <f t="shared" si="104"/>
        <v>0</v>
      </c>
      <c r="AH176" s="47">
        <f t="shared" si="104"/>
        <v>0</v>
      </c>
      <c r="AI176" s="47">
        <f t="shared" si="104"/>
        <v>0</v>
      </c>
      <c r="AJ176" s="47">
        <f t="shared" si="104"/>
        <v>0</v>
      </c>
      <c r="AK176" s="47">
        <f t="shared" si="104"/>
        <v>0</v>
      </c>
      <c r="AL176" s="47">
        <f t="shared" si="104"/>
        <v>0</v>
      </c>
      <c r="AM176" s="47">
        <f t="shared" si="104"/>
        <v>0</v>
      </c>
      <c r="AN176" s="47">
        <f t="shared" si="104"/>
        <v>0</v>
      </c>
      <c r="AO176" s="47">
        <f t="shared" si="104"/>
        <v>0</v>
      </c>
      <c r="AP176" s="47">
        <f t="shared" si="104"/>
        <v>0</v>
      </c>
      <c r="AQ176" s="47">
        <f t="shared" si="104"/>
        <v>0</v>
      </c>
      <c r="AR176" s="48">
        <f t="shared" si="104"/>
        <v>0</v>
      </c>
    </row>
    <row r="177" spans="1:44" s="45" customFormat="1" x14ac:dyDescent="0.15">
      <c r="C177" s="43" t="s">
        <v>37</v>
      </c>
      <c r="E177" s="49">
        <f t="shared" ref="E177:AR177" si="105">IF(Year="",,(E151*BilledDemand_Det*Collection_FC-SUM(E$162,E$163,E91:E92,(E38-E39)*ServExt_LoanPct))*DiscountFactor*DeflateFactor_Det)</f>
        <v>17.678114049009608</v>
      </c>
      <c r="F177" s="50">
        <f t="shared" si="105"/>
        <v>14.899814392893273</v>
      </c>
      <c r="G177" s="50">
        <f t="shared" si="105"/>
        <v>13.004649377760677</v>
      </c>
      <c r="H177" s="50">
        <f t="shared" si="105"/>
        <v>12.855237617155785</v>
      </c>
      <c r="I177" s="50">
        <f t="shared" si="105"/>
        <v>14.981121052461255</v>
      </c>
      <c r="J177" s="50">
        <f t="shared" si="105"/>
        <v>17.941704294547993</v>
      </c>
      <c r="K177" s="50">
        <f t="shared" si="105"/>
        <v>19.086434558138361</v>
      </c>
      <c r="L177" s="50">
        <f>IF(Year="",,(L151*BilledDemand_Det*Collection_FC-SUM(L$162,L$163,L91:L92,(L38-L39)*ServExt_LoanPct))*DiscountFactor*DeflateFactor_Det)</f>
        <v>17.442395572919221</v>
      </c>
      <c r="M177" s="50">
        <f t="shared" si="105"/>
        <v>13.864980153638827</v>
      </c>
      <c r="N177" s="50">
        <f t="shared" si="105"/>
        <v>9.5430867047832102</v>
      </c>
      <c r="O177" s="50">
        <f t="shared" si="105"/>
        <v>4.8496432841175627</v>
      </c>
      <c r="P177" s="50">
        <f t="shared" si="105"/>
        <v>0.16259288119565063</v>
      </c>
      <c r="Q177" s="50">
        <f t="shared" si="105"/>
        <v>-4.3389988646942905</v>
      </c>
      <c r="R177" s="50">
        <f t="shared" si="105"/>
        <v>-8.6883537384044942</v>
      </c>
      <c r="S177" s="50">
        <f t="shared" si="105"/>
        <v>-12.91774068359908</v>
      </c>
      <c r="T177" s="50">
        <f t="shared" si="105"/>
        <v>-17.03335247072474</v>
      </c>
      <c r="U177" s="50">
        <f t="shared" si="105"/>
        <v>-21.055607463640612</v>
      </c>
      <c r="V177" s="50">
        <f t="shared" si="105"/>
        <v>-24.992126334423325</v>
      </c>
      <c r="W177" s="50">
        <f t="shared" si="105"/>
        <v>-28.850275861130374</v>
      </c>
      <c r="X177" s="50">
        <f t="shared" si="105"/>
        <v>-32.637191944186448</v>
      </c>
      <c r="Y177" s="50">
        <f t="shared" si="105"/>
        <v>0</v>
      </c>
      <c r="Z177" s="50">
        <f t="shared" si="105"/>
        <v>0</v>
      </c>
      <c r="AA177" s="50">
        <f t="shared" si="105"/>
        <v>0</v>
      </c>
      <c r="AB177" s="50">
        <f t="shared" si="105"/>
        <v>0</v>
      </c>
      <c r="AC177" s="50">
        <f t="shared" si="105"/>
        <v>0</v>
      </c>
      <c r="AD177" s="50">
        <f t="shared" si="105"/>
        <v>0</v>
      </c>
      <c r="AE177" s="50">
        <f t="shared" si="105"/>
        <v>0</v>
      </c>
      <c r="AF177" s="50">
        <f t="shared" si="105"/>
        <v>0</v>
      </c>
      <c r="AG177" s="50">
        <f t="shared" si="105"/>
        <v>0</v>
      </c>
      <c r="AH177" s="50">
        <f t="shared" si="105"/>
        <v>0</v>
      </c>
      <c r="AI177" s="50">
        <f t="shared" si="105"/>
        <v>0</v>
      </c>
      <c r="AJ177" s="50">
        <f t="shared" si="105"/>
        <v>0</v>
      </c>
      <c r="AK177" s="50">
        <f t="shared" si="105"/>
        <v>0</v>
      </c>
      <c r="AL177" s="50">
        <f t="shared" si="105"/>
        <v>0</v>
      </c>
      <c r="AM177" s="50">
        <f t="shared" si="105"/>
        <v>0</v>
      </c>
      <c r="AN177" s="50">
        <f t="shared" si="105"/>
        <v>0</v>
      </c>
      <c r="AO177" s="50">
        <f t="shared" si="105"/>
        <v>0</v>
      </c>
      <c r="AP177" s="50">
        <f t="shared" si="105"/>
        <v>0</v>
      </c>
      <c r="AQ177" s="50">
        <f t="shared" si="105"/>
        <v>0</v>
      </c>
      <c r="AR177" s="51">
        <f t="shared" si="105"/>
        <v>0</v>
      </c>
    </row>
    <row r="178" spans="1:44" s="45" customFormat="1" ht="12.75" customHeight="1" x14ac:dyDescent="0.15">
      <c r="B178" s="77" t="str">
        <f>CONCATENATE(Tariff_Period," year reset period")</f>
        <v>5 year reset period</v>
      </c>
    </row>
    <row r="179" spans="1:44" s="45" customFormat="1" x14ac:dyDescent="0.15">
      <c r="C179" s="35" t="s">
        <v>38</v>
      </c>
      <c r="E179" s="46">
        <f t="shared" ref="E179:AR179" si="106">IF(Year="",,(E153*BilledDemand_Det*Collection_FC-E95-E96-(E38-E39)*ServExt_CAPct)*DiscountFactor*DeflateFactor_Det)</f>
        <v>0.20083211020881034</v>
      </c>
      <c r="F179" s="47">
        <f t="shared" si="106"/>
        <v>0.11912623552859053</v>
      </c>
      <c r="G179" s="47">
        <f t="shared" si="106"/>
        <v>-0.15537767317940368</v>
      </c>
      <c r="H179" s="47">
        <f t="shared" si="106"/>
        <v>-0.67594296513458285</v>
      </c>
      <c r="I179" s="47">
        <f t="shared" si="106"/>
        <v>-1.3521844094464675</v>
      </c>
      <c r="J179" s="47">
        <f t="shared" si="106"/>
        <v>-0.48351427891268417</v>
      </c>
      <c r="K179" s="47">
        <f t="shared" si="106"/>
        <v>0.12320975238920454</v>
      </c>
      <c r="L179" s="47">
        <f>IF(Year="",,(L153*BilledDemand_Det*Collection_FC-L95-L96-(L38-L39)*ServExt_CAPct)*DiscountFactor*DeflateFactor_Det)</f>
        <v>0.84123496200922887</v>
      </c>
      <c r="M179" s="47">
        <f t="shared" si="106"/>
        <v>1.1934629022383239</v>
      </c>
      <c r="N179" s="47">
        <f t="shared" si="106"/>
        <v>1.1730590560437815</v>
      </c>
      <c r="O179" s="47">
        <f t="shared" si="106"/>
        <v>0.80213702077968108</v>
      </c>
      <c r="P179" s="47">
        <f t="shared" si="106"/>
        <v>0.69267739236438608</v>
      </c>
      <c r="Q179" s="47">
        <f t="shared" si="106"/>
        <v>0.63717954400624532</v>
      </c>
      <c r="R179" s="47">
        <f t="shared" si="106"/>
        <v>0.61226439668297894</v>
      </c>
      <c r="S179" s="47">
        <f t="shared" si="106"/>
        <v>0.59486821289697767</v>
      </c>
      <c r="T179" s="47">
        <f t="shared" si="106"/>
        <v>0.28874878751726252</v>
      </c>
      <c r="U179" s="47">
        <f t="shared" si="106"/>
        <v>0.29391393332814852</v>
      </c>
      <c r="V179" s="47">
        <f t="shared" si="106"/>
        <v>0.29667737969559205</v>
      </c>
      <c r="W179" s="47">
        <f t="shared" si="106"/>
        <v>0.29739073600620008</v>
      </c>
      <c r="X179" s="47">
        <f t="shared" si="106"/>
        <v>0.29636348279607527</v>
      </c>
      <c r="Y179" s="47">
        <f t="shared" si="106"/>
        <v>0</v>
      </c>
      <c r="Z179" s="47">
        <f t="shared" si="106"/>
        <v>0</v>
      </c>
      <c r="AA179" s="47">
        <f t="shared" si="106"/>
        <v>0</v>
      </c>
      <c r="AB179" s="47">
        <f t="shared" si="106"/>
        <v>0</v>
      </c>
      <c r="AC179" s="47">
        <f t="shared" si="106"/>
        <v>0</v>
      </c>
      <c r="AD179" s="47">
        <f t="shared" si="106"/>
        <v>0</v>
      </c>
      <c r="AE179" s="47">
        <f t="shared" si="106"/>
        <v>0</v>
      </c>
      <c r="AF179" s="47">
        <f t="shared" si="106"/>
        <v>0</v>
      </c>
      <c r="AG179" s="47">
        <f t="shared" si="106"/>
        <v>0</v>
      </c>
      <c r="AH179" s="47">
        <f t="shared" si="106"/>
        <v>0</v>
      </c>
      <c r="AI179" s="47">
        <f t="shared" si="106"/>
        <v>0</v>
      </c>
      <c r="AJ179" s="47">
        <f t="shared" si="106"/>
        <v>0</v>
      </c>
      <c r="AK179" s="47">
        <f t="shared" si="106"/>
        <v>0</v>
      </c>
      <c r="AL179" s="47">
        <f t="shared" si="106"/>
        <v>0</v>
      </c>
      <c r="AM179" s="47">
        <f t="shared" si="106"/>
        <v>0</v>
      </c>
      <c r="AN179" s="47">
        <f t="shared" si="106"/>
        <v>0</v>
      </c>
      <c r="AO179" s="47">
        <f t="shared" si="106"/>
        <v>0</v>
      </c>
      <c r="AP179" s="47">
        <f t="shared" si="106"/>
        <v>0</v>
      </c>
      <c r="AQ179" s="47">
        <f t="shared" si="106"/>
        <v>0</v>
      </c>
      <c r="AR179" s="48">
        <f t="shared" si="106"/>
        <v>0</v>
      </c>
    </row>
    <row r="180" spans="1:44" s="45" customFormat="1" x14ac:dyDescent="0.15">
      <c r="C180" s="43" t="s">
        <v>37</v>
      </c>
      <c r="E180" s="49">
        <f t="shared" ref="E180:AR180" si="107">IF(Year="",,(E154*BilledDemand_Det*Collection_FC-SUM(E$162,E$163,E91:E92,(E38-E39)*ServExt_LoanPct))*DiscountFactor*DeflateFactor_Det)</f>
        <v>2.7814083857048839</v>
      </c>
      <c r="F180" s="50">
        <f t="shared" si="107"/>
        <v>0.47284619960165375</v>
      </c>
      <c r="G180" s="50">
        <f t="shared" si="107"/>
        <v>-1.3394902346548021</v>
      </c>
      <c r="H180" s="50">
        <f t="shared" si="107"/>
        <v>-2.1407997222310065</v>
      </c>
      <c r="I180" s="50">
        <f t="shared" si="107"/>
        <v>-1.6375113304437396</v>
      </c>
      <c r="J180" s="50">
        <f t="shared" si="107"/>
        <v>3.4943582886086606</v>
      </c>
      <c r="K180" s="50">
        <f t="shared" si="107"/>
        <v>3.6909464947075117</v>
      </c>
      <c r="L180" s="50">
        <f>IF(Year="",,(L154*BilledDemand_Det*Collection_FC-SUM(L$162,L$163,L91:L92,(L38-L39)*ServExt_LoanPct))*DiscountFactor*DeflateFactor_Det)</f>
        <v>1.939167551350186</v>
      </c>
      <c r="M180" s="50">
        <f t="shared" si="107"/>
        <v>-1.2389985918603907</v>
      </c>
      <c r="N180" s="50">
        <f t="shared" si="107"/>
        <v>-5.038021349038047</v>
      </c>
      <c r="O180" s="50">
        <f t="shared" si="107"/>
        <v>10.201193029254195</v>
      </c>
      <c r="P180" s="50">
        <f t="shared" si="107"/>
        <v>5.253144465448913</v>
      </c>
      <c r="Q180" s="50">
        <f t="shared" si="107"/>
        <v>0.50328358918613048</v>
      </c>
      <c r="R180" s="50">
        <f t="shared" si="107"/>
        <v>-4.0822321865299154</v>
      </c>
      <c r="S180" s="50">
        <f t="shared" si="107"/>
        <v>-8.5362623306290804</v>
      </c>
      <c r="T180" s="50">
        <f t="shared" si="107"/>
        <v>10.756636184666815</v>
      </c>
      <c r="U180" s="50">
        <f t="shared" si="107"/>
        <v>5.379047451908848</v>
      </c>
      <c r="V180" s="50">
        <f t="shared" si="107"/>
        <v>0.15329524776977821</v>
      </c>
      <c r="W180" s="50">
        <f t="shared" si="107"/>
        <v>-4.9312109606730008</v>
      </c>
      <c r="X180" s="50">
        <f t="shared" si="107"/>
        <v>-9.8846736043291585</v>
      </c>
      <c r="Y180" s="50">
        <f t="shared" si="107"/>
        <v>0</v>
      </c>
      <c r="Z180" s="50">
        <f t="shared" si="107"/>
        <v>0</v>
      </c>
      <c r="AA180" s="50">
        <f t="shared" si="107"/>
        <v>0</v>
      </c>
      <c r="AB180" s="50">
        <f t="shared" si="107"/>
        <v>0</v>
      </c>
      <c r="AC180" s="50">
        <f t="shared" si="107"/>
        <v>0</v>
      </c>
      <c r="AD180" s="50">
        <f t="shared" si="107"/>
        <v>0</v>
      </c>
      <c r="AE180" s="50">
        <f t="shared" si="107"/>
        <v>0</v>
      </c>
      <c r="AF180" s="50">
        <f t="shared" si="107"/>
        <v>0</v>
      </c>
      <c r="AG180" s="50">
        <f t="shared" si="107"/>
        <v>0</v>
      </c>
      <c r="AH180" s="50">
        <f t="shared" si="107"/>
        <v>0</v>
      </c>
      <c r="AI180" s="50">
        <f t="shared" si="107"/>
        <v>0</v>
      </c>
      <c r="AJ180" s="50">
        <f t="shared" si="107"/>
        <v>0</v>
      </c>
      <c r="AK180" s="50">
        <f t="shared" si="107"/>
        <v>0</v>
      </c>
      <c r="AL180" s="50">
        <f t="shared" si="107"/>
        <v>0</v>
      </c>
      <c r="AM180" s="50">
        <f t="shared" si="107"/>
        <v>0</v>
      </c>
      <c r="AN180" s="50">
        <f t="shared" si="107"/>
        <v>0</v>
      </c>
      <c r="AO180" s="50">
        <f t="shared" si="107"/>
        <v>0</v>
      </c>
      <c r="AP180" s="50">
        <f t="shared" si="107"/>
        <v>0</v>
      </c>
      <c r="AQ180" s="50">
        <f t="shared" si="107"/>
        <v>0</v>
      </c>
      <c r="AR180" s="51">
        <f t="shared" si="107"/>
        <v>0</v>
      </c>
    </row>
    <row r="181" spans="1:44" s="45" customFormat="1" x14ac:dyDescent="0.15">
      <c r="B181" s="75"/>
      <c r="E181" s="143"/>
      <c r="F181" s="43"/>
      <c r="G181" s="144"/>
    </row>
    <row r="182" spans="1:44" s="45" customFormat="1" x14ac:dyDescent="0.15">
      <c r="B182" s="75"/>
      <c r="E182" s="143"/>
      <c r="F182" s="43"/>
      <c r="G182" s="144"/>
    </row>
    <row r="183" spans="1:44" s="139" customFormat="1" ht="18" x14ac:dyDescent="0.2">
      <c r="A183" s="137" t="s">
        <v>70</v>
      </c>
      <c r="B183" s="138"/>
      <c r="C183" s="138"/>
      <c r="D183" s="45"/>
      <c r="E183" s="143"/>
      <c r="F183" s="145"/>
      <c r="G183" s="146"/>
      <c r="H183" s="145"/>
      <c r="I183" s="145"/>
      <c r="J183" s="145"/>
      <c r="K183" s="145"/>
      <c r="L183" s="145"/>
      <c r="M183" s="145"/>
      <c r="N183" s="145"/>
      <c r="O183" s="145"/>
    </row>
    <row r="184" spans="1:44" s="86" customFormat="1" x14ac:dyDescent="0.15">
      <c r="B184" s="147" t="s">
        <v>71</v>
      </c>
      <c r="C184" s="110"/>
      <c r="E184" s="143"/>
      <c r="F184" s="145"/>
      <c r="G184" s="144"/>
      <c r="H184" s="45"/>
    </row>
    <row r="185" spans="1:44" s="45" customFormat="1" x14ac:dyDescent="0.15">
      <c r="C185" s="35" t="s">
        <v>62</v>
      </c>
      <c r="E185" s="46">
        <f t="shared" ref="E185:AR185" si="108">IF(Year="",,E151*BilledDemand_Det*Collection_FC-SUM(E$162,E$163,E91,(E38-E39)*ServExt_LoanPct))</f>
        <v>20.093956379587823</v>
      </c>
      <c r="F185" s="47">
        <f t="shared" si="108"/>
        <v>19.380303043314981</v>
      </c>
      <c r="G185" s="47">
        <f t="shared" si="108"/>
        <v>19.455784590963489</v>
      </c>
      <c r="H185" s="47">
        <f t="shared" si="108"/>
        <v>22.200820906117613</v>
      </c>
      <c r="I185" s="47">
        <f t="shared" si="108"/>
        <v>29.937837947532302</v>
      </c>
      <c r="J185" s="47">
        <f t="shared" si="108"/>
        <v>41.562194482025859</v>
      </c>
      <c r="K185" s="47">
        <f t="shared" si="108"/>
        <v>51.305661667039743</v>
      </c>
      <c r="L185" s="47">
        <f t="shared" si="108"/>
        <v>54.467665909249831</v>
      </c>
      <c r="M185" s="47">
        <f t="shared" si="108"/>
        <v>50.392165525793075</v>
      </c>
      <c r="N185" s="47">
        <f t="shared" si="108"/>
        <v>40.540472273514865</v>
      </c>
      <c r="O185" s="47">
        <f t="shared" si="108"/>
        <v>24.393971019991511</v>
      </c>
      <c r="P185" s="47">
        <f t="shared" si="108"/>
        <v>1.8779151538782344</v>
      </c>
      <c r="Q185" s="47">
        <f t="shared" si="108"/>
        <v>-27.507867975449585</v>
      </c>
      <c r="R185" s="47">
        <f t="shared" si="108"/>
        <v>-65.390915873536414</v>
      </c>
      <c r="S185" s="47">
        <f t="shared" si="108"/>
        <v>-113.76447017240434</v>
      </c>
      <c r="T185" s="47">
        <f t="shared" si="108"/>
        <v>-174.94041478196573</v>
      </c>
      <c r="U185" s="47">
        <f t="shared" si="108"/>
        <v>-251.78400122214657</v>
      </c>
      <c r="V185" s="47">
        <f t="shared" si="108"/>
        <v>-347.68853991628839</v>
      </c>
      <c r="W185" s="47">
        <f t="shared" si="108"/>
        <v>-466.73611672797199</v>
      </c>
      <c r="X185" s="47">
        <f t="shared" si="108"/>
        <v>-613.83376491339277</v>
      </c>
      <c r="Y185" s="47">
        <f t="shared" si="108"/>
        <v>0</v>
      </c>
      <c r="Z185" s="47">
        <f t="shared" si="108"/>
        <v>0</v>
      </c>
      <c r="AA185" s="47">
        <f t="shared" si="108"/>
        <v>0</v>
      </c>
      <c r="AB185" s="47">
        <f t="shared" si="108"/>
        <v>0</v>
      </c>
      <c r="AC185" s="47">
        <f t="shared" si="108"/>
        <v>0</v>
      </c>
      <c r="AD185" s="47">
        <f t="shared" si="108"/>
        <v>0</v>
      </c>
      <c r="AE185" s="47">
        <f t="shared" si="108"/>
        <v>0</v>
      </c>
      <c r="AF185" s="47">
        <f t="shared" si="108"/>
        <v>0</v>
      </c>
      <c r="AG185" s="47">
        <f t="shared" si="108"/>
        <v>0</v>
      </c>
      <c r="AH185" s="47">
        <f t="shared" si="108"/>
        <v>0</v>
      </c>
      <c r="AI185" s="47">
        <f t="shared" si="108"/>
        <v>0</v>
      </c>
      <c r="AJ185" s="47">
        <f t="shared" si="108"/>
        <v>0</v>
      </c>
      <c r="AK185" s="47">
        <f t="shared" si="108"/>
        <v>0</v>
      </c>
      <c r="AL185" s="47">
        <f t="shared" si="108"/>
        <v>0</v>
      </c>
      <c r="AM185" s="47">
        <f t="shared" si="108"/>
        <v>0</v>
      </c>
      <c r="AN185" s="47">
        <f t="shared" si="108"/>
        <v>0</v>
      </c>
      <c r="AO185" s="47">
        <f t="shared" si="108"/>
        <v>0</v>
      </c>
      <c r="AP185" s="47">
        <f t="shared" si="108"/>
        <v>0</v>
      </c>
      <c r="AQ185" s="47">
        <f t="shared" si="108"/>
        <v>0</v>
      </c>
      <c r="AR185" s="48">
        <f t="shared" si="108"/>
        <v>0</v>
      </c>
    </row>
    <row r="186" spans="1:44" s="45" customFormat="1" x14ac:dyDescent="0.15">
      <c r="C186" s="43" t="str">
        <f>CONCATENATE(Tariff_Period," year reset period")</f>
        <v>5 year reset period</v>
      </c>
      <c r="E186" s="49">
        <f t="shared" ref="E186:AR186" si="109">IF(Year="",,E154*BilledDemand_Det*Collection_FC-SUM(E$162,E$163,E91,(E38-E39)*ServExt_LoanPct))</f>
        <v>3.1615079878560266</v>
      </c>
      <c r="F186" s="50">
        <f t="shared" si="109"/>
        <v>0.61503468429316399</v>
      </c>
      <c r="G186" s="50">
        <f t="shared" si="109"/>
        <v>-2.0039627913159848</v>
      </c>
      <c r="H186" s="50">
        <f t="shared" si="109"/>
        <v>-3.6971320674531682</v>
      </c>
      <c r="I186" s="50">
        <f t="shared" si="109"/>
        <v>-3.2723551646369344</v>
      </c>
      <c r="J186" s="50">
        <f t="shared" si="109"/>
        <v>8.102233187740751</v>
      </c>
      <c r="K186" s="50">
        <f t="shared" si="109"/>
        <v>9.9424397507333424</v>
      </c>
      <c r="L186" s="50">
        <f t="shared" si="109"/>
        <v>6.1187446183849374</v>
      </c>
      <c r="M186" s="50">
        <f t="shared" si="109"/>
        <v>-4.3041990948391344</v>
      </c>
      <c r="N186" s="50">
        <f t="shared" si="109"/>
        <v>-20.787163069678002</v>
      </c>
      <c r="O186" s="50">
        <f t="shared" si="109"/>
        <v>50.539768239519958</v>
      </c>
      <c r="P186" s="50">
        <f t="shared" si="109"/>
        <v>30.769990656221069</v>
      </c>
      <c r="Q186" s="50">
        <f t="shared" si="109"/>
        <v>4.4204916455214516</v>
      </c>
      <c r="R186" s="50">
        <f t="shared" si="109"/>
        <v>-30.106161731113389</v>
      </c>
      <c r="S186" s="50">
        <f t="shared" si="109"/>
        <v>-74.769807729321315</v>
      </c>
      <c r="T186" s="50">
        <f t="shared" si="109"/>
        <v>112.40892805167539</v>
      </c>
      <c r="U186" s="50">
        <f t="shared" si="109"/>
        <v>65.783139622862564</v>
      </c>
      <c r="V186" s="50">
        <f t="shared" si="109"/>
        <v>3.2754417955675308</v>
      </c>
      <c r="W186" s="50">
        <f t="shared" si="109"/>
        <v>-78.862248401247825</v>
      </c>
      <c r="X186" s="50">
        <f t="shared" si="109"/>
        <v>-185.16771944752759</v>
      </c>
      <c r="Y186" s="50">
        <f t="shared" si="109"/>
        <v>0</v>
      </c>
      <c r="Z186" s="50">
        <f t="shared" si="109"/>
        <v>0</v>
      </c>
      <c r="AA186" s="50">
        <f t="shared" si="109"/>
        <v>0</v>
      </c>
      <c r="AB186" s="50">
        <f t="shared" si="109"/>
        <v>0</v>
      </c>
      <c r="AC186" s="50">
        <f t="shared" si="109"/>
        <v>0</v>
      </c>
      <c r="AD186" s="50">
        <f t="shared" si="109"/>
        <v>0</v>
      </c>
      <c r="AE186" s="50">
        <f t="shared" si="109"/>
        <v>0</v>
      </c>
      <c r="AF186" s="50">
        <f t="shared" si="109"/>
        <v>0</v>
      </c>
      <c r="AG186" s="50">
        <f t="shared" si="109"/>
        <v>0</v>
      </c>
      <c r="AH186" s="50">
        <f t="shared" si="109"/>
        <v>0</v>
      </c>
      <c r="AI186" s="50">
        <f t="shared" si="109"/>
        <v>0</v>
      </c>
      <c r="AJ186" s="50">
        <f t="shared" si="109"/>
        <v>0</v>
      </c>
      <c r="AK186" s="50">
        <f t="shared" si="109"/>
        <v>0</v>
      </c>
      <c r="AL186" s="50">
        <f t="shared" si="109"/>
        <v>0</v>
      </c>
      <c r="AM186" s="50">
        <f t="shared" si="109"/>
        <v>0</v>
      </c>
      <c r="AN186" s="50">
        <f t="shared" si="109"/>
        <v>0</v>
      </c>
      <c r="AO186" s="50">
        <f t="shared" si="109"/>
        <v>0</v>
      </c>
      <c r="AP186" s="50">
        <f t="shared" si="109"/>
        <v>0</v>
      </c>
      <c r="AQ186" s="50">
        <f t="shared" si="109"/>
        <v>0</v>
      </c>
      <c r="AR186" s="51">
        <f t="shared" si="109"/>
        <v>0</v>
      </c>
    </row>
    <row r="187" spans="1:44" s="86" customFormat="1" x14ac:dyDescent="0.15">
      <c r="B187" s="147" t="s">
        <v>70</v>
      </c>
      <c r="C187" s="110"/>
    </row>
    <row r="188" spans="1:44" s="45" customFormat="1" x14ac:dyDescent="0.15">
      <c r="C188" s="35" t="s">
        <v>62</v>
      </c>
      <c r="E188" s="46" t="str">
        <f t="shared" ref="E188:AR188" si="110">IF(Year="",,IF(E92=0,"",E185/E92))</f>
        <v/>
      </c>
      <c r="F188" s="47" t="str">
        <f t="shared" si="110"/>
        <v/>
      </c>
      <c r="G188" s="47" t="str">
        <f t="shared" si="110"/>
        <v/>
      </c>
      <c r="H188" s="47" t="str">
        <f t="shared" si="110"/>
        <v/>
      </c>
      <c r="I188" s="47" t="str">
        <f t="shared" si="110"/>
        <v/>
      </c>
      <c r="J188" s="47">
        <f t="shared" si="110"/>
        <v>4458.6703918658122</v>
      </c>
      <c r="K188" s="47">
        <f t="shared" si="110"/>
        <v>1978.2820025283652</v>
      </c>
      <c r="L188" s="47">
        <f t="shared" si="110"/>
        <v>765.13125076550841</v>
      </c>
      <c r="M188" s="47">
        <f t="shared" si="110"/>
        <v>275.95016924037259</v>
      </c>
      <c r="N188" s="47">
        <f t="shared" si="110"/>
        <v>100.70160674579047</v>
      </c>
      <c r="O188" s="47">
        <f t="shared" si="110"/>
        <v>34.832958024366789</v>
      </c>
      <c r="P188" s="47">
        <f t="shared" si="110"/>
        <v>1.9662005140921595</v>
      </c>
      <c r="Q188" s="47">
        <f t="shared" si="110"/>
        <v>-24.961513007394405</v>
      </c>
      <c r="R188" s="47">
        <f t="shared" si="110"/>
        <v>-56.110855244740101</v>
      </c>
      <c r="S188" s="47">
        <f t="shared" si="110"/>
        <v>-94.648909323198154</v>
      </c>
      <c r="T188" s="47">
        <f t="shared" si="110"/>
        <v>-147.63191116362006</v>
      </c>
      <c r="U188" s="47">
        <f t="shared" si="110"/>
        <v>-216.47857134529971</v>
      </c>
      <c r="V188" s="47">
        <f t="shared" si="110"/>
        <v>-306.10612646620456</v>
      </c>
      <c r="W188" s="47">
        <f t="shared" si="110"/>
        <v>-423.24929818129294</v>
      </c>
      <c r="X188" s="47">
        <f t="shared" si="110"/>
        <v>-577.30890628341933</v>
      </c>
      <c r="Y188" s="47">
        <f t="shared" si="110"/>
        <v>0</v>
      </c>
      <c r="Z188" s="47">
        <f t="shared" si="110"/>
        <v>0</v>
      </c>
      <c r="AA188" s="47">
        <f t="shared" si="110"/>
        <v>0</v>
      </c>
      <c r="AB188" s="47">
        <f t="shared" si="110"/>
        <v>0</v>
      </c>
      <c r="AC188" s="47">
        <f t="shared" si="110"/>
        <v>0</v>
      </c>
      <c r="AD188" s="47">
        <f t="shared" si="110"/>
        <v>0</v>
      </c>
      <c r="AE188" s="47">
        <f t="shared" si="110"/>
        <v>0</v>
      </c>
      <c r="AF188" s="47">
        <f t="shared" si="110"/>
        <v>0</v>
      </c>
      <c r="AG188" s="47">
        <f t="shared" si="110"/>
        <v>0</v>
      </c>
      <c r="AH188" s="47">
        <f t="shared" si="110"/>
        <v>0</v>
      </c>
      <c r="AI188" s="47">
        <f t="shared" si="110"/>
        <v>0</v>
      </c>
      <c r="AJ188" s="47">
        <f t="shared" si="110"/>
        <v>0</v>
      </c>
      <c r="AK188" s="47">
        <f t="shared" si="110"/>
        <v>0</v>
      </c>
      <c r="AL188" s="47">
        <f t="shared" si="110"/>
        <v>0</v>
      </c>
      <c r="AM188" s="47">
        <f t="shared" si="110"/>
        <v>0</v>
      </c>
      <c r="AN188" s="47">
        <f t="shared" si="110"/>
        <v>0</v>
      </c>
      <c r="AO188" s="47">
        <f t="shared" si="110"/>
        <v>0</v>
      </c>
      <c r="AP188" s="47">
        <f t="shared" si="110"/>
        <v>0</v>
      </c>
      <c r="AQ188" s="47">
        <f t="shared" si="110"/>
        <v>0</v>
      </c>
      <c r="AR188" s="48">
        <f t="shared" si="110"/>
        <v>0</v>
      </c>
    </row>
    <row r="189" spans="1:44" s="45" customFormat="1" x14ac:dyDescent="0.15">
      <c r="C189" s="43" t="str">
        <f>CONCATENATE(Tariff_Period," year reset period")</f>
        <v>5 year reset period</v>
      </c>
      <c r="E189" s="49" t="str">
        <f t="shared" ref="E189:AR189" si="111">IF(Year="",,IF(E92=0,"",E186/E92))</f>
        <v/>
      </c>
      <c r="F189" s="50" t="str">
        <f t="shared" si="111"/>
        <v/>
      </c>
      <c r="G189" s="50" t="str">
        <f t="shared" si="111"/>
        <v/>
      </c>
      <c r="H189" s="50" t="str">
        <f t="shared" si="111"/>
        <v/>
      </c>
      <c r="I189" s="50" t="str">
        <f t="shared" si="111"/>
        <v/>
      </c>
      <c r="J189" s="50">
        <f t="shared" si="111"/>
        <v>869.18382612821551</v>
      </c>
      <c r="K189" s="50">
        <f t="shared" si="111"/>
        <v>383.36801399706508</v>
      </c>
      <c r="L189" s="50">
        <f t="shared" si="111"/>
        <v>85.952695876115058</v>
      </c>
      <c r="M189" s="50">
        <f t="shared" si="111"/>
        <v>-23.570022368996511</v>
      </c>
      <c r="N189" s="50">
        <f t="shared" si="111"/>
        <v>-51.634838062083666</v>
      </c>
      <c r="O189" s="50">
        <f t="shared" si="111"/>
        <v>72.167406618860412</v>
      </c>
      <c r="P189" s="50">
        <f t="shared" si="111"/>
        <v>32.216562778104979</v>
      </c>
      <c r="Q189" s="50">
        <f t="shared" si="111"/>
        <v>4.011294506984</v>
      </c>
      <c r="R189" s="50">
        <f t="shared" si="111"/>
        <v>-25.833595696017571</v>
      </c>
      <c r="S189" s="50">
        <f t="shared" si="111"/>
        <v>-62.206422982156347</v>
      </c>
      <c r="T189" s="50">
        <f t="shared" si="111"/>
        <v>94.861698486343485</v>
      </c>
      <c r="U189" s="50">
        <f t="shared" si="111"/>
        <v>56.558955354757778</v>
      </c>
      <c r="V189" s="50">
        <f t="shared" si="111"/>
        <v>2.8837096579257016</v>
      </c>
      <c r="W189" s="50">
        <f t="shared" si="111"/>
        <v>-71.514481293678998</v>
      </c>
      <c r="X189" s="50">
        <f t="shared" si="111"/>
        <v>-174.14971235466302</v>
      </c>
      <c r="Y189" s="50">
        <f t="shared" si="111"/>
        <v>0</v>
      </c>
      <c r="Z189" s="50">
        <f t="shared" si="111"/>
        <v>0</v>
      </c>
      <c r="AA189" s="50">
        <f t="shared" si="111"/>
        <v>0</v>
      </c>
      <c r="AB189" s="50">
        <f t="shared" si="111"/>
        <v>0</v>
      </c>
      <c r="AC189" s="50">
        <f t="shared" si="111"/>
        <v>0</v>
      </c>
      <c r="AD189" s="50">
        <f t="shared" si="111"/>
        <v>0</v>
      </c>
      <c r="AE189" s="50">
        <f t="shared" si="111"/>
        <v>0</v>
      </c>
      <c r="AF189" s="50">
        <f t="shared" si="111"/>
        <v>0</v>
      </c>
      <c r="AG189" s="50">
        <f t="shared" si="111"/>
        <v>0</v>
      </c>
      <c r="AH189" s="50">
        <f t="shared" si="111"/>
        <v>0</v>
      </c>
      <c r="AI189" s="50">
        <f t="shared" si="111"/>
        <v>0</v>
      </c>
      <c r="AJ189" s="50">
        <f t="shared" si="111"/>
        <v>0</v>
      </c>
      <c r="AK189" s="50">
        <f t="shared" si="111"/>
        <v>0</v>
      </c>
      <c r="AL189" s="50">
        <f t="shared" si="111"/>
        <v>0</v>
      </c>
      <c r="AM189" s="50">
        <f t="shared" si="111"/>
        <v>0</v>
      </c>
      <c r="AN189" s="50">
        <f t="shared" si="111"/>
        <v>0</v>
      </c>
      <c r="AO189" s="50">
        <f t="shared" si="111"/>
        <v>0</v>
      </c>
      <c r="AP189" s="50">
        <f t="shared" si="111"/>
        <v>0</v>
      </c>
      <c r="AQ189" s="50">
        <f t="shared" si="111"/>
        <v>0</v>
      </c>
      <c r="AR189" s="51">
        <f t="shared" si="111"/>
        <v>0</v>
      </c>
    </row>
    <row r="190" spans="1:44" s="45" customFormat="1" x14ac:dyDescent="0.15">
      <c r="B190" s="75"/>
      <c r="H190" s="45" t="s">
        <v>165</v>
      </c>
    </row>
    <row r="191" spans="1:44" s="45" customFormat="1" x14ac:dyDescent="0.15">
      <c r="B191" s="75"/>
      <c r="H191" s="231"/>
    </row>
    <row r="192" spans="1:44" s="139" customFormat="1" ht="18" x14ac:dyDescent="0.2">
      <c r="A192" s="137" t="s">
        <v>123</v>
      </c>
      <c r="B192" s="138"/>
      <c r="C192" s="138"/>
      <c r="D192" s="45"/>
      <c r="F192" s="139">
        <f>ExistTariff_Connected</f>
        <v>30</v>
      </c>
      <c r="H192" s="267"/>
    </row>
    <row r="193" spans="1:44" s="45" customFormat="1" x14ac:dyDescent="0.15">
      <c r="B193" s="77" t="s">
        <v>91</v>
      </c>
      <c r="C193" s="266"/>
    </row>
    <row r="194" spans="1:44" s="45" customFormat="1" x14ac:dyDescent="0.15">
      <c r="C194" s="266" t="s">
        <v>92</v>
      </c>
      <c r="D194" s="46">
        <f>IF(Year="",,Demand)</f>
        <v>150</v>
      </c>
      <c r="E194" s="47">
        <f>IF(Year="",,D194*EXP(Demand_Growth))</f>
        <v>153.03020100401338</v>
      </c>
      <c r="F194" s="47">
        <f t="shared" ref="F194:AR194" si="112">IF(Year="",,E194*EXP(Demand_Growth))</f>
        <v>156.12161612885822</v>
      </c>
      <c r="G194" s="47">
        <f t="shared" si="112"/>
        <v>159.27548198180392</v>
      </c>
      <c r="H194" s="47">
        <f t="shared" si="112"/>
        <v>162.49306015124375</v>
      </c>
      <c r="I194" s="47">
        <f t="shared" si="112"/>
        <v>165.77563771134712</v>
      </c>
      <c r="J194" s="47">
        <f t="shared" si="112"/>
        <v>169.12452773690632</v>
      </c>
      <c r="K194" s="47">
        <f t="shared" si="112"/>
        <v>172.54106982858406</v>
      </c>
      <c r="L194" s="47">
        <f t="shared" si="112"/>
        <v>176.02663064877149</v>
      </c>
      <c r="M194" s="47">
        <f t="shared" si="112"/>
        <v>179.58260446827148</v>
      </c>
      <c r="N194" s="47">
        <f t="shared" si="112"/>
        <v>183.21041372402541</v>
      </c>
      <c r="O194" s="47">
        <f t="shared" si="112"/>
        <v>186.91150958810707</v>
      </c>
      <c r="P194" s="47">
        <f t="shared" si="112"/>
        <v>190.68737254821065</v>
      </c>
      <c r="Q194" s="47">
        <f t="shared" si="112"/>
        <v>194.53951299986571</v>
      </c>
      <c r="R194" s="47">
        <f t="shared" si="112"/>
        <v>198.46947185061546</v>
      </c>
      <c r="S194" s="47">
        <f t="shared" si="112"/>
        <v>202.47882113640037</v>
      </c>
      <c r="T194" s="47">
        <f t="shared" si="112"/>
        <v>206.56916465039345</v>
      </c>
      <c r="U194" s="47">
        <f t="shared" si="112"/>
        <v>210.74213858453894</v>
      </c>
      <c r="V194" s="47">
        <f t="shared" si="112"/>
        <v>214.9994121840509</v>
      </c>
      <c r="W194" s="47">
        <f t="shared" si="112"/>
        <v>219.34268841513352</v>
      </c>
      <c r="X194" s="47">
        <f t="shared" si="112"/>
        <v>223.77370464619037</v>
      </c>
      <c r="Y194" s="47">
        <f t="shared" si="112"/>
        <v>0</v>
      </c>
      <c r="Z194" s="47">
        <f t="shared" si="112"/>
        <v>0</v>
      </c>
      <c r="AA194" s="47">
        <f t="shared" si="112"/>
        <v>0</v>
      </c>
      <c r="AB194" s="47">
        <f t="shared" si="112"/>
        <v>0</v>
      </c>
      <c r="AC194" s="47">
        <f t="shared" si="112"/>
        <v>0</v>
      </c>
      <c r="AD194" s="47">
        <f t="shared" si="112"/>
        <v>0</v>
      </c>
      <c r="AE194" s="47">
        <f t="shared" si="112"/>
        <v>0</v>
      </c>
      <c r="AF194" s="47">
        <f t="shared" si="112"/>
        <v>0</v>
      </c>
      <c r="AG194" s="47">
        <f t="shared" si="112"/>
        <v>0</v>
      </c>
      <c r="AH194" s="47">
        <f t="shared" si="112"/>
        <v>0</v>
      </c>
      <c r="AI194" s="47">
        <f t="shared" si="112"/>
        <v>0</v>
      </c>
      <c r="AJ194" s="47">
        <f t="shared" si="112"/>
        <v>0</v>
      </c>
      <c r="AK194" s="47">
        <f t="shared" si="112"/>
        <v>0</v>
      </c>
      <c r="AL194" s="47">
        <f t="shared" si="112"/>
        <v>0</v>
      </c>
      <c r="AM194" s="47">
        <f t="shared" si="112"/>
        <v>0</v>
      </c>
      <c r="AN194" s="47">
        <f t="shared" si="112"/>
        <v>0</v>
      </c>
      <c r="AO194" s="47">
        <f t="shared" si="112"/>
        <v>0</v>
      </c>
      <c r="AP194" s="47">
        <f t="shared" si="112"/>
        <v>0</v>
      </c>
      <c r="AQ194" s="47">
        <f t="shared" si="112"/>
        <v>0</v>
      </c>
      <c r="AR194" s="48">
        <f t="shared" si="112"/>
        <v>0</v>
      </c>
    </row>
    <row r="195" spans="1:44" s="45" customFormat="1" x14ac:dyDescent="0.15">
      <c r="C195" s="266" t="s">
        <v>93</v>
      </c>
      <c r="D195" s="49">
        <f>IF(Year="",,'[1]Other assumptions'!E21)</f>
        <v>75</v>
      </c>
      <c r="E195" s="50">
        <f>IF(Year="",,D195*EXP(Demand_Growth))</f>
        <v>76.515100502006689</v>
      </c>
      <c r="F195" s="50">
        <f t="shared" ref="F195:AR195" si="113">IF(Year="",,E195*EXP(Demand_Growth))</f>
        <v>78.060808064429111</v>
      </c>
      <c r="G195" s="50">
        <f t="shared" si="113"/>
        <v>79.63774099090196</v>
      </c>
      <c r="H195" s="50">
        <f t="shared" si="113"/>
        <v>81.246530075621877</v>
      </c>
      <c r="I195" s="50">
        <f t="shared" si="113"/>
        <v>82.887818855673558</v>
      </c>
      <c r="J195" s="50">
        <f t="shared" si="113"/>
        <v>84.562263868453158</v>
      </c>
      <c r="K195" s="50">
        <f t="shared" si="113"/>
        <v>86.270534914292028</v>
      </c>
      <c r="L195" s="50">
        <f t="shared" si="113"/>
        <v>88.013315324385744</v>
      </c>
      <c r="M195" s="50">
        <f t="shared" si="113"/>
        <v>89.791302234135742</v>
      </c>
      <c r="N195" s="50">
        <f t="shared" si="113"/>
        <v>91.605206862012707</v>
      </c>
      <c r="O195" s="50">
        <f t="shared" si="113"/>
        <v>93.455754794053533</v>
      </c>
      <c r="P195" s="50">
        <f t="shared" si="113"/>
        <v>95.343686274105323</v>
      </c>
      <c r="Q195" s="50">
        <f t="shared" si="113"/>
        <v>97.269756499932853</v>
      </c>
      <c r="R195" s="50">
        <f t="shared" si="113"/>
        <v>99.234735925307731</v>
      </c>
      <c r="S195" s="50">
        <f t="shared" si="113"/>
        <v>101.23941056820019</v>
      </c>
      <c r="T195" s="50">
        <f t="shared" si="113"/>
        <v>103.28458232519672</v>
      </c>
      <c r="U195" s="50">
        <f t="shared" si="113"/>
        <v>105.37106929226947</v>
      </c>
      <c r="V195" s="50">
        <f t="shared" si="113"/>
        <v>107.49970609202545</v>
      </c>
      <c r="W195" s="50">
        <f t="shared" si="113"/>
        <v>109.67134420756676</v>
      </c>
      <c r="X195" s="50">
        <f t="shared" si="113"/>
        <v>111.88685232309518</v>
      </c>
      <c r="Y195" s="50">
        <f t="shared" si="113"/>
        <v>0</v>
      </c>
      <c r="Z195" s="50">
        <f t="shared" si="113"/>
        <v>0</v>
      </c>
      <c r="AA195" s="50">
        <f t="shared" si="113"/>
        <v>0</v>
      </c>
      <c r="AB195" s="50">
        <f t="shared" si="113"/>
        <v>0</v>
      </c>
      <c r="AC195" s="50">
        <f t="shared" si="113"/>
        <v>0</v>
      </c>
      <c r="AD195" s="50">
        <f t="shared" si="113"/>
        <v>0</v>
      </c>
      <c r="AE195" s="50">
        <f t="shared" si="113"/>
        <v>0</v>
      </c>
      <c r="AF195" s="50">
        <f t="shared" si="113"/>
        <v>0</v>
      </c>
      <c r="AG195" s="50">
        <f t="shared" si="113"/>
        <v>0</v>
      </c>
      <c r="AH195" s="50">
        <f t="shared" si="113"/>
        <v>0</v>
      </c>
      <c r="AI195" s="50">
        <f t="shared" si="113"/>
        <v>0</v>
      </c>
      <c r="AJ195" s="50">
        <f t="shared" si="113"/>
        <v>0</v>
      </c>
      <c r="AK195" s="50">
        <f t="shared" si="113"/>
        <v>0</v>
      </c>
      <c r="AL195" s="50">
        <f t="shared" si="113"/>
        <v>0</v>
      </c>
      <c r="AM195" s="50">
        <f t="shared" si="113"/>
        <v>0</v>
      </c>
      <c r="AN195" s="50">
        <f t="shared" si="113"/>
        <v>0</v>
      </c>
      <c r="AO195" s="50">
        <f t="shared" si="113"/>
        <v>0</v>
      </c>
      <c r="AP195" s="50">
        <f t="shared" si="113"/>
        <v>0</v>
      </c>
      <c r="AQ195" s="50">
        <f t="shared" si="113"/>
        <v>0</v>
      </c>
      <c r="AR195" s="51">
        <f t="shared" si="113"/>
        <v>0</v>
      </c>
    </row>
    <row r="196" spans="1:44" s="45" customFormat="1" x14ac:dyDescent="0.15">
      <c r="A196" s="75"/>
      <c r="B196" s="77" t="s">
        <v>94</v>
      </c>
      <c r="C196" s="266"/>
    </row>
    <row r="197" spans="1:44" s="45" customFormat="1" x14ac:dyDescent="0.15">
      <c r="A197" s="75"/>
      <c r="B197" s="75" t="s">
        <v>92</v>
      </c>
      <c r="C197" s="266"/>
    </row>
    <row r="198" spans="1:44" s="45" customFormat="1" x14ac:dyDescent="0.15">
      <c r="B198" s="35" t="s">
        <v>151</v>
      </c>
      <c r="C198" s="266" t="str">
        <f>CONCATENATE(Tariff_Period," year reset period")</f>
        <v>5 year reset period</v>
      </c>
      <c r="D198" s="46">
        <f>IF(Year="",,ExistTariff_Connected*D$194)</f>
        <v>4500</v>
      </c>
      <c r="E198" s="47">
        <f t="shared" ref="E198:AR198" si="114">IF(Year="",,(E153+E154)*E$194)</f>
        <v>7481.6957140537852</v>
      </c>
      <c r="F198" s="47">
        <f t="shared" si="114"/>
        <v>8143.9574991680265</v>
      </c>
      <c r="G198" s="47">
        <f t="shared" si="114"/>
        <v>8910.2762906652097</v>
      </c>
      <c r="H198" s="47">
        <f t="shared" si="114"/>
        <v>9783.9735489715458</v>
      </c>
      <c r="I198" s="47">
        <f t="shared" si="114"/>
        <v>10769.306589086531</v>
      </c>
      <c r="J198" s="47">
        <f t="shared" si="114"/>
        <v>12700.90062958534</v>
      </c>
      <c r="K198" s="47">
        <f t="shared" si="114"/>
        <v>14015.330147478293</v>
      </c>
      <c r="L198" s="47">
        <f t="shared" si="114"/>
        <v>15475.060803226528</v>
      </c>
      <c r="M198" s="47">
        <f t="shared" si="114"/>
        <v>17093.07042158394</v>
      </c>
      <c r="N198" s="47">
        <f t="shared" si="114"/>
        <v>18884.433132062924</v>
      </c>
      <c r="O198" s="47">
        <f t="shared" si="114"/>
        <v>25910.882308895412</v>
      </c>
      <c r="P198" s="47">
        <f t="shared" si="114"/>
        <v>28632.485814652366</v>
      </c>
      <c r="Q198" s="47">
        <f t="shared" si="114"/>
        <v>31641.489510106097</v>
      </c>
      <c r="R198" s="47">
        <f t="shared" si="114"/>
        <v>34967.727478578046</v>
      </c>
      <c r="S198" s="47">
        <f t="shared" si="114"/>
        <v>38644.302973602375</v>
      </c>
      <c r="T198" s="47">
        <f t="shared" si="114"/>
        <v>55922.408519421588</v>
      </c>
      <c r="U198" s="47">
        <f t="shared" si="114"/>
        <v>61803.23646315356</v>
      </c>
      <c r="V198" s="47">
        <f t="shared" si="114"/>
        <v>68302.752904696856</v>
      </c>
      <c r="W198" s="47">
        <f t="shared" si="114"/>
        <v>75485.959719536113</v>
      </c>
      <c r="X198" s="47">
        <f t="shared" si="114"/>
        <v>83424.717372071755</v>
      </c>
      <c r="Y198" s="47">
        <f t="shared" si="114"/>
        <v>0</v>
      </c>
      <c r="Z198" s="47">
        <f t="shared" si="114"/>
        <v>0</v>
      </c>
      <c r="AA198" s="47">
        <f t="shared" si="114"/>
        <v>0</v>
      </c>
      <c r="AB198" s="47">
        <f t="shared" si="114"/>
        <v>0</v>
      </c>
      <c r="AC198" s="47">
        <f t="shared" si="114"/>
        <v>0</v>
      </c>
      <c r="AD198" s="47">
        <f t="shared" si="114"/>
        <v>0</v>
      </c>
      <c r="AE198" s="47">
        <f t="shared" si="114"/>
        <v>0</v>
      </c>
      <c r="AF198" s="47">
        <f t="shared" si="114"/>
        <v>0</v>
      </c>
      <c r="AG198" s="47">
        <f t="shared" si="114"/>
        <v>0</v>
      </c>
      <c r="AH198" s="47">
        <f t="shared" si="114"/>
        <v>0</v>
      </c>
      <c r="AI198" s="47">
        <f t="shared" si="114"/>
        <v>0</v>
      </c>
      <c r="AJ198" s="47">
        <f t="shared" si="114"/>
        <v>0</v>
      </c>
      <c r="AK198" s="47">
        <f t="shared" si="114"/>
        <v>0</v>
      </c>
      <c r="AL198" s="47">
        <f t="shared" si="114"/>
        <v>0</v>
      </c>
      <c r="AM198" s="47">
        <f t="shared" si="114"/>
        <v>0</v>
      </c>
      <c r="AN198" s="47">
        <f t="shared" si="114"/>
        <v>0</v>
      </c>
      <c r="AO198" s="47">
        <f t="shared" si="114"/>
        <v>0</v>
      </c>
      <c r="AP198" s="47">
        <f t="shared" si="114"/>
        <v>0</v>
      </c>
      <c r="AQ198" s="47">
        <f t="shared" si="114"/>
        <v>0</v>
      </c>
      <c r="AR198" s="48">
        <f t="shared" si="114"/>
        <v>0</v>
      </c>
    </row>
    <row r="199" spans="1:44" s="45" customFormat="1" x14ac:dyDescent="0.15">
      <c r="C199" s="266" t="s">
        <v>95</v>
      </c>
      <c r="D199" s="49">
        <f>IF(Year="",,ExistTariff_Connected*TariffIndex_Det*D$194)</f>
        <v>4500</v>
      </c>
      <c r="E199" s="50">
        <f>IF(Year="",,ExistTariff_Connected*TariffIndex_Det*E$194)</f>
        <v>4865.4981687856434</v>
      </c>
      <c r="F199" s="50">
        <f t="shared" ref="F199:AR199" si="115">IF(Year="",,ExistTariff_Connected*TariffIndex_Det*F$194)</f>
        <v>5296.1804132770012</v>
      </c>
      <c r="G199" s="50">
        <f t="shared" si="115"/>
        <v>5794.5330353613017</v>
      </c>
      <c r="H199" s="50">
        <f t="shared" si="115"/>
        <v>6362.7160479873555</v>
      </c>
      <c r="I199" s="50">
        <f t="shared" si="115"/>
        <v>7003.4980692767313</v>
      </c>
      <c r="J199" s="50">
        <f t="shared" si="115"/>
        <v>7720.7862544196823</v>
      </c>
      <c r="K199" s="50">
        <f t="shared" si="115"/>
        <v>8519.8185159989716</v>
      </c>
      <c r="L199" s="50">
        <f t="shared" si="115"/>
        <v>9407.1782954939135</v>
      </c>
      <c r="M199" s="50">
        <f t="shared" si="115"/>
        <v>10390.754719344779</v>
      </c>
      <c r="N199" s="50">
        <f t="shared" si="115"/>
        <v>11479.711242595498</v>
      </c>
      <c r="O199" s="50">
        <f t="shared" si="115"/>
        <v>12684.485915118417</v>
      </c>
      <c r="P199" s="50">
        <f t="shared" si="115"/>
        <v>14016.827319928829</v>
      </c>
      <c r="Q199" s="50">
        <f t="shared" si="115"/>
        <v>15489.863418758194</v>
      </c>
      <c r="R199" s="50">
        <f t="shared" si="115"/>
        <v>17118.199272336202</v>
      </c>
      <c r="S199" s="50">
        <f t="shared" si="115"/>
        <v>18918.0403401371</v>
      </c>
      <c r="T199" s="50">
        <f t="shared" si="115"/>
        <v>20907.339283339235</v>
      </c>
      <c r="U199" s="50">
        <f t="shared" si="115"/>
        <v>23105.965350094673</v>
      </c>
      <c r="V199" s="50">
        <f t="shared" si="115"/>
        <v>25535.896374503143</v>
      </c>
      <c r="W199" s="50">
        <f t="shared" si="115"/>
        <v>28221.4341758316</v>
      </c>
      <c r="X199" s="50">
        <f t="shared" si="115"/>
        <v>31189.444748411373</v>
      </c>
      <c r="Y199" s="50">
        <f t="shared" si="115"/>
        <v>0</v>
      </c>
      <c r="Z199" s="50">
        <f t="shared" si="115"/>
        <v>0</v>
      </c>
      <c r="AA199" s="50">
        <f t="shared" si="115"/>
        <v>0</v>
      </c>
      <c r="AB199" s="50">
        <f t="shared" si="115"/>
        <v>0</v>
      </c>
      <c r="AC199" s="50">
        <f t="shared" si="115"/>
        <v>0</v>
      </c>
      <c r="AD199" s="50">
        <f t="shared" si="115"/>
        <v>0</v>
      </c>
      <c r="AE199" s="50">
        <f t="shared" si="115"/>
        <v>0</v>
      </c>
      <c r="AF199" s="50">
        <f t="shared" si="115"/>
        <v>0</v>
      </c>
      <c r="AG199" s="50">
        <f t="shared" si="115"/>
        <v>0</v>
      </c>
      <c r="AH199" s="50">
        <f t="shared" si="115"/>
        <v>0</v>
      </c>
      <c r="AI199" s="50">
        <f t="shared" si="115"/>
        <v>0</v>
      </c>
      <c r="AJ199" s="50">
        <f t="shared" si="115"/>
        <v>0</v>
      </c>
      <c r="AK199" s="50">
        <f t="shared" si="115"/>
        <v>0</v>
      </c>
      <c r="AL199" s="50">
        <f t="shared" si="115"/>
        <v>0</v>
      </c>
      <c r="AM199" s="50">
        <f t="shared" si="115"/>
        <v>0</v>
      </c>
      <c r="AN199" s="50">
        <f t="shared" si="115"/>
        <v>0</v>
      </c>
      <c r="AO199" s="50">
        <f t="shared" si="115"/>
        <v>0</v>
      </c>
      <c r="AP199" s="50">
        <f t="shared" si="115"/>
        <v>0</v>
      </c>
      <c r="AQ199" s="50">
        <f t="shared" si="115"/>
        <v>0</v>
      </c>
      <c r="AR199" s="51">
        <f t="shared" si="115"/>
        <v>0</v>
      </c>
    </row>
    <row r="200" spans="1:44" s="45" customFormat="1" x14ac:dyDescent="0.15">
      <c r="B200" s="269" t="s">
        <v>93</v>
      </c>
      <c r="D200" s="115">
        <f>IF(Year="",,ExistTariff_Other*D195/DeflateFactor_Det)</f>
        <v>3375</v>
      </c>
      <c r="E200" s="148">
        <f t="shared" ref="E200:AR200" si="116">IF(Year="",,ExistTariff_Other*E195/DeflateFactor_Det)</f>
        <v>3649.1236265892326</v>
      </c>
      <c r="F200" s="148">
        <f t="shared" si="116"/>
        <v>3972.1353099577505</v>
      </c>
      <c r="G200" s="148">
        <f t="shared" si="116"/>
        <v>4345.899776520976</v>
      </c>
      <c r="H200" s="148">
        <f t="shared" si="116"/>
        <v>4772.0370359905164</v>
      </c>
      <c r="I200" s="148">
        <f t="shared" si="116"/>
        <v>5252.6235519575484</v>
      </c>
      <c r="J200" s="148">
        <f t="shared" si="116"/>
        <v>5790.5896908147624</v>
      </c>
      <c r="K200" s="148">
        <f t="shared" si="116"/>
        <v>6389.8638869992292</v>
      </c>
      <c r="L200" s="148">
        <f t="shared" si="116"/>
        <v>7055.3837216204356</v>
      </c>
      <c r="M200" s="148">
        <f t="shared" si="116"/>
        <v>7793.0660395085852</v>
      </c>
      <c r="N200" s="148">
        <f t="shared" si="116"/>
        <v>8609.7834319466238</v>
      </c>
      <c r="O200" s="148">
        <f t="shared" si="116"/>
        <v>9513.3644363388121</v>
      </c>
      <c r="P200" s="148">
        <f t="shared" si="116"/>
        <v>10512.620489946623</v>
      </c>
      <c r="Q200" s="148">
        <f t="shared" si="116"/>
        <v>11617.397564068646</v>
      </c>
      <c r="R200" s="148">
        <f t="shared" si="116"/>
        <v>12838.649454252149</v>
      </c>
      <c r="S200" s="148">
        <f t="shared" si="116"/>
        <v>14188.530255102824</v>
      </c>
      <c r="T200" s="148">
        <f t="shared" si="116"/>
        <v>15680.504462504428</v>
      </c>
      <c r="U200" s="148">
        <f t="shared" si="116"/>
        <v>17329.474012571005</v>
      </c>
      <c r="V200" s="148">
        <f t="shared" si="116"/>
        <v>19151.922280877359</v>
      </c>
      <c r="W200" s="148">
        <f t="shared" si="116"/>
        <v>21166.0756318737</v>
      </c>
      <c r="X200" s="148">
        <f t="shared" si="116"/>
        <v>23392.083561308529</v>
      </c>
      <c r="Y200" s="148">
        <f t="shared" si="116"/>
        <v>0</v>
      </c>
      <c r="Z200" s="148">
        <f t="shared" si="116"/>
        <v>0</v>
      </c>
      <c r="AA200" s="148">
        <f t="shared" si="116"/>
        <v>0</v>
      </c>
      <c r="AB200" s="148">
        <f t="shared" si="116"/>
        <v>0</v>
      </c>
      <c r="AC200" s="148">
        <f t="shared" si="116"/>
        <v>0</v>
      </c>
      <c r="AD200" s="148">
        <f t="shared" si="116"/>
        <v>0</v>
      </c>
      <c r="AE200" s="148">
        <f t="shared" si="116"/>
        <v>0</v>
      </c>
      <c r="AF200" s="148">
        <f t="shared" si="116"/>
        <v>0</v>
      </c>
      <c r="AG200" s="148">
        <f t="shared" si="116"/>
        <v>0</v>
      </c>
      <c r="AH200" s="148">
        <f t="shared" si="116"/>
        <v>0</v>
      </c>
      <c r="AI200" s="148">
        <f t="shared" si="116"/>
        <v>0</v>
      </c>
      <c r="AJ200" s="148">
        <f t="shared" si="116"/>
        <v>0</v>
      </c>
      <c r="AK200" s="148">
        <f t="shared" si="116"/>
        <v>0</v>
      </c>
      <c r="AL200" s="148">
        <f t="shared" si="116"/>
        <v>0</v>
      </c>
      <c r="AM200" s="148">
        <f t="shared" si="116"/>
        <v>0</v>
      </c>
      <c r="AN200" s="148">
        <f t="shared" si="116"/>
        <v>0</v>
      </c>
      <c r="AO200" s="148">
        <f t="shared" si="116"/>
        <v>0</v>
      </c>
      <c r="AP200" s="148">
        <f t="shared" si="116"/>
        <v>0</v>
      </c>
      <c r="AQ200" s="148">
        <f t="shared" si="116"/>
        <v>0</v>
      </c>
      <c r="AR200" s="149">
        <f t="shared" si="116"/>
        <v>0</v>
      </c>
    </row>
    <row r="201" spans="1:44" s="45" customFormat="1" x14ac:dyDescent="0.15">
      <c r="A201" s="75"/>
      <c r="B201" s="77" t="s">
        <v>96</v>
      </c>
    </row>
    <row r="202" spans="1:44" s="45" customFormat="1" x14ac:dyDescent="0.15">
      <c r="C202" s="266" t="s">
        <v>93</v>
      </c>
      <c r="D202" s="115">
        <f>IF(Year="",,CopingCost/DeflateFactor_Det)</f>
        <v>1000</v>
      </c>
      <c r="E202" s="148">
        <f t="shared" ref="E202:AR202" si="117">IF(Year="",,CopingCost/DeflateFactor_Det)</f>
        <v>1059.8121888933633</v>
      </c>
      <c r="F202" s="148">
        <f t="shared" si="117"/>
        <v>1130.7809353159844</v>
      </c>
      <c r="G202" s="148">
        <f t="shared" si="117"/>
        <v>1212.6857114190127</v>
      </c>
      <c r="H202" s="148">
        <f t="shared" si="117"/>
        <v>1305.2282647363784</v>
      </c>
      <c r="I202" s="148">
        <f t="shared" si="117"/>
        <v>1408.228246716486</v>
      </c>
      <c r="J202" s="148">
        <f t="shared" si="117"/>
        <v>1521.7162481266073</v>
      </c>
      <c r="K202" s="148">
        <f t="shared" si="117"/>
        <v>1645.9498646637646</v>
      </c>
      <c r="L202" s="148">
        <f t="shared" si="117"/>
        <v>1781.3930124895314</v>
      </c>
      <c r="M202" s="148">
        <f t="shared" si="117"/>
        <v>1928.6861980332865</v>
      </c>
      <c r="N202" s="148">
        <f t="shared" si="117"/>
        <v>2088.6205846151088</v>
      </c>
      <c r="O202" s="148">
        <f t="shared" si="117"/>
        <v>2262.1196420828496</v>
      </c>
      <c r="P202" s="148">
        <f t="shared" si="117"/>
        <v>2450.2281985810773</v>
      </c>
      <c r="Q202" s="148">
        <f t="shared" si="117"/>
        <v>2654.1075006475912</v>
      </c>
      <c r="R202" s="148">
        <f t="shared" si="117"/>
        <v>2875.0348206735412</v>
      </c>
      <c r="S202" s="148">
        <f t="shared" si="117"/>
        <v>3114.4064407922961</v>
      </c>
      <c r="T202" s="148">
        <f t="shared" si="117"/>
        <v>3373.7431751932768</v>
      </c>
      <c r="U202" s="148">
        <f t="shared" si="117"/>
        <v>3654.6978699952388</v>
      </c>
      <c r="V202" s="148">
        <f t="shared" si="117"/>
        <v>3959.064525665317</v>
      </c>
      <c r="W202" s="148">
        <f t="shared" si="117"/>
        <v>4288.7888323284342</v>
      </c>
      <c r="X202" s="148">
        <f t="shared" si="117"/>
        <v>4645.9800087958129</v>
      </c>
      <c r="Y202" s="148">
        <f t="shared" si="117"/>
        <v>0</v>
      </c>
      <c r="Z202" s="148">
        <f t="shared" si="117"/>
        <v>0</v>
      </c>
      <c r="AA202" s="148">
        <f t="shared" si="117"/>
        <v>0</v>
      </c>
      <c r="AB202" s="148">
        <f t="shared" si="117"/>
        <v>0</v>
      </c>
      <c r="AC202" s="148">
        <f t="shared" si="117"/>
        <v>0</v>
      </c>
      <c r="AD202" s="148">
        <f t="shared" si="117"/>
        <v>0</v>
      </c>
      <c r="AE202" s="148">
        <f t="shared" si="117"/>
        <v>0</v>
      </c>
      <c r="AF202" s="148">
        <f t="shared" si="117"/>
        <v>0</v>
      </c>
      <c r="AG202" s="148">
        <f t="shared" si="117"/>
        <v>0</v>
      </c>
      <c r="AH202" s="148">
        <f t="shared" si="117"/>
        <v>0</v>
      </c>
      <c r="AI202" s="148">
        <f t="shared" si="117"/>
        <v>0</v>
      </c>
      <c r="AJ202" s="148">
        <f t="shared" si="117"/>
        <v>0</v>
      </c>
      <c r="AK202" s="148">
        <f t="shared" si="117"/>
        <v>0</v>
      </c>
      <c r="AL202" s="148">
        <f t="shared" si="117"/>
        <v>0</v>
      </c>
      <c r="AM202" s="148">
        <f t="shared" si="117"/>
        <v>0</v>
      </c>
      <c r="AN202" s="148">
        <f t="shared" si="117"/>
        <v>0</v>
      </c>
      <c r="AO202" s="148">
        <f t="shared" si="117"/>
        <v>0</v>
      </c>
      <c r="AP202" s="148">
        <f t="shared" si="117"/>
        <v>0</v>
      </c>
      <c r="AQ202" s="148">
        <f t="shared" si="117"/>
        <v>0</v>
      </c>
      <c r="AR202" s="149">
        <f t="shared" si="117"/>
        <v>0</v>
      </c>
    </row>
    <row r="203" spans="1:44" s="45" customFormat="1" x14ac:dyDescent="0.15">
      <c r="B203" s="77" t="s">
        <v>97</v>
      </c>
    </row>
    <row r="204" spans="1:44" s="45" customFormat="1" x14ac:dyDescent="0.15">
      <c r="C204" s="266" t="s">
        <v>92</v>
      </c>
      <c r="D204" s="115">
        <f t="shared" ref="D204:AR204" si="118">IF(Year="",,WTP_Connection*ExistTariff_Connected*D194/DeflateFactor_Det)</f>
        <v>11250</v>
      </c>
      <c r="E204" s="148">
        <f t="shared" si="118"/>
        <v>12163.745421964109</v>
      </c>
      <c r="F204" s="148">
        <f t="shared" si="118"/>
        <v>13240.451033192503</v>
      </c>
      <c r="G204" s="148">
        <f t="shared" si="118"/>
        <v>14486.332588403253</v>
      </c>
      <c r="H204" s="148">
        <f t="shared" si="118"/>
        <v>15906.790119968387</v>
      </c>
      <c r="I204" s="148">
        <f t="shared" si="118"/>
        <v>17508.745173191826</v>
      </c>
      <c r="J204" s="148">
        <f t="shared" si="118"/>
        <v>19301.965636049204</v>
      </c>
      <c r="K204" s="148">
        <f t="shared" si="118"/>
        <v>21299.54628999743</v>
      </c>
      <c r="L204" s="148">
        <f t="shared" si="118"/>
        <v>23517.945738734783</v>
      </c>
      <c r="M204" s="148">
        <f t="shared" si="118"/>
        <v>25976.886798361949</v>
      </c>
      <c r="N204" s="148">
        <f t="shared" si="118"/>
        <v>28699.278106488746</v>
      </c>
      <c r="O204" s="148">
        <f t="shared" si="118"/>
        <v>31711.214787796041</v>
      </c>
      <c r="P204" s="148">
        <f t="shared" si="118"/>
        <v>35042.068299822073</v>
      </c>
      <c r="Q204" s="148">
        <f t="shared" si="118"/>
        <v>38724.658546895487</v>
      </c>
      <c r="R204" s="148">
        <f t="shared" si="118"/>
        <v>42795.498180840499</v>
      </c>
      <c r="S204" s="148">
        <f t="shared" si="118"/>
        <v>47295.100850342744</v>
      </c>
      <c r="T204" s="148">
        <f t="shared" si="118"/>
        <v>52268.348208348092</v>
      </c>
      <c r="U204" s="148">
        <f t="shared" si="118"/>
        <v>57764.913375236691</v>
      </c>
      <c r="V204" s="148">
        <f t="shared" si="118"/>
        <v>63839.740936257855</v>
      </c>
      <c r="W204" s="148">
        <f t="shared" si="118"/>
        <v>70553.585439578994</v>
      </c>
      <c r="X204" s="148">
        <f t="shared" si="118"/>
        <v>77973.611871028435</v>
      </c>
      <c r="Y204" s="148">
        <f t="shared" si="118"/>
        <v>0</v>
      </c>
      <c r="Z204" s="148">
        <f t="shared" si="118"/>
        <v>0</v>
      </c>
      <c r="AA204" s="148">
        <f t="shared" si="118"/>
        <v>0</v>
      </c>
      <c r="AB204" s="148">
        <f t="shared" si="118"/>
        <v>0</v>
      </c>
      <c r="AC204" s="148">
        <f t="shared" si="118"/>
        <v>0</v>
      </c>
      <c r="AD204" s="148">
        <f t="shared" si="118"/>
        <v>0</v>
      </c>
      <c r="AE204" s="148">
        <f t="shared" si="118"/>
        <v>0</v>
      </c>
      <c r="AF204" s="148">
        <f t="shared" si="118"/>
        <v>0</v>
      </c>
      <c r="AG204" s="148">
        <f t="shared" si="118"/>
        <v>0</v>
      </c>
      <c r="AH204" s="148">
        <f t="shared" si="118"/>
        <v>0</v>
      </c>
      <c r="AI204" s="148">
        <f t="shared" si="118"/>
        <v>0</v>
      </c>
      <c r="AJ204" s="148">
        <f t="shared" si="118"/>
        <v>0</v>
      </c>
      <c r="AK204" s="148">
        <f t="shared" si="118"/>
        <v>0</v>
      </c>
      <c r="AL204" s="148">
        <f t="shared" si="118"/>
        <v>0</v>
      </c>
      <c r="AM204" s="148">
        <f t="shared" si="118"/>
        <v>0</v>
      </c>
      <c r="AN204" s="148">
        <f t="shared" si="118"/>
        <v>0</v>
      </c>
      <c r="AO204" s="148">
        <f t="shared" si="118"/>
        <v>0</v>
      </c>
      <c r="AP204" s="148">
        <f t="shared" si="118"/>
        <v>0</v>
      </c>
      <c r="AQ204" s="148">
        <f t="shared" si="118"/>
        <v>0</v>
      </c>
      <c r="AR204" s="149">
        <f t="shared" si="118"/>
        <v>0</v>
      </c>
    </row>
    <row r="205" spans="1:44" s="45" customFormat="1" x14ac:dyDescent="0.15">
      <c r="C205" s="276" t="s">
        <v>93</v>
      </c>
    </row>
    <row r="206" spans="1:44" s="45" customFormat="1" x14ac:dyDescent="0.15">
      <c r="C206" s="277" t="s">
        <v>94</v>
      </c>
      <c r="D206" s="46">
        <f t="shared" ref="D206:AR206" si="119">IF(Year="",,WTP_Other*ExistTariff_Other*D195/DeflateFactor_Det)</f>
        <v>5062.5</v>
      </c>
      <c r="E206" s="47">
        <f t="shared" si="119"/>
        <v>5473.6854398838495</v>
      </c>
      <c r="F206" s="47">
        <f t="shared" si="119"/>
        <v>5958.2029649366259</v>
      </c>
      <c r="G206" s="47">
        <f t="shared" si="119"/>
        <v>6518.8496647814636</v>
      </c>
      <c r="H206" s="47">
        <f t="shared" si="119"/>
        <v>7158.0555539857751</v>
      </c>
      <c r="I206" s="47">
        <f t="shared" si="119"/>
        <v>7878.935327936324</v>
      </c>
      <c r="J206" s="47">
        <f t="shared" si="119"/>
        <v>8685.8845362221437</v>
      </c>
      <c r="K206" s="47">
        <f t="shared" si="119"/>
        <v>9584.7958304988442</v>
      </c>
      <c r="L206" s="47">
        <f t="shared" si="119"/>
        <v>10583.075582430653</v>
      </c>
      <c r="M206" s="47">
        <f t="shared" si="119"/>
        <v>11689.599059262877</v>
      </c>
      <c r="N206" s="47">
        <f t="shared" si="119"/>
        <v>12914.675147919936</v>
      </c>
      <c r="O206" s="47">
        <f t="shared" si="119"/>
        <v>14270.046654508218</v>
      </c>
      <c r="P206" s="47">
        <f t="shared" si="119"/>
        <v>15768.930734919932</v>
      </c>
      <c r="Q206" s="47">
        <f t="shared" si="119"/>
        <v>17426.096346102968</v>
      </c>
      <c r="R206" s="47">
        <f t="shared" si="119"/>
        <v>19257.974181378224</v>
      </c>
      <c r="S206" s="47">
        <f t="shared" si="119"/>
        <v>21282.795382654236</v>
      </c>
      <c r="T206" s="47">
        <f t="shared" si="119"/>
        <v>23520.756693756641</v>
      </c>
      <c r="U206" s="47">
        <f t="shared" si="119"/>
        <v>25994.211018856509</v>
      </c>
      <c r="V206" s="47">
        <f t="shared" si="119"/>
        <v>28727.883421316037</v>
      </c>
      <c r="W206" s="47">
        <f t="shared" si="119"/>
        <v>31749.113447810549</v>
      </c>
      <c r="X206" s="47">
        <f t="shared" si="119"/>
        <v>35088.125341962797</v>
      </c>
      <c r="Y206" s="47">
        <f t="shared" si="119"/>
        <v>0</v>
      </c>
      <c r="Z206" s="47">
        <f t="shared" si="119"/>
        <v>0</v>
      </c>
      <c r="AA206" s="47">
        <f t="shared" si="119"/>
        <v>0</v>
      </c>
      <c r="AB206" s="47">
        <f t="shared" si="119"/>
        <v>0</v>
      </c>
      <c r="AC206" s="47">
        <f t="shared" si="119"/>
        <v>0</v>
      </c>
      <c r="AD206" s="47">
        <f t="shared" si="119"/>
        <v>0</v>
      </c>
      <c r="AE206" s="47">
        <f t="shared" si="119"/>
        <v>0</v>
      </c>
      <c r="AF206" s="47">
        <f t="shared" si="119"/>
        <v>0</v>
      </c>
      <c r="AG206" s="47">
        <f t="shared" si="119"/>
        <v>0</v>
      </c>
      <c r="AH206" s="47">
        <f t="shared" si="119"/>
        <v>0</v>
      </c>
      <c r="AI206" s="47">
        <f t="shared" si="119"/>
        <v>0</v>
      </c>
      <c r="AJ206" s="47">
        <f t="shared" si="119"/>
        <v>0</v>
      </c>
      <c r="AK206" s="47">
        <f t="shared" si="119"/>
        <v>0</v>
      </c>
      <c r="AL206" s="47">
        <f t="shared" si="119"/>
        <v>0</v>
      </c>
      <c r="AM206" s="47">
        <f t="shared" si="119"/>
        <v>0</v>
      </c>
      <c r="AN206" s="47">
        <f t="shared" si="119"/>
        <v>0</v>
      </c>
      <c r="AO206" s="47">
        <f t="shared" si="119"/>
        <v>0</v>
      </c>
      <c r="AP206" s="47">
        <f t="shared" si="119"/>
        <v>0</v>
      </c>
      <c r="AQ206" s="47">
        <f t="shared" si="119"/>
        <v>0</v>
      </c>
      <c r="AR206" s="48">
        <f t="shared" si="119"/>
        <v>0</v>
      </c>
    </row>
    <row r="207" spans="1:44" s="45" customFormat="1" x14ac:dyDescent="0.15">
      <c r="C207" s="277" t="s">
        <v>96</v>
      </c>
      <c r="D207" s="49">
        <f t="shared" ref="D207:AR207" si="120">IF(Year="",,(WTP_Cope*CopingCost)/DeflateFactor_Det)</f>
        <v>1300</v>
      </c>
      <c r="E207" s="50">
        <f t="shared" si="120"/>
        <v>1377.7558455613723</v>
      </c>
      <c r="F207" s="50">
        <f t="shared" si="120"/>
        <v>1470.0152159107797</v>
      </c>
      <c r="G207" s="50">
        <f t="shared" si="120"/>
        <v>1576.4914248447167</v>
      </c>
      <c r="H207" s="50">
        <f t="shared" si="120"/>
        <v>1696.7967441572919</v>
      </c>
      <c r="I207" s="50">
        <f t="shared" si="120"/>
        <v>1830.6967207314317</v>
      </c>
      <c r="J207" s="50">
        <f t="shared" si="120"/>
        <v>1978.2311225645897</v>
      </c>
      <c r="K207" s="50">
        <f t="shared" si="120"/>
        <v>2139.7348240628939</v>
      </c>
      <c r="L207" s="50">
        <f t="shared" si="120"/>
        <v>2315.8109162363908</v>
      </c>
      <c r="M207" s="50">
        <f t="shared" si="120"/>
        <v>2507.2920574432724</v>
      </c>
      <c r="N207" s="50">
        <f t="shared" si="120"/>
        <v>2715.2067599996417</v>
      </c>
      <c r="O207" s="50">
        <f t="shared" si="120"/>
        <v>2940.7555347077046</v>
      </c>
      <c r="P207" s="50">
        <f t="shared" si="120"/>
        <v>3185.2966581554006</v>
      </c>
      <c r="Q207" s="50">
        <f t="shared" si="120"/>
        <v>3450.3397508418684</v>
      </c>
      <c r="R207" s="50">
        <f t="shared" si="120"/>
        <v>3737.5452668756038</v>
      </c>
      <c r="S207" s="50">
        <f t="shared" si="120"/>
        <v>4048.7283730299851</v>
      </c>
      <c r="T207" s="50">
        <f t="shared" si="120"/>
        <v>4385.8661277512601</v>
      </c>
      <c r="U207" s="50">
        <f t="shared" si="120"/>
        <v>4751.1072309938099</v>
      </c>
      <c r="V207" s="50">
        <f t="shared" si="120"/>
        <v>5146.7838833649121</v>
      </c>
      <c r="W207" s="50">
        <f t="shared" si="120"/>
        <v>5575.4254820269643</v>
      </c>
      <c r="X207" s="50">
        <f t="shared" si="120"/>
        <v>6039.774011434557</v>
      </c>
      <c r="Y207" s="50">
        <f t="shared" si="120"/>
        <v>0</v>
      </c>
      <c r="Z207" s="50">
        <f t="shared" si="120"/>
        <v>0</v>
      </c>
      <c r="AA207" s="50">
        <f t="shared" si="120"/>
        <v>0</v>
      </c>
      <c r="AB207" s="50">
        <f t="shared" si="120"/>
        <v>0</v>
      </c>
      <c r="AC207" s="50">
        <f t="shared" si="120"/>
        <v>0</v>
      </c>
      <c r="AD207" s="50">
        <f t="shared" si="120"/>
        <v>0</v>
      </c>
      <c r="AE207" s="50">
        <f t="shared" si="120"/>
        <v>0</v>
      </c>
      <c r="AF207" s="50">
        <f t="shared" si="120"/>
        <v>0</v>
      </c>
      <c r="AG207" s="50">
        <f t="shared" si="120"/>
        <v>0</v>
      </c>
      <c r="AH207" s="50">
        <f t="shared" si="120"/>
        <v>0</v>
      </c>
      <c r="AI207" s="50">
        <f t="shared" si="120"/>
        <v>0</v>
      </c>
      <c r="AJ207" s="50">
        <f t="shared" si="120"/>
        <v>0</v>
      </c>
      <c r="AK207" s="50">
        <f t="shared" si="120"/>
        <v>0</v>
      </c>
      <c r="AL207" s="50">
        <f t="shared" si="120"/>
        <v>0</v>
      </c>
      <c r="AM207" s="50">
        <f t="shared" si="120"/>
        <v>0</v>
      </c>
      <c r="AN207" s="50">
        <f t="shared" si="120"/>
        <v>0</v>
      </c>
      <c r="AO207" s="50">
        <f t="shared" si="120"/>
        <v>0</v>
      </c>
      <c r="AP207" s="50">
        <f t="shared" si="120"/>
        <v>0</v>
      </c>
      <c r="AQ207" s="50">
        <f t="shared" si="120"/>
        <v>0</v>
      </c>
      <c r="AR207" s="51">
        <f t="shared" si="120"/>
        <v>0</v>
      </c>
    </row>
    <row r="208" spans="1:44" s="45" customFormat="1" x14ac:dyDescent="0.15">
      <c r="B208" s="77" t="s">
        <v>98</v>
      </c>
    </row>
    <row r="209" spans="2:44" s="45" customFormat="1" x14ac:dyDescent="0.15">
      <c r="C209" s="266" t="s">
        <v>92</v>
      </c>
      <c r="D209" s="46">
        <f>IF(Year="",,IF(Year="",,(D$199-D198)*$D$17*DeflateFactor_Det*DiscountFactor/MonDenValue))</f>
        <v>0</v>
      </c>
      <c r="E209" s="47">
        <f t="shared" ref="E209:AR209" si="121">IF(Year="",,IF(Year="",,(E$199-E198)*$D$17*DeflateFactor_Det*DiscountFactor/MonDenValue))</f>
        <v>-57.541478773900216</v>
      </c>
      <c r="F209" s="47">
        <f t="shared" si="121"/>
        <v>-54.73514773901713</v>
      </c>
      <c r="G209" s="47">
        <f t="shared" si="121"/>
        <v>-52.065683083746819</v>
      </c>
      <c r="H209" s="47">
        <f t="shared" si="121"/>
        <v>-49.526409755989043</v>
      </c>
      <c r="I209" s="47">
        <f t="shared" si="121"/>
        <v>-47.110978249776025</v>
      </c>
      <c r="J209" s="47">
        <f t="shared" si="121"/>
        <v>-53.757859202499603</v>
      </c>
      <c r="K209" s="47">
        <f t="shared" si="121"/>
        <v>-51.136057471584124</v>
      </c>
      <c r="L209" s="47">
        <f t="shared" si="121"/>
        <v>-48.642122519930382</v>
      </c>
      <c r="M209" s="47">
        <f t="shared" si="121"/>
        <v>-46.269818211126598</v>
      </c>
      <c r="N209" s="47">
        <f t="shared" si="121"/>
        <v>-44.013212548722628</v>
      </c>
      <c r="O209" s="47">
        <f t="shared" si="121"/>
        <v>-67.679824080221678</v>
      </c>
      <c r="P209" s="47">
        <f t="shared" si="121"/>
        <v>-64.379040110138831</v>
      </c>
      <c r="Q209" s="47">
        <f t="shared" si="121"/>
        <v>-61.239237273875759</v>
      </c>
      <c r="R209" s="47">
        <f t="shared" si="121"/>
        <v>-58.25256442889151</v>
      </c>
      <c r="S209" s="47">
        <f t="shared" si="121"/>
        <v>-55.4115533373852</v>
      </c>
      <c r="T209" s="47">
        <f t="shared" si="121"/>
        <v>-84.659004893029248</v>
      </c>
      <c r="U209" s="47">
        <f t="shared" si="121"/>
        <v>-80.530136503199316</v>
      </c>
      <c r="V209" s="47">
        <f t="shared" si="121"/>
        <v>-76.602635400902258</v>
      </c>
      <c r="W209" s="47">
        <f t="shared" si="121"/>
        <v>-72.866680787638245</v>
      </c>
      <c r="X209" s="47">
        <f t="shared" si="121"/>
        <v>-69.312930830902332</v>
      </c>
      <c r="Y209" s="47">
        <f t="shared" si="121"/>
        <v>0</v>
      </c>
      <c r="Z209" s="47">
        <f t="shared" si="121"/>
        <v>0</v>
      </c>
      <c r="AA209" s="47">
        <f t="shared" si="121"/>
        <v>0</v>
      </c>
      <c r="AB209" s="47">
        <f t="shared" si="121"/>
        <v>0</v>
      </c>
      <c r="AC209" s="47">
        <f t="shared" si="121"/>
        <v>0</v>
      </c>
      <c r="AD209" s="47">
        <f t="shared" si="121"/>
        <v>0</v>
      </c>
      <c r="AE209" s="47">
        <f t="shared" si="121"/>
        <v>0</v>
      </c>
      <c r="AF209" s="47">
        <f t="shared" si="121"/>
        <v>0</v>
      </c>
      <c r="AG209" s="47">
        <f t="shared" si="121"/>
        <v>0</v>
      </c>
      <c r="AH209" s="47">
        <f t="shared" si="121"/>
        <v>0</v>
      </c>
      <c r="AI209" s="47">
        <f t="shared" si="121"/>
        <v>0</v>
      </c>
      <c r="AJ209" s="47">
        <f t="shared" si="121"/>
        <v>0</v>
      </c>
      <c r="AK209" s="47">
        <f t="shared" si="121"/>
        <v>0</v>
      </c>
      <c r="AL209" s="47">
        <f t="shared" si="121"/>
        <v>0</v>
      </c>
      <c r="AM209" s="47">
        <f t="shared" si="121"/>
        <v>0</v>
      </c>
      <c r="AN209" s="47">
        <f t="shared" si="121"/>
        <v>0</v>
      </c>
      <c r="AO209" s="47">
        <f t="shared" si="121"/>
        <v>0</v>
      </c>
      <c r="AP209" s="47">
        <f t="shared" si="121"/>
        <v>0</v>
      </c>
      <c r="AQ209" s="47">
        <f t="shared" si="121"/>
        <v>0</v>
      </c>
      <c r="AR209" s="48">
        <f t="shared" si="121"/>
        <v>0</v>
      </c>
    </row>
    <row r="210" spans="2:44" s="45" customFormat="1" x14ac:dyDescent="0.15">
      <c r="C210" s="35" t="s">
        <v>93</v>
      </c>
      <c r="D210" s="49">
        <f>IF(Year="",,(D$206+D$207-D$200-D$202+D$204-D198)*Connections_New*DeflateFactor_Det*DiscountFactor/MonDenValue)</f>
        <v>0</v>
      </c>
      <c r="E210" s="50">
        <f t="shared" ref="E210:AR210" si="122">IF(Year="",,IF(Year="",,D210+(E$206+E$207-E$200-E$202+E$204-E198)*Connections_New*DeflateFactor_Det*DiscountFactor/MonDenValue))</f>
        <v>1.645111690401911</v>
      </c>
      <c r="F210" s="50">
        <f t="shared" si="122"/>
        <v>4.2584447026896237</v>
      </c>
      <c r="G210" s="50">
        <f t="shared" si="122"/>
        <v>10.57055073046776</v>
      </c>
      <c r="H210" s="50">
        <f t="shared" si="122"/>
        <v>24.300059375351317</v>
      </c>
      <c r="I210" s="50">
        <f t="shared" si="122"/>
        <v>48.192985829500145</v>
      </c>
      <c r="J210" s="50">
        <f t="shared" si="122"/>
        <v>74.506293088605432</v>
      </c>
      <c r="K210" s="50">
        <f t="shared" si="122"/>
        <v>94.428783502653431</v>
      </c>
      <c r="L210" s="50">
        <f t="shared" si="122"/>
        <v>104.76910804552371</v>
      </c>
      <c r="M210" s="50">
        <f t="shared" si="122"/>
        <v>109.0630718506406</v>
      </c>
      <c r="N210" s="50">
        <f t="shared" si="122"/>
        <v>111.63300615650726</v>
      </c>
      <c r="O210" s="50">
        <f t="shared" si="122"/>
        <v>111.63300615650726</v>
      </c>
      <c r="P210" s="50">
        <f t="shared" si="122"/>
        <v>111.63300615650726</v>
      </c>
      <c r="Q210" s="50">
        <f t="shared" si="122"/>
        <v>111.63300615650726</v>
      </c>
      <c r="R210" s="50">
        <f t="shared" si="122"/>
        <v>111.63300615650726</v>
      </c>
      <c r="S210" s="50">
        <f t="shared" si="122"/>
        <v>111.63300615650726</v>
      </c>
      <c r="T210" s="50">
        <f t="shared" si="122"/>
        <v>111.63300615650726</v>
      </c>
      <c r="U210" s="50">
        <f t="shared" si="122"/>
        <v>111.63300615650726</v>
      </c>
      <c r="V210" s="50">
        <f t="shared" si="122"/>
        <v>111.63300615650726</v>
      </c>
      <c r="W210" s="50">
        <f t="shared" si="122"/>
        <v>111.63300615650726</v>
      </c>
      <c r="X210" s="50">
        <f t="shared" si="122"/>
        <v>111.63300615650726</v>
      </c>
      <c r="Y210" s="50">
        <f t="shared" si="122"/>
        <v>0</v>
      </c>
      <c r="Z210" s="50">
        <f t="shared" si="122"/>
        <v>0</v>
      </c>
      <c r="AA210" s="50">
        <f t="shared" si="122"/>
        <v>0</v>
      </c>
      <c r="AB210" s="50">
        <f t="shared" si="122"/>
        <v>0</v>
      </c>
      <c r="AC210" s="50">
        <f t="shared" si="122"/>
        <v>0</v>
      </c>
      <c r="AD210" s="50">
        <f t="shared" si="122"/>
        <v>0</v>
      </c>
      <c r="AE210" s="50">
        <f t="shared" si="122"/>
        <v>0</v>
      </c>
      <c r="AF210" s="50">
        <f t="shared" si="122"/>
        <v>0</v>
      </c>
      <c r="AG210" s="50">
        <f t="shared" si="122"/>
        <v>0</v>
      </c>
      <c r="AH210" s="50">
        <f t="shared" si="122"/>
        <v>0</v>
      </c>
      <c r="AI210" s="50">
        <f t="shared" si="122"/>
        <v>0</v>
      </c>
      <c r="AJ210" s="50">
        <f t="shared" si="122"/>
        <v>0</v>
      </c>
      <c r="AK210" s="50">
        <f t="shared" si="122"/>
        <v>0</v>
      </c>
      <c r="AL210" s="50">
        <f t="shared" si="122"/>
        <v>0</v>
      </c>
      <c r="AM210" s="50">
        <f t="shared" si="122"/>
        <v>0</v>
      </c>
      <c r="AN210" s="50">
        <f t="shared" si="122"/>
        <v>0</v>
      </c>
      <c r="AO210" s="50">
        <f t="shared" si="122"/>
        <v>0</v>
      </c>
      <c r="AP210" s="50">
        <f t="shared" si="122"/>
        <v>0</v>
      </c>
      <c r="AQ210" s="50">
        <f t="shared" si="122"/>
        <v>0</v>
      </c>
      <c r="AR210" s="51">
        <f t="shared" si="122"/>
        <v>0</v>
      </c>
    </row>
    <row r="211" spans="2:44" s="43" customFormat="1" x14ac:dyDescent="0.15">
      <c r="B211" s="75"/>
    </row>
    <row r="212" spans="2:44" s="43" customFormat="1" ht="14" thickBot="1" x14ac:dyDescent="0.2">
      <c r="B212" s="75"/>
    </row>
    <row r="213" spans="2:44" s="150" customFormat="1" x14ac:dyDescent="0.15"/>
  </sheetData>
  <conditionalFormatting sqref="D33:AR34 D15:AR18 D20:AR21 D23:AR24 D30:AR31 E38:AR39 E84:AR86 E90:AR92 E94:AR96 D100:AR103 D105:AR108 E179:AR180 E162:AR167 E140:AR141 D135:AR136 D110:AR112 E188:AR189 E153:AR154 D128 D206:AR207 D202:AR202 D204:AR204 D194:AR195 D198:AR200 D8:AR9 E114:AR115 E158:AR159 D11:AR11 D4:AR6 E117:AR122 E130:AR132 D132 E126:AR128 D148:AR148 E170:AR171 E150:AR151 E176:AR177 E185:AR186 E143:AR144 D209:AR210">
    <cfRule type="expression" dxfId="13" priority="1" stopIfTrue="1">
      <formula>D$2=""</formula>
    </cfRule>
    <cfRule type="expression" dxfId="12" priority="2" stopIfTrue="1">
      <formula>D$2=Contract_Length</formula>
    </cfRule>
  </conditionalFormatting>
  <conditionalFormatting sqref="E42:AR82">
    <cfRule type="expression" dxfId="11" priority="3" stopIfTrue="1">
      <formula>E$2=""</formula>
    </cfRule>
    <cfRule type="expression" dxfId="10" priority="4" stopIfTrue="1">
      <formula>E42=0</formula>
    </cfRule>
  </conditionalFormatting>
  <conditionalFormatting sqref="D42:D82">
    <cfRule type="cellIs" dxfId="9" priority="5" stopIfTrue="1" operator="equal">
      <formula>0</formula>
    </cfRule>
  </conditionalFormatting>
  <pageMargins left="0.7" right="0.7" top="0.75" bottom="0.75" header="0.3" footer="0.3"/>
  <pageSetup paperSize="132" orientation="portrait" horizontalDpi="300" verticalDpi="300"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2"/>
  <dimension ref="A1:KN74"/>
  <sheetViews>
    <sheetView topLeftCell="CG1" zoomScale="92" workbookViewId="0">
      <selection activeCell="BZ7" sqref="BZ7"/>
    </sheetView>
  </sheetViews>
  <sheetFormatPr baseColWidth="10" defaultColWidth="8.83203125" defaultRowHeight="13" x14ac:dyDescent="0.15"/>
  <cols>
    <col min="2" max="201" width="15.6640625" customWidth="1"/>
  </cols>
  <sheetData>
    <row r="1" spans="1:201" x14ac:dyDescent="0.15">
      <c r="A1" s="4" t="b">
        <v>1</v>
      </c>
      <c r="B1" s="5">
        <v>1</v>
      </c>
      <c r="C1" s="5">
        <f>B1+1</f>
        <v>2</v>
      </c>
      <c r="D1" s="5">
        <f t="shared" ref="D1:I1" si="0">C1+1</f>
        <v>3</v>
      </c>
      <c r="E1" s="5">
        <f t="shared" si="0"/>
        <v>4</v>
      </c>
      <c r="F1" s="5">
        <f t="shared" si="0"/>
        <v>5</v>
      </c>
      <c r="G1" s="5">
        <f t="shared" si="0"/>
        <v>6</v>
      </c>
      <c r="H1" s="5">
        <f t="shared" si="0"/>
        <v>7</v>
      </c>
      <c r="I1" s="5">
        <f t="shared" si="0"/>
        <v>8</v>
      </c>
      <c r="J1" s="5">
        <f>I1+1</f>
        <v>9</v>
      </c>
      <c r="K1" s="5">
        <f t="shared" ref="K1:BV1" si="1">J1+1</f>
        <v>10</v>
      </c>
      <c r="L1" s="5">
        <f t="shared" si="1"/>
        <v>11</v>
      </c>
      <c r="M1" s="5">
        <f t="shared" si="1"/>
        <v>12</v>
      </c>
      <c r="N1" s="5">
        <f t="shared" si="1"/>
        <v>13</v>
      </c>
      <c r="O1" s="5">
        <f t="shared" si="1"/>
        <v>14</v>
      </c>
      <c r="P1" s="5">
        <f t="shared" si="1"/>
        <v>15</v>
      </c>
      <c r="Q1" s="5">
        <f t="shared" si="1"/>
        <v>16</v>
      </c>
      <c r="R1" s="5">
        <f t="shared" si="1"/>
        <v>17</v>
      </c>
      <c r="S1" s="5">
        <f t="shared" si="1"/>
        <v>18</v>
      </c>
      <c r="T1" s="5">
        <f t="shared" si="1"/>
        <v>19</v>
      </c>
      <c r="U1" s="5">
        <f t="shared" si="1"/>
        <v>20</v>
      </c>
      <c r="V1" s="5">
        <f t="shared" si="1"/>
        <v>21</v>
      </c>
      <c r="W1" s="5">
        <f t="shared" si="1"/>
        <v>22</v>
      </c>
      <c r="X1" s="5">
        <f t="shared" si="1"/>
        <v>23</v>
      </c>
      <c r="Y1" s="5">
        <f t="shared" si="1"/>
        <v>24</v>
      </c>
      <c r="Z1" s="5">
        <f t="shared" si="1"/>
        <v>25</v>
      </c>
      <c r="AA1" s="5">
        <f t="shared" si="1"/>
        <v>26</v>
      </c>
      <c r="AB1" s="5">
        <f t="shared" si="1"/>
        <v>27</v>
      </c>
      <c r="AC1" s="5">
        <f t="shared" si="1"/>
        <v>28</v>
      </c>
      <c r="AD1" s="5">
        <f t="shared" si="1"/>
        <v>29</v>
      </c>
      <c r="AE1" s="5">
        <f t="shared" si="1"/>
        <v>30</v>
      </c>
      <c r="AF1" s="5">
        <f t="shared" si="1"/>
        <v>31</v>
      </c>
      <c r="AG1" s="5">
        <f t="shared" si="1"/>
        <v>32</v>
      </c>
      <c r="AH1" s="5">
        <f t="shared" si="1"/>
        <v>33</v>
      </c>
      <c r="AI1" s="5">
        <f t="shared" si="1"/>
        <v>34</v>
      </c>
      <c r="AJ1" s="5">
        <f t="shared" si="1"/>
        <v>35</v>
      </c>
      <c r="AK1" s="5">
        <f t="shared" si="1"/>
        <v>36</v>
      </c>
      <c r="AL1" s="5">
        <f t="shared" si="1"/>
        <v>37</v>
      </c>
      <c r="AM1" s="5">
        <f t="shared" si="1"/>
        <v>38</v>
      </c>
      <c r="AN1" s="5">
        <f t="shared" si="1"/>
        <v>39</v>
      </c>
      <c r="AO1" s="5">
        <f t="shared" si="1"/>
        <v>40</v>
      </c>
      <c r="AP1" s="5">
        <f t="shared" si="1"/>
        <v>41</v>
      </c>
      <c r="AQ1" s="5">
        <f t="shared" si="1"/>
        <v>42</v>
      </c>
      <c r="AR1" s="5">
        <f t="shared" si="1"/>
        <v>43</v>
      </c>
      <c r="AS1" s="5">
        <f t="shared" si="1"/>
        <v>44</v>
      </c>
      <c r="AT1" s="5">
        <f t="shared" si="1"/>
        <v>45</v>
      </c>
      <c r="AU1" s="5">
        <f t="shared" si="1"/>
        <v>46</v>
      </c>
      <c r="AV1" s="5">
        <f t="shared" si="1"/>
        <v>47</v>
      </c>
      <c r="AW1" s="5">
        <f t="shared" si="1"/>
        <v>48</v>
      </c>
      <c r="AX1" s="5">
        <f t="shared" si="1"/>
        <v>49</v>
      </c>
      <c r="AY1" s="5">
        <f t="shared" si="1"/>
        <v>50</v>
      </c>
      <c r="AZ1" s="5">
        <f t="shared" si="1"/>
        <v>51</v>
      </c>
      <c r="BA1" s="5">
        <f t="shared" si="1"/>
        <v>52</v>
      </c>
      <c r="BB1" s="5">
        <f t="shared" si="1"/>
        <v>53</v>
      </c>
      <c r="BC1" s="5">
        <f t="shared" si="1"/>
        <v>54</v>
      </c>
      <c r="BD1" s="5">
        <f t="shared" si="1"/>
        <v>55</v>
      </c>
      <c r="BE1" s="5">
        <f t="shared" si="1"/>
        <v>56</v>
      </c>
      <c r="BF1" s="5">
        <f t="shared" si="1"/>
        <v>57</v>
      </c>
      <c r="BG1" s="5">
        <f t="shared" si="1"/>
        <v>58</v>
      </c>
      <c r="BH1" s="5">
        <f t="shared" si="1"/>
        <v>59</v>
      </c>
      <c r="BI1" s="5">
        <f t="shared" si="1"/>
        <v>60</v>
      </c>
      <c r="BJ1" s="5">
        <f t="shared" si="1"/>
        <v>61</v>
      </c>
      <c r="BK1" s="5">
        <f t="shared" si="1"/>
        <v>62</v>
      </c>
      <c r="BL1" s="5">
        <f t="shared" si="1"/>
        <v>63</v>
      </c>
      <c r="BM1" s="5">
        <f t="shared" si="1"/>
        <v>64</v>
      </c>
      <c r="BN1" s="5">
        <f t="shared" si="1"/>
        <v>65</v>
      </c>
      <c r="BO1" s="5">
        <f t="shared" si="1"/>
        <v>66</v>
      </c>
      <c r="BP1" s="5">
        <f t="shared" si="1"/>
        <v>67</v>
      </c>
      <c r="BQ1" s="5">
        <f t="shared" si="1"/>
        <v>68</v>
      </c>
      <c r="BR1" s="5">
        <f t="shared" si="1"/>
        <v>69</v>
      </c>
      <c r="BS1" s="5">
        <f t="shared" si="1"/>
        <v>70</v>
      </c>
      <c r="BT1" s="5">
        <f t="shared" si="1"/>
        <v>71</v>
      </c>
      <c r="BU1" s="5">
        <f t="shared" si="1"/>
        <v>72</v>
      </c>
      <c r="BV1" s="5">
        <f t="shared" si="1"/>
        <v>73</v>
      </c>
      <c r="BW1" s="5">
        <f t="shared" ref="BW1:CR1" si="2">BV1+1</f>
        <v>74</v>
      </c>
      <c r="BX1" s="5">
        <f t="shared" si="2"/>
        <v>75</v>
      </c>
      <c r="BY1" s="5">
        <f t="shared" si="2"/>
        <v>76</v>
      </c>
      <c r="BZ1" s="5">
        <f t="shared" si="2"/>
        <v>77</v>
      </c>
      <c r="CA1" s="5">
        <f t="shared" si="2"/>
        <v>78</v>
      </c>
      <c r="CB1" s="5">
        <f t="shared" si="2"/>
        <v>79</v>
      </c>
      <c r="CC1" s="5">
        <f t="shared" si="2"/>
        <v>80</v>
      </c>
      <c r="CD1" s="5">
        <f t="shared" si="2"/>
        <v>81</v>
      </c>
      <c r="CE1" s="5">
        <f t="shared" si="2"/>
        <v>82</v>
      </c>
      <c r="CF1" s="5">
        <f t="shared" si="2"/>
        <v>83</v>
      </c>
      <c r="CG1" s="5">
        <f t="shared" si="2"/>
        <v>84</v>
      </c>
      <c r="CH1" s="5">
        <f t="shared" si="2"/>
        <v>85</v>
      </c>
      <c r="CI1" s="5">
        <f t="shared" si="2"/>
        <v>86</v>
      </c>
      <c r="CJ1" s="5">
        <f t="shared" si="2"/>
        <v>87</v>
      </c>
      <c r="CK1" s="5">
        <f t="shared" si="2"/>
        <v>88</v>
      </c>
      <c r="CL1" s="5">
        <f t="shared" si="2"/>
        <v>89</v>
      </c>
      <c r="CM1" s="5">
        <f t="shared" si="2"/>
        <v>90</v>
      </c>
      <c r="CN1" s="5">
        <f t="shared" si="2"/>
        <v>91</v>
      </c>
      <c r="CO1" s="5">
        <f t="shared" si="2"/>
        <v>92</v>
      </c>
      <c r="CP1" s="5">
        <f t="shared" si="2"/>
        <v>93</v>
      </c>
      <c r="CQ1" s="5">
        <f t="shared" si="2"/>
        <v>94</v>
      </c>
      <c r="CR1" s="5">
        <f t="shared" si="2"/>
        <v>95</v>
      </c>
      <c r="CS1" s="5">
        <f t="shared" ref="CS1" si="3">CR1+1</f>
        <v>96</v>
      </c>
      <c r="CT1" s="5">
        <f t="shared" ref="CT1" si="4">CS1+1</f>
        <v>97</v>
      </c>
      <c r="CU1" s="5">
        <f t="shared" ref="CU1" si="5">CT1+1</f>
        <v>98</v>
      </c>
      <c r="CV1" s="5">
        <f t="shared" ref="CV1" si="6">CU1+1</f>
        <v>99</v>
      </c>
      <c r="CW1" s="5">
        <f t="shared" ref="CW1" si="7">CV1+1</f>
        <v>100</v>
      </c>
      <c r="CX1" s="5">
        <f t="shared" ref="CX1" si="8">CW1+1</f>
        <v>101</v>
      </c>
      <c r="CY1" s="5">
        <f t="shared" ref="CY1" si="9">CX1+1</f>
        <v>102</v>
      </c>
      <c r="CZ1" s="5">
        <f t="shared" ref="CZ1" si="10">CY1+1</f>
        <v>103</v>
      </c>
      <c r="DA1" s="5">
        <f t="shared" ref="DA1" si="11">CZ1+1</f>
        <v>104</v>
      </c>
      <c r="DB1" s="5">
        <f t="shared" ref="DB1" si="12">DA1+1</f>
        <v>105</v>
      </c>
      <c r="DC1" s="5">
        <f t="shared" ref="DC1" si="13">DB1+1</f>
        <v>106</v>
      </c>
      <c r="DD1" s="5">
        <f t="shared" ref="DD1" si="14">DC1+1</f>
        <v>107</v>
      </c>
      <c r="DE1" s="5">
        <f t="shared" ref="DE1" si="15">DD1+1</f>
        <v>108</v>
      </c>
      <c r="DF1" s="5">
        <f t="shared" ref="DF1" si="16">DE1+1</f>
        <v>109</v>
      </c>
      <c r="DG1" s="5">
        <f t="shared" ref="DG1" si="17">DF1+1</f>
        <v>110</v>
      </c>
      <c r="DH1" s="5">
        <f t="shared" ref="DH1" si="18">DG1+1</f>
        <v>111</v>
      </c>
      <c r="DI1" s="5">
        <f t="shared" ref="DI1" si="19">DH1+1</f>
        <v>112</v>
      </c>
      <c r="DJ1" s="5">
        <f t="shared" ref="DJ1" si="20">DI1+1</f>
        <v>113</v>
      </c>
      <c r="DK1" s="5">
        <f t="shared" ref="DK1" si="21">DJ1+1</f>
        <v>114</v>
      </c>
      <c r="DL1" s="5">
        <f t="shared" ref="DL1" si="22">DK1+1</f>
        <v>115</v>
      </c>
      <c r="DM1" s="5">
        <f t="shared" ref="DM1" si="23">DL1+1</f>
        <v>116</v>
      </c>
      <c r="DN1" s="5">
        <f t="shared" ref="DN1" si="24">DM1+1</f>
        <v>117</v>
      </c>
      <c r="DO1" s="5">
        <f t="shared" ref="DO1" si="25">DN1+1</f>
        <v>118</v>
      </c>
      <c r="DP1" s="5">
        <f t="shared" ref="DP1" si="26">DO1+1</f>
        <v>119</v>
      </c>
      <c r="DQ1" s="5">
        <f t="shared" ref="DQ1" si="27">DP1+1</f>
        <v>120</v>
      </c>
      <c r="DR1" s="5">
        <f t="shared" ref="DR1" si="28">DQ1+1</f>
        <v>121</v>
      </c>
      <c r="DS1" s="5">
        <f t="shared" ref="DS1" si="29">DR1+1</f>
        <v>122</v>
      </c>
      <c r="DT1" s="5">
        <f t="shared" ref="DT1" si="30">DS1+1</f>
        <v>123</v>
      </c>
      <c r="DU1" s="5">
        <f t="shared" ref="DU1" si="31">DT1+1</f>
        <v>124</v>
      </c>
      <c r="DV1" s="5">
        <f t="shared" ref="DV1" si="32">DU1+1</f>
        <v>125</v>
      </c>
      <c r="DW1" s="5">
        <f t="shared" ref="DW1" si="33">DV1+1</f>
        <v>126</v>
      </c>
      <c r="DX1" s="5">
        <f t="shared" ref="DX1" si="34">DW1+1</f>
        <v>127</v>
      </c>
      <c r="DY1" s="5">
        <f t="shared" ref="DY1" si="35">DX1+1</f>
        <v>128</v>
      </c>
      <c r="DZ1" s="5">
        <f t="shared" ref="DZ1" si="36">DY1+1</f>
        <v>129</v>
      </c>
      <c r="EA1" s="5">
        <f t="shared" ref="EA1" si="37">DZ1+1</f>
        <v>130</v>
      </c>
      <c r="EB1" s="5">
        <f t="shared" ref="EB1" si="38">EA1+1</f>
        <v>131</v>
      </c>
      <c r="EC1" s="5">
        <f t="shared" ref="EC1" si="39">EB1+1</f>
        <v>132</v>
      </c>
      <c r="ED1" s="5">
        <f t="shared" ref="ED1" si="40">EC1+1</f>
        <v>133</v>
      </c>
      <c r="EE1" s="5">
        <f t="shared" ref="EE1" si="41">ED1+1</f>
        <v>134</v>
      </c>
      <c r="EF1" s="5">
        <f t="shared" ref="EF1" si="42">EE1+1</f>
        <v>135</v>
      </c>
      <c r="EG1" s="5">
        <f t="shared" ref="EG1" si="43">EF1+1</f>
        <v>136</v>
      </c>
      <c r="EH1" s="5">
        <f t="shared" ref="EH1" si="44">EG1+1</f>
        <v>137</v>
      </c>
      <c r="EI1" s="5">
        <f t="shared" ref="EI1" si="45">EH1+1</f>
        <v>138</v>
      </c>
      <c r="EJ1" s="5">
        <f t="shared" ref="EJ1" si="46">EI1+1</f>
        <v>139</v>
      </c>
      <c r="EK1" s="5">
        <f t="shared" ref="EK1" si="47">EJ1+1</f>
        <v>140</v>
      </c>
      <c r="EL1" s="5">
        <f t="shared" ref="EL1" si="48">EK1+1</f>
        <v>141</v>
      </c>
      <c r="EM1" s="5">
        <f t="shared" ref="EM1" si="49">EL1+1</f>
        <v>142</v>
      </c>
      <c r="EN1" s="5">
        <f t="shared" ref="EN1" si="50">EM1+1</f>
        <v>143</v>
      </c>
      <c r="EO1" s="5">
        <f t="shared" ref="EO1" si="51">EN1+1</f>
        <v>144</v>
      </c>
      <c r="EP1" s="5">
        <f t="shared" ref="EP1" si="52">EO1+1</f>
        <v>145</v>
      </c>
      <c r="EQ1" s="5">
        <f t="shared" ref="EQ1" si="53">EP1+1</f>
        <v>146</v>
      </c>
      <c r="ER1" s="5">
        <f t="shared" ref="ER1" si="54">EQ1+1</f>
        <v>147</v>
      </c>
      <c r="ES1" s="5">
        <f t="shared" ref="ES1" si="55">ER1+1</f>
        <v>148</v>
      </c>
      <c r="ET1" s="5">
        <f t="shared" ref="ET1" si="56">ES1+1</f>
        <v>149</v>
      </c>
      <c r="EU1" s="5">
        <f t="shared" ref="EU1" si="57">ET1+1</f>
        <v>150</v>
      </c>
      <c r="EV1" s="5">
        <f t="shared" ref="EV1" si="58">EU1+1</f>
        <v>151</v>
      </c>
      <c r="EW1" s="5">
        <f t="shared" ref="EW1" si="59">EV1+1</f>
        <v>152</v>
      </c>
      <c r="EX1" s="5">
        <f t="shared" ref="EX1" si="60">EW1+1</f>
        <v>153</v>
      </c>
      <c r="EY1" s="5">
        <f t="shared" ref="EY1" si="61">EX1+1</f>
        <v>154</v>
      </c>
      <c r="EZ1" s="5">
        <f t="shared" ref="EZ1" si="62">EY1+1</f>
        <v>155</v>
      </c>
      <c r="FA1" s="5">
        <f t="shared" ref="FA1" si="63">EZ1+1</f>
        <v>156</v>
      </c>
      <c r="FB1" s="5">
        <f t="shared" ref="FB1" si="64">FA1+1</f>
        <v>157</v>
      </c>
      <c r="FC1" s="5">
        <f t="shared" ref="FC1" si="65">FB1+1</f>
        <v>158</v>
      </c>
      <c r="FD1" s="5">
        <f t="shared" ref="FD1" si="66">FC1+1</f>
        <v>159</v>
      </c>
      <c r="FE1" s="5">
        <f t="shared" ref="FE1" si="67">FD1+1</f>
        <v>160</v>
      </c>
      <c r="FF1" s="5">
        <f t="shared" ref="FF1" si="68">FE1+1</f>
        <v>161</v>
      </c>
      <c r="FG1" s="5">
        <f t="shared" ref="FG1" si="69">FF1+1</f>
        <v>162</v>
      </c>
      <c r="FH1" s="5">
        <f t="shared" ref="FH1" si="70">FG1+1</f>
        <v>163</v>
      </c>
      <c r="FI1" s="5">
        <f t="shared" ref="FI1" si="71">FH1+1</f>
        <v>164</v>
      </c>
      <c r="FJ1" s="5">
        <f t="shared" ref="FJ1" si="72">FI1+1</f>
        <v>165</v>
      </c>
      <c r="FK1" s="5">
        <f t="shared" ref="FK1" si="73">FJ1+1</f>
        <v>166</v>
      </c>
      <c r="FL1" s="5">
        <f t="shared" ref="FL1" si="74">FK1+1</f>
        <v>167</v>
      </c>
      <c r="FM1" s="5">
        <f t="shared" ref="FM1" si="75">FL1+1</f>
        <v>168</v>
      </c>
      <c r="FN1" s="5">
        <f t="shared" ref="FN1" si="76">FM1+1</f>
        <v>169</v>
      </c>
      <c r="FO1" s="5">
        <f t="shared" ref="FO1" si="77">FN1+1</f>
        <v>170</v>
      </c>
      <c r="FP1" s="5">
        <f t="shared" ref="FP1" si="78">FO1+1</f>
        <v>171</v>
      </c>
      <c r="FQ1" s="5">
        <f t="shared" ref="FQ1" si="79">FP1+1</f>
        <v>172</v>
      </c>
      <c r="FR1" s="5">
        <f t="shared" ref="FR1" si="80">FQ1+1</f>
        <v>173</v>
      </c>
      <c r="FS1" s="5">
        <f t="shared" ref="FS1" si="81">FR1+1</f>
        <v>174</v>
      </c>
      <c r="FT1" s="5">
        <f t="shared" ref="FT1" si="82">FS1+1</f>
        <v>175</v>
      </c>
      <c r="FU1" s="5">
        <f t="shared" ref="FU1" si="83">FT1+1</f>
        <v>176</v>
      </c>
      <c r="FV1" s="5">
        <f t="shared" ref="FV1" si="84">FU1+1</f>
        <v>177</v>
      </c>
      <c r="FW1" s="5">
        <f t="shared" ref="FW1" si="85">FV1+1</f>
        <v>178</v>
      </c>
      <c r="FX1" s="5">
        <f t="shared" ref="FX1" si="86">FW1+1</f>
        <v>179</v>
      </c>
      <c r="FY1" s="5">
        <f t="shared" ref="FY1" si="87">FX1+1</f>
        <v>180</v>
      </c>
      <c r="FZ1" s="5">
        <f t="shared" ref="FZ1" si="88">FY1+1</f>
        <v>181</v>
      </c>
      <c r="GA1" s="5">
        <f t="shared" ref="GA1" si="89">FZ1+1</f>
        <v>182</v>
      </c>
      <c r="GB1" s="5">
        <f t="shared" ref="GB1" si="90">GA1+1</f>
        <v>183</v>
      </c>
      <c r="GC1" s="5">
        <f t="shared" ref="GC1" si="91">GB1+1</f>
        <v>184</v>
      </c>
      <c r="GD1" s="5">
        <f t="shared" ref="GD1" si="92">GC1+1</f>
        <v>185</v>
      </c>
      <c r="GE1" s="5">
        <f t="shared" ref="GE1" si="93">GD1+1</f>
        <v>186</v>
      </c>
      <c r="GF1" s="5">
        <f t="shared" ref="GF1" si="94">GE1+1</f>
        <v>187</v>
      </c>
      <c r="GG1" s="5">
        <f t="shared" ref="GG1" si="95">GF1+1</f>
        <v>188</v>
      </c>
      <c r="GH1" s="5">
        <f t="shared" ref="GH1" si="96">GG1+1</f>
        <v>189</v>
      </c>
      <c r="GI1" s="5">
        <f t="shared" ref="GI1" si="97">GH1+1</f>
        <v>190</v>
      </c>
      <c r="GJ1" s="5">
        <f t="shared" ref="GJ1" si="98">GI1+1</f>
        <v>191</v>
      </c>
      <c r="GK1" s="5">
        <f t="shared" ref="GK1" si="99">GJ1+1</f>
        <v>192</v>
      </c>
      <c r="GL1" s="5">
        <f t="shared" ref="GL1" si="100">GK1+1</f>
        <v>193</v>
      </c>
      <c r="GM1" s="5">
        <f t="shared" ref="GM1" si="101">GL1+1</f>
        <v>194</v>
      </c>
      <c r="GN1" s="5">
        <f t="shared" ref="GN1" si="102">GM1+1</f>
        <v>195</v>
      </c>
      <c r="GO1" s="5">
        <f t="shared" ref="GO1" si="103">GN1+1</f>
        <v>196</v>
      </c>
      <c r="GP1" s="5">
        <f t="shared" ref="GP1" si="104">GO1+1</f>
        <v>197</v>
      </c>
      <c r="GQ1" s="5">
        <f t="shared" ref="GQ1" si="105">GP1+1</f>
        <v>198</v>
      </c>
      <c r="GR1" s="5">
        <f t="shared" ref="GR1:GS1" si="106">GQ1+1</f>
        <v>199</v>
      </c>
      <c r="GS1" s="5">
        <f t="shared" si="106"/>
        <v>200</v>
      </c>
    </row>
    <row r="2" spans="1:201" ht="154" x14ac:dyDescent="0.15">
      <c r="B2" s="252" t="str">
        <f t="array" ref="B2:CY25">IF(A1=TRUE,WATER_UTILITY_SAMPLING_FUNC(INPUTS!B1:B65,0),"-")</f>
        <v>PERIODS</v>
      </c>
      <c r="C2" s="252" t="str">
        <v>I) ECONOMIC FACTORS: INFLATION</v>
      </c>
      <c r="D2" s="252" t="str">
        <v>I) ECONOMIC FACTORS: CONSUMER PRICE INDEX</v>
      </c>
      <c r="E2" s="252" t="str">
        <v>I) ECONOMIC FACTORS: DEFLATION FACTOR</v>
      </c>
      <c r="F2" s="252" t="str">
        <v>I) ECONOMIC FACTORS: REAL EXCHANGE RATE</v>
      </c>
      <c r="G2" s="252" t="str">
        <v>I) ECONOMIC FACTORS: NOMINAL EXCHANGE RATE</v>
      </c>
      <c r="H2" s="252" t="str">
        <v>I) ECONOMIC FACTORS: DISCOUNT FACTOR</v>
      </c>
      <c r="I2" s="252" t="str">
        <v>II) CONSUMPTION: POTENTIAL CONNECTIONS</v>
      </c>
      <c r="J2" s="252" t="str">
        <v>II) CONSUMPTION: COVERAGE</v>
      </c>
      <c r="K2" s="252" t="str">
        <v>II) CONSUMPTION: CONNECTIONS</v>
      </c>
      <c r="L2" s="252" t="str">
        <v>II) CONSUMPTION: NEW CONNECTIONS</v>
      </c>
      <c r="M2" s="252" t="str">
        <v>II) CONSUMPTION: DEMAND (L/CONNECTION/DAY)</v>
      </c>
      <c r="N2" s="252" t="str">
        <v>II) CONSUMPTION: TOTAL DEMAND (M3)</v>
      </c>
      <c r="O2" s="252" t="str">
        <v>II) CONSUMPTION: NON-REVENUE WATER</v>
      </c>
      <c r="P2" s="252" t="str">
        <v>II) CONSUMPTION: COLLECTION RATE FORECAST</v>
      </c>
      <c r="Q2" s="252" t="str">
        <v>III) COSTS &amp; SUBSIDIES: OPERATING FIXED COSTS - DOMESTIC DENOMINATION</v>
      </c>
      <c r="R2" s="252" t="str">
        <v>III) COSTS &amp; SUBSIDIES: OPERATING FIXED COSTS - FOREIGN DENOMINATION</v>
      </c>
      <c r="S2" s="252" t="str">
        <v>III) COSTS &amp; SUBSIDIES: OPERATING VARIABLE COSTS - DOMESTIC DENOMINATION</v>
      </c>
      <c r="T2" s="252" t="str">
        <v>III) COSTS &amp; SUBSIDIES: OPERATING VARIABLE COSTS - FOREIGN DENOMINATION</v>
      </c>
      <c r="U2" s="252" t="str">
        <v>IV) FINANCING COSTS: COVERAGE EXTENSION COSTS</v>
      </c>
      <c r="V2" s="252" t="str">
        <v>IV) FINANCING COSTS: AMOUNT FINANCED BY DEBT</v>
      </c>
      <c r="W2" s="252" t="str">
        <v>IV) FINANCING COSTS: TOTAL LOAN REPAYMENT (FOREIGN CURRENCY)</v>
      </c>
      <c r="X2" s="252" t="str">
        <v>IV) FINANCING COSTS: OUTSTANDING PRINCIPAL</v>
      </c>
      <c r="Y2" s="252" t="str">
        <v>IV) FINANCING COSTS: PRINCIPAL REPAYMENT</v>
      </c>
      <c r="Z2" s="252" t="str">
        <v>IV) FINANCING COSTS: INTEREST PAYMENT</v>
      </c>
      <c r="AA2" s="252" t="str">
        <v>IV) FINANCING COSTS: OPERATOR - OUTSTANDING PRINCIPAL</v>
      </c>
      <c r="AB2" s="252" t="str">
        <v>IV) FINANCING COSTS: OPERATOR - PRINCIPAL REPAYMENT</v>
      </c>
      <c r="AC2" s="252" t="str">
        <v>IV) FINANCING COSTS: OPERATOR - INTEREST PAYMENT</v>
      </c>
      <c r="AD2" s="252" t="str">
        <v>IV) FINANCING COSTS: CONTRACTING AUTHORITY - OUTSTANDING PRINCIPAL</v>
      </c>
      <c r="AE2" s="252" t="str">
        <v>IV) FINANCING COSTS: CONTRACTING AUTHORITY - PRINCIPAL REPAYMENT</v>
      </c>
      <c r="AF2" s="252" t="str">
        <v>IV) FINANCING COSTS: CONTRACTING AUTHORITY - INTEREST PAYMENT</v>
      </c>
      <c r="AG2" s="252" t="str">
        <v>V) TARIFF RESET CALCULATIONS: EXPECTED INFLATION RATE - FORECAST USED FOR TARIFF SETTING</v>
      </c>
      <c r="AH2" s="252" t="str">
        <v>V) TARIFF RESET CALCULATIONS: EXPECTED INFLATION RATE - DEFLATION FACTOR</v>
      </c>
      <c r="AI2" s="252" t="str">
        <v>V) TARIFF RESET CALCULATIONS: ASSET BASE (NOMINAL) - INITIAL EXISTING ASSET BASE</v>
      </c>
      <c r="AJ2" s="252" t="str">
        <v>V) TARIFF RESET CALCULATIONS: EXISTING ASSET BASE (NOMINAL) - DEPRECIATION</v>
      </c>
      <c r="AK2" s="252" t="str">
        <v>V) TARIFF RESET CALCULATIONS: ASSET BASE (NOMINAL) - MAINTENANCE COSTS</v>
      </c>
      <c r="AL2" s="252" t="str">
        <v>V) TARIFF RESET CALCULATIONS: ASSET BASE (NOMINAL) - FINAL EXISTING ASSET BASE</v>
      </c>
      <c r="AM2" s="252" t="str">
        <v>V) TARIFF RESET CALCULATIONS: ASSET BASE (NOMINAL) - INITIAL NEW ASSET BASE</v>
      </c>
      <c r="AN2" s="252" t="str">
        <v>V) TARIFF RESET CALCULATIONS: ASSET BASE (NOMINAL) - INVESTMENT</v>
      </c>
      <c r="AO2" s="252" t="str">
        <v>V) TARIFF RESET CALCULATIONS: NEW ASSET BASE (NOMINAL) - DEPRECIATION</v>
      </c>
      <c r="AP2" s="252" t="str">
        <v>V) TARIFF RESET CALCULATIONS: ASSET BASE (NOMINAL) - FINAL NEW ASSET BASE</v>
      </c>
      <c r="AQ2" s="252" t="str">
        <v>V) TARIFF RESET CALCULATIONS: DEMAND - NO RESET</v>
      </c>
      <c r="AR2" s="252" t="str">
        <v>V) TARIFF RESET CALCULATIONS: DEMAND - FULL RESET</v>
      </c>
      <c r="AS2" s="252" t="str">
        <v>V) TARIFF RESET CALCULATIONS: DEMAND - DISCOUNTED DEMAND</v>
      </c>
      <c r="AT2" s="252" t="str">
        <v>V) TARIFF RESET CALCULATIONS: DEMAND - CUMULATIVE DISCOUNTED DEMAND</v>
      </c>
      <c r="AU2" s="252" t="str">
        <v>V) TARIFF RESET CALCULATIONS: DEMAND - 5 YEAR DISCOUNTED DEMAND</v>
      </c>
      <c r="AV2" s="252" t="str">
        <v>V) TARIFF RESET CALCULATIONS: RETURN ON NEW ASSETS (REAL) - CONTRACTING AUTHORITY</v>
      </c>
      <c r="AW2" s="252" t="str">
        <v>V) TARIFF RESET CALCULATIONS: RETURN ON NEW ASSETS (REAL) - OPERATOR</v>
      </c>
      <c r="AX2" s="252" t="str">
        <v>V) TARIFF RESET CALCULATIONS: DEPRECIATION (REAL) - CONTRACTING AUTHORITY</v>
      </c>
      <c r="AY2" s="252" t="str">
        <v>V) TARIFF RESET CALCULATIONS: DEPRECIATION (REAL) - OPERATOR</v>
      </c>
      <c r="AZ2" s="252" t="str">
        <v>V) TARIFF RESET CALCULATIONS: MAINTENANCE COSTS (REAL)</v>
      </c>
      <c r="BA2" s="252" t="str">
        <v>V) TARIFF RESET CALCULATIONS: DOMESTIC-DENOMINATED OPEX (REAL)</v>
      </c>
      <c r="BB2" s="252" t="str">
        <v>V) TARIFF RESET CALCULATIONS: FOREIGN-DENOMINATED OPEX (REAL)</v>
      </c>
      <c r="BC2" s="252" t="str">
        <v>V) TARIFF RESET CALCULATIONS: FOREIGN EXCHANGE RATE - NO RESET</v>
      </c>
      <c r="BD2" s="252" t="str">
        <v>V) TARIFF RESET CALCULATIONS: FOREIGN EXCHANGE RATE - FULL RESET</v>
      </c>
      <c r="BE2" s="252" t="str">
        <v>V) TARIFF RESET CALCULATIONS: SUBSIDIES (REAL)</v>
      </c>
      <c r="BF2" s="252" t="str">
        <v>V) TARIFF RESET CALCULATIONS: REVENUE REQUIREMENT (REAL) - CONTRACTING AUTHORITY - REVENUE REQUIREMENT</v>
      </c>
      <c r="BG2" s="252" t="str">
        <v>V) TARIFF RESET CALCULATIONS: REVENUE REQUIREMENT (REAL) - CONTRACTING AUTHORITY - DISCOUNTED REVENUE REQUIREMENT</v>
      </c>
      <c r="BH2" s="252" t="str">
        <v>V) TARIFF RESET CALCULATIONS: REVENUE REQUIREMENT (REAL) - CONTRACTING AUTHORITY - CUMULATIVE DISCOUNTED REVENUE REQUIREMENT</v>
      </c>
      <c r="BI2" s="252" t="str">
        <v>V) TARIFF RESET CALCULATIONS: REVENUE REQUIREMENT (REAL) - OPERATOR - REVENUE REQUIREMENT</v>
      </c>
      <c r="BJ2" s="252" t="str">
        <v>V) TARIFF RESET CALCULATIONS: REVENUE REQUIREMENT (REAL) - OPERATOR - DISCOUNTED REVENUE REQUIREMENT</v>
      </c>
      <c r="BK2" s="252" t="str">
        <v>V) TARIFF RESET CALCULATIONS: REVENUE REQUIREMENT (REAL) - OPERATOR - CUMULATIVE DISCOUNTED REVENUE REQUIREMENT</v>
      </c>
      <c r="BL2" s="252" t="str">
        <v>V) TARIFF RESET CALCULATIONS: DISCOUNTED REVENUE REQUIREMENT - CONTRACTING AUTHORITY</v>
      </c>
      <c r="BM2" s="252" t="str">
        <v>V) TARIFF RESET CALCULATIONS: DISCOUNTED REVENUE REQUIREMENT - OPERATOR</v>
      </c>
      <c r="BN2" s="252" t="str">
        <v>V) TARIFF RESET CALCULATIONS: REVENUE REQUIRED PER M3 - NO RESET - CONTRACTING AUTHORITY</v>
      </c>
      <c r="BO2" s="252" t="str">
        <v>V) TARIFF RESET CALCULATIONS: REVENUE REQUIRED PER M3 - NO RESET - OPERATOR</v>
      </c>
      <c r="BP2" s="252" t="str">
        <v>V) TARIFF RESET CALCULATIONS: REVENUE REQUIRED PER M3 - 5 YEAR RESET PERIOD - CONTRACTING AUTHORITY</v>
      </c>
      <c r="BQ2" s="252" t="str">
        <v>V) TARIFF RESET CALCULATIONS: REVENUE REQUIRED PER M3 - 5 YEAR RESET PERIOD - OPERATOR</v>
      </c>
      <c r="BR2" s="252" t="str">
        <v>VI) TARIFF INDEXATION: INDEXATION</v>
      </c>
      <c r="BS2" s="252" t="str">
        <v>VI) TARIFF INDEXATION: NO RESET - CONTRACTING AUTHORITY</v>
      </c>
      <c r="BT2" s="252" t="str">
        <v>VI) TARIFF INDEXATION: NO RESET - OPERATOR</v>
      </c>
      <c r="BU2" s="252" t="str">
        <v>VI) TARIFF INDEXATION: 5 YEAR RESET PERIOD - CONTRACTING AUTHORITY</v>
      </c>
      <c r="BV2" s="252" t="str">
        <v>VI) TARIFF INDEXATION: 5 YEAR RESET PERIOD - OPERATOR</v>
      </c>
      <c r="BW2" s="252" t="str">
        <v>VII) PROFIT: TOTAL REVENUE COLLECTED - NO RESET</v>
      </c>
      <c r="BX2" s="252" t="str">
        <v>VII) PROFIT: TOTAL REVENUE COLLECTED - 5 YEAR RESET PERIOD</v>
      </c>
      <c r="BY2" s="252" t="str">
        <v>VII) PROFIT: COSTS - OPERATING COSTS</v>
      </c>
      <c r="BZ2" s="252" t="str">
        <v>VII) PROFIT: COSTS - MAINTENANCE COSTS</v>
      </c>
      <c r="CA2" s="252" t="str">
        <v>VII) PROFIT: COSTS - RETURN ON CAPITAL</v>
      </c>
      <c r="CB2" s="252" t="str">
        <v>VII) PROFIT: COSTS - DEPRECIATION</v>
      </c>
      <c r="CC2" s="252" t="str">
        <v>VII) PROFIT: COSTS - SUBSIDIES</v>
      </c>
      <c r="CD2" s="252" t="str">
        <v>VII) PROFIT: COSTS - TOTAL</v>
      </c>
      <c r="CE2" s="252" t="str">
        <v>VII) PROFIT: PRESENT VALUE PROFIT (REAL) - NO RESET</v>
      </c>
      <c r="CF2" s="252" t="str">
        <v>VII) PROFIT: PRESENT VALUE PROFIT (REAL) - 5 YEAR RESET PERIOD</v>
      </c>
      <c r="CG2" s="252" t="str">
        <v>VIII) CASH FLOWS: NO RESET - CONTRACTING AUTHORITY</v>
      </c>
      <c r="CH2" s="252" t="str">
        <v>VIII) CASH FLOWS: NO RESET - OPERATOR</v>
      </c>
      <c r="CI2" s="252" t="str">
        <v>VIII) CASH FLOWS: 5 YEAR RESET PERIOD - CONTRACTING AUTHORITY</v>
      </c>
      <c r="CJ2" s="252" t="str">
        <v>VIII) CASH FLOWS: 5 YEAR RESET PERIOD - OPERATOR</v>
      </c>
      <c r="CK2" s="252" t="str">
        <v>IX) DEBT SERVICE RATIO: CASH FLOW BEFORE LOAN REPAYMENT - NO RESET</v>
      </c>
      <c r="CL2" s="252" t="str">
        <v>IX) DEBT SERVICE RATIO: CASH FLOW BEFORE LOAN REPAYMENT - 5 YEAR RESET PERIOD</v>
      </c>
      <c r="CM2" s="252" t="str">
        <v>IX) DEBT SERVICE RATIO: DEBT SERVICE RATIO - NO RESET</v>
      </c>
      <c r="CN2" s="252" t="str">
        <v>IX) DEBT SERVICE RATIO: DEBT SERVICE RATIO - 5 YEAR RESET PERIOD</v>
      </c>
      <c r="CO2" s="252" t="str">
        <v>X) STAKEHOLDER ANALYSIS: WATER USE &amp; CONSUMPTION - PRIVATE HOUSEHOLD CONNECTION</v>
      </c>
      <c r="CP2" s="252" t="str">
        <v>X) STAKEHOLDER ANALYSIS: WATER USE &amp; CONSUMPTION - OTHER SOURCES</v>
      </c>
      <c r="CQ2" s="252" t="str">
        <v>X) STAKEHOLDER ANALYSIS: MONTHLY COST - PRIVATE HOUSEHOLD CONNECTION - 5 YEAR RESET PERIOD</v>
      </c>
      <c r="CR2" s="252" t="str">
        <v>X) STAKEHOLDER ANALYSIS: MONTHLY COST - PRIVATE HOUSEHOLD CONNECTION - EXISTING TARIFFS</v>
      </c>
      <c r="CS2" s="252" t="str">
        <v>X) STAKEHOLDER ANALYSIS: OTHER SOURCES</v>
      </c>
      <c r="CT2" s="252" t="str">
        <v>X) STAKEHOLDER ANALYSIS: MONTHLY COPING COST - OTHER SOURCES</v>
      </c>
      <c r="CU2" s="252" t="str">
        <v>X) STAKEHOLDER ANALYSIS: WILLINGNESS TO PAY - PRIVATE HOUSEHOLD CONNECTION</v>
      </c>
      <c r="CV2" s="252" t="str">
        <v>X) STAKEHOLDER ANALYSIS: WILLINGNESS TO PAY - OTHER SOURCES - MONTHLY COST</v>
      </c>
      <c r="CW2" s="252" t="str">
        <v>X) STAKEHOLDER ANALYSIS: WILLINGNESS TO PAY - OTHER SOURCES - MONTHLY COPING COST</v>
      </c>
      <c r="CX2" s="252" t="str">
        <v>X) STAKEHOLDER ANALYSIS: CHANGE IN SOCIAL WELFARE (REAL) - PRIVATE HOUSEHOLD CONNECTION</v>
      </c>
      <c r="CY2" s="252" t="str">
        <v>X) STAKEHOLDER ANALYSIS: CHANGE IN SOCIAL WELFARE (REAL) - OTHER SOURCES</v>
      </c>
      <c r="CZ2" s="252"/>
      <c r="DA2" s="252"/>
      <c r="DB2" s="252"/>
      <c r="DC2" s="252"/>
      <c r="DD2" s="252"/>
      <c r="DE2" s="252"/>
      <c r="DF2" s="252"/>
      <c r="DG2" s="252"/>
      <c r="DH2" s="252"/>
      <c r="DI2" s="252"/>
      <c r="DJ2" s="252"/>
      <c r="DK2" s="252"/>
      <c r="DL2" s="252"/>
      <c r="DM2" s="252"/>
      <c r="DN2" s="252"/>
      <c r="DO2" s="252"/>
      <c r="DP2" s="252"/>
      <c r="DQ2" s="252"/>
      <c r="DR2" s="252"/>
      <c r="DS2" s="252"/>
      <c r="DT2" s="252"/>
      <c r="DU2" s="252"/>
      <c r="DV2" s="252"/>
      <c r="DW2" s="252"/>
      <c r="DX2" s="252"/>
      <c r="DY2" s="252"/>
      <c r="DZ2" s="252"/>
      <c r="EA2" s="252"/>
      <c r="EB2" s="252"/>
      <c r="EC2" s="252"/>
      <c r="ED2" s="252"/>
      <c r="EE2" s="252"/>
      <c r="EF2" s="252"/>
      <c r="EG2" s="252"/>
      <c r="EH2" s="252"/>
      <c r="EI2" s="252"/>
      <c r="EJ2" s="252"/>
      <c r="EK2" s="252"/>
      <c r="EL2" s="252"/>
      <c r="EM2" s="252"/>
      <c r="EN2" s="252"/>
      <c r="EO2" s="252"/>
      <c r="EP2" s="252"/>
      <c r="EQ2" s="252"/>
      <c r="ER2" s="252"/>
      <c r="ES2" s="252"/>
      <c r="ET2" s="252"/>
      <c r="EU2" s="252"/>
      <c r="EV2" s="252"/>
      <c r="EW2" s="252"/>
      <c r="EX2" s="252"/>
      <c r="EY2" s="252"/>
      <c r="EZ2" s="252"/>
      <c r="FA2" s="252"/>
      <c r="FB2" s="252"/>
      <c r="FC2" s="252"/>
      <c r="FD2" s="252"/>
      <c r="FE2" s="252"/>
      <c r="FF2" s="252"/>
      <c r="FG2" s="252"/>
      <c r="FH2" s="252"/>
      <c r="FI2" s="252"/>
      <c r="FJ2" s="252"/>
      <c r="FK2" s="252"/>
      <c r="FL2" s="252"/>
      <c r="FM2" s="252"/>
      <c r="FN2" s="252"/>
      <c r="FO2" s="252"/>
      <c r="FP2" s="252"/>
      <c r="FQ2" s="252"/>
      <c r="FR2" s="252"/>
      <c r="FS2" s="252"/>
      <c r="FT2" s="252"/>
      <c r="FU2" s="252"/>
      <c r="FV2" s="252"/>
      <c r="FW2" s="252"/>
      <c r="FX2" s="252"/>
      <c r="FY2" s="252"/>
      <c r="FZ2" s="252"/>
      <c r="GA2" s="252"/>
      <c r="GB2" s="252"/>
      <c r="GC2" s="252"/>
      <c r="GD2" s="252"/>
      <c r="GE2" s="252"/>
      <c r="GF2" s="252"/>
      <c r="GG2" s="252"/>
      <c r="GH2" s="252"/>
      <c r="GI2" s="252"/>
      <c r="GJ2" s="252"/>
      <c r="GK2" s="252"/>
      <c r="GL2" s="252"/>
      <c r="GM2" s="252"/>
      <c r="GN2" s="252"/>
      <c r="GO2" s="252"/>
      <c r="GP2" s="252"/>
      <c r="GQ2" s="252"/>
      <c r="GR2" s="252"/>
      <c r="GS2" s="252"/>
    </row>
    <row r="3" spans="1:201" x14ac:dyDescent="0.15">
      <c r="B3" s="6">
        <v>0</v>
      </c>
      <c r="C3" s="6">
        <v>0.05</v>
      </c>
      <c r="D3" s="6">
        <v>100</v>
      </c>
      <c r="E3" s="6">
        <v>1</v>
      </c>
      <c r="F3" s="6">
        <v>100</v>
      </c>
      <c r="G3" s="6">
        <v>105</v>
      </c>
      <c r="H3" s="6">
        <v>1</v>
      </c>
      <c r="I3" s="6">
        <v>50000</v>
      </c>
      <c r="J3" s="6">
        <v>0.5</v>
      </c>
      <c r="K3" s="6">
        <v>25000</v>
      </c>
      <c r="L3" s="6">
        <v>0</v>
      </c>
      <c r="M3" s="6">
        <v>150</v>
      </c>
      <c r="N3" s="6">
        <v>1.3687499999999999</v>
      </c>
      <c r="O3" s="6">
        <v>0.01</v>
      </c>
      <c r="P3" s="6">
        <v>1</v>
      </c>
      <c r="Q3" s="6">
        <v>10</v>
      </c>
      <c r="R3" s="6">
        <v>0.1</v>
      </c>
      <c r="S3" s="6">
        <v>10</v>
      </c>
      <c r="T3" s="6">
        <v>0.1</v>
      </c>
      <c r="U3" s="6" t="str">
        <v/>
      </c>
      <c r="V3" s="6" t="str">
        <v/>
      </c>
      <c r="W3" s="6">
        <v>0.2825804830768946</v>
      </c>
      <c r="X3" s="6">
        <v>0</v>
      </c>
      <c r="Y3" s="6">
        <v>0</v>
      </c>
      <c r="Z3" s="6" t="str">
        <v/>
      </c>
      <c r="AA3" s="6" t="str">
        <v/>
      </c>
      <c r="AB3" s="6" t="str">
        <v/>
      </c>
      <c r="AC3" s="6" t="str">
        <v/>
      </c>
      <c r="AD3" s="6" t="str">
        <v/>
      </c>
      <c r="AE3" s="6" t="str">
        <v/>
      </c>
      <c r="AF3" s="6" t="str">
        <v/>
      </c>
      <c r="AG3" s="6" t="str">
        <v>#N/A</v>
      </c>
      <c r="AH3" s="6" t="str">
        <v>#N/A</v>
      </c>
      <c r="AI3" s="6" t="str">
        <v/>
      </c>
      <c r="AJ3" s="6" t="str">
        <v/>
      </c>
      <c r="AK3" s="6" t="str">
        <v/>
      </c>
      <c r="AL3" s="6">
        <v>100</v>
      </c>
      <c r="AM3" s="6" t="str">
        <v/>
      </c>
      <c r="AN3" s="6" t="str">
        <v/>
      </c>
      <c r="AO3" s="6" t="str">
        <v/>
      </c>
      <c r="AP3" s="6">
        <v>0</v>
      </c>
      <c r="AQ3" s="6" t="str">
        <v/>
      </c>
      <c r="AR3" s="6" t="str">
        <v/>
      </c>
      <c r="AS3" s="6" t="str">
        <v/>
      </c>
      <c r="AT3" s="6">
        <v>0</v>
      </c>
      <c r="AU3" s="6">
        <v>6.6519209510237243</v>
      </c>
      <c r="AV3" s="6" t="str">
        <v/>
      </c>
      <c r="AW3" s="6" t="str">
        <v/>
      </c>
      <c r="AX3" s="6" t="str">
        <v/>
      </c>
      <c r="AY3" s="6" t="str">
        <v/>
      </c>
      <c r="AZ3" s="6" t="str">
        <v/>
      </c>
      <c r="BA3" s="6" t="str">
        <v/>
      </c>
      <c r="BB3" s="6" t="str">
        <v/>
      </c>
      <c r="BC3" s="6" t="str">
        <v/>
      </c>
      <c r="BD3" s="6" t="str">
        <v/>
      </c>
      <c r="BE3" s="6" t="str">
        <v/>
      </c>
      <c r="BF3" s="6" t="str">
        <v/>
      </c>
      <c r="BG3" s="6" t="str">
        <v/>
      </c>
      <c r="BH3" s="6" t="str">
        <v/>
      </c>
      <c r="BI3" s="6" t="str">
        <v/>
      </c>
      <c r="BJ3" s="6" t="str">
        <v/>
      </c>
      <c r="BK3" s="6" t="str">
        <v/>
      </c>
      <c r="BL3" s="6">
        <v>1.6604725128080058</v>
      </c>
      <c r="BM3" s="6">
        <v>305.20007953989193</v>
      </c>
      <c r="BN3" s="6">
        <v>0.6131943551702338</v>
      </c>
      <c r="BO3" s="6">
        <v>57.198900217333403</v>
      </c>
      <c r="BP3" s="6" t="str">
        <v/>
      </c>
      <c r="BQ3" s="6" t="str">
        <v/>
      </c>
      <c r="BR3" s="6">
        <v>1</v>
      </c>
      <c r="BS3" s="6" t="str">
        <v/>
      </c>
      <c r="BT3" s="6" t="str">
        <v/>
      </c>
      <c r="BU3" s="6" t="str">
        <v/>
      </c>
      <c r="BV3" s="6" t="str">
        <v/>
      </c>
      <c r="BW3" s="6" t="str">
        <v/>
      </c>
      <c r="BX3" s="6" t="str">
        <v/>
      </c>
      <c r="BY3" s="6" t="str">
        <v/>
      </c>
      <c r="BZ3" s="6" t="str">
        <v/>
      </c>
      <c r="CA3" s="6" t="str">
        <v/>
      </c>
      <c r="CB3" s="6" t="str">
        <v/>
      </c>
      <c r="CC3" s="6" t="str">
        <v/>
      </c>
      <c r="CD3" s="6" t="str">
        <v/>
      </c>
      <c r="CE3" s="6" t="str">
        <v/>
      </c>
      <c r="CF3" s="6" t="str">
        <v/>
      </c>
      <c r="CG3" s="6" t="str">
        <v/>
      </c>
      <c r="CH3" s="6" t="str">
        <v/>
      </c>
      <c r="CI3" s="6" t="str">
        <v/>
      </c>
      <c r="CJ3" s="6" t="str">
        <v/>
      </c>
      <c r="CK3" s="6" t="str">
        <v/>
      </c>
      <c r="CL3" s="6" t="str">
        <v/>
      </c>
      <c r="CM3" s="6" t="str">
        <v/>
      </c>
      <c r="CN3" s="6" t="str">
        <v/>
      </c>
      <c r="CO3" s="6">
        <v>150</v>
      </c>
      <c r="CP3" s="6">
        <v>75</v>
      </c>
      <c r="CQ3" s="265">
        <v>4500</v>
      </c>
      <c r="CR3" s="6">
        <v>4500</v>
      </c>
      <c r="CS3" s="6">
        <v>3375</v>
      </c>
      <c r="CT3" s="6">
        <v>1000</v>
      </c>
      <c r="CU3" s="6">
        <v>11250</v>
      </c>
      <c r="CV3" s="6">
        <v>5062.5</v>
      </c>
      <c r="CW3" s="6">
        <v>1300</v>
      </c>
      <c r="CX3" s="6">
        <v>0</v>
      </c>
      <c r="CY3" s="6">
        <v>0</v>
      </c>
      <c r="CZ3" s="6"/>
      <c r="DA3" s="6"/>
      <c r="DB3" s="6"/>
      <c r="DC3" s="6"/>
      <c r="DD3" s="6"/>
      <c r="DE3" s="6"/>
      <c r="DF3" s="6"/>
      <c r="DG3" s="6"/>
      <c r="DH3" s="6"/>
      <c r="DI3" s="6"/>
      <c r="DJ3" s="6"/>
      <c r="DK3" s="6"/>
      <c r="DL3" s="6"/>
      <c r="DM3" s="6"/>
      <c r="DN3" s="6"/>
      <c r="DO3" s="6"/>
      <c r="DP3" s="6"/>
      <c r="DQ3" s="6"/>
      <c r="DR3" s="6"/>
      <c r="DS3" s="6"/>
      <c r="DT3" s="6"/>
      <c r="DU3" s="6"/>
      <c r="DV3" s="6"/>
      <c r="DW3" s="6"/>
      <c r="DX3" s="6"/>
      <c r="DY3" s="6"/>
      <c r="DZ3" s="6"/>
      <c r="EA3" s="6"/>
      <c r="EB3" s="6"/>
      <c r="EC3" s="6"/>
      <c r="ED3" s="6"/>
      <c r="EE3" s="6"/>
      <c r="EF3" s="6"/>
      <c r="EG3" s="6"/>
      <c r="EH3" s="6"/>
      <c r="EI3" s="6"/>
      <c r="EJ3" s="6"/>
      <c r="EK3" s="6"/>
      <c r="EL3" s="6"/>
      <c r="EM3" s="6"/>
      <c r="EN3" s="6"/>
      <c r="EO3" s="6"/>
      <c r="EP3" s="6"/>
      <c r="EQ3" s="6"/>
      <c r="ER3" s="6"/>
      <c r="ES3" s="6"/>
      <c r="ET3" s="6"/>
      <c r="EU3" s="6"/>
      <c r="EV3" s="6"/>
      <c r="EW3" s="6"/>
      <c r="EX3" s="6"/>
      <c r="EY3" s="6"/>
      <c r="EZ3" s="6"/>
      <c r="FA3" s="6"/>
      <c r="FB3" s="6"/>
      <c r="FC3" s="6"/>
      <c r="FD3" s="6"/>
      <c r="FE3" s="6"/>
      <c r="FF3" s="6"/>
      <c r="FG3" s="6"/>
      <c r="FH3" s="6"/>
      <c r="FI3" s="6"/>
      <c r="FJ3" s="6"/>
      <c r="FK3" s="6"/>
      <c r="FL3" s="6"/>
      <c r="FM3" s="6"/>
      <c r="FN3" s="6"/>
      <c r="FO3" s="6"/>
      <c r="FP3" s="6"/>
      <c r="FQ3" s="6"/>
      <c r="FR3" s="6"/>
      <c r="FS3" s="6"/>
      <c r="FT3" s="6"/>
      <c r="FU3" s="6"/>
      <c r="FV3" s="6"/>
      <c r="FW3" s="6"/>
      <c r="FX3" s="6"/>
      <c r="FY3" s="6"/>
      <c r="FZ3" s="6"/>
      <c r="GA3" s="6"/>
      <c r="GB3" s="6"/>
      <c r="GC3" s="6"/>
      <c r="GD3" s="6"/>
      <c r="GE3" s="6"/>
      <c r="GF3" s="6"/>
      <c r="GG3" s="6"/>
      <c r="GH3" s="6"/>
      <c r="GI3" s="6"/>
      <c r="GJ3" s="6"/>
      <c r="GK3" s="6"/>
      <c r="GL3" s="6"/>
      <c r="GM3" s="6"/>
      <c r="GN3" s="6"/>
      <c r="GO3" s="6"/>
      <c r="GP3" s="6"/>
      <c r="GQ3" s="6"/>
      <c r="GR3" s="6"/>
      <c r="GS3" s="6"/>
    </row>
    <row r="4" spans="1:201" x14ac:dyDescent="0.15">
      <c r="B4" s="6">
        <v>1</v>
      </c>
      <c r="C4" s="6">
        <v>5.8091712136414154E-2</v>
      </c>
      <c r="D4" s="6">
        <v>105.98121888933633</v>
      </c>
      <c r="E4" s="6">
        <v>0.94356340725254528</v>
      </c>
      <c r="F4" s="6">
        <v>105.12710963760242</v>
      </c>
      <c r="G4" s="6">
        <v>111.23412342840327</v>
      </c>
      <c r="H4" s="6">
        <v>0.93239381990594827</v>
      </c>
      <c r="I4" s="6">
        <v>50000</v>
      </c>
      <c r="J4" s="6">
        <v>0.50549347131529654</v>
      </c>
      <c r="K4" s="6">
        <v>25274</v>
      </c>
      <c r="L4" s="6">
        <v>274</v>
      </c>
      <c r="M4" s="6">
        <v>153.03020100401338</v>
      </c>
      <c r="N4" s="6">
        <v>1.4117051345640335</v>
      </c>
      <c r="O4" s="6">
        <v>1.0359724199241832E-2</v>
      </c>
      <c r="P4" s="6">
        <v>1</v>
      </c>
      <c r="Q4" s="6">
        <v>10.304545339535169</v>
      </c>
      <c r="R4" s="6">
        <v>0.1030454533953517</v>
      </c>
      <c r="S4" s="6">
        <v>10.304545339535169</v>
      </c>
      <c r="T4" s="6">
        <v>0.1030454533953517</v>
      </c>
      <c r="U4" s="6">
        <v>0.58077707951356317</v>
      </c>
      <c r="V4" s="6">
        <v>0.29038853975678158</v>
      </c>
      <c r="W4" s="6">
        <v>1.38113061777223E-4</v>
      </c>
      <c r="X4" s="6">
        <v>2.76226123554446E-3</v>
      </c>
      <c r="Y4" s="6">
        <v>1.38113061777223E-4</v>
      </c>
      <c r="Z4" s="6">
        <v>1.38113061777223E-4</v>
      </c>
      <c r="AA4" s="6">
        <v>0</v>
      </c>
      <c r="AB4" s="6">
        <v>0</v>
      </c>
      <c r="AC4" s="6">
        <v>0</v>
      </c>
      <c r="AD4" s="6">
        <v>0</v>
      </c>
      <c r="AE4" s="6">
        <v>0</v>
      </c>
      <c r="AF4" s="6">
        <v>0</v>
      </c>
      <c r="AG4" s="6" t="str">
        <v>#N/A</v>
      </c>
      <c r="AH4" s="6" t="str">
        <v>#N/A</v>
      </c>
      <c r="AI4" s="6">
        <v>100</v>
      </c>
      <c r="AJ4" s="6">
        <v>5</v>
      </c>
      <c r="AK4" s="6">
        <v>10.981218889336333</v>
      </c>
      <c r="AL4" s="6">
        <v>105.98121888933633</v>
      </c>
      <c r="AM4" s="6">
        <v>0</v>
      </c>
      <c r="AN4" s="6">
        <v>0.58077707951356317</v>
      </c>
      <c r="AO4" s="6">
        <v>2.903885397567816E-2</v>
      </c>
      <c r="AP4" s="6">
        <v>0.55173822553788499</v>
      </c>
      <c r="AQ4" s="6" t="str">
        <v>#N/A</v>
      </c>
      <c r="AR4" s="6" t="str">
        <v>#N/A</v>
      </c>
      <c r="AS4" s="6">
        <v>1.3162651429969998</v>
      </c>
      <c r="AT4" s="6">
        <v>1.3162651429969998</v>
      </c>
      <c r="AU4" s="6">
        <v>0</v>
      </c>
      <c r="AV4" s="6">
        <v>2.0327197782974711E-2</v>
      </c>
      <c r="AW4" s="6">
        <v>2.0327197782974711E-2</v>
      </c>
      <c r="AX4" s="6">
        <v>1.3700000000000002E-2</v>
      </c>
      <c r="AY4" s="6">
        <v>1.3700000000000002E-2</v>
      </c>
      <c r="AZ4" s="6">
        <v>10.361476311008202</v>
      </c>
      <c r="BA4" s="6">
        <v>25.003805182612119</v>
      </c>
      <c r="BB4" s="6">
        <v>26.285777687897159</v>
      </c>
      <c r="BC4" s="6" t="str">
        <v>#N/A</v>
      </c>
      <c r="BD4" s="6" t="str">
        <v>#N/A</v>
      </c>
      <c r="BE4" s="6">
        <v>0</v>
      </c>
      <c r="BF4" s="6">
        <v>3.4027197782974715E-2</v>
      </c>
      <c r="BG4" s="6">
        <v>3.1726748921563006E-2</v>
      </c>
      <c r="BH4" s="6">
        <v>3.1726748921563006E-2</v>
      </c>
      <c r="BI4" s="6">
        <v>61.685086379300451</v>
      </c>
      <c r="BJ4" s="6">
        <v>57.514793320424324</v>
      </c>
      <c r="BK4" s="6">
        <v>57.514793320424324</v>
      </c>
      <c r="BL4" s="6">
        <v>0</v>
      </c>
      <c r="BM4" s="6">
        <v>0</v>
      </c>
      <c r="BN4" s="6">
        <v>0.6131943551702338</v>
      </c>
      <c r="BO4" s="6">
        <v>57.198900217333403</v>
      </c>
      <c r="BP4" s="6">
        <v>0.24962300740396812</v>
      </c>
      <c r="BQ4" s="6">
        <v>45.881495253325575</v>
      </c>
      <c r="BR4" s="6">
        <v>1.0598121888933634</v>
      </c>
      <c r="BS4" s="6">
        <v>0.64987085177002002</v>
      </c>
      <c r="BT4" s="6">
        <v>60.620091641625194</v>
      </c>
      <c r="BU4" s="6">
        <v>0.2645535058749437</v>
      </c>
      <c r="BV4" s="6">
        <v>48.625767914127437</v>
      </c>
      <c r="BW4" s="6">
        <v>86.495120646471776</v>
      </c>
      <c r="BX4" s="6">
        <v>69.018717779103312</v>
      </c>
      <c r="BY4" s="6">
        <v>54.357325089421991</v>
      </c>
      <c r="BZ4" s="6">
        <v>10.981218889336334</v>
      </c>
      <c r="CA4" s="6">
        <v>4.3086023952885501E-2</v>
      </c>
      <c r="CB4" s="6">
        <v>2.903885397567816E-2</v>
      </c>
      <c r="CC4" s="6">
        <v>0</v>
      </c>
      <c r="CD4" s="6">
        <v>65.410668856686883</v>
      </c>
      <c r="CE4" s="6">
        <v>18.549524860086699</v>
      </c>
      <c r="CF4" s="6">
        <v>3.1742629047247992</v>
      </c>
      <c r="CG4" s="6">
        <v>0.67938840226598607</v>
      </c>
      <c r="CH4" s="6">
        <v>17.678114049009608</v>
      </c>
      <c r="CI4" s="6">
        <v>0.20083211020881034</v>
      </c>
      <c r="CJ4" s="6">
        <v>2.7814083857048839</v>
      </c>
      <c r="CK4" s="6">
        <v>20.093956379587823</v>
      </c>
      <c r="CL4" s="6">
        <v>3.1615079878560266</v>
      </c>
      <c r="CM4" s="6" t="str">
        <v>#DIV/0!</v>
      </c>
      <c r="CN4" s="6" t="str">
        <v>#DIV/0!</v>
      </c>
      <c r="CO4" s="6">
        <v>153.03020100401338</v>
      </c>
      <c r="CP4" s="6">
        <v>76.515100502006689</v>
      </c>
      <c r="CQ4" s="6">
        <v>7481.6957140537852</v>
      </c>
      <c r="CR4" s="6">
        <v>4865.4981687856434</v>
      </c>
      <c r="CS4" s="6">
        <v>3649.1236265892326</v>
      </c>
      <c r="CT4" s="6">
        <v>1059.8121888933633</v>
      </c>
      <c r="CU4" s="6">
        <v>12163.745421964109</v>
      </c>
      <c r="CV4" s="6">
        <v>5473.6854398838495</v>
      </c>
      <c r="CW4" s="6">
        <v>1377.7558455613723</v>
      </c>
      <c r="CX4" s="6">
        <v>-57.541478773900216</v>
      </c>
      <c r="CY4" s="6">
        <v>1.645111690401911</v>
      </c>
      <c r="CZ4" s="6"/>
      <c r="DA4" s="6"/>
      <c r="DB4" s="6"/>
      <c r="DC4" s="6"/>
      <c r="DD4" s="6"/>
      <c r="DE4" s="6"/>
      <c r="DF4" s="6"/>
      <c r="DG4" s="6"/>
      <c r="DH4" s="6"/>
      <c r="DI4" s="6"/>
      <c r="DJ4" s="6"/>
      <c r="DK4" s="6"/>
      <c r="DL4" s="6"/>
      <c r="DM4" s="6"/>
      <c r="DN4" s="6"/>
      <c r="DO4" s="6"/>
      <c r="DP4" s="6"/>
      <c r="DQ4" s="6"/>
      <c r="DR4" s="6"/>
      <c r="DS4" s="6"/>
      <c r="DT4" s="6"/>
      <c r="DU4" s="6"/>
      <c r="DV4" s="6"/>
      <c r="DW4" s="6"/>
      <c r="DX4" s="6"/>
      <c r="DY4" s="6"/>
      <c r="DZ4" s="6"/>
      <c r="EA4" s="6"/>
      <c r="EB4" s="6"/>
      <c r="EC4" s="6"/>
      <c r="ED4" s="6"/>
      <c r="EE4" s="6"/>
      <c r="EF4" s="6"/>
      <c r="EG4" s="6"/>
      <c r="EH4" s="6"/>
      <c r="EI4" s="6"/>
      <c r="EJ4" s="6"/>
      <c r="EK4" s="6"/>
      <c r="EL4" s="6"/>
      <c r="EM4" s="6"/>
      <c r="EN4" s="6"/>
      <c r="EO4" s="6"/>
      <c r="EP4" s="6"/>
      <c r="EQ4" s="6"/>
      <c r="ER4" s="6"/>
      <c r="ES4" s="6"/>
      <c r="ET4" s="6"/>
      <c r="EU4" s="6"/>
      <c r="EV4" s="6"/>
      <c r="EW4" s="6"/>
      <c r="EX4" s="6"/>
      <c r="EY4" s="6"/>
      <c r="EZ4" s="6"/>
      <c r="FA4" s="6"/>
      <c r="FB4" s="6"/>
      <c r="FC4" s="6"/>
      <c r="FD4" s="6"/>
      <c r="FE4" s="6"/>
      <c r="FF4" s="6"/>
      <c r="FG4" s="6"/>
      <c r="FH4" s="6"/>
      <c r="FI4" s="6"/>
      <c r="FJ4" s="6"/>
      <c r="FK4" s="6"/>
      <c r="FL4" s="6"/>
      <c r="FM4" s="6"/>
      <c r="FN4" s="6"/>
      <c r="FO4" s="6"/>
      <c r="FP4" s="6"/>
      <c r="FQ4" s="6"/>
      <c r="FR4" s="6"/>
      <c r="FS4" s="6"/>
      <c r="FT4" s="6"/>
      <c r="FU4" s="6"/>
      <c r="FV4" s="6"/>
      <c r="FW4" s="6"/>
      <c r="FX4" s="6"/>
      <c r="FY4" s="6"/>
      <c r="FZ4" s="6"/>
      <c r="GA4" s="6"/>
      <c r="GB4" s="6"/>
      <c r="GC4" s="6"/>
      <c r="GD4" s="6"/>
      <c r="GE4" s="6"/>
      <c r="GF4" s="6"/>
      <c r="GG4" s="6"/>
      <c r="GH4" s="6"/>
      <c r="GI4" s="6"/>
      <c r="GJ4" s="6"/>
      <c r="GK4" s="6"/>
      <c r="GL4" s="6"/>
      <c r="GM4" s="6"/>
      <c r="GN4" s="6"/>
      <c r="GO4" s="6"/>
      <c r="GP4" s="6"/>
      <c r="GQ4" s="6"/>
      <c r="GR4" s="6"/>
      <c r="GS4" s="6"/>
    </row>
    <row r="5" spans="1:201" x14ac:dyDescent="0.15">
      <c r="B5" s="6">
        <v>2</v>
      </c>
      <c r="C5" s="6">
        <v>6.4816775092882944E-2</v>
      </c>
      <c r="D5" s="6">
        <v>113.07809353159843</v>
      </c>
      <c r="E5" s="6">
        <v>0.88434458768139823</v>
      </c>
      <c r="F5" s="6">
        <v>110.51709180756478</v>
      </c>
      <c r="G5" s="6">
        <v>117.68045329117521</v>
      </c>
      <c r="H5" s="6">
        <v>0.86935823539880586</v>
      </c>
      <c r="I5" s="6">
        <v>50000</v>
      </c>
      <c r="J5" s="6">
        <v>0.51465611537567812</v>
      </c>
      <c r="K5" s="6">
        <v>25732</v>
      </c>
      <c r="L5" s="6">
        <v>458</v>
      </c>
      <c r="M5" s="6">
        <v>156.12161612885822</v>
      </c>
      <c r="N5" s="6">
        <v>1.4663223205731397</v>
      </c>
      <c r="O5" s="6">
        <v>1.2384058440442351E-2</v>
      </c>
      <c r="P5" s="6">
        <v>1</v>
      </c>
      <c r="Q5" s="6">
        <v>10.618365465453598</v>
      </c>
      <c r="R5" s="6">
        <v>0.106183654654536</v>
      </c>
      <c r="S5" s="6">
        <v>10.618365465453598</v>
      </c>
      <c r="T5" s="6">
        <v>0.106183654654536</v>
      </c>
      <c r="U5" s="6">
        <v>1.0357953367494417</v>
      </c>
      <c r="V5" s="6">
        <v>0.51789766837472084</v>
      </c>
      <c r="W5" s="6">
        <v>3.7241965630673598E-4</v>
      </c>
      <c r="X5" s="6">
        <v>7.3102800643574974E-3</v>
      </c>
      <c r="Y5" s="6">
        <v>3.7241965630673598E-4</v>
      </c>
      <c r="Z5" s="6">
        <v>3.6551400321787491E-4</v>
      </c>
      <c r="AA5" s="6">
        <v>0</v>
      </c>
      <c r="AB5" s="6">
        <v>0</v>
      </c>
      <c r="AC5" s="6">
        <v>0</v>
      </c>
      <c r="AD5" s="6">
        <v>0</v>
      </c>
      <c r="AE5" s="6">
        <v>0</v>
      </c>
      <c r="AF5" s="6">
        <v>0</v>
      </c>
      <c r="AG5" s="6" t="str">
        <v>#N/A</v>
      </c>
      <c r="AH5" s="6" t="str">
        <v>#N/A</v>
      </c>
      <c r="AI5" s="6">
        <v>105.98121888933633</v>
      </c>
      <c r="AJ5" s="6">
        <v>5.2990609444668166</v>
      </c>
      <c r="AK5" s="6">
        <v>12.39593558672891</v>
      </c>
      <c r="AL5" s="6">
        <v>113.07809353159843</v>
      </c>
      <c r="AM5" s="6">
        <v>0.55173822553788499</v>
      </c>
      <c r="AN5" s="6">
        <v>1.0357953367494417</v>
      </c>
      <c r="AO5" s="6">
        <v>7.9376678114366328E-2</v>
      </c>
      <c r="AP5" s="6">
        <v>1.5081568841729602</v>
      </c>
      <c r="AQ5" s="6" t="str">
        <v>#N/A</v>
      </c>
      <c r="AR5" s="6" t="str">
        <v>#N/A</v>
      </c>
      <c r="AS5" s="6">
        <v>1.2747593851393468</v>
      </c>
      <c r="AT5" s="6">
        <v>2.5910245281363466</v>
      </c>
      <c r="AU5" s="6">
        <v>0</v>
      </c>
      <c r="AV5" s="6">
        <v>5.5563674680056435E-2</v>
      </c>
      <c r="AW5" s="6">
        <v>5.5563674680056435E-2</v>
      </c>
      <c r="AX5" s="6">
        <v>3.5098167839284176E-2</v>
      </c>
      <c r="AY5" s="6">
        <v>3.5098167839284176E-2</v>
      </c>
      <c r="AZ5" s="6">
        <v>10.96227854537095</v>
      </c>
      <c r="BA5" s="6">
        <v>26.383548706026744</v>
      </c>
      <c r="BB5" s="6">
        <v>29.158330745533153</v>
      </c>
      <c r="BC5" s="6" t="str">
        <v>#N/A</v>
      </c>
      <c r="BD5" s="6" t="str">
        <v>#N/A</v>
      </c>
      <c r="BE5" s="6">
        <v>0</v>
      </c>
      <c r="BF5" s="6">
        <v>9.0661842519340619E-2</v>
      </c>
      <c r="BG5" s="6">
        <v>7.8817619430618394E-2</v>
      </c>
      <c r="BH5" s="6">
        <v>0.1105443683521814</v>
      </c>
      <c r="BI5" s="6">
        <v>66.594819839450182</v>
      </c>
      <c r="BJ5" s="6">
        <v>57.8947550623258</v>
      </c>
      <c r="BK5" s="6">
        <v>115.40954838275013</v>
      </c>
      <c r="BL5" s="6">
        <v>0</v>
      </c>
      <c r="BM5" s="6">
        <v>0</v>
      </c>
      <c r="BN5" s="6">
        <v>0.6131943551702338</v>
      </c>
      <c r="BO5" s="6">
        <v>57.198900217333403</v>
      </c>
      <c r="BP5" s="6">
        <v>0.24962300740396812</v>
      </c>
      <c r="BQ5" s="6">
        <v>45.881495253325575</v>
      </c>
      <c r="BR5" s="6">
        <v>1.1307809353159843</v>
      </c>
      <c r="BS5" s="6">
        <v>0.69338848646987883</v>
      </c>
      <c r="BT5" s="6">
        <v>64.679425886801923</v>
      </c>
      <c r="BU5" s="6">
        <v>0.28226893778864798</v>
      </c>
      <c r="BV5" s="6">
        <v>51.881920116251386</v>
      </c>
      <c r="BW5" s="6">
        <v>95.857616874213022</v>
      </c>
      <c r="BX5" s="6">
        <v>76.489514744535967</v>
      </c>
      <c r="BY5" s="6">
        <v>62.805698395442548</v>
      </c>
      <c r="BZ5" s="6">
        <v>12.39593558672891</v>
      </c>
      <c r="CA5" s="6">
        <v>0.12566068804861458</v>
      </c>
      <c r="CB5" s="6">
        <v>7.9376678114366328E-2</v>
      </c>
      <c r="CC5" s="6">
        <v>0</v>
      </c>
      <c r="CD5" s="6">
        <v>75.406671348334442</v>
      </c>
      <c r="CE5" s="6">
        <v>15.722937449106094</v>
      </c>
      <c r="CF5" s="6">
        <v>0.83250326808167319</v>
      </c>
      <c r="CG5" s="6">
        <v>0.58259222326139892</v>
      </c>
      <c r="CH5" s="6">
        <v>14.899814392893273</v>
      </c>
      <c r="CI5" s="6">
        <v>0.11912623552859053</v>
      </c>
      <c r="CJ5" s="6">
        <v>0.4728461996016538</v>
      </c>
      <c r="CK5" s="6">
        <v>19.380303043314981</v>
      </c>
      <c r="CL5" s="6">
        <v>0.61503468429316399</v>
      </c>
      <c r="CM5" s="6" t="str">
        <v>#DIV/0!</v>
      </c>
      <c r="CN5" s="6" t="str">
        <v>#DIV/0!</v>
      </c>
      <c r="CO5" s="6">
        <v>156.12161612885822</v>
      </c>
      <c r="CP5" s="6">
        <v>78.060808064429111</v>
      </c>
      <c r="CQ5" s="6">
        <v>8143.9574991680265</v>
      </c>
      <c r="CR5" s="6">
        <v>5296.1804132770012</v>
      </c>
      <c r="CS5" s="6">
        <v>3972.1353099577505</v>
      </c>
      <c r="CT5" s="6">
        <v>1130.7809353159844</v>
      </c>
      <c r="CU5" s="6">
        <v>13240.451033192503</v>
      </c>
      <c r="CV5" s="6">
        <v>5958.2029649366259</v>
      </c>
      <c r="CW5" s="6">
        <v>1470.0152159107797</v>
      </c>
      <c r="CX5" s="6">
        <v>-54.73514773901713</v>
      </c>
      <c r="CY5" s="6">
        <v>4.2584447026896237</v>
      </c>
      <c r="CZ5" s="6"/>
      <c r="DA5" s="6"/>
      <c r="DB5" s="6"/>
      <c r="DC5" s="6"/>
      <c r="DD5" s="6"/>
      <c r="DE5" s="6"/>
      <c r="DF5" s="6"/>
      <c r="DG5" s="6"/>
      <c r="DH5" s="6"/>
      <c r="DI5" s="6"/>
      <c r="DJ5" s="6"/>
      <c r="DK5" s="6"/>
      <c r="DL5" s="6"/>
      <c r="DM5" s="6"/>
      <c r="DN5" s="6"/>
      <c r="DO5" s="6"/>
      <c r="DP5" s="6"/>
      <c r="DQ5" s="6"/>
      <c r="DR5" s="6"/>
      <c r="DS5" s="6"/>
      <c r="DT5" s="6"/>
      <c r="DU5" s="6"/>
      <c r="DV5" s="6"/>
      <c r="DW5" s="6"/>
      <c r="DX5" s="6"/>
      <c r="DY5" s="6"/>
      <c r="DZ5" s="6"/>
      <c r="EA5" s="6"/>
      <c r="EB5" s="6"/>
      <c r="EC5" s="6"/>
      <c r="ED5" s="6"/>
      <c r="EE5" s="6"/>
      <c r="EF5" s="6"/>
      <c r="EG5" s="6"/>
      <c r="EH5" s="6"/>
      <c r="EI5" s="6"/>
      <c r="EJ5" s="6"/>
      <c r="EK5" s="6"/>
      <c r="EL5" s="6"/>
      <c r="EM5" s="6"/>
      <c r="EN5" s="6"/>
      <c r="EO5" s="6"/>
      <c r="EP5" s="6"/>
      <c r="EQ5" s="6"/>
      <c r="ER5" s="6"/>
      <c r="ES5" s="6"/>
      <c r="ET5" s="6"/>
      <c r="EU5" s="6"/>
      <c r="EV5" s="6"/>
      <c r="EW5" s="6"/>
      <c r="EX5" s="6"/>
      <c r="EY5" s="6"/>
      <c r="EZ5" s="6"/>
      <c r="FA5" s="6"/>
      <c r="FB5" s="6"/>
      <c r="FC5" s="6"/>
      <c r="FD5" s="6"/>
      <c r="FE5" s="6"/>
      <c r="FF5" s="6"/>
      <c r="FG5" s="6"/>
      <c r="FH5" s="6"/>
      <c r="FI5" s="6"/>
      <c r="FJ5" s="6"/>
      <c r="FK5" s="6"/>
      <c r="FL5" s="6"/>
      <c r="FM5" s="6"/>
      <c r="FN5" s="6"/>
      <c r="FO5" s="6"/>
      <c r="FP5" s="6"/>
      <c r="FQ5" s="6"/>
      <c r="FR5" s="6"/>
      <c r="FS5" s="6"/>
      <c r="FT5" s="6"/>
      <c r="FU5" s="6"/>
      <c r="FV5" s="6"/>
      <c r="FW5" s="6"/>
      <c r="FX5" s="6"/>
      <c r="FY5" s="6"/>
      <c r="FZ5" s="6"/>
      <c r="GA5" s="6"/>
      <c r="GB5" s="6"/>
      <c r="GC5" s="6"/>
      <c r="GD5" s="6"/>
      <c r="GE5" s="6"/>
      <c r="GF5" s="6"/>
      <c r="GG5" s="6"/>
      <c r="GH5" s="6"/>
      <c r="GI5" s="6"/>
      <c r="GJ5" s="6"/>
      <c r="GK5" s="6"/>
      <c r="GL5" s="6"/>
      <c r="GM5" s="6"/>
      <c r="GN5" s="6"/>
      <c r="GO5" s="6"/>
      <c r="GP5" s="6"/>
      <c r="GQ5" s="6"/>
      <c r="GR5" s="6"/>
      <c r="GS5" s="6"/>
    </row>
    <row r="6" spans="1:201" x14ac:dyDescent="0.15">
      <c r="B6" s="6">
        <v>3</v>
      </c>
      <c r="C6" s="6">
        <v>6.9929008928705308E-2</v>
      </c>
      <c r="D6" s="6">
        <v>121.26857114190128</v>
      </c>
      <c r="E6" s="6">
        <v>0.82461596651440661</v>
      </c>
      <c r="F6" s="6">
        <v>116.18342427282835</v>
      </c>
      <c r="G6" s="6">
        <v>124.3080159861705</v>
      </c>
      <c r="H6" s="6">
        <v>0.81058424597018719</v>
      </c>
      <c r="I6" s="6">
        <v>50000</v>
      </c>
      <c r="J6" s="6">
        <v>0.53792909001062172</v>
      </c>
      <c r="K6" s="6">
        <v>26896</v>
      </c>
      <c r="L6" s="6">
        <v>1164</v>
      </c>
      <c r="M6" s="6">
        <v>159.27548198180392</v>
      </c>
      <c r="N6" s="6">
        <v>1.5636137776346484</v>
      </c>
      <c r="O6" s="6">
        <v>0.02</v>
      </c>
      <c r="P6" s="6">
        <v>1</v>
      </c>
      <c r="Q6" s="6">
        <v>10.941742837052107</v>
      </c>
      <c r="R6" s="6">
        <v>0.10941742837052108</v>
      </c>
      <c r="S6" s="6">
        <v>10.941742837052107</v>
      </c>
      <c r="T6" s="6">
        <v>0.10941742837052108</v>
      </c>
      <c r="U6" s="6">
        <v>2.8231323361834617</v>
      </c>
      <c r="V6" s="6">
        <v>1.4115661680917309</v>
      </c>
      <c r="W6" s="6">
        <v>9.7989278637088898E-4</v>
      </c>
      <c r="X6" s="6">
        <v>1.9087323009333825E-2</v>
      </c>
      <c r="Y6" s="6">
        <v>9.7989278637088898E-4</v>
      </c>
      <c r="Z6" s="6">
        <v>9.543661504666913E-4</v>
      </c>
      <c r="AA6" s="6">
        <v>0</v>
      </c>
      <c r="AB6" s="6">
        <v>0</v>
      </c>
      <c r="AC6" s="6">
        <v>0</v>
      </c>
      <c r="AD6" s="6">
        <v>0</v>
      </c>
      <c r="AE6" s="6">
        <v>0</v>
      </c>
      <c r="AF6" s="6">
        <v>0</v>
      </c>
      <c r="AG6" s="6" t="str">
        <v>#N/A</v>
      </c>
      <c r="AH6" s="6" t="str">
        <v>#N/A</v>
      </c>
      <c r="AI6" s="6">
        <v>113.07809353159843</v>
      </c>
      <c r="AJ6" s="6">
        <v>5.6539046765799217</v>
      </c>
      <c r="AK6" s="6">
        <v>13.844382286882771</v>
      </c>
      <c r="AL6" s="6">
        <v>121.26857114190128</v>
      </c>
      <c r="AM6" s="6">
        <v>1.5081568841729602</v>
      </c>
      <c r="AN6" s="6">
        <v>2.8231323361834617</v>
      </c>
      <c r="AO6" s="6">
        <v>0.21656446101782112</v>
      </c>
      <c r="AP6" s="6">
        <v>4.1147247593386007</v>
      </c>
      <c r="AQ6" s="6" t="str">
        <v>#N/A</v>
      </c>
      <c r="AR6" s="6" t="str">
        <v>#N/A</v>
      </c>
      <c r="AS6" s="6">
        <v>1.2674406949325774</v>
      </c>
      <c r="AT6" s="6">
        <v>3.858465223068924</v>
      </c>
      <c r="AU6" s="6">
        <v>0</v>
      </c>
      <c r="AV6" s="6">
        <v>0.15159512271247477</v>
      </c>
      <c r="AW6" s="6">
        <v>0.15159512271247477</v>
      </c>
      <c r="AX6" s="6">
        <v>8.9291256167441047E-2</v>
      </c>
      <c r="AY6" s="6">
        <v>8.9291256167441047E-2</v>
      </c>
      <c r="AZ6" s="6">
        <v>11.416298680292767</v>
      </c>
      <c r="BA6" s="6">
        <v>28.399559011898948</v>
      </c>
      <c r="BB6" s="6">
        <v>32.995580138406815</v>
      </c>
      <c r="BC6" s="6" t="str">
        <v>#N/A</v>
      </c>
      <c r="BD6" s="6" t="str">
        <v>#N/A</v>
      </c>
      <c r="BE6" s="6">
        <v>0</v>
      </c>
      <c r="BF6" s="6">
        <v>0.24088637887991582</v>
      </c>
      <c r="BG6" s="6">
        <v>0.1952587037888654</v>
      </c>
      <c r="BH6" s="6">
        <v>0.30580307214104679</v>
      </c>
      <c r="BI6" s="6">
        <v>73.052324209478456</v>
      </c>
      <c r="BJ6" s="6">
        <v>59.215063135709748</v>
      </c>
      <c r="BK6" s="6">
        <v>174.62461151845989</v>
      </c>
      <c r="BL6" s="6">
        <v>0</v>
      </c>
      <c r="BM6" s="6">
        <v>0</v>
      </c>
      <c r="BN6" s="6">
        <v>0.6131943551702338</v>
      </c>
      <c r="BO6" s="6">
        <v>57.198900217333403</v>
      </c>
      <c r="BP6" s="6">
        <v>0.24962300740396812</v>
      </c>
      <c r="BQ6" s="6">
        <v>45.881495253325575</v>
      </c>
      <c r="BR6" s="6">
        <v>1.2126857114190128</v>
      </c>
      <c r="BS6" s="6">
        <v>0.7436120328377378</v>
      </c>
      <c r="BT6" s="6">
        <v>69.364289002442078</v>
      </c>
      <c r="BU6" s="6">
        <v>0.30271425432023458</v>
      </c>
      <c r="BV6" s="6">
        <v>55.639833712247182</v>
      </c>
      <c r="BW6" s="6">
        <v>109.62167997980994</v>
      </c>
      <c r="BX6" s="6">
        <v>87.472538756511995</v>
      </c>
      <c r="BY6" s="6">
        <v>74.45300799815783</v>
      </c>
      <c r="BZ6" s="6">
        <v>13.844382286882771</v>
      </c>
      <c r="CA6" s="6">
        <v>0.36767447846846002</v>
      </c>
      <c r="CB6" s="6">
        <v>0.21656446101782112</v>
      </c>
      <c r="CC6" s="6">
        <v>0</v>
      </c>
      <c r="CD6" s="6">
        <v>88.88162922452689</v>
      </c>
      <c r="CE6" s="6">
        <v>13.863079480983275</v>
      </c>
      <c r="CF6" s="6">
        <v>-0.94186525310264702</v>
      </c>
      <c r="CG6" s="6">
        <v>0.30542744849104592</v>
      </c>
      <c r="CH6" s="6">
        <v>13.004649377760675</v>
      </c>
      <c r="CI6" s="6">
        <v>-0.15537767317940365</v>
      </c>
      <c r="CJ6" s="6">
        <v>-1.3394902346548021</v>
      </c>
      <c r="CK6" s="6">
        <v>19.455784590963489</v>
      </c>
      <c r="CL6" s="6">
        <v>-2.0039627913159848</v>
      </c>
      <c r="CM6" s="6" t="str">
        <v>#DIV/0!</v>
      </c>
      <c r="CN6" s="6" t="str">
        <v>#DIV/0!</v>
      </c>
      <c r="CO6" s="6">
        <v>159.27548198180392</v>
      </c>
      <c r="CP6" s="6">
        <v>79.63774099090196</v>
      </c>
      <c r="CQ6" s="6">
        <v>8910.2762906652097</v>
      </c>
      <c r="CR6" s="6">
        <v>5794.5330353613017</v>
      </c>
      <c r="CS6" s="6">
        <v>4345.899776520976</v>
      </c>
      <c r="CT6" s="6">
        <v>1212.6857114190127</v>
      </c>
      <c r="CU6" s="6">
        <v>14486.332588403253</v>
      </c>
      <c r="CV6" s="6">
        <v>6518.8496647814636</v>
      </c>
      <c r="CW6" s="6">
        <v>1576.4914248447167</v>
      </c>
      <c r="CX6" s="6">
        <v>-52.065683083746819</v>
      </c>
      <c r="CY6" s="6">
        <v>10.57055073046776</v>
      </c>
      <c r="CZ6" s="6"/>
      <c r="DA6" s="6"/>
      <c r="DB6" s="6"/>
      <c r="DC6" s="6"/>
      <c r="DD6" s="6"/>
      <c r="DE6" s="6"/>
      <c r="DF6" s="6"/>
      <c r="DG6" s="6"/>
      <c r="DH6" s="6"/>
      <c r="DI6" s="6"/>
      <c r="DJ6" s="6"/>
      <c r="DK6" s="6"/>
      <c r="DL6" s="6"/>
      <c r="DM6" s="6"/>
      <c r="DN6" s="6"/>
      <c r="DO6" s="6"/>
      <c r="DP6" s="6"/>
      <c r="DQ6" s="6"/>
      <c r="DR6" s="6"/>
      <c r="DS6" s="6"/>
      <c r="DT6" s="6"/>
      <c r="DU6" s="6"/>
      <c r="DV6" s="6"/>
      <c r="DW6" s="6"/>
      <c r="DX6" s="6"/>
      <c r="DY6" s="6"/>
      <c r="DZ6" s="6"/>
      <c r="EA6" s="6"/>
      <c r="EB6" s="6"/>
      <c r="EC6" s="6"/>
      <c r="ED6" s="6"/>
      <c r="EE6" s="6"/>
      <c r="EF6" s="6"/>
      <c r="EG6" s="6"/>
      <c r="EH6" s="6"/>
      <c r="EI6" s="6"/>
      <c r="EJ6" s="6"/>
      <c r="EK6" s="6"/>
      <c r="EL6" s="6"/>
      <c r="EM6" s="6"/>
      <c r="EN6" s="6"/>
      <c r="EO6" s="6"/>
      <c r="EP6" s="6"/>
      <c r="EQ6" s="6"/>
      <c r="ER6" s="6"/>
      <c r="ES6" s="6"/>
      <c r="ET6" s="6"/>
      <c r="EU6" s="6"/>
      <c r="EV6" s="6"/>
      <c r="EW6" s="6"/>
      <c r="EX6" s="6"/>
      <c r="EY6" s="6"/>
      <c r="EZ6" s="6"/>
      <c r="FA6" s="6"/>
      <c r="FB6" s="6"/>
      <c r="FC6" s="6"/>
      <c r="FD6" s="6"/>
      <c r="FE6" s="6"/>
      <c r="FF6" s="6"/>
      <c r="FG6" s="6"/>
      <c r="FH6" s="6"/>
      <c r="FI6" s="6"/>
      <c r="FJ6" s="6"/>
      <c r="FK6" s="6"/>
      <c r="FL6" s="6"/>
      <c r="FM6" s="6"/>
      <c r="FN6" s="6"/>
      <c r="FO6" s="6"/>
      <c r="FP6" s="6"/>
      <c r="FQ6" s="6"/>
      <c r="FR6" s="6"/>
      <c r="FS6" s="6"/>
      <c r="FT6" s="6"/>
      <c r="FU6" s="6"/>
      <c r="FV6" s="6"/>
      <c r="FW6" s="6"/>
      <c r="FX6" s="6"/>
      <c r="FY6" s="6"/>
      <c r="FZ6" s="6"/>
      <c r="GA6" s="6"/>
      <c r="GB6" s="6"/>
      <c r="GC6" s="6"/>
      <c r="GD6" s="6"/>
      <c r="GE6" s="6"/>
      <c r="GF6" s="6"/>
      <c r="GG6" s="6"/>
      <c r="GH6" s="6"/>
      <c r="GI6" s="6"/>
      <c r="GJ6" s="6"/>
      <c r="GK6" s="6"/>
      <c r="GL6" s="6"/>
      <c r="GM6" s="6"/>
      <c r="GN6" s="6"/>
      <c r="GO6" s="6"/>
      <c r="GP6" s="6"/>
      <c r="GQ6" s="6"/>
      <c r="GR6" s="6"/>
      <c r="GS6" s="6"/>
    </row>
    <row r="7" spans="1:201" x14ac:dyDescent="0.15">
      <c r="B7" s="6">
        <v>4</v>
      </c>
      <c r="C7" s="6">
        <v>7.3540444827524018E-2</v>
      </c>
      <c r="D7" s="6">
        <v>130.52282647363782</v>
      </c>
      <c r="E7" s="6">
        <v>0.76614951347377813</v>
      </c>
      <c r="F7" s="6">
        <v>122.14027581601702</v>
      </c>
      <c r="G7" s="6">
        <v>131.12252603088339</v>
      </c>
      <c r="H7" s="6">
        <v>0.75578374145572558</v>
      </c>
      <c r="I7" s="6">
        <v>50000</v>
      </c>
      <c r="J7" s="6">
        <v>0.59121276190317817</v>
      </c>
      <c r="K7" s="6">
        <v>29560</v>
      </c>
      <c r="L7" s="6">
        <v>2664</v>
      </c>
      <c r="M7" s="6">
        <v>162.49306015124375</v>
      </c>
      <c r="N7" s="6">
        <v>1.7532026231958293</v>
      </c>
      <c r="O7" s="6">
        <v>2.7615941559557648E-2</v>
      </c>
      <c r="P7" s="6">
        <v>1</v>
      </c>
      <c r="Q7" s="6">
        <v>11.274968515793761</v>
      </c>
      <c r="R7" s="6">
        <v>0.11274968515793762</v>
      </c>
      <c r="S7" s="6">
        <v>11.274968515793761</v>
      </c>
      <c r="T7" s="6">
        <v>0.11274968515793762</v>
      </c>
      <c r="U7" s="6">
        <v>6.9542561945154242</v>
      </c>
      <c r="V7" s="6">
        <v>3.4771280972577121</v>
      </c>
      <c r="W7" s="6">
        <v>2.4033086391790971E-3</v>
      </c>
      <c r="X7" s="6">
        <v>4.6575747279127097E-2</v>
      </c>
      <c r="Y7" s="6">
        <v>2.4033086391790971E-3</v>
      </c>
      <c r="Z7" s="6">
        <v>2.3287873639563548E-3</v>
      </c>
      <c r="AA7" s="6">
        <v>0</v>
      </c>
      <c r="AB7" s="6">
        <v>0</v>
      </c>
      <c r="AC7" s="6">
        <v>0</v>
      </c>
      <c r="AD7" s="6">
        <v>0</v>
      </c>
      <c r="AE7" s="6">
        <v>0</v>
      </c>
      <c r="AF7" s="6">
        <v>0</v>
      </c>
      <c r="AG7" s="6" t="str">
        <v>#N/A</v>
      </c>
      <c r="AH7" s="6" t="str">
        <v>#N/A</v>
      </c>
      <c r="AI7" s="6">
        <v>121.26857114190128</v>
      </c>
      <c r="AJ7" s="6">
        <v>6.0634285570950643</v>
      </c>
      <c r="AK7" s="6">
        <v>15.31768388883161</v>
      </c>
      <c r="AL7" s="6">
        <v>130.52282647363782</v>
      </c>
      <c r="AM7" s="6">
        <v>4.1147247593386007</v>
      </c>
      <c r="AN7" s="6">
        <v>6.9542561945154242</v>
      </c>
      <c r="AO7" s="6">
        <v>0.55344904769270131</v>
      </c>
      <c r="AP7" s="6">
        <v>10.515531906161323</v>
      </c>
      <c r="AQ7" s="6" t="str">
        <v>#N/A</v>
      </c>
      <c r="AR7" s="6" t="str">
        <v>#N/A</v>
      </c>
      <c r="AS7" s="6">
        <v>1.3250420380889365</v>
      </c>
      <c r="AT7" s="6">
        <v>5.1835072611578603</v>
      </c>
      <c r="AU7" s="6">
        <v>0</v>
      </c>
      <c r="AV7" s="6">
        <v>0.3874143333848909</v>
      </c>
      <c r="AW7" s="6">
        <v>0.3874143333848909</v>
      </c>
      <c r="AX7" s="6">
        <v>0.21201235931114448</v>
      </c>
      <c r="AY7" s="6">
        <v>0.21201235931114448</v>
      </c>
      <c r="AZ7" s="6">
        <v>11.735636058973467</v>
      </c>
      <c r="BA7" s="6">
        <v>31.603669101490105</v>
      </c>
      <c r="BB7" s="6">
        <v>38.600808608541364</v>
      </c>
      <c r="BC7" s="6" t="str">
        <v>#N/A</v>
      </c>
      <c r="BD7" s="6" t="str">
        <v>#N/A</v>
      </c>
      <c r="BE7" s="6">
        <v>0</v>
      </c>
      <c r="BF7" s="6">
        <v>0.59942669269603543</v>
      </c>
      <c r="BG7" s="6">
        <v>0.45303694853424109</v>
      </c>
      <c r="BH7" s="6">
        <v>0.75884002067528789</v>
      </c>
      <c r="BI7" s="6">
        <v>82.539540461700966</v>
      </c>
      <c r="BJ7" s="6">
        <v>62.382042708180606</v>
      </c>
      <c r="BK7" s="6">
        <v>237.00665422664048</v>
      </c>
      <c r="BL7" s="6">
        <v>0</v>
      </c>
      <c r="BM7" s="6">
        <v>0</v>
      </c>
      <c r="BN7" s="6">
        <v>0.6131943551702338</v>
      </c>
      <c r="BO7" s="6">
        <v>57.198900217333403</v>
      </c>
      <c r="BP7" s="6">
        <v>0.24962300740396812</v>
      </c>
      <c r="BQ7" s="6">
        <v>45.881495253325575</v>
      </c>
      <c r="BR7" s="6">
        <v>1.3052282647363784</v>
      </c>
      <c r="BS7" s="6">
        <v>0.80035860414498683</v>
      </c>
      <c r="BT7" s="6">
        <v>74.657621275499338</v>
      </c>
      <c r="BU7" s="6">
        <v>0.32581500479215747</v>
      </c>
      <c r="BV7" s="6">
        <v>59.885824433008523</v>
      </c>
      <c r="BW7" s="6">
        <v>132.29312826605053</v>
      </c>
      <c r="BX7" s="6">
        <v>105.56320420927359</v>
      </c>
      <c r="BY7" s="6">
        <v>91.632868618188127</v>
      </c>
      <c r="BZ7" s="6">
        <v>15.31768388883161</v>
      </c>
      <c r="CA7" s="6">
        <v>1.0113282761959239</v>
      </c>
      <c r="CB7" s="6">
        <v>0.55344904769270131</v>
      </c>
      <c r="CC7" s="6">
        <v>0</v>
      </c>
      <c r="CD7" s="6">
        <v>108.51532983090836</v>
      </c>
      <c r="CE7" s="6">
        <v>13.76837596182572</v>
      </c>
      <c r="CF7" s="6">
        <v>-1.7094086971960176</v>
      </c>
      <c r="CG7" s="6">
        <v>-0.19419564549962859</v>
      </c>
      <c r="CH7" s="6">
        <v>12.855237617155785</v>
      </c>
      <c r="CI7" s="6">
        <v>-0.67594296513458285</v>
      </c>
      <c r="CJ7" s="6">
        <v>-2.1407997222310065</v>
      </c>
      <c r="CK7" s="6">
        <v>22.200820906117613</v>
      </c>
      <c r="CL7" s="6">
        <v>-3.6971320674531682</v>
      </c>
      <c r="CM7" s="6" t="str">
        <v>#DIV/0!</v>
      </c>
      <c r="CN7" s="6" t="str">
        <v>#DIV/0!</v>
      </c>
      <c r="CO7" s="6">
        <v>162.49306015124375</v>
      </c>
      <c r="CP7" s="6">
        <v>81.246530075621877</v>
      </c>
      <c r="CQ7" s="6">
        <v>9783.9735489715458</v>
      </c>
      <c r="CR7" s="6">
        <v>6362.7160479873555</v>
      </c>
      <c r="CS7" s="6">
        <v>4772.0370359905164</v>
      </c>
      <c r="CT7" s="6">
        <v>1305.2282647363784</v>
      </c>
      <c r="CU7" s="6">
        <v>15906.790119968387</v>
      </c>
      <c r="CV7" s="6">
        <v>7158.0555539857751</v>
      </c>
      <c r="CW7" s="6">
        <v>1696.7967441572919</v>
      </c>
      <c r="CX7" s="6">
        <v>-49.526409755989043</v>
      </c>
      <c r="CY7" s="6">
        <v>24.300059375351317</v>
      </c>
      <c r="CZ7" s="6"/>
      <c r="DA7" s="6"/>
      <c r="DB7" s="6"/>
      <c r="DC7" s="6"/>
      <c r="DD7" s="6"/>
      <c r="DE7" s="6"/>
      <c r="DF7" s="6"/>
      <c r="DG7" s="6"/>
      <c r="DH7" s="6"/>
      <c r="DI7" s="6"/>
      <c r="DJ7" s="6"/>
      <c r="DK7" s="6"/>
      <c r="DL7" s="6"/>
      <c r="DM7" s="6"/>
      <c r="DN7" s="6"/>
      <c r="DO7" s="6"/>
      <c r="DP7" s="6"/>
      <c r="DQ7" s="6"/>
      <c r="DR7" s="6"/>
      <c r="DS7" s="6"/>
      <c r="DT7" s="6"/>
      <c r="DU7" s="6"/>
      <c r="DV7" s="6"/>
      <c r="DW7" s="6"/>
      <c r="DX7" s="6"/>
      <c r="DY7" s="6"/>
      <c r="DZ7" s="6"/>
      <c r="EA7" s="6"/>
      <c r="EB7" s="6"/>
      <c r="EC7" s="6"/>
      <c r="ED7" s="6"/>
      <c r="EE7" s="6"/>
      <c r="EF7" s="6"/>
      <c r="EG7" s="6"/>
      <c r="EH7" s="6"/>
      <c r="EI7" s="6"/>
      <c r="EJ7" s="6"/>
      <c r="EK7" s="6"/>
      <c r="EL7" s="6"/>
      <c r="EM7" s="6"/>
      <c r="EN7" s="6"/>
      <c r="EO7" s="6"/>
      <c r="EP7" s="6"/>
      <c r="EQ7" s="6"/>
      <c r="ER7" s="6"/>
      <c r="ES7" s="6"/>
      <c r="ET7" s="6"/>
      <c r="EU7" s="6"/>
      <c r="EV7" s="6"/>
      <c r="EW7" s="6"/>
      <c r="EX7" s="6"/>
      <c r="EY7" s="6"/>
      <c r="EZ7" s="6"/>
      <c r="FA7" s="6"/>
      <c r="FB7" s="6"/>
      <c r="FC7" s="6"/>
      <c r="FD7" s="6"/>
      <c r="FE7" s="6"/>
      <c r="FF7" s="6"/>
      <c r="FG7" s="6"/>
      <c r="FH7" s="6"/>
      <c r="FI7" s="6"/>
      <c r="FJ7" s="6"/>
      <c r="FK7" s="6"/>
      <c r="FL7" s="6"/>
      <c r="FM7" s="6"/>
      <c r="FN7" s="6"/>
      <c r="FO7" s="6"/>
      <c r="FP7" s="6"/>
      <c r="FQ7" s="6"/>
      <c r="FR7" s="6"/>
      <c r="FS7" s="6"/>
      <c r="FT7" s="6"/>
      <c r="FU7" s="6"/>
      <c r="FV7" s="6"/>
      <c r="FW7" s="6"/>
      <c r="FX7" s="6"/>
      <c r="FY7" s="6"/>
      <c r="FZ7" s="6"/>
      <c r="GA7" s="6"/>
      <c r="GB7" s="6"/>
      <c r="GC7" s="6"/>
      <c r="GD7" s="6"/>
      <c r="GE7" s="6"/>
      <c r="GF7" s="6"/>
      <c r="GG7" s="6"/>
      <c r="GH7" s="6"/>
      <c r="GI7" s="6"/>
      <c r="GJ7" s="6"/>
      <c r="GK7" s="6"/>
      <c r="GL7" s="6"/>
      <c r="GM7" s="6"/>
      <c r="GN7" s="6"/>
      <c r="GO7" s="6"/>
      <c r="GP7" s="6"/>
      <c r="GQ7" s="6"/>
      <c r="GR7" s="6"/>
      <c r="GS7" s="6"/>
    </row>
    <row r="8" spans="1:201" x14ac:dyDescent="0.15">
      <c r="B8" s="6">
        <v>5</v>
      </c>
      <c r="C8" s="6">
        <v>7.5954410655356047E-2</v>
      </c>
      <c r="D8" s="6">
        <v>140.82282467164859</v>
      </c>
      <c r="E8" s="6">
        <v>0.71011215854508192</v>
      </c>
      <c r="F8" s="6">
        <v>128.40254166877421</v>
      </c>
      <c r="G8" s="6">
        <v>138.15528104787575</v>
      </c>
      <c r="H8" s="6">
        <v>0.70468808971871355</v>
      </c>
      <c r="I8" s="6">
        <v>50000</v>
      </c>
      <c r="J8" s="6">
        <v>0.68877033439907276</v>
      </c>
      <c r="K8" s="6">
        <v>34438</v>
      </c>
      <c r="L8" s="6">
        <v>4878</v>
      </c>
      <c r="M8" s="6">
        <v>165.77563771134712</v>
      </c>
      <c r="N8" s="6">
        <v>2.083778215198731</v>
      </c>
      <c r="O8" s="6">
        <v>0.03</v>
      </c>
      <c r="P8" s="6">
        <v>1</v>
      </c>
      <c r="Q8" s="6">
        <v>11.618342427282837</v>
      </c>
      <c r="R8" s="6">
        <v>0.11618342427282838</v>
      </c>
      <c r="S8" s="6">
        <v>11.618342427282837</v>
      </c>
      <c r="T8" s="6">
        <v>0.11618342427282838</v>
      </c>
      <c r="U8" s="6">
        <v>13.738674774966036</v>
      </c>
      <c r="V8" s="6">
        <v>6.8693373874830179</v>
      </c>
      <c r="W8" s="6">
        <v>5.078231307455822E-3</v>
      </c>
      <c r="X8" s="6">
        <v>9.7670892005482512E-2</v>
      </c>
      <c r="Y8" s="6">
        <v>5.078231307455822E-3</v>
      </c>
      <c r="Z8" s="6">
        <v>4.8835446002741256E-3</v>
      </c>
      <c r="AA8" s="6">
        <v>0</v>
      </c>
      <c r="AB8" s="6">
        <v>0</v>
      </c>
      <c r="AC8" s="6">
        <v>0</v>
      </c>
      <c r="AD8" s="6">
        <v>0</v>
      </c>
      <c r="AE8" s="6">
        <v>0</v>
      </c>
      <c r="AF8" s="6">
        <v>0</v>
      </c>
      <c r="AG8" s="6" t="str">
        <v>#N/A</v>
      </c>
      <c r="AH8" s="6" t="str">
        <v>#N/A</v>
      </c>
      <c r="AI8" s="6">
        <v>130.52282647363782</v>
      </c>
      <c r="AJ8" s="6">
        <v>6.526141323681891</v>
      </c>
      <c r="AK8" s="6">
        <v>16.82613952169266</v>
      </c>
      <c r="AL8" s="6">
        <v>140.82282467164859</v>
      </c>
      <c r="AM8" s="6">
        <v>10.515531906161323</v>
      </c>
      <c r="AN8" s="6">
        <v>13.738674774966036</v>
      </c>
      <c r="AO8" s="6">
        <v>1.2127103340563679</v>
      </c>
      <c r="AP8" s="6">
        <v>23.041496347070989</v>
      </c>
      <c r="AQ8" s="6" t="str">
        <v>#N/A</v>
      </c>
      <c r="AR8" s="6" t="str">
        <v>#N/A</v>
      </c>
      <c r="AS8" s="6">
        <v>1.4684136898658642</v>
      </c>
      <c r="AT8" s="6">
        <v>6.6519209510237243</v>
      </c>
      <c r="AU8" s="6">
        <v>8.5439353809448964</v>
      </c>
      <c r="AV8" s="6">
        <v>0.84889723383945759</v>
      </c>
      <c r="AW8" s="6">
        <v>0.84889723383945759</v>
      </c>
      <c r="AX8" s="6">
        <v>0.4305801765033474</v>
      </c>
      <c r="AY8" s="6">
        <v>0.4305801765033474</v>
      </c>
      <c r="AZ8" s="6">
        <v>11.948446255729888</v>
      </c>
      <c r="BA8" s="6">
        <v>36.577155671294307</v>
      </c>
      <c r="BB8" s="6">
        <v>46.965997552086073</v>
      </c>
      <c r="BC8" s="6" t="str">
        <v>#N/A</v>
      </c>
      <c r="BD8" s="6" t="str">
        <v>#N/A</v>
      </c>
      <c r="BE8" s="6">
        <v>0</v>
      </c>
      <c r="BF8" s="6">
        <v>1.279477410342805</v>
      </c>
      <c r="BG8" s="6">
        <v>0.9016324921327179</v>
      </c>
      <c r="BH8" s="6">
        <v>1.6604725128080058</v>
      </c>
      <c r="BI8" s="6">
        <v>96.77107688945307</v>
      </c>
      <c r="BJ8" s="6">
        <v>68.193425313251439</v>
      </c>
      <c r="BK8" s="6">
        <v>305.20007953989193</v>
      </c>
      <c r="BL8" s="6">
        <v>7.9775327019986984</v>
      </c>
      <c r="BM8" s="6">
        <v>413.67255842775188</v>
      </c>
      <c r="BN8" s="6">
        <v>0.6131943551702338</v>
      </c>
      <c r="BO8" s="6">
        <v>57.198900217333403</v>
      </c>
      <c r="BP8" s="6">
        <v>0.24962300740396812</v>
      </c>
      <c r="BQ8" s="6">
        <v>45.881495253325575</v>
      </c>
      <c r="BR8" s="6">
        <v>1.4082282467164859</v>
      </c>
      <c r="BS8" s="6">
        <v>0.86351761167782448</v>
      </c>
      <c r="BT8" s="6">
        <v>80.549106967166651</v>
      </c>
      <c r="BU8" s="6">
        <v>0.35152617005658643</v>
      </c>
      <c r="BV8" s="6">
        <v>64.611617617321443</v>
      </c>
      <c r="BW8" s="6">
        <v>169.64585353954888</v>
      </c>
      <c r="BX8" s="6">
        <v>135.36878381496112</v>
      </c>
      <c r="BY8" s="6">
        <v>117.6478281889277</v>
      </c>
      <c r="BZ8" s="6">
        <v>16.82613952169266</v>
      </c>
      <c r="CA8" s="6">
        <v>2.3908821265044282</v>
      </c>
      <c r="CB8" s="6">
        <v>1.2127103340563679</v>
      </c>
      <c r="CC8" s="6">
        <v>0</v>
      </c>
      <c r="CD8" s="6">
        <v>138.07756017118118</v>
      </c>
      <c r="CE8" s="6">
        <v>15.797013304700206</v>
      </c>
      <c r="CF8" s="6">
        <v>-1.3554922225077553</v>
      </c>
      <c r="CG8" s="6">
        <v>-0.81831126514350017</v>
      </c>
      <c r="CH8" s="6">
        <v>14.981121052461257</v>
      </c>
      <c r="CI8" s="6">
        <v>-1.3521844094464675</v>
      </c>
      <c r="CJ8" s="6">
        <v>-1.6375113304437399</v>
      </c>
      <c r="CK8" s="6">
        <v>29.937837947532302</v>
      </c>
      <c r="CL8" s="6">
        <v>-3.2723551646369344</v>
      </c>
      <c r="CM8" s="6" t="str">
        <v>#DIV/0!</v>
      </c>
      <c r="CN8" s="6" t="str">
        <v>#DIV/0!</v>
      </c>
      <c r="CO8" s="6">
        <v>165.77563771134712</v>
      </c>
      <c r="CP8" s="6">
        <v>82.887818855673558</v>
      </c>
      <c r="CQ8" s="6">
        <v>10769.306589086531</v>
      </c>
      <c r="CR8" s="6">
        <v>7003.4980692767313</v>
      </c>
      <c r="CS8" s="6">
        <v>5252.6235519575484</v>
      </c>
      <c r="CT8" s="6">
        <v>1408.228246716486</v>
      </c>
      <c r="CU8" s="6">
        <v>17508.745173191826</v>
      </c>
      <c r="CV8" s="6">
        <v>7878.935327936324</v>
      </c>
      <c r="CW8" s="6">
        <v>1830.6967207314317</v>
      </c>
      <c r="CX8" s="6">
        <v>-47.110978249776025</v>
      </c>
      <c r="CY8" s="6">
        <v>48.192985829500145</v>
      </c>
      <c r="CZ8" s="6"/>
      <c r="DA8" s="6"/>
      <c r="DB8" s="6"/>
      <c r="DC8" s="6"/>
      <c r="DD8" s="6"/>
      <c r="DE8" s="6"/>
      <c r="DF8" s="6"/>
      <c r="DG8" s="6"/>
      <c r="DH8" s="6"/>
      <c r="DI8" s="6"/>
      <c r="DJ8" s="6"/>
      <c r="DK8" s="6"/>
      <c r="DL8" s="6"/>
      <c r="DM8" s="6"/>
      <c r="DN8" s="6"/>
      <c r="DO8" s="6"/>
      <c r="DP8" s="6"/>
      <c r="DQ8" s="6"/>
      <c r="DR8" s="6"/>
      <c r="DS8" s="6"/>
      <c r="DT8" s="6"/>
      <c r="DU8" s="6"/>
      <c r="DV8" s="6"/>
      <c r="DW8" s="6"/>
      <c r="DX8" s="6"/>
      <c r="DY8" s="6"/>
      <c r="DZ8" s="6"/>
      <c r="EA8" s="6"/>
      <c r="EB8" s="6"/>
      <c r="EC8" s="6"/>
      <c r="ED8" s="6"/>
      <c r="EE8" s="6"/>
      <c r="EF8" s="6"/>
      <c r="EG8" s="6"/>
      <c r="EH8" s="6"/>
      <c r="EI8" s="6"/>
      <c r="EJ8" s="6"/>
      <c r="EK8" s="6"/>
      <c r="EL8" s="6"/>
      <c r="EM8" s="6"/>
      <c r="EN8" s="6"/>
      <c r="EO8" s="6"/>
      <c r="EP8" s="6"/>
      <c r="EQ8" s="6"/>
      <c r="ER8" s="6"/>
      <c r="ES8" s="6"/>
      <c r="ET8" s="6"/>
      <c r="EU8" s="6"/>
      <c r="EV8" s="6"/>
      <c r="EW8" s="6"/>
      <c r="EX8" s="6"/>
      <c r="EY8" s="6"/>
      <c r="EZ8" s="6"/>
      <c r="FA8" s="6"/>
      <c r="FB8" s="6"/>
      <c r="FC8" s="6"/>
      <c r="FD8" s="6"/>
      <c r="FE8" s="6"/>
      <c r="FF8" s="6"/>
      <c r="FG8" s="6"/>
      <c r="FH8" s="6"/>
      <c r="FI8" s="6"/>
      <c r="FJ8" s="6"/>
      <c r="FK8" s="6"/>
      <c r="FL8" s="6"/>
      <c r="FM8" s="6"/>
      <c r="FN8" s="6"/>
      <c r="FO8" s="6"/>
      <c r="FP8" s="6"/>
      <c r="FQ8" s="6"/>
      <c r="FR8" s="6"/>
      <c r="FS8" s="6"/>
      <c r="FT8" s="6"/>
      <c r="FU8" s="6"/>
      <c r="FV8" s="6"/>
      <c r="FW8" s="6"/>
      <c r="FX8" s="6"/>
      <c r="FY8" s="6"/>
      <c r="FZ8" s="6"/>
      <c r="GA8" s="6"/>
      <c r="GB8" s="6"/>
      <c r="GC8" s="6"/>
      <c r="GD8" s="6"/>
      <c r="GE8" s="6"/>
      <c r="GF8" s="6"/>
      <c r="GG8" s="6"/>
      <c r="GH8" s="6"/>
      <c r="GI8" s="6"/>
      <c r="GJ8" s="6"/>
      <c r="GK8" s="6"/>
      <c r="GL8" s="6"/>
      <c r="GM8" s="6"/>
      <c r="GN8" s="6"/>
      <c r="GO8" s="6"/>
      <c r="GP8" s="6"/>
      <c r="GQ8" s="6"/>
      <c r="GR8" s="6"/>
      <c r="GS8" s="6"/>
    </row>
    <row r="9" spans="1:201" x14ac:dyDescent="0.15">
      <c r="B9" s="6">
        <v>6</v>
      </c>
      <c r="C9" s="6">
        <v>7.7506456860953088E-2</v>
      </c>
      <c r="D9" s="6">
        <v>152.17162481266072</v>
      </c>
      <c r="E9" s="6">
        <v>0.65715273871269042</v>
      </c>
      <c r="F9" s="6">
        <v>134.98588075760037</v>
      </c>
      <c r="G9" s="6">
        <v>145.44815810137709</v>
      </c>
      <c r="H9" s="6">
        <v>0.65704681981505697</v>
      </c>
      <c r="I9" s="6">
        <v>50000</v>
      </c>
      <c r="J9" s="6">
        <v>0.81122966560092724</v>
      </c>
      <c r="K9" s="6">
        <v>40561</v>
      </c>
      <c r="L9" s="6">
        <v>6123</v>
      </c>
      <c r="M9" s="6">
        <v>169.12452773690632</v>
      </c>
      <c r="N9" s="6">
        <v>2.5038488888808801</v>
      </c>
      <c r="O9" s="6">
        <v>0.03</v>
      </c>
      <c r="P9" s="6">
        <v>1</v>
      </c>
      <c r="Q9" s="6">
        <v>11.972173631218109</v>
      </c>
      <c r="R9" s="6">
        <v>0.1197217363121811</v>
      </c>
      <c r="S9" s="6">
        <v>11.972173631218109</v>
      </c>
      <c r="T9" s="6">
        <v>0.1197217363121811</v>
      </c>
      <c r="U9" s="6">
        <v>18.634937174558434</v>
      </c>
      <c r="V9" s="6">
        <v>9.3174685872792171</v>
      </c>
      <c r="W9" s="6">
        <v>8.5295065574988137E-3</v>
      </c>
      <c r="X9" s="6">
        <v>0.16161816569888654</v>
      </c>
      <c r="Y9" s="6">
        <v>8.5295065574988137E-3</v>
      </c>
      <c r="Z9" s="6">
        <v>8.080908284944328E-3</v>
      </c>
      <c r="AA9" s="6">
        <v>0.18643313288127317</v>
      </c>
      <c r="AB9" s="6">
        <v>9.3216566440636577E-3</v>
      </c>
      <c r="AC9" s="6">
        <v>9.3216566440636577E-3</v>
      </c>
      <c r="AD9" s="6">
        <v>0.18643313288127317</v>
      </c>
      <c r="AE9" s="6">
        <v>9.3216566440636577E-3</v>
      </c>
      <c r="AF9" s="6">
        <v>9.3216566440636577E-3</v>
      </c>
      <c r="AG9" s="6" t="str">
        <v>#N/A</v>
      </c>
      <c r="AH9" s="6" t="str">
        <v>#N/A</v>
      </c>
      <c r="AI9" s="6">
        <v>140.82282467164859</v>
      </c>
      <c r="AJ9" s="6">
        <v>7.0411412335824295</v>
      </c>
      <c r="AK9" s="6">
        <v>18.389941374594564</v>
      </c>
      <c r="AL9" s="6">
        <v>152.17162481266072</v>
      </c>
      <c r="AM9" s="6">
        <v>23.041496347070989</v>
      </c>
      <c r="AN9" s="6">
        <v>18.634937174558434</v>
      </c>
      <c r="AO9" s="6">
        <v>2.0838216760814712</v>
      </c>
      <c r="AP9" s="6">
        <v>39.59261184554795</v>
      </c>
      <c r="AQ9" s="6" t="str">
        <v>#N/A</v>
      </c>
      <c r="AR9" s="6" t="str">
        <v>#N/A</v>
      </c>
      <c r="AS9" s="6">
        <v>1.6451459497366463</v>
      </c>
      <c r="AT9" s="6">
        <v>1.6451459497366463</v>
      </c>
      <c r="AU9" s="6">
        <v>0</v>
      </c>
      <c r="AV9" s="6">
        <v>1.4586751732570298</v>
      </c>
      <c r="AW9" s="6">
        <v>1.4586751732570298</v>
      </c>
      <c r="AX9" s="6">
        <v>0.6846945607129038</v>
      </c>
      <c r="AY9" s="6">
        <v>0.6846945607129038</v>
      </c>
      <c r="AZ9" s="6">
        <v>12.085000339080636</v>
      </c>
      <c r="BA9" s="6">
        <v>42.875795944635051</v>
      </c>
      <c r="BB9" s="6">
        <v>57.876270787697131</v>
      </c>
      <c r="BC9" s="6" t="str">
        <v>#N/A</v>
      </c>
      <c r="BD9" s="6" t="str">
        <v>#N/A</v>
      </c>
      <c r="BE9" s="6">
        <v>0</v>
      </c>
      <c r="BF9" s="6">
        <v>2.1433697339699336</v>
      </c>
      <c r="BG9" s="6">
        <v>1.4082942673927896</v>
      </c>
      <c r="BH9" s="6">
        <v>1.4082942673927896</v>
      </c>
      <c r="BI9" s="6">
        <v>114.98043680538275</v>
      </c>
      <c r="BJ9" s="6">
        <v>75.547530343922872</v>
      </c>
      <c r="BK9" s="6">
        <v>75.547530343922872</v>
      </c>
      <c r="BL9" s="6">
        <v>0</v>
      </c>
      <c r="BM9" s="6">
        <v>0</v>
      </c>
      <c r="BN9" s="6">
        <v>0.6131943551702338</v>
      </c>
      <c r="BO9" s="6">
        <v>57.198900217333403</v>
      </c>
      <c r="BP9" s="6">
        <v>0.93370705024181044</v>
      </c>
      <c r="BQ9" s="6">
        <v>48.417098208671462</v>
      </c>
      <c r="BR9" s="6">
        <v>1.5217162481266073</v>
      </c>
      <c r="BS9" s="6">
        <v>0.93310781352206251</v>
      </c>
      <c r="BT9" s="6">
        <v>87.040495835688773</v>
      </c>
      <c r="BU9" s="6">
        <v>1.4208371893433294</v>
      </c>
      <c r="BV9" s="6">
        <v>73.677085031277016</v>
      </c>
      <c r="BW9" s="6">
        <v>220.27260974792347</v>
      </c>
      <c r="BX9" s="6">
        <v>188.03384910936302</v>
      </c>
      <c r="BY9" s="6">
        <v>153.3160569789261</v>
      </c>
      <c r="BZ9" s="6">
        <v>18.389941374594564</v>
      </c>
      <c r="CA9" s="6">
        <v>4.4393794237682327</v>
      </c>
      <c r="CB9" s="6">
        <v>2.0838216760814712</v>
      </c>
      <c r="CC9" s="6">
        <v>0</v>
      </c>
      <c r="CD9" s="6">
        <v>178.22919945337037</v>
      </c>
      <c r="CE9" s="6">
        <v>18.153508620430642</v>
      </c>
      <c r="CF9" s="6">
        <v>4.2334527766274963</v>
      </c>
      <c r="CG9" s="6">
        <v>-1.010804441048865</v>
      </c>
      <c r="CH9" s="6">
        <v>17.941704294547993</v>
      </c>
      <c r="CI9" s="6">
        <v>-0.48351427891268417</v>
      </c>
      <c r="CJ9" s="6">
        <v>3.4943582886086606</v>
      </c>
      <c r="CK9" s="6">
        <v>41.562194482025859</v>
      </c>
      <c r="CL9" s="6">
        <v>8.102233187740751</v>
      </c>
      <c r="CM9" s="6">
        <v>4458.6703918658122</v>
      </c>
      <c r="CN9" s="6">
        <v>869.18382612821551</v>
      </c>
      <c r="CO9" s="6">
        <v>169.12452773690632</v>
      </c>
      <c r="CP9" s="6">
        <v>84.562263868453158</v>
      </c>
      <c r="CQ9" s="6">
        <v>12700.90062958534</v>
      </c>
      <c r="CR9" s="6">
        <v>7720.7862544196823</v>
      </c>
      <c r="CS9" s="6">
        <v>5790.5896908147624</v>
      </c>
      <c r="CT9" s="6">
        <v>1521.7162481266073</v>
      </c>
      <c r="CU9" s="6">
        <v>19301.965636049204</v>
      </c>
      <c r="CV9" s="6">
        <v>8685.8845362221437</v>
      </c>
      <c r="CW9" s="6">
        <v>1978.2311225645897</v>
      </c>
      <c r="CX9" s="6">
        <v>-53.757859202499603</v>
      </c>
      <c r="CY9" s="6">
        <v>74.506293088605432</v>
      </c>
      <c r="CZ9" s="6"/>
      <c r="DA9" s="6"/>
      <c r="DB9" s="6"/>
      <c r="DC9" s="6"/>
      <c r="DD9" s="6"/>
      <c r="DE9" s="6"/>
      <c r="DF9" s="6"/>
      <c r="DG9" s="6"/>
      <c r="DH9" s="6"/>
      <c r="DI9" s="6"/>
      <c r="DJ9" s="6"/>
      <c r="DK9" s="6"/>
      <c r="DL9" s="6"/>
      <c r="DM9" s="6"/>
      <c r="DN9" s="6"/>
      <c r="DO9" s="6"/>
      <c r="DP9" s="6"/>
      <c r="DQ9" s="6"/>
      <c r="DR9" s="6"/>
      <c r="DS9" s="6"/>
      <c r="DT9" s="6"/>
      <c r="DU9" s="6"/>
      <c r="DV9" s="6"/>
      <c r="DW9" s="6"/>
      <c r="DX9" s="6"/>
      <c r="DY9" s="6"/>
      <c r="DZ9" s="6"/>
      <c r="EA9" s="6"/>
      <c r="EB9" s="6"/>
      <c r="EC9" s="6"/>
      <c r="ED9" s="6"/>
      <c r="EE9" s="6"/>
      <c r="EF9" s="6"/>
      <c r="EG9" s="6"/>
      <c r="EH9" s="6"/>
      <c r="EI9" s="6"/>
      <c r="EJ9" s="6"/>
      <c r="EK9" s="6"/>
      <c r="EL9" s="6"/>
      <c r="EM9" s="6"/>
      <c r="EN9" s="6"/>
      <c r="EO9" s="6"/>
      <c r="EP9" s="6"/>
      <c r="EQ9" s="6"/>
      <c r="ER9" s="6"/>
      <c r="ES9" s="6"/>
      <c r="ET9" s="6"/>
      <c r="EU9" s="6"/>
      <c r="EV9" s="6"/>
      <c r="EW9" s="6"/>
      <c r="EX9" s="6"/>
      <c r="EY9" s="6"/>
      <c r="EZ9" s="6"/>
      <c r="FA9" s="6"/>
      <c r="FB9" s="6"/>
      <c r="FC9" s="6"/>
      <c r="FD9" s="6"/>
      <c r="FE9" s="6"/>
      <c r="FF9" s="6"/>
      <c r="FG9" s="6"/>
      <c r="FH9" s="6"/>
      <c r="FI9" s="6"/>
      <c r="FJ9" s="6"/>
      <c r="FK9" s="6"/>
      <c r="FL9" s="6"/>
      <c r="FM9" s="6"/>
      <c r="FN9" s="6"/>
      <c r="FO9" s="6"/>
      <c r="FP9" s="6"/>
      <c r="FQ9" s="6"/>
      <c r="FR9" s="6"/>
      <c r="FS9" s="6"/>
      <c r="FT9" s="6"/>
      <c r="FU9" s="6"/>
      <c r="FV9" s="6"/>
      <c r="FW9" s="6"/>
      <c r="FX9" s="6"/>
      <c r="FY9" s="6"/>
      <c r="FZ9" s="6"/>
      <c r="GA9" s="6"/>
      <c r="GB9" s="6"/>
      <c r="GC9" s="6"/>
      <c r="GD9" s="6"/>
      <c r="GE9" s="6"/>
      <c r="GF9" s="6"/>
      <c r="GG9" s="6"/>
      <c r="GH9" s="6"/>
      <c r="GI9" s="6"/>
      <c r="GJ9" s="6"/>
      <c r="GK9" s="6"/>
      <c r="GL9" s="6"/>
      <c r="GM9" s="6"/>
      <c r="GN9" s="6"/>
      <c r="GO9" s="6"/>
      <c r="GP9" s="6"/>
      <c r="GQ9" s="6"/>
      <c r="GR9" s="6"/>
      <c r="GS9" s="6"/>
    </row>
    <row r="10" spans="1:201" x14ac:dyDescent="0.15">
      <c r="B10" s="6">
        <v>7</v>
      </c>
      <c r="C10" s="6">
        <v>7.8478834397158789E-2</v>
      </c>
      <c r="D10" s="6">
        <v>164.59498646637644</v>
      </c>
      <c r="E10" s="6">
        <v>0.60755191969609623</v>
      </c>
      <c r="F10" s="6">
        <v>141.90675485932579</v>
      </c>
      <c r="G10" s="6">
        <v>153.04343157376903</v>
      </c>
      <c r="H10" s="6">
        <v>0.61262639418441622</v>
      </c>
      <c r="I10" s="6">
        <v>50000</v>
      </c>
      <c r="J10" s="6">
        <v>0.90878723809682183</v>
      </c>
      <c r="K10" s="6">
        <v>45439</v>
      </c>
      <c r="L10" s="6">
        <v>4878</v>
      </c>
      <c r="M10" s="6">
        <v>172.54106982858406</v>
      </c>
      <c r="N10" s="6">
        <v>2.8616341902584765</v>
      </c>
      <c r="O10" s="6">
        <v>0.03</v>
      </c>
      <c r="P10" s="6">
        <v>1</v>
      </c>
      <c r="Q10" s="6">
        <v>12.33678059956744</v>
      </c>
      <c r="R10" s="6">
        <v>0.12336780599567441</v>
      </c>
      <c r="S10" s="6">
        <v>12.33678059956744</v>
      </c>
      <c r="T10" s="6">
        <v>0.12336780599567441</v>
      </c>
      <c r="U10" s="6">
        <v>16.057886879659687</v>
      </c>
      <c r="V10" s="6">
        <v>8.0289434398298436</v>
      </c>
      <c r="W10" s="6">
        <v>1.1358456965035457E-2</v>
      </c>
      <c r="X10" s="6">
        <v>0.20966766729212058</v>
      </c>
      <c r="Y10" s="6">
        <v>1.1358456965035457E-2</v>
      </c>
      <c r="Z10" s="6">
        <v>1.048338336460603E-2</v>
      </c>
      <c r="AA10" s="6">
        <v>0.51868906052289787</v>
      </c>
      <c r="AB10" s="6">
        <v>2.6424432436157174E-2</v>
      </c>
      <c r="AC10" s="6">
        <v>2.5934453026144895E-2</v>
      </c>
      <c r="AD10" s="6">
        <v>0.51868906052289787</v>
      </c>
      <c r="AE10" s="6">
        <v>2.6424432436157174E-2</v>
      </c>
      <c r="AF10" s="6">
        <v>2.5934453026144895E-2</v>
      </c>
      <c r="AG10" s="6" t="str">
        <v>#N/A</v>
      </c>
      <c r="AH10" s="6" t="str">
        <v>#N/A</v>
      </c>
      <c r="AI10" s="6">
        <v>152.17162481266072</v>
      </c>
      <c r="AJ10" s="6">
        <v>7.6085812406330362</v>
      </c>
      <c r="AK10" s="6">
        <v>20.031942894348752</v>
      </c>
      <c r="AL10" s="6">
        <v>164.59498646637644</v>
      </c>
      <c r="AM10" s="6">
        <v>39.59261184554795</v>
      </c>
      <c r="AN10" s="6">
        <v>16.057886879659687</v>
      </c>
      <c r="AO10" s="6">
        <v>2.7825249362603821</v>
      </c>
      <c r="AP10" s="6">
        <v>52.867973788947261</v>
      </c>
      <c r="AQ10" s="6" t="str">
        <v>#N/A</v>
      </c>
      <c r="AR10" s="6" t="str">
        <v>#N/A</v>
      </c>
      <c r="AS10" s="6">
        <v>1.7531126354528921</v>
      </c>
      <c r="AT10" s="6">
        <v>3.3982585851895384</v>
      </c>
      <c r="AU10" s="6">
        <v>0</v>
      </c>
      <c r="AV10" s="6">
        <v>1.9477674553822677</v>
      </c>
      <c r="AW10" s="6">
        <v>1.9477674553822677</v>
      </c>
      <c r="AX10" s="6">
        <v>0.84526418331362652</v>
      </c>
      <c r="AY10" s="6">
        <v>0.84526418331362652</v>
      </c>
      <c r="AZ10" s="6">
        <v>12.170445360704159</v>
      </c>
      <c r="BA10" s="6">
        <v>48.731990044350589</v>
      </c>
      <c r="BB10" s="6">
        <v>69.153985650307646</v>
      </c>
      <c r="BC10" s="6" t="str">
        <v>#N/A</v>
      </c>
      <c r="BD10" s="6" t="str">
        <v>#N/A</v>
      </c>
      <c r="BE10" s="6">
        <v>0</v>
      </c>
      <c r="BF10" s="6">
        <v>2.7930316386958944</v>
      </c>
      <c r="BG10" s="6">
        <v>1.7110849016572569</v>
      </c>
      <c r="BH10" s="6">
        <v>3.1193791690500463</v>
      </c>
      <c r="BI10" s="6">
        <v>132.8494526940583</v>
      </c>
      <c r="BJ10" s="6">
        <v>81.38708117333411</v>
      </c>
      <c r="BK10" s="6">
        <v>156.934611517257</v>
      </c>
      <c r="BL10" s="6">
        <v>0</v>
      </c>
      <c r="BM10" s="6">
        <v>0</v>
      </c>
      <c r="BN10" s="6">
        <v>0.6131943551702338</v>
      </c>
      <c r="BO10" s="6">
        <v>57.198900217333403</v>
      </c>
      <c r="BP10" s="6">
        <v>0.93370705024181044</v>
      </c>
      <c r="BQ10" s="6">
        <v>48.417098208671462</v>
      </c>
      <c r="BR10" s="6">
        <v>1.6459498646637647</v>
      </c>
      <c r="BS10" s="6">
        <v>1.0092871659050309</v>
      </c>
      <c r="BT10" s="6">
        <v>94.146522071636099</v>
      </c>
      <c r="BU10" s="6">
        <v>1.5368349929811109</v>
      </c>
      <c r="BV10" s="6">
        <v>79.692116243974993</v>
      </c>
      <c r="BW10" s="6">
        <v>272.30111711586108</v>
      </c>
      <c r="BX10" s="6">
        <v>232.44754409851217</v>
      </c>
      <c r="BY10" s="6">
        <v>194.03440574037859</v>
      </c>
      <c r="BZ10" s="6">
        <v>20.031942894348752</v>
      </c>
      <c r="CA10" s="6">
        <v>6.4118551591658575</v>
      </c>
      <c r="CB10" s="6">
        <v>2.7825249362603821</v>
      </c>
      <c r="CC10" s="6">
        <v>0</v>
      </c>
      <c r="CD10" s="6">
        <v>223.2607287301536</v>
      </c>
      <c r="CE10" s="6">
        <v>18.252947402062322</v>
      </c>
      <c r="CF10" s="6">
        <v>3.4193541941845207</v>
      </c>
      <c r="CG10" s="6">
        <v>-0.43868510316383641</v>
      </c>
      <c r="CH10" s="6">
        <v>19.086434558138357</v>
      </c>
      <c r="CI10" s="6">
        <v>0.12320975238920454</v>
      </c>
      <c r="CJ10" s="6">
        <v>3.6909464947075112</v>
      </c>
      <c r="CK10" s="6">
        <v>51.305661667039743</v>
      </c>
      <c r="CL10" s="6">
        <v>9.9424397507333424</v>
      </c>
      <c r="CM10" s="6">
        <v>1978.2820025283652</v>
      </c>
      <c r="CN10" s="6">
        <v>383.36801399706508</v>
      </c>
      <c r="CO10" s="6">
        <v>172.54106982858406</v>
      </c>
      <c r="CP10" s="6">
        <v>86.270534914292028</v>
      </c>
      <c r="CQ10" s="6">
        <v>14015.330147478293</v>
      </c>
      <c r="CR10" s="6">
        <v>8519.8185159989716</v>
      </c>
      <c r="CS10" s="6">
        <v>6389.8638869992292</v>
      </c>
      <c r="CT10" s="6">
        <v>1645.9498646637646</v>
      </c>
      <c r="CU10" s="6">
        <v>21299.54628999743</v>
      </c>
      <c r="CV10" s="6">
        <v>9584.7958304988442</v>
      </c>
      <c r="CW10" s="6">
        <v>2139.7348240628939</v>
      </c>
      <c r="CX10" s="6">
        <v>-51.136057471584124</v>
      </c>
      <c r="CY10" s="6">
        <v>94.428783502653431</v>
      </c>
      <c r="CZ10" s="6"/>
      <c r="DA10" s="6"/>
      <c r="DB10" s="6"/>
      <c r="DC10" s="6"/>
      <c r="DD10" s="6"/>
      <c r="DE10" s="6"/>
      <c r="DF10" s="6"/>
      <c r="DG10" s="6"/>
      <c r="DH10" s="6"/>
      <c r="DI10" s="6"/>
      <c r="DJ10" s="6"/>
      <c r="DK10" s="6"/>
      <c r="DL10" s="6"/>
      <c r="DM10" s="6"/>
      <c r="DN10" s="6"/>
      <c r="DO10" s="6"/>
      <c r="DP10" s="6"/>
      <c r="DQ10" s="6"/>
      <c r="DR10" s="6"/>
      <c r="DS10" s="6"/>
      <c r="DT10" s="6"/>
      <c r="DU10" s="6"/>
      <c r="DV10" s="6"/>
      <c r="DW10" s="6"/>
      <c r="DX10" s="6"/>
      <c r="DY10" s="6"/>
      <c r="DZ10" s="6"/>
      <c r="EA10" s="6"/>
      <c r="EB10" s="6"/>
      <c r="EC10" s="6"/>
      <c r="ED10" s="6"/>
      <c r="EE10" s="6"/>
      <c r="EF10" s="6"/>
      <c r="EG10" s="6"/>
      <c r="EH10" s="6"/>
      <c r="EI10" s="6"/>
      <c r="EJ10" s="6"/>
      <c r="EK10" s="6"/>
      <c r="EL10" s="6"/>
      <c r="EM10" s="6"/>
      <c r="EN10" s="6"/>
      <c r="EO10" s="6"/>
      <c r="EP10" s="6"/>
      <c r="EQ10" s="6"/>
      <c r="ER10" s="6"/>
      <c r="ES10" s="6"/>
      <c r="ET10" s="6"/>
      <c r="EU10" s="6"/>
      <c r="EV10" s="6"/>
      <c r="EW10" s="6"/>
      <c r="EX10" s="6"/>
      <c r="EY10" s="6"/>
      <c r="EZ10" s="6"/>
      <c r="FA10" s="6"/>
      <c r="FB10" s="6"/>
      <c r="FC10" s="6"/>
      <c r="FD10" s="6"/>
      <c r="FE10" s="6"/>
      <c r="FF10" s="6"/>
      <c r="FG10" s="6"/>
      <c r="FH10" s="6"/>
      <c r="FI10" s="6"/>
      <c r="FJ10" s="6"/>
      <c r="FK10" s="6"/>
      <c r="FL10" s="6"/>
      <c r="FM10" s="6"/>
      <c r="FN10" s="6"/>
      <c r="FO10" s="6"/>
      <c r="FP10" s="6"/>
      <c r="FQ10" s="6"/>
      <c r="FR10" s="6"/>
      <c r="FS10" s="6"/>
      <c r="FT10" s="6"/>
      <c r="FU10" s="6"/>
      <c r="FV10" s="6"/>
      <c r="FW10" s="6"/>
      <c r="FX10" s="6"/>
      <c r="FY10" s="6"/>
      <c r="FZ10" s="6"/>
      <c r="GA10" s="6"/>
      <c r="GB10" s="6"/>
      <c r="GC10" s="6"/>
      <c r="GD10" s="6"/>
      <c r="GE10" s="6"/>
      <c r="GF10" s="6"/>
      <c r="GG10" s="6"/>
      <c r="GH10" s="6"/>
      <c r="GI10" s="6"/>
      <c r="GJ10" s="6"/>
      <c r="GK10" s="6"/>
      <c r="GL10" s="6"/>
      <c r="GM10" s="6"/>
      <c r="GN10" s="6"/>
      <c r="GO10" s="6"/>
      <c r="GP10" s="6"/>
      <c r="GQ10" s="6"/>
      <c r="GR10" s="6"/>
      <c r="GS10" s="6"/>
    </row>
    <row r="11" spans="1:201" x14ac:dyDescent="0.15">
      <c r="B11" s="6">
        <v>8</v>
      </c>
      <c r="C11" s="6">
        <v>7.9078006626364286E-2</v>
      </c>
      <c r="D11" s="6">
        <v>178.13930124895313</v>
      </c>
      <c r="E11" s="6">
        <v>0.56135843858648604</v>
      </c>
      <c r="F11" s="6">
        <v>149.18246976412712</v>
      </c>
      <c r="G11" s="6">
        <v>160.97952209667216</v>
      </c>
      <c r="H11" s="6">
        <v>0.57120906384881509</v>
      </c>
      <c r="I11" s="6">
        <v>50000</v>
      </c>
      <c r="J11" s="6">
        <v>0.96207090998937828</v>
      </c>
      <c r="K11" s="6">
        <v>48103</v>
      </c>
      <c r="L11" s="6">
        <v>2664</v>
      </c>
      <c r="M11" s="6">
        <v>176.02663064877149</v>
      </c>
      <c r="N11" s="6">
        <v>3.0906042901457167</v>
      </c>
      <c r="O11" s="6">
        <v>0.03</v>
      </c>
      <c r="P11" s="6">
        <v>1</v>
      </c>
      <c r="Q11" s="6">
        <v>12.712491503214055</v>
      </c>
      <c r="R11" s="6">
        <v>0.12712491503214057</v>
      </c>
      <c r="S11" s="6">
        <v>12.712491503214055</v>
      </c>
      <c r="T11" s="6">
        <v>0.12712491503214057</v>
      </c>
      <c r="U11" s="6">
        <v>9.4912619705442243</v>
      </c>
      <c r="V11" s="6">
        <v>4.7456309852721121</v>
      </c>
      <c r="W11" s="6">
        <v>1.2949002755293336E-2</v>
      </c>
      <c r="X11" s="6">
        <v>0.2301201261322427</v>
      </c>
      <c r="Y11" s="6">
        <v>1.2949002755293336E-2</v>
      </c>
      <c r="Z11" s="6">
        <v>1.1506006306612136E-2</v>
      </c>
      <c r="AA11" s="6">
        <v>1.4237469938590357</v>
      </c>
      <c r="AB11" s="6">
        <v>7.3091412987430715E-2</v>
      </c>
      <c r="AC11" s="6">
        <v>7.118734969295179E-2</v>
      </c>
      <c r="AD11" s="6">
        <v>1.4237469938590357</v>
      </c>
      <c r="AE11" s="6">
        <v>7.3091412987430715E-2</v>
      </c>
      <c r="AF11" s="6">
        <v>7.118734969295179E-2</v>
      </c>
      <c r="AG11" s="6" t="str">
        <v>#N/A</v>
      </c>
      <c r="AH11" s="6" t="str">
        <v>#N/A</v>
      </c>
      <c r="AI11" s="6">
        <v>164.59498646637644</v>
      </c>
      <c r="AJ11" s="6">
        <v>8.2297493233188224</v>
      </c>
      <c r="AK11" s="6">
        <v>21.774064105895512</v>
      </c>
      <c r="AL11" s="6">
        <v>178.13930124895313</v>
      </c>
      <c r="AM11" s="6">
        <v>52.867973788947261</v>
      </c>
      <c r="AN11" s="6">
        <v>9.4912619705442243</v>
      </c>
      <c r="AO11" s="6">
        <v>3.1179617879745742</v>
      </c>
      <c r="AP11" s="6">
        <v>59.241273971516911</v>
      </c>
      <c r="AQ11" s="6" t="str">
        <v>#N/A</v>
      </c>
      <c r="AR11" s="6" t="str">
        <v>#N/A</v>
      </c>
      <c r="AS11" s="6">
        <v>1.7653811833012665</v>
      </c>
      <c r="AT11" s="6">
        <v>5.1636397684908051</v>
      </c>
      <c r="AU11" s="6">
        <v>0</v>
      </c>
      <c r="AV11" s="6">
        <v>2.1825732515822023</v>
      </c>
      <c r="AW11" s="6">
        <v>2.1825732515822023</v>
      </c>
      <c r="AX11" s="6">
        <v>0.87514708043486766</v>
      </c>
      <c r="AY11" s="6">
        <v>0.87514708043486766</v>
      </c>
      <c r="AZ11" s="6">
        <v>12.223054628167557</v>
      </c>
      <c r="BA11" s="6">
        <v>53.216904676692749</v>
      </c>
      <c r="BB11" s="6">
        <v>79.390292728711515</v>
      </c>
      <c r="BC11" s="6" t="str">
        <v>#N/A</v>
      </c>
      <c r="BD11" s="6" t="str">
        <v>#N/A</v>
      </c>
      <c r="BE11" s="6">
        <v>0</v>
      </c>
      <c r="BF11" s="6">
        <v>3.0577203320170701</v>
      </c>
      <c r="BG11" s="6">
        <v>1.7465975683629587</v>
      </c>
      <c r="BH11" s="6">
        <v>4.8659767374130052</v>
      </c>
      <c r="BI11" s="6">
        <v>147.88797236558889</v>
      </c>
      <c r="BJ11" s="6">
        <v>84.474950249447474</v>
      </c>
      <c r="BK11" s="6">
        <v>241.40956176670448</v>
      </c>
      <c r="BL11" s="6">
        <v>0</v>
      </c>
      <c r="BM11" s="6">
        <v>0</v>
      </c>
      <c r="BN11" s="6">
        <v>0.6131943551702338</v>
      </c>
      <c r="BO11" s="6">
        <v>57.198900217333403</v>
      </c>
      <c r="BP11" s="6">
        <v>0.93370705024181044</v>
      </c>
      <c r="BQ11" s="6">
        <v>48.417098208671462</v>
      </c>
      <c r="BR11" s="6">
        <v>1.7813930124895314</v>
      </c>
      <c r="BS11" s="6">
        <v>1.0923401395982784</v>
      </c>
      <c r="BT11" s="6">
        <v>101.89372116924366</v>
      </c>
      <c r="BU11" s="6">
        <v>1.6632992150129731</v>
      </c>
      <c r="BV11" s="6">
        <v>86.249880433946757</v>
      </c>
      <c r="BW11" s="6">
        <v>318.28916290631668</v>
      </c>
      <c r="BX11" s="6">
        <v>271.70485018342606</v>
      </c>
      <c r="BY11" s="6">
        <v>236.22553486380707</v>
      </c>
      <c r="BZ11" s="6">
        <v>21.774064105895512</v>
      </c>
      <c r="CA11" s="6">
        <v>7.7760414792301829</v>
      </c>
      <c r="CB11" s="6">
        <v>3.1179617879745742</v>
      </c>
      <c r="CC11" s="6">
        <v>0</v>
      </c>
      <c r="CD11" s="6">
        <v>268.89360223690733</v>
      </c>
      <c r="CE11" s="6">
        <v>15.838836107720768</v>
      </c>
      <c r="CF11" s="6">
        <v>0.90143516704026938</v>
      </c>
      <c r="CG11" s="6">
        <v>0.27540788112069087</v>
      </c>
      <c r="CH11" s="6">
        <v>17.442395572919221</v>
      </c>
      <c r="CI11" s="6">
        <v>0.84123496200922887</v>
      </c>
      <c r="CJ11" s="6">
        <v>1.939167551350186</v>
      </c>
      <c r="CK11" s="6">
        <v>54.467665909249831</v>
      </c>
      <c r="CL11" s="6">
        <v>6.1187446183849374</v>
      </c>
      <c r="CM11" s="6">
        <v>765.13125076550841</v>
      </c>
      <c r="CN11" s="6">
        <v>85.952695876115058</v>
      </c>
      <c r="CO11" s="6">
        <v>176.02663064877149</v>
      </c>
      <c r="CP11" s="6">
        <v>88.013315324385744</v>
      </c>
      <c r="CQ11" s="6">
        <v>15475.060803226528</v>
      </c>
      <c r="CR11" s="6">
        <v>9407.1782954939135</v>
      </c>
      <c r="CS11" s="6">
        <v>7055.3837216204356</v>
      </c>
      <c r="CT11" s="6">
        <v>1781.3930124895314</v>
      </c>
      <c r="CU11" s="6">
        <v>23517.945738734783</v>
      </c>
      <c r="CV11" s="6">
        <v>10583.075582430653</v>
      </c>
      <c r="CW11" s="6">
        <v>2315.8109162363908</v>
      </c>
      <c r="CX11" s="6">
        <v>-48.642122519930382</v>
      </c>
      <c r="CY11" s="6">
        <v>104.76910804552371</v>
      </c>
      <c r="CZ11" s="6"/>
      <c r="DA11" s="6"/>
      <c r="DB11" s="6"/>
      <c r="DC11" s="6"/>
      <c r="DD11" s="6"/>
      <c r="DE11" s="6"/>
      <c r="DF11" s="6"/>
      <c r="DG11" s="6"/>
      <c r="DH11" s="6"/>
      <c r="DI11" s="6"/>
      <c r="DJ11" s="6"/>
      <c r="DK11" s="6"/>
      <c r="DL11" s="6"/>
      <c r="DM11" s="6"/>
      <c r="DN11" s="6"/>
      <c r="DO11" s="6"/>
      <c r="DP11" s="6"/>
      <c r="DQ11" s="6"/>
      <c r="DR11" s="6"/>
      <c r="DS11" s="6"/>
      <c r="DT11" s="6"/>
      <c r="DU11" s="6"/>
      <c r="DV11" s="6"/>
      <c r="DW11" s="6"/>
      <c r="DX11" s="6"/>
      <c r="DY11" s="6"/>
      <c r="DZ11" s="6"/>
      <c r="EA11" s="6"/>
      <c r="EB11" s="6"/>
      <c r="EC11" s="6"/>
      <c r="ED11" s="6"/>
      <c r="EE11" s="6"/>
      <c r="EF11" s="6"/>
      <c r="EG11" s="6"/>
      <c r="EH11" s="6"/>
      <c r="EI11" s="6"/>
      <c r="EJ11" s="6"/>
      <c r="EK11" s="6"/>
      <c r="EL11" s="6"/>
      <c r="EM11" s="6"/>
      <c r="EN11" s="6"/>
      <c r="EO11" s="6"/>
      <c r="EP11" s="6"/>
      <c r="EQ11" s="6"/>
      <c r="ER11" s="6"/>
      <c r="ES11" s="6"/>
      <c r="ET11" s="6"/>
      <c r="EU11" s="6"/>
      <c r="EV11" s="6"/>
      <c r="EW11" s="6"/>
      <c r="EX11" s="6"/>
      <c r="EY11" s="6"/>
      <c r="EZ11" s="6"/>
      <c r="FA11" s="6"/>
      <c r="FB11" s="6"/>
      <c r="FC11" s="6"/>
      <c r="FD11" s="6"/>
      <c r="FE11" s="6"/>
      <c r="FF11" s="6"/>
      <c r="FG11" s="6"/>
      <c r="FH11" s="6"/>
      <c r="FI11" s="6"/>
      <c r="FJ11" s="6"/>
      <c r="FK11" s="6"/>
      <c r="FL11" s="6"/>
      <c r="FM11" s="6"/>
      <c r="FN11" s="6"/>
      <c r="FO11" s="6"/>
      <c r="FP11" s="6"/>
      <c r="FQ11" s="6"/>
      <c r="FR11" s="6"/>
      <c r="FS11" s="6"/>
      <c r="FT11" s="6"/>
      <c r="FU11" s="6"/>
      <c r="FV11" s="6"/>
      <c r="FW11" s="6"/>
      <c r="FX11" s="6"/>
      <c r="FY11" s="6"/>
      <c r="FZ11" s="6"/>
      <c r="GA11" s="6"/>
      <c r="GB11" s="6"/>
      <c r="GC11" s="6"/>
      <c r="GD11" s="6"/>
      <c r="GE11" s="6"/>
      <c r="GF11" s="6"/>
      <c r="GG11" s="6"/>
      <c r="GH11" s="6"/>
      <c r="GI11" s="6"/>
      <c r="GJ11" s="6"/>
      <c r="GK11" s="6"/>
      <c r="GL11" s="6"/>
      <c r="GM11" s="6"/>
      <c r="GN11" s="6"/>
      <c r="GO11" s="6"/>
      <c r="GP11" s="6"/>
      <c r="GQ11" s="6"/>
      <c r="GR11" s="6"/>
      <c r="GS11" s="6"/>
    </row>
    <row r="12" spans="1:201" x14ac:dyDescent="0.15">
      <c r="B12" s="6">
        <v>9</v>
      </c>
      <c r="C12" s="6">
        <v>7.9443395184390031E-2</v>
      </c>
      <c r="D12" s="6">
        <v>192.86861980332861</v>
      </c>
      <c r="E12" s="6">
        <v>0.51848766327032192</v>
      </c>
      <c r="F12" s="6">
        <v>156.831218549017</v>
      </c>
      <c r="G12" s="6">
        <v>169.29042302145598</v>
      </c>
      <c r="H12" s="6">
        <v>0.5325918010068974</v>
      </c>
      <c r="I12" s="6">
        <v>50000</v>
      </c>
      <c r="J12" s="6">
        <v>0.98534388462432188</v>
      </c>
      <c r="K12" s="6">
        <v>49267</v>
      </c>
      <c r="L12" s="6">
        <v>1164</v>
      </c>
      <c r="M12" s="6">
        <v>179.58260446827148</v>
      </c>
      <c r="N12" s="6">
        <v>3.2293361036334907</v>
      </c>
      <c r="O12" s="6">
        <v>0.03</v>
      </c>
      <c r="P12" s="6">
        <v>1</v>
      </c>
      <c r="Q12" s="6">
        <v>13.099644507332483</v>
      </c>
      <c r="R12" s="6">
        <v>0.13099644507332486</v>
      </c>
      <c r="S12" s="6">
        <v>13.099644507332483</v>
      </c>
      <c r="T12" s="6">
        <v>0.13099644507332486</v>
      </c>
      <c r="U12" s="6">
        <v>4.4899814690214912</v>
      </c>
      <c r="V12" s="6">
        <v>2.2449907345107456</v>
      </c>
      <c r="W12" s="6">
        <v>1.3664737401520383E-2</v>
      </c>
      <c r="X12" s="6">
        <v>0.23148581630149029</v>
      </c>
      <c r="Y12" s="6">
        <v>1.3664737401520383E-2</v>
      </c>
      <c r="Z12" s="6">
        <v>1.1574290815074516E-2</v>
      </c>
      <c r="AA12" s="6">
        <v>3.6522656003082825</v>
      </c>
      <c r="AB12" s="6">
        <v>0.18845691121591879</v>
      </c>
      <c r="AC12" s="6">
        <v>0.18261328001541413</v>
      </c>
      <c r="AD12" s="6">
        <v>3.6522656003082825</v>
      </c>
      <c r="AE12" s="6">
        <v>0.18845691121591879</v>
      </c>
      <c r="AF12" s="6">
        <v>0.18261328001541413</v>
      </c>
      <c r="AG12" s="6" t="str">
        <v>#N/A</v>
      </c>
      <c r="AH12" s="6" t="str">
        <v>#N/A</v>
      </c>
      <c r="AI12" s="6">
        <v>178.13930124895313</v>
      </c>
      <c r="AJ12" s="6">
        <v>8.9069650624476573</v>
      </c>
      <c r="AK12" s="6">
        <v>23.636283616823139</v>
      </c>
      <c r="AL12" s="6">
        <v>192.86861980332861</v>
      </c>
      <c r="AM12" s="6">
        <v>59.241273971516911</v>
      </c>
      <c r="AN12" s="6">
        <v>4.4899814690214912</v>
      </c>
      <c r="AO12" s="6">
        <v>3.1865627720269205</v>
      </c>
      <c r="AP12" s="6">
        <v>60.544692668511487</v>
      </c>
      <c r="AQ12" s="6" t="str">
        <v>#N/A</v>
      </c>
      <c r="AR12" s="6" t="str">
        <v>#N/A</v>
      </c>
      <c r="AS12" s="6">
        <v>1.7199179314907576</v>
      </c>
      <c r="AT12" s="6">
        <v>6.8835576999815622</v>
      </c>
      <c r="AU12" s="6">
        <v>0</v>
      </c>
      <c r="AV12" s="6">
        <v>2.2305939404188444</v>
      </c>
      <c r="AW12" s="6">
        <v>2.2305939404188444</v>
      </c>
      <c r="AX12" s="6">
        <v>0.82609674276621881</v>
      </c>
      <c r="AY12" s="6">
        <v>0.82609674276621881</v>
      </c>
      <c r="AZ12" s="6">
        <v>12.255121460881222</v>
      </c>
      <c r="BA12" s="6">
        <v>56.711144458149946</v>
      </c>
      <c r="BB12" s="6">
        <v>88.940778906809896</v>
      </c>
      <c r="BC12" s="6" t="str">
        <v>#N/A</v>
      </c>
      <c r="BD12" s="6" t="str">
        <v>#N/A</v>
      </c>
      <c r="BE12" s="6">
        <v>0</v>
      </c>
      <c r="BF12" s="6">
        <v>3.0566906831850633</v>
      </c>
      <c r="BG12" s="6">
        <v>1.6279683960785365</v>
      </c>
      <c r="BH12" s="6">
        <v>6.4939451334915415</v>
      </c>
      <c r="BI12" s="6">
        <v>160.96373550902612</v>
      </c>
      <c r="BJ12" s="6">
        <v>85.727965791550105</v>
      </c>
      <c r="BK12" s="6">
        <v>327.13752755825459</v>
      </c>
      <c r="BL12" s="6">
        <v>0</v>
      </c>
      <c r="BM12" s="6">
        <v>0</v>
      </c>
      <c r="BN12" s="6">
        <v>0.6131943551702338</v>
      </c>
      <c r="BO12" s="6">
        <v>57.198900217333403</v>
      </c>
      <c r="BP12" s="6">
        <v>0.93370705024181044</v>
      </c>
      <c r="BQ12" s="6">
        <v>48.417098208671462</v>
      </c>
      <c r="BR12" s="6">
        <v>1.9286861980332863</v>
      </c>
      <c r="BS12" s="6">
        <v>1.1826594895287508</v>
      </c>
      <c r="BT12" s="6">
        <v>110.31872939185408</v>
      </c>
      <c r="BU12" s="6">
        <v>1.8008279008077521</v>
      </c>
      <c r="BV12" s="6">
        <v>93.3813890638868</v>
      </c>
      <c r="BW12" s="6">
        <v>360.07546071992743</v>
      </c>
      <c r="BX12" s="6">
        <v>307.37536966796421</v>
      </c>
      <c r="BY12" s="6">
        <v>280.91685431099995</v>
      </c>
      <c r="BZ12" s="6">
        <v>23.636283616823139</v>
      </c>
      <c r="CA12" s="6">
        <v>8.604231492605015</v>
      </c>
      <c r="CB12" s="6">
        <v>3.1865627720269205</v>
      </c>
      <c r="CC12" s="6">
        <v>0</v>
      </c>
      <c r="CD12" s="6">
        <v>316.3439321924551</v>
      </c>
      <c r="CE12" s="6">
        <v>12.076123924659843</v>
      </c>
      <c r="CF12" s="6">
        <v>-2.4765992893153546</v>
      </c>
      <c r="CG12" s="6">
        <v>0.6422073707142899</v>
      </c>
      <c r="CH12" s="6">
        <v>13.864980153638827</v>
      </c>
      <c r="CI12" s="6">
        <v>1.1934629022383239</v>
      </c>
      <c r="CJ12" s="6">
        <v>-1.2389985918603907</v>
      </c>
      <c r="CK12" s="6">
        <v>50.392165525793075</v>
      </c>
      <c r="CL12" s="6">
        <v>-4.3041990948391344</v>
      </c>
      <c r="CM12" s="6">
        <v>275.95016924037259</v>
      </c>
      <c r="CN12" s="6">
        <v>-23.570022368996511</v>
      </c>
      <c r="CO12" s="6">
        <v>179.58260446827148</v>
      </c>
      <c r="CP12" s="6">
        <v>89.791302234135742</v>
      </c>
      <c r="CQ12" s="6">
        <v>17093.07042158394</v>
      </c>
      <c r="CR12" s="6">
        <v>10390.754719344779</v>
      </c>
      <c r="CS12" s="6">
        <v>7793.0660395085852</v>
      </c>
      <c r="CT12" s="6">
        <v>1928.6861980332865</v>
      </c>
      <c r="CU12" s="6">
        <v>25976.886798361949</v>
      </c>
      <c r="CV12" s="6">
        <v>11689.599059262877</v>
      </c>
      <c r="CW12" s="6">
        <v>2507.2920574432724</v>
      </c>
      <c r="CX12" s="6">
        <v>-46.269818211126598</v>
      </c>
      <c r="CY12" s="6">
        <v>109.0630718506406</v>
      </c>
      <c r="CZ12" s="6"/>
      <c r="DA12" s="6"/>
      <c r="DB12" s="6"/>
      <c r="DC12" s="6"/>
      <c r="DD12" s="6"/>
      <c r="DE12" s="6"/>
      <c r="DF12" s="6"/>
      <c r="DG12" s="6"/>
      <c r="DH12" s="6"/>
      <c r="DI12" s="6"/>
      <c r="DJ12" s="6"/>
      <c r="DK12" s="6"/>
      <c r="DL12" s="6"/>
      <c r="DM12" s="6"/>
      <c r="DN12" s="6"/>
      <c r="DO12" s="6"/>
      <c r="DP12" s="6"/>
      <c r="DQ12" s="6"/>
      <c r="DR12" s="6"/>
      <c r="DS12" s="6"/>
      <c r="DT12" s="6"/>
      <c r="DU12" s="6"/>
      <c r="DV12" s="6"/>
      <c r="DW12" s="6"/>
      <c r="DX12" s="6"/>
      <c r="DY12" s="6"/>
      <c r="DZ12" s="6"/>
      <c r="EA12" s="6"/>
      <c r="EB12" s="6"/>
      <c r="EC12" s="6"/>
      <c r="ED12" s="6"/>
      <c r="EE12" s="6"/>
      <c r="EF12" s="6"/>
      <c r="EG12" s="6"/>
      <c r="EH12" s="6"/>
      <c r="EI12" s="6"/>
      <c r="EJ12" s="6"/>
      <c r="EK12" s="6"/>
      <c r="EL12" s="6"/>
      <c r="EM12" s="6"/>
      <c r="EN12" s="6"/>
      <c r="EO12" s="6"/>
      <c r="EP12" s="6"/>
      <c r="EQ12" s="6"/>
      <c r="ER12" s="6"/>
      <c r="ES12" s="6"/>
      <c r="ET12" s="6"/>
      <c r="EU12" s="6"/>
      <c r="EV12" s="6"/>
      <c r="EW12" s="6"/>
      <c r="EX12" s="6"/>
      <c r="EY12" s="6"/>
      <c r="EZ12" s="6"/>
      <c r="FA12" s="6"/>
      <c r="FB12" s="6"/>
      <c r="FC12" s="6"/>
      <c r="FD12" s="6"/>
      <c r="FE12" s="6"/>
      <c r="FF12" s="6"/>
      <c r="FG12" s="6"/>
      <c r="FH12" s="6"/>
      <c r="FI12" s="6"/>
      <c r="FJ12" s="6"/>
      <c r="FK12" s="6"/>
      <c r="FL12" s="6"/>
      <c r="FM12" s="6"/>
      <c r="FN12" s="6"/>
      <c r="FO12" s="6"/>
      <c r="FP12" s="6"/>
      <c r="FQ12" s="6"/>
      <c r="FR12" s="6"/>
      <c r="FS12" s="6"/>
      <c r="FT12" s="6"/>
      <c r="FU12" s="6"/>
      <c r="FV12" s="6"/>
      <c r="FW12" s="6"/>
      <c r="FX12" s="6"/>
      <c r="FY12" s="6"/>
      <c r="FZ12" s="6"/>
      <c r="GA12" s="6"/>
      <c r="GB12" s="6"/>
      <c r="GC12" s="6"/>
      <c r="GD12" s="6"/>
      <c r="GE12" s="6"/>
      <c r="GF12" s="6"/>
      <c r="GG12" s="6"/>
      <c r="GH12" s="6"/>
      <c r="GI12" s="6"/>
      <c r="GJ12" s="6"/>
      <c r="GK12" s="6"/>
      <c r="GL12" s="6"/>
      <c r="GM12" s="6"/>
      <c r="GN12" s="6"/>
      <c r="GO12" s="6"/>
      <c r="GP12" s="6"/>
      <c r="GQ12" s="6"/>
      <c r="GR12" s="6"/>
      <c r="GS12" s="6"/>
    </row>
    <row r="13" spans="1:201" x14ac:dyDescent="0.15">
      <c r="B13" s="6">
        <v>10</v>
      </c>
      <c r="C13" s="6">
        <v>7.9664796005037716E-2</v>
      </c>
      <c r="D13" s="6">
        <v>208.86205846151088</v>
      </c>
      <c r="E13" s="6">
        <v>0.4787849010806719</v>
      </c>
      <c r="F13" s="6">
        <v>164.87212707001294</v>
      </c>
      <c r="G13" s="6">
        <v>178.00663143996215</v>
      </c>
      <c r="H13" s="6">
        <v>0.49658530379140975</v>
      </c>
      <c r="I13" s="6">
        <v>50000</v>
      </c>
      <c r="J13" s="6">
        <v>1</v>
      </c>
      <c r="K13" s="6">
        <v>50000</v>
      </c>
      <c r="L13" s="6">
        <v>733</v>
      </c>
      <c r="M13" s="6">
        <v>183.21041372402541</v>
      </c>
      <c r="N13" s="6">
        <v>3.3435900504634635</v>
      </c>
      <c r="O13" s="6">
        <v>0.03</v>
      </c>
      <c r="P13" s="6">
        <v>1</v>
      </c>
      <c r="Q13" s="6">
        <v>13.498588075760042</v>
      </c>
      <c r="R13" s="6">
        <v>0.13498588075760046</v>
      </c>
      <c r="S13" s="6">
        <v>13.498588075760042</v>
      </c>
      <c r="T13" s="6">
        <v>0.13498588075760046</v>
      </c>
      <c r="U13" s="6">
        <v>3.0619177770457497</v>
      </c>
      <c r="V13" s="6">
        <v>1.5309588885228749</v>
      </c>
      <c r="W13" s="6">
        <v>1.4129024153844733E-2</v>
      </c>
      <c r="X13" s="6">
        <v>0.2271068139464569</v>
      </c>
      <c r="Y13" s="6">
        <v>1.4129024153844733E-2</v>
      </c>
      <c r="Z13" s="6">
        <v>1.1355340697322846E-2</v>
      </c>
      <c r="AA13" s="6">
        <v>8.051603858884711</v>
      </c>
      <c r="AB13" s="6">
        <v>0.41862939870688709</v>
      </c>
      <c r="AC13" s="6">
        <v>0.40258019294423558</v>
      </c>
      <c r="AD13" s="6">
        <v>8.051603858884711</v>
      </c>
      <c r="AE13" s="6">
        <v>0.41862939870688709</v>
      </c>
      <c r="AF13" s="6">
        <v>0.40258019294423558</v>
      </c>
      <c r="AG13" s="6" t="str">
        <v>#N/A</v>
      </c>
      <c r="AH13" s="6" t="str">
        <v>#N/A</v>
      </c>
      <c r="AI13" s="6">
        <v>192.86861980332861</v>
      </c>
      <c r="AJ13" s="6">
        <v>9.643430990166431</v>
      </c>
      <c r="AK13" s="6">
        <v>25.6368696483487</v>
      </c>
      <c r="AL13" s="6">
        <v>208.86205846151088</v>
      </c>
      <c r="AM13" s="6">
        <v>60.544692668511487</v>
      </c>
      <c r="AN13" s="6">
        <v>3.0619177770457497</v>
      </c>
      <c r="AO13" s="6">
        <v>3.1803305222778619</v>
      </c>
      <c r="AP13" s="6">
        <v>60.426279923279374</v>
      </c>
      <c r="AQ13" s="6" t="str">
        <v>#N/A</v>
      </c>
      <c r="AR13" s="6" t="str">
        <v>#N/A</v>
      </c>
      <c r="AS13" s="6">
        <v>1.6603776809633342</v>
      </c>
      <c r="AT13" s="6">
        <v>8.5439353809448964</v>
      </c>
      <c r="AU13" s="6">
        <v>7.163377980864774</v>
      </c>
      <c r="AV13" s="6">
        <v>2.2262313655945034</v>
      </c>
      <c r="AW13" s="6">
        <v>2.2262313655945034</v>
      </c>
      <c r="AX13" s="6">
        <v>0.76134711725632387</v>
      </c>
      <c r="AY13" s="6">
        <v>0.76134711725632387</v>
      </c>
      <c r="AZ13" s="6">
        <v>12.274546098602713</v>
      </c>
      <c r="BA13" s="6">
        <v>60.028221875158003</v>
      </c>
      <c r="BB13" s="6">
        <v>98.969806247879831</v>
      </c>
      <c r="BC13" s="6" t="str">
        <v>#N/A</v>
      </c>
      <c r="BD13" s="6" t="str">
        <v>#N/A</v>
      </c>
      <c r="BE13" s="6">
        <v>0</v>
      </c>
      <c r="BF13" s="6">
        <v>2.9875784828508274</v>
      </c>
      <c r="BG13" s="6">
        <v>1.4835875685071571</v>
      </c>
      <c r="BH13" s="6">
        <v>7.9775327019986984</v>
      </c>
      <c r="BI13" s="6">
        <v>174.26015270449136</v>
      </c>
      <c r="BJ13" s="6">
        <v>86.535030869497291</v>
      </c>
      <c r="BK13" s="6">
        <v>413.67255842775188</v>
      </c>
      <c r="BL13" s="6">
        <v>4.9744334295753507</v>
      </c>
      <c r="BM13" s="6">
        <v>434.00932603464236</v>
      </c>
      <c r="BN13" s="6">
        <v>0.6131943551702338</v>
      </c>
      <c r="BO13" s="6">
        <v>57.198900217333403</v>
      </c>
      <c r="BP13" s="6">
        <v>0.93370705024181044</v>
      </c>
      <c r="BQ13" s="6">
        <v>48.417098208671462</v>
      </c>
      <c r="BR13" s="6">
        <v>2.0886205846151089</v>
      </c>
      <c r="BS13" s="6">
        <v>1.2807303525783384</v>
      </c>
      <c r="BT13" s="6">
        <v>119.46680041126817</v>
      </c>
      <c r="BU13" s="6">
        <v>1.9501597651352991</v>
      </c>
      <c r="BV13" s="6">
        <v>101.12494796596253</v>
      </c>
      <c r="BW13" s="6">
        <v>403.73024248002815</v>
      </c>
      <c r="BX13" s="6">
        <v>344.64090466014835</v>
      </c>
      <c r="BY13" s="6">
        <v>332.08655445098884</v>
      </c>
      <c r="BZ13" s="6">
        <v>25.636869648348704</v>
      </c>
      <c r="CA13" s="6">
        <v>9.2995053125929683</v>
      </c>
      <c r="CB13" s="6">
        <v>3.1803305222778619</v>
      </c>
      <c r="CC13" s="6">
        <v>0</v>
      </c>
      <c r="CD13" s="6">
        <v>370.20325993420835</v>
      </c>
      <c r="CE13" s="6">
        <v>7.9712930799220771</v>
      </c>
      <c r="CF13" s="6">
        <v>-6.0776428485369252</v>
      </c>
      <c r="CG13" s="6">
        <v>0.64088693068152858</v>
      </c>
      <c r="CH13" s="6">
        <v>9.543086704783196</v>
      </c>
      <c r="CI13" s="6">
        <v>1.1730590560437812</v>
      </c>
      <c r="CJ13" s="6">
        <v>-5.0380213490380603</v>
      </c>
      <c r="CK13" s="6">
        <v>40.540472273514808</v>
      </c>
      <c r="CL13" s="6">
        <v>-20.787163069678058</v>
      </c>
      <c r="CM13" s="6">
        <v>100.70160674579033</v>
      </c>
      <c r="CN13" s="6">
        <v>-51.634838062083809</v>
      </c>
      <c r="CO13" s="6">
        <v>183.21041372402541</v>
      </c>
      <c r="CP13" s="6">
        <v>91.605206862012707</v>
      </c>
      <c r="CQ13" s="6">
        <v>18884.433132062924</v>
      </c>
      <c r="CR13" s="6">
        <v>11479.711242595498</v>
      </c>
      <c r="CS13" s="6">
        <v>8609.7834319466238</v>
      </c>
      <c r="CT13" s="6">
        <v>2088.6205846151088</v>
      </c>
      <c r="CU13" s="6">
        <v>28699.278106488746</v>
      </c>
      <c r="CV13" s="6">
        <v>12914.675147919936</v>
      </c>
      <c r="CW13" s="6">
        <v>2715.2067599996417</v>
      </c>
      <c r="CX13" s="6">
        <v>-44.013212548722628</v>
      </c>
      <c r="CY13" s="6">
        <v>111.63300615650726</v>
      </c>
      <c r="CZ13" s="6"/>
      <c r="DA13" s="6"/>
      <c r="DB13" s="6"/>
      <c r="DC13" s="6"/>
      <c r="DD13" s="6"/>
      <c r="DE13" s="6"/>
      <c r="DF13" s="6"/>
      <c r="DG13" s="6"/>
      <c r="DH13" s="6"/>
      <c r="DI13" s="6"/>
      <c r="DJ13" s="6"/>
      <c r="DK13" s="6"/>
      <c r="DL13" s="6"/>
      <c r="DM13" s="6"/>
      <c r="DN13" s="6"/>
      <c r="DO13" s="6"/>
      <c r="DP13" s="6"/>
      <c r="DQ13" s="6"/>
      <c r="DR13" s="6"/>
      <c r="DS13" s="6"/>
      <c r="DT13" s="6"/>
      <c r="DU13" s="6"/>
      <c r="DV13" s="6"/>
      <c r="DW13" s="6"/>
      <c r="DX13" s="6"/>
      <c r="DY13" s="6"/>
      <c r="DZ13" s="6"/>
      <c r="EA13" s="6"/>
      <c r="EB13" s="6"/>
      <c r="EC13" s="6"/>
      <c r="ED13" s="6"/>
      <c r="EE13" s="6"/>
      <c r="EF13" s="6"/>
      <c r="EG13" s="6"/>
      <c r="EH13" s="6"/>
      <c r="EI13" s="6"/>
      <c r="EJ13" s="6"/>
      <c r="EK13" s="6"/>
      <c r="EL13" s="6"/>
      <c r="EM13" s="6"/>
      <c r="EN13" s="6"/>
      <c r="EO13" s="6"/>
      <c r="EP13" s="6"/>
      <c r="EQ13" s="6"/>
      <c r="ER13" s="6"/>
      <c r="ES13" s="6"/>
      <c r="ET13" s="6"/>
      <c r="EU13" s="6"/>
      <c r="EV13" s="6"/>
      <c r="EW13" s="6"/>
      <c r="EX13" s="6"/>
      <c r="EY13" s="6"/>
      <c r="EZ13" s="6"/>
      <c r="FA13" s="6"/>
      <c r="FB13" s="6"/>
      <c r="FC13" s="6"/>
      <c r="FD13" s="6"/>
      <c r="FE13" s="6"/>
      <c r="FF13" s="6"/>
      <c r="FG13" s="6"/>
      <c r="FH13" s="6"/>
      <c r="FI13" s="6"/>
      <c r="FJ13" s="6"/>
      <c r="FK13" s="6"/>
      <c r="FL13" s="6"/>
      <c r="FM13" s="6"/>
      <c r="FN13" s="6"/>
      <c r="FO13" s="6"/>
      <c r="FP13" s="6"/>
      <c r="FQ13" s="6"/>
      <c r="FR13" s="6"/>
      <c r="FS13" s="6"/>
      <c r="FT13" s="6"/>
      <c r="FU13" s="6"/>
      <c r="FV13" s="6"/>
      <c r="FW13" s="6"/>
      <c r="FX13" s="6"/>
      <c r="FY13" s="6"/>
      <c r="FZ13" s="6"/>
      <c r="GA13" s="6"/>
      <c r="GB13" s="6"/>
      <c r="GC13" s="6"/>
      <c r="GD13" s="6"/>
      <c r="GE13" s="6"/>
      <c r="GF13" s="6"/>
      <c r="GG13" s="6"/>
      <c r="GH13" s="6"/>
      <c r="GI13" s="6"/>
      <c r="GJ13" s="6"/>
      <c r="GK13" s="6"/>
      <c r="GL13" s="6"/>
      <c r="GM13" s="6"/>
      <c r="GN13" s="6"/>
      <c r="GO13" s="6"/>
      <c r="GP13" s="6"/>
      <c r="GQ13" s="6"/>
      <c r="GR13" s="6"/>
      <c r="GS13" s="6"/>
    </row>
    <row r="14" spans="1:201" x14ac:dyDescent="0.15">
      <c r="B14" s="6">
        <v>11</v>
      </c>
      <c r="C14" s="6">
        <v>7.9798427747885134E-2</v>
      </c>
      <c r="D14" s="6">
        <v>226.21196420828494</v>
      </c>
      <c r="E14" s="6">
        <v>0.44206326729882806</v>
      </c>
      <c r="F14" s="6">
        <v>173.32530178673966</v>
      </c>
      <c r="G14" s="6">
        <v>187.15638835824919</v>
      </c>
      <c r="H14" s="6">
        <v>0.46301306831122829</v>
      </c>
      <c r="I14" s="6">
        <v>50000</v>
      </c>
      <c r="J14" s="6">
        <v>1</v>
      </c>
      <c r="K14" s="6">
        <v>50000</v>
      </c>
      <c r="L14" s="6">
        <v>0</v>
      </c>
      <c r="M14" s="6">
        <v>186.91150958810707</v>
      </c>
      <c r="N14" s="6">
        <v>3.411135049982954</v>
      </c>
      <c r="O14" s="6">
        <v>0.03</v>
      </c>
      <c r="P14" s="6">
        <v>1</v>
      </c>
      <c r="Q14" s="6">
        <v>13.909681284637815</v>
      </c>
      <c r="R14" s="6">
        <v>0.13909681284637818</v>
      </c>
      <c r="S14" s="6">
        <v>13.909681284637815</v>
      </c>
      <c r="T14" s="6">
        <v>0.13909681284637818</v>
      </c>
      <c r="U14" s="6">
        <v>0</v>
      </c>
      <c r="V14" s="6">
        <v>0</v>
      </c>
      <c r="W14" s="6">
        <v>1.4129024153844733E-2</v>
      </c>
      <c r="X14" s="6">
        <v>0.21297778979261217</v>
      </c>
      <c r="Y14" s="6">
        <v>1.4129024153844733E-2</v>
      </c>
      <c r="Z14" s="6">
        <v>1.0648889489630609E-2</v>
      </c>
      <c r="AA14" s="6">
        <v>14.006258671989402</v>
      </c>
      <c r="AB14" s="6">
        <v>0.73918964908522833</v>
      </c>
      <c r="AC14" s="6">
        <v>0.70031293359947022</v>
      </c>
      <c r="AD14" s="6">
        <v>14.006258671989402</v>
      </c>
      <c r="AE14" s="6">
        <v>0.73918964908522833</v>
      </c>
      <c r="AF14" s="6">
        <v>0.70031293359947022</v>
      </c>
      <c r="AG14" s="6" t="str">
        <v>#N/A</v>
      </c>
      <c r="AH14" s="6" t="str">
        <v>#N/A</v>
      </c>
      <c r="AI14" s="6">
        <v>208.86205846151088</v>
      </c>
      <c r="AJ14" s="6">
        <v>10.443102923075545</v>
      </c>
      <c r="AK14" s="6">
        <v>27.793008669849598</v>
      </c>
      <c r="AL14" s="6">
        <v>226.21196420828494</v>
      </c>
      <c r="AM14" s="6">
        <v>60.426279923279374</v>
      </c>
      <c r="AN14" s="6">
        <v>0</v>
      </c>
      <c r="AO14" s="6">
        <v>3.0213139961639688</v>
      </c>
      <c r="AP14" s="6">
        <v>57.404965927115406</v>
      </c>
      <c r="AQ14" s="6" t="str">
        <v>#N/A</v>
      </c>
      <c r="AR14" s="6" t="str">
        <v>#N/A</v>
      </c>
      <c r="AS14" s="6">
        <v>1.5794001059165825</v>
      </c>
      <c r="AT14" s="6">
        <v>1.5794001059165825</v>
      </c>
      <c r="AU14" s="6">
        <v>0</v>
      </c>
      <c r="AV14" s="6">
        <v>2.1149197973147782</v>
      </c>
      <c r="AW14" s="6">
        <v>2.1149197973147782</v>
      </c>
      <c r="AX14" s="6">
        <v>0.66780596833996142</v>
      </c>
      <c r="AY14" s="6">
        <v>0.66780596833996142</v>
      </c>
      <c r="AZ14" s="6">
        <v>12.286268220658368</v>
      </c>
      <c r="BA14" s="6">
        <v>62.824940422905833</v>
      </c>
      <c r="BB14" s="6">
        <v>108.89151758534094</v>
      </c>
      <c r="BC14" s="6" t="str">
        <v>#N/A</v>
      </c>
      <c r="BD14" s="6" t="str">
        <v>#N/A</v>
      </c>
      <c r="BE14" s="6">
        <v>0</v>
      </c>
      <c r="BF14" s="6">
        <v>2.7827257656547397</v>
      </c>
      <c r="BG14" s="6">
        <v>1.2884383950245131</v>
      </c>
      <c r="BH14" s="6">
        <v>1.2884383950245131</v>
      </c>
      <c r="BI14" s="6">
        <v>186.78545199455988</v>
      </c>
      <c r="BJ14" s="6">
        <v>86.4841052439008</v>
      </c>
      <c r="BK14" s="6">
        <v>86.4841052439008</v>
      </c>
      <c r="BL14" s="6">
        <v>0</v>
      </c>
      <c r="BM14" s="6">
        <v>0</v>
      </c>
      <c r="BN14" s="6">
        <v>0.6131943551702338</v>
      </c>
      <c r="BO14" s="6">
        <v>57.198900217333403</v>
      </c>
      <c r="BP14" s="6">
        <v>0.6944256526548428</v>
      </c>
      <c r="BQ14" s="6">
        <v>60.587243503552784</v>
      </c>
      <c r="BR14" s="6">
        <v>2.2621196420828498</v>
      </c>
      <c r="BS14" s="6">
        <v>1.3871189952449132</v>
      </c>
      <c r="BT14" s="6">
        <v>129.39075568716689</v>
      </c>
      <c r="BU14" s="6">
        <v>1.5708739088367223</v>
      </c>
      <c r="BV14" s="6">
        <v>137.0555935890433</v>
      </c>
      <c r="BW14" s="6">
        <v>446.10099209145329</v>
      </c>
      <c r="BX14" s="6">
        <v>472.87360213734132</v>
      </c>
      <c r="BY14" s="6">
        <v>388.44317252934991</v>
      </c>
      <c r="BZ14" s="6">
        <v>27.793008669849598</v>
      </c>
      <c r="CA14" s="6">
        <v>9.5684032298712793</v>
      </c>
      <c r="CB14" s="6">
        <v>3.0213139961639688</v>
      </c>
      <c r="CC14" s="6">
        <v>0</v>
      </c>
      <c r="CD14" s="6">
        <v>428.82589842523481</v>
      </c>
      <c r="CE14" s="6">
        <v>3.5358846521464127</v>
      </c>
      <c r="CF14" s="6">
        <v>9.0157311171339742</v>
      </c>
      <c r="CG14" s="6">
        <v>0.67384030092874814</v>
      </c>
      <c r="CH14" s="6">
        <v>4.8496432841175503</v>
      </c>
      <c r="CI14" s="6">
        <v>0.80213702077968096</v>
      </c>
      <c r="CJ14" s="6">
        <v>10.201193029254183</v>
      </c>
      <c r="CK14" s="6">
        <v>24.393971019991454</v>
      </c>
      <c r="CL14" s="6">
        <v>50.539768239519901</v>
      </c>
      <c r="CM14" s="6">
        <v>34.832958024366704</v>
      </c>
      <c r="CN14" s="6">
        <v>72.167406618860326</v>
      </c>
      <c r="CO14" s="6">
        <v>186.91150958810707</v>
      </c>
      <c r="CP14" s="6">
        <v>93.455754794053533</v>
      </c>
      <c r="CQ14" s="6">
        <v>25910.882308895412</v>
      </c>
      <c r="CR14" s="6">
        <v>12684.485915118417</v>
      </c>
      <c r="CS14" s="6">
        <v>9513.3644363388121</v>
      </c>
      <c r="CT14" s="6">
        <v>2262.1196420828496</v>
      </c>
      <c r="CU14" s="6">
        <v>31711.214787796041</v>
      </c>
      <c r="CV14" s="6">
        <v>14270.046654508218</v>
      </c>
      <c r="CW14" s="6">
        <v>2940.7555347077046</v>
      </c>
      <c r="CX14" s="6">
        <v>-67.679824080221678</v>
      </c>
      <c r="CY14" s="6">
        <v>111.63300615650726</v>
      </c>
      <c r="CZ14" s="6"/>
      <c r="DA14" s="6"/>
      <c r="DB14" s="6"/>
      <c r="DC14" s="6"/>
      <c r="DD14" s="6"/>
      <c r="DE14" s="6"/>
      <c r="DF14" s="6"/>
      <c r="DG14" s="6"/>
      <c r="DH14" s="6"/>
      <c r="DI14" s="6"/>
      <c r="DJ14" s="6"/>
      <c r="DK14" s="6"/>
      <c r="DL14" s="6"/>
      <c r="DM14" s="6"/>
      <c r="DN14" s="6"/>
      <c r="DO14" s="6"/>
      <c r="DP14" s="6"/>
      <c r="DQ14" s="6"/>
      <c r="DR14" s="6"/>
      <c r="DS14" s="6"/>
      <c r="DT14" s="6"/>
      <c r="DU14" s="6"/>
      <c r="DV14" s="6"/>
      <c r="DW14" s="6"/>
      <c r="DX14" s="6"/>
      <c r="DY14" s="6"/>
      <c r="DZ14" s="6"/>
      <c r="EA14" s="6"/>
      <c r="EB14" s="6"/>
      <c r="EC14" s="6"/>
      <c r="ED14" s="6"/>
      <c r="EE14" s="6"/>
      <c r="EF14" s="6"/>
      <c r="EG14" s="6"/>
      <c r="EH14" s="6"/>
      <c r="EI14" s="6"/>
      <c r="EJ14" s="6"/>
      <c r="EK14" s="6"/>
      <c r="EL14" s="6"/>
      <c r="EM14" s="6"/>
      <c r="EN14" s="6"/>
      <c r="EO14" s="6"/>
      <c r="EP14" s="6"/>
      <c r="EQ14" s="6"/>
      <c r="ER14" s="6"/>
      <c r="ES14" s="6"/>
      <c r="ET14" s="6"/>
      <c r="EU14" s="6"/>
      <c r="EV14" s="6"/>
      <c r="EW14" s="6"/>
      <c r="EX14" s="6"/>
      <c r="EY14" s="6"/>
      <c r="EZ14" s="6"/>
      <c r="FA14" s="6"/>
      <c r="FB14" s="6"/>
      <c r="FC14" s="6"/>
      <c r="FD14" s="6"/>
      <c r="FE14" s="6"/>
      <c r="FF14" s="6"/>
      <c r="FG14" s="6"/>
      <c r="FH14" s="6"/>
      <c r="FI14" s="6"/>
      <c r="FJ14" s="6"/>
      <c r="FK14" s="6"/>
      <c r="FL14" s="6"/>
      <c r="FM14" s="6"/>
      <c r="FN14" s="6"/>
      <c r="FO14" s="6"/>
      <c r="FP14" s="6"/>
      <c r="FQ14" s="6"/>
      <c r="FR14" s="6"/>
      <c r="FS14" s="6"/>
      <c r="FT14" s="6"/>
      <c r="FU14" s="6"/>
      <c r="FV14" s="6"/>
      <c r="FW14" s="6"/>
      <c r="FX14" s="6"/>
      <c r="FY14" s="6"/>
      <c r="FZ14" s="6"/>
      <c r="GA14" s="6"/>
      <c r="GB14" s="6"/>
      <c r="GC14" s="6"/>
      <c r="GD14" s="6"/>
      <c r="GE14" s="6"/>
      <c r="GF14" s="6"/>
      <c r="GG14" s="6"/>
      <c r="GH14" s="6"/>
      <c r="GI14" s="6"/>
      <c r="GJ14" s="6"/>
      <c r="GK14" s="6"/>
      <c r="GL14" s="6"/>
      <c r="GM14" s="6"/>
      <c r="GN14" s="6"/>
      <c r="GO14" s="6"/>
      <c r="GP14" s="6"/>
      <c r="GQ14" s="6"/>
      <c r="GR14" s="6"/>
      <c r="GS14" s="6"/>
    </row>
    <row r="15" spans="1:201" x14ac:dyDescent="0.15">
      <c r="B15" s="6">
        <v>12</v>
      </c>
      <c r="C15" s="6">
        <v>7.9878894034482131E-2</v>
      </c>
      <c r="D15" s="6">
        <v>245.02281985810771</v>
      </c>
      <c r="E15" s="6">
        <v>0.40812525159048374</v>
      </c>
      <c r="F15" s="6">
        <v>182.21188003905104</v>
      </c>
      <c r="G15" s="6">
        <v>196.76676349651416</v>
      </c>
      <c r="H15" s="6">
        <v>0.4317105234290799</v>
      </c>
      <c r="I15" s="6">
        <v>50000</v>
      </c>
      <c r="J15" s="6">
        <v>1</v>
      </c>
      <c r="K15" s="6">
        <v>50000</v>
      </c>
      <c r="L15" s="6">
        <v>0</v>
      </c>
      <c r="M15" s="6">
        <v>190.68737254821065</v>
      </c>
      <c r="N15" s="6">
        <v>3.4800445490048451</v>
      </c>
      <c r="O15" s="6">
        <v>0.03</v>
      </c>
      <c r="P15" s="6">
        <v>1</v>
      </c>
      <c r="Q15" s="6">
        <v>14.333294145603416</v>
      </c>
      <c r="R15" s="6">
        <v>0.1433329414560342</v>
      </c>
      <c r="S15" s="6">
        <v>14.333294145603416</v>
      </c>
      <c r="T15" s="6">
        <v>0.1433329414560342</v>
      </c>
      <c r="U15" s="6">
        <v>0</v>
      </c>
      <c r="V15" s="6">
        <v>0</v>
      </c>
      <c r="W15" s="6">
        <v>1.4129024153844733E-2</v>
      </c>
      <c r="X15" s="6">
        <v>0.19884876563876744</v>
      </c>
      <c r="Y15" s="6">
        <v>1.4129024153844733E-2</v>
      </c>
      <c r="Z15" s="6">
        <v>9.9424382819383733E-3</v>
      </c>
      <c r="AA15" s="6">
        <v>19.10196992034977</v>
      </c>
      <c r="AB15" s="6">
        <v>1.0348228989708823</v>
      </c>
      <c r="AC15" s="6">
        <v>0.95509849601748864</v>
      </c>
      <c r="AD15" s="6">
        <v>19.10196992034977</v>
      </c>
      <c r="AE15" s="6">
        <v>1.0348228989708823</v>
      </c>
      <c r="AF15" s="6">
        <v>0.95509849601748864</v>
      </c>
      <c r="AG15" s="6" t="str">
        <v>#N/A</v>
      </c>
      <c r="AH15" s="6" t="str">
        <v>#N/A</v>
      </c>
      <c r="AI15" s="6">
        <v>226.21196420828494</v>
      </c>
      <c r="AJ15" s="6">
        <v>11.310598210414248</v>
      </c>
      <c r="AK15" s="6">
        <v>30.121453860237018</v>
      </c>
      <c r="AL15" s="6">
        <v>245.02281985810771</v>
      </c>
      <c r="AM15" s="6">
        <v>57.404965927115406</v>
      </c>
      <c r="AN15" s="6">
        <v>0</v>
      </c>
      <c r="AO15" s="6">
        <v>2.8702482963557703</v>
      </c>
      <c r="AP15" s="6">
        <v>54.534717630759637</v>
      </c>
      <c r="AQ15" s="6" t="str">
        <v>#N/A</v>
      </c>
      <c r="AR15" s="6" t="str">
        <v>#N/A</v>
      </c>
      <c r="AS15" s="6">
        <v>1.502371853807398</v>
      </c>
      <c r="AT15" s="6">
        <v>3.0817719597239805</v>
      </c>
      <c r="AU15" s="6">
        <v>0</v>
      </c>
      <c r="AV15" s="6">
        <v>2.0091738074490393</v>
      </c>
      <c r="AW15" s="6">
        <v>2.0091738074490393</v>
      </c>
      <c r="AX15" s="6">
        <v>0.58571040403867802</v>
      </c>
      <c r="AY15" s="6">
        <v>0.58571040403867802</v>
      </c>
      <c r="AZ15" s="6">
        <v>12.293325934980381</v>
      </c>
      <c r="BA15" s="6">
        <v>65.756492249407771</v>
      </c>
      <c r="BB15" s="6">
        <v>119.8161407753788</v>
      </c>
      <c r="BC15" s="6" t="str">
        <v>#N/A</v>
      </c>
      <c r="BD15" s="6" t="str">
        <v>#N/A</v>
      </c>
      <c r="BE15" s="6">
        <v>0</v>
      </c>
      <c r="BF15" s="6">
        <v>2.5948842114877175</v>
      </c>
      <c r="BG15" s="6">
        <v>1.1202388211792178</v>
      </c>
      <c r="BH15" s="6">
        <v>2.4086772162037309</v>
      </c>
      <c r="BI15" s="6">
        <v>200.46084317125468</v>
      </c>
      <c r="BJ15" s="6">
        <v>86.541055532497055</v>
      </c>
      <c r="BK15" s="6">
        <v>173.02516077639785</v>
      </c>
      <c r="BL15" s="6">
        <v>0</v>
      </c>
      <c r="BM15" s="6">
        <v>0</v>
      </c>
      <c r="BN15" s="6">
        <v>0.6131943551702338</v>
      </c>
      <c r="BO15" s="6">
        <v>57.198900217333403</v>
      </c>
      <c r="BP15" s="6">
        <v>0.6944256526548428</v>
      </c>
      <c r="BQ15" s="6">
        <v>60.587243503552784</v>
      </c>
      <c r="BR15" s="6">
        <v>2.4502281985810774</v>
      </c>
      <c r="BS15" s="6">
        <v>1.5024661002488473</v>
      </c>
      <c r="BT15" s="6">
        <v>140.15035824033563</v>
      </c>
      <c r="BU15" s="6">
        <v>1.7015013159529644</v>
      </c>
      <c r="BV15" s="6">
        <v>148.45257250670323</v>
      </c>
      <c r="BW15" s="6">
        <v>492.95813919759189</v>
      </c>
      <c r="BX15" s="6">
        <v>522.54286611740577</v>
      </c>
      <c r="BY15" s="6">
        <v>454.69529832227016</v>
      </c>
      <c r="BZ15" s="6">
        <v>30.121453860237018</v>
      </c>
      <c r="CA15" s="6">
        <v>9.8458686377242888</v>
      </c>
      <c r="CB15" s="6">
        <v>2.8702482963557703</v>
      </c>
      <c r="CC15" s="6">
        <v>0</v>
      </c>
      <c r="CD15" s="6">
        <v>497.53286911658722</v>
      </c>
      <c r="CE15" s="6">
        <v>-0.80603065829535459</v>
      </c>
      <c r="CF15" s="6">
        <v>4.4065605409470265</v>
      </c>
      <c r="CG15" s="6">
        <v>0.57063777737525379</v>
      </c>
      <c r="CH15" s="6">
        <v>0.16259288119565066</v>
      </c>
      <c r="CI15" s="6">
        <v>0.69267739236438608</v>
      </c>
      <c r="CJ15" s="6">
        <v>5.2531444654489139</v>
      </c>
      <c r="CK15" s="6">
        <v>1.8779151538782344</v>
      </c>
      <c r="CL15" s="6">
        <v>30.769990656221069</v>
      </c>
      <c r="CM15" s="6">
        <v>1.9662005140921595</v>
      </c>
      <c r="CN15" s="6">
        <v>32.216562778104979</v>
      </c>
      <c r="CO15" s="6">
        <v>190.68737254821065</v>
      </c>
      <c r="CP15" s="6">
        <v>95.343686274105323</v>
      </c>
      <c r="CQ15" s="6">
        <v>28632.485814652366</v>
      </c>
      <c r="CR15" s="6">
        <v>14016.827319928829</v>
      </c>
      <c r="CS15" s="6">
        <v>10512.620489946623</v>
      </c>
      <c r="CT15" s="6">
        <v>2450.2281985810773</v>
      </c>
      <c r="CU15" s="6">
        <v>35042.068299822073</v>
      </c>
      <c r="CV15" s="6">
        <v>15768.930734919932</v>
      </c>
      <c r="CW15" s="6">
        <v>3185.2966581554006</v>
      </c>
      <c r="CX15" s="6">
        <v>-64.379040110138831</v>
      </c>
      <c r="CY15" s="6">
        <v>111.63300615650726</v>
      </c>
      <c r="CZ15" s="6"/>
      <c r="DA15" s="6"/>
      <c r="DB15" s="6"/>
      <c r="DC15" s="6"/>
      <c r="DD15" s="6"/>
      <c r="DE15" s="6"/>
      <c r="DF15" s="6"/>
      <c r="DG15" s="6"/>
      <c r="DH15" s="6"/>
      <c r="DI15" s="6"/>
      <c r="DJ15" s="6"/>
      <c r="DK15" s="6"/>
      <c r="DL15" s="6"/>
      <c r="DM15" s="6"/>
      <c r="DN15" s="6"/>
      <c r="DO15" s="6"/>
      <c r="DP15" s="6"/>
      <c r="DQ15" s="6"/>
      <c r="DR15" s="6"/>
      <c r="DS15" s="6"/>
      <c r="DT15" s="6"/>
      <c r="DU15" s="6"/>
      <c r="DV15" s="6"/>
      <c r="DW15" s="6"/>
      <c r="DX15" s="6"/>
      <c r="DY15" s="6"/>
      <c r="DZ15" s="6"/>
      <c r="EA15" s="6"/>
      <c r="EB15" s="6"/>
      <c r="EC15" s="6"/>
      <c r="ED15" s="6"/>
      <c r="EE15" s="6"/>
      <c r="EF15" s="6"/>
      <c r="EG15" s="6"/>
      <c r="EH15" s="6"/>
      <c r="EI15" s="6"/>
      <c r="EJ15" s="6"/>
      <c r="EK15" s="6"/>
      <c r="EL15" s="6"/>
      <c r="EM15" s="6"/>
      <c r="EN15" s="6"/>
      <c r="EO15" s="6"/>
      <c r="EP15" s="6"/>
      <c r="EQ15" s="6"/>
      <c r="ER15" s="6"/>
      <c r="ES15" s="6"/>
      <c r="ET15" s="6"/>
      <c r="EU15" s="6"/>
      <c r="EV15" s="6"/>
      <c r="EW15" s="6"/>
      <c r="EX15" s="6"/>
      <c r="EY15" s="6"/>
      <c r="EZ15" s="6"/>
      <c r="FA15" s="6"/>
      <c r="FB15" s="6"/>
      <c r="FC15" s="6"/>
      <c r="FD15" s="6"/>
      <c r="FE15" s="6"/>
      <c r="FF15" s="6"/>
      <c r="FG15" s="6"/>
      <c r="FH15" s="6"/>
      <c r="FI15" s="6"/>
      <c r="FJ15" s="6"/>
      <c r="FK15" s="6"/>
      <c r="FL15" s="6"/>
      <c r="FM15" s="6"/>
      <c r="FN15" s="6"/>
      <c r="FO15" s="6"/>
      <c r="FP15" s="6"/>
      <c r="FQ15" s="6"/>
      <c r="FR15" s="6"/>
      <c r="FS15" s="6"/>
      <c r="FT15" s="6"/>
      <c r="FU15" s="6"/>
      <c r="FV15" s="6"/>
      <c r="FW15" s="6"/>
      <c r="FX15" s="6"/>
      <c r="FY15" s="6"/>
      <c r="FZ15" s="6"/>
      <c r="GA15" s="6"/>
      <c r="GB15" s="6"/>
      <c r="GC15" s="6"/>
      <c r="GD15" s="6"/>
      <c r="GE15" s="6"/>
      <c r="GF15" s="6"/>
      <c r="GG15" s="6"/>
      <c r="GH15" s="6"/>
      <c r="GI15" s="6"/>
      <c r="GJ15" s="6"/>
      <c r="GK15" s="6"/>
      <c r="GL15" s="6"/>
      <c r="GM15" s="6"/>
      <c r="GN15" s="6"/>
      <c r="GO15" s="6"/>
      <c r="GP15" s="6"/>
      <c r="GQ15" s="6"/>
      <c r="GR15" s="6"/>
      <c r="GS15" s="6"/>
    </row>
    <row r="16" spans="1:201" x14ac:dyDescent="0.15">
      <c r="B16" s="6">
        <v>13</v>
      </c>
      <c r="C16" s="6">
        <v>7.9927277734823346E-2</v>
      </c>
      <c r="D16" s="6">
        <v>265.41075006475904</v>
      </c>
      <c r="E16" s="6">
        <v>0.37677449001444147</v>
      </c>
      <c r="F16" s="6">
        <v>191.55408290138976</v>
      </c>
      <c r="G16" s="6">
        <v>206.86447928668855</v>
      </c>
      <c r="H16" s="6">
        <v>0.40252422403363619</v>
      </c>
      <c r="I16" s="6">
        <v>50000</v>
      </c>
      <c r="J16" s="6">
        <v>1</v>
      </c>
      <c r="K16" s="6">
        <v>50000</v>
      </c>
      <c r="L16" s="6">
        <v>0</v>
      </c>
      <c r="M16" s="6">
        <v>194.53951299986571</v>
      </c>
      <c r="N16" s="6">
        <v>3.5503461122475488</v>
      </c>
      <c r="O16" s="6">
        <v>0.03</v>
      </c>
      <c r="P16" s="6">
        <v>1</v>
      </c>
      <c r="Q16" s="6">
        <v>14.769807938826441</v>
      </c>
      <c r="R16" s="6">
        <v>0.14769807938826446</v>
      </c>
      <c r="S16" s="6">
        <v>14.769807938826441</v>
      </c>
      <c r="T16" s="6">
        <v>0.14769807938826446</v>
      </c>
      <c r="U16" s="6">
        <v>0</v>
      </c>
      <c r="V16" s="6">
        <v>0</v>
      </c>
      <c r="W16" s="6">
        <v>1.4129024153844733E-2</v>
      </c>
      <c r="X16" s="6">
        <v>0.18471974148492271</v>
      </c>
      <c r="Y16" s="6">
        <v>1.4129024153844733E-2</v>
      </c>
      <c r="Z16" s="6">
        <v>9.2359870742461363E-3</v>
      </c>
      <c r="AA16" s="6">
        <v>22.040224859206944</v>
      </c>
      <c r="AB16" s="6">
        <v>1.2402171736388921</v>
      </c>
      <c r="AC16" s="6">
        <v>1.1020112429603472</v>
      </c>
      <c r="AD16" s="6">
        <v>22.040224859206944</v>
      </c>
      <c r="AE16" s="6">
        <v>1.2402171736388921</v>
      </c>
      <c r="AF16" s="6">
        <v>1.1020112429603472</v>
      </c>
      <c r="AG16" s="6" t="str">
        <v>#N/A</v>
      </c>
      <c r="AH16" s="6" t="str">
        <v>#N/A</v>
      </c>
      <c r="AI16" s="6">
        <v>245.02281985810771</v>
      </c>
      <c r="AJ16" s="6">
        <v>12.251140992905386</v>
      </c>
      <c r="AK16" s="6">
        <v>32.639071199556717</v>
      </c>
      <c r="AL16" s="6">
        <v>265.41075006475904</v>
      </c>
      <c r="AM16" s="6">
        <v>54.534717630759637</v>
      </c>
      <c r="AN16" s="6">
        <v>0</v>
      </c>
      <c r="AO16" s="6">
        <v>2.7267358815379819</v>
      </c>
      <c r="AP16" s="6">
        <v>51.807981749221653</v>
      </c>
      <c r="AQ16" s="6" t="str">
        <v>#N/A</v>
      </c>
      <c r="AR16" s="6" t="str">
        <v>#N/A</v>
      </c>
      <c r="AS16" s="6">
        <v>1.4291003138832816</v>
      </c>
      <c r="AT16" s="6">
        <v>4.5108722736072622</v>
      </c>
      <c r="AU16" s="6">
        <v>0</v>
      </c>
      <c r="AV16" s="6">
        <v>1.9087151170765875</v>
      </c>
      <c r="AW16" s="6">
        <v>1.9087151170765875</v>
      </c>
      <c r="AX16" s="6">
        <v>0.51368226058527577</v>
      </c>
      <c r="AY16" s="6">
        <v>0.51368226058527577</v>
      </c>
      <c r="AZ16" s="6">
        <v>12.297569405758026</v>
      </c>
      <c r="BA16" s="6">
        <v>68.82952978857432</v>
      </c>
      <c r="BB16" s="6">
        <v>131.84577455184242</v>
      </c>
      <c r="BC16" s="6" t="str">
        <v>#N/A</v>
      </c>
      <c r="BD16" s="6" t="str">
        <v>#N/A</v>
      </c>
      <c r="BE16" s="6">
        <v>0</v>
      </c>
      <c r="BF16" s="6">
        <v>2.4223973776618632</v>
      </c>
      <c r="BG16" s="6">
        <v>0.97507362474445669</v>
      </c>
      <c r="BH16" s="6">
        <v>3.3837508409481876</v>
      </c>
      <c r="BI16" s="6">
        <v>215.39527112383664</v>
      </c>
      <c r="BJ16" s="6">
        <v>86.70181436963702</v>
      </c>
      <c r="BK16" s="6">
        <v>259.72697514603487</v>
      </c>
      <c r="BL16" s="6">
        <v>0</v>
      </c>
      <c r="BM16" s="6">
        <v>0</v>
      </c>
      <c r="BN16" s="6">
        <v>0.6131943551702338</v>
      </c>
      <c r="BO16" s="6">
        <v>57.198900217333403</v>
      </c>
      <c r="BP16" s="6">
        <v>0.6944256526548428</v>
      </c>
      <c r="BQ16" s="6">
        <v>60.587243503552784</v>
      </c>
      <c r="BR16" s="6">
        <v>2.6541075006475912</v>
      </c>
      <c r="BS16" s="6">
        <v>1.6274837374120805</v>
      </c>
      <c r="BT16" s="6">
        <v>151.81203009561773</v>
      </c>
      <c r="BU16" s="6">
        <v>1.843080333353317</v>
      </c>
      <c r="BV16" s="6">
        <v>160.80505742634148</v>
      </c>
      <c r="BW16" s="6">
        <v>544.76338140225141</v>
      </c>
      <c r="BX16" s="6">
        <v>577.4571835594362</v>
      </c>
      <c r="BY16" s="6">
        <v>532.61383044463821</v>
      </c>
      <c r="BZ16" s="6">
        <v>32.639071199556717</v>
      </c>
      <c r="CA16" s="6">
        <v>10.131870217664831</v>
      </c>
      <c r="CB16" s="6">
        <v>2.7267358815379819</v>
      </c>
      <c r="CC16" s="6">
        <v>0</v>
      </c>
      <c r="CD16" s="6">
        <v>578.11150774339774</v>
      </c>
      <c r="CE16" s="6">
        <v>-5.0576054945665643</v>
      </c>
      <c r="CF16" s="6">
        <v>-9.923536795374531E-2</v>
      </c>
      <c r="CG16" s="6">
        <v>0.52109187127384438</v>
      </c>
      <c r="CH16" s="6">
        <v>-4.3389988646942914</v>
      </c>
      <c r="CI16" s="6">
        <v>0.63717954400624532</v>
      </c>
      <c r="CJ16" s="6">
        <v>0.50328358918613048</v>
      </c>
      <c r="CK16" s="6">
        <v>-27.507867975449585</v>
      </c>
      <c r="CL16" s="6">
        <v>4.4204916455214516</v>
      </c>
      <c r="CM16" s="6">
        <v>-24.961513007394405</v>
      </c>
      <c r="CN16" s="6">
        <v>4.011294506984</v>
      </c>
      <c r="CO16" s="6">
        <v>194.53951299986571</v>
      </c>
      <c r="CP16" s="6">
        <v>97.269756499932853</v>
      </c>
      <c r="CQ16" s="6">
        <v>31641.489510106097</v>
      </c>
      <c r="CR16" s="6">
        <v>15489.863418758194</v>
      </c>
      <c r="CS16" s="6">
        <v>11617.397564068646</v>
      </c>
      <c r="CT16" s="6">
        <v>2654.1075006475912</v>
      </c>
      <c r="CU16" s="6">
        <v>38724.658546895487</v>
      </c>
      <c r="CV16" s="6">
        <v>17426.096346102968</v>
      </c>
      <c r="CW16" s="6">
        <v>3450.3397508418684</v>
      </c>
      <c r="CX16" s="6">
        <v>-61.239237273875759</v>
      </c>
      <c r="CY16" s="6">
        <v>111.63300615650726</v>
      </c>
      <c r="CZ16" s="6"/>
      <c r="DA16" s="6"/>
      <c r="DB16" s="6"/>
      <c r="DC16" s="6"/>
      <c r="DD16" s="6"/>
      <c r="DE16" s="6"/>
      <c r="DF16" s="6"/>
      <c r="DG16" s="6"/>
      <c r="DH16" s="6"/>
      <c r="DI16" s="6"/>
      <c r="DJ16" s="6"/>
      <c r="DK16" s="6"/>
      <c r="DL16" s="6"/>
      <c r="DM16" s="6"/>
      <c r="DN16" s="6"/>
      <c r="DO16" s="6"/>
      <c r="DP16" s="6"/>
      <c r="DQ16" s="6"/>
      <c r="DR16" s="6"/>
      <c r="DS16" s="6"/>
      <c r="DT16" s="6"/>
      <c r="DU16" s="6"/>
      <c r="DV16" s="6"/>
      <c r="DW16" s="6"/>
      <c r="DX16" s="6"/>
      <c r="DY16" s="6"/>
      <c r="DZ16" s="6"/>
      <c r="EA16" s="6"/>
      <c r="EB16" s="6"/>
      <c r="EC16" s="6"/>
      <c r="ED16" s="6"/>
      <c r="EE16" s="6"/>
      <c r="EF16" s="6"/>
      <c r="EG16" s="6"/>
      <c r="EH16" s="6"/>
      <c r="EI16" s="6"/>
      <c r="EJ16" s="6"/>
      <c r="EK16" s="6"/>
      <c r="EL16" s="6"/>
      <c r="EM16" s="6"/>
      <c r="EN16" s="6"/>
      <c r="EO16" s="6"/>
      <c r="EP16" s="6"/>
      <c r="EQ16" s="6"/>
      <c r="ER16" s="6"/>
      <c r="ES16" s="6"/>
      <c r="ET16" s="6"/>
      <c r="EU16" s="6"/>
      <c r="EV16" s="6"/>
      <c r="EW16" s="6"/>
      <c r="EX16" s="6"/>
      <c r="EY16" s="6"/>
      <c r="EZ16" s="6"/>
      <c r="FA16" s="6"/>
      <c r="FB16" s="6"/>
      <c r="FC16" s="6"/>
      <c r="FD16" s="6"/>
      <c r="FE16" s="6"/>
      <c r="FF16" s="6"/>
      <c r="FG16" s="6"/>
      <c r="FH16" s="6"/>
      <c r="FI16" s="6"/>
      <c r="FJ16" s="6"/>
      <c r="FK16" s="6"/>
      <c r="FL16" s="6"/>
      <c r="FM16" s="6"/>
      <c r="FN16" s="6"/>
      <c r="FO16" s="6"/>
      <c r="FP16" s="6"/>
      <c r="FQ16" s="6"/>
      <c r="FR16" s="6"/>
      <c r="FS16" s="6"/>
      <c r="FT16" s="6"/>
      <c r="FU16" s="6"/>
      <c r="FV16" s="6"/>
      <c r="FW16" s="6"/>
      <c r="FX16" s="6"/>
      <c r="FY16" s="6"/>
      <c r="FZ16" s="6"/>
      <c r="GA16" s="6"/>
      <c r="GB16" s="6"/>
      <c r="GC16" s="6"/>
      <c r="GD16" s="6"/>
      <c r="GE16" s="6"/>
      <c r="GF16" s="6"/>
      <c r="GG16" s="6"/>
      <c r="GH16" s="6"/>
      <c r="GI16" s="6"/>
      <c r="GJ16" s="6"/>
      <c r="GK16" s="6"/>
      <c r="GL16" s="6"/>
      <c r="GM16" s="6"/>
      <c r="GN16" s="6"/>
      <c r="GO16" s="6"/>
      <c r="GP16" s="6"/>
      <c r="GQ16" s="6"/>
      <c r="GR16" s="6"/>
      <c r="GS16" s="6"/>
    </row>
    <row r="17" spans="2:201" x14ac:dyDescent="0.15">
      <c r="B17" s="6">
        <v>14</v>
      </c>
      <c r="C17" s="6">
        <v>7.995634548261564E-2</v>
      </c>
      <c r="D17" s="6">
        <v>287.50348206735407</v>
      </c>
      <c r="E17" s="6">
        <v>0.34782187429845723</v>
      </c>
      <c r="F17" s="6">
        <v>201.37527074704784</v>
      </c>
      <c r="G17" s="6">
        <v>217.47650146655403</v>
      </c>
      <c r="H17" s="6">
        <v>0.37531109885139974</v>
      </c>
      <c r="I17" s="6">
        <v>50000</v>
      </c>
      <c r="J17" s="6">
        <v>1</v>
      </c>
      <c r="K17" s="6">
        <v>50000</v>
      </c>
      <c r="L17" s="6">
        <v>0</v>
      </c>
      <c r="M17" s="6">
        <v>198.46947185061546</v>
      </c>
      <c r="N17" s="6">
        <v>3.6220678612737327</v>
      </c>
      <c r="O17" s="6">
        <v>0.03</v>
      </c>
      <c r="P17" s="6">
        <v>1</v>
      </c>
      <c r="Q17" s="6">
        <v>15.219615556186355</v>
      </c>
      <c r="R17" s="6">
        <v>0.15219615556186361</v>
      </c>
      <c r="S17" s="6">
        <v>15.219615556186355</v>
      </c>
      <c r="T17" s="6">
        <v>0.15219615556186361</v>
      </c>
      <c r="U17" s="6">
        <v>0</v>
      </c>
      <c r="V17" s="6">
        <v>0</v>
      </c>
      <c r="W17" s="6">
        <v>1.4129024153844733E-2</v>
      </c>
      <c r="X17" s="6">
        <v>0.17059071733107797</v>
      </c>
      <c r="Y17" s="6">
        <v>1.4129024153844733E-2</v>
      </c>
      <c r="Z17" s="6">
        <v>8.5295358665538994E-3</v>
      </c>
      <c r="AA17" s="6">
        <v>23.307759465906994</v>
      </c>
      <c r="AB17" s="6">
        <v>1.375870096959239</v>
      </c>
      <c r="AC17" s="6">
        <v>1.1653879732953498</v>
      </c>
      <c r="AD17" s="6">
        <v>23.307759465906994</v>
      </c>
      <c r="AE17" s="6">
        <v>1.375870096959239</v>
      </c>
      <c r="AF17" s="6">
        <v>1.1653879732953498</v>
      </c>
      <c r="AG17" s="6" t="str">
        <v>#N/A</v>
      </c>
      <c r="AH17" s="6" t="str">
        <v>#N/A</v>
      </c>
      <c r="AI17" s="6">
        <v>265.41075006475904</v>
      </c>
      <c r="AJ17" s="6">
        <v>13.270537503237954</v>
      </c>
      <c r="AK17" s="6">
        <v>35.363269505832982</v>
      </c>
      <c r="AL17" s="6">
        <v>287.50348206735407</v>
      </c>
      <c r="AM17" s="6">
        <v>51.807981749221653</v>
      </c>
      <c r="AN17" s="6">
        <v>0</v>
      </c>
      <c r="AO17" s="6">
        <v>2.5903990874610829</v>
      </c>
      <c r="AP17" s="6">
        <v>49.217582661760574</v>
      </c>
      <c r="AQ17" s="6" t="str">
        <v>#N/A</v>
      </c>
      <c r="AR17" s="6" t="str">
        <v>#N/A</v>
      </c>
      <c r="AS17" s="6">
        <v>1.359402269128984</v>
      </c>
      <c r="AT17" s="6">
        <v>5.8702745427362464</v>
      </c>
      <c r="AU17" s="6">
        <v>0</v>
      </c>
      <c r="AV17" s="6">
        <v>1.813279361222758</v>
      </c>
      <c r="AW17" s="6">
        <v>1.813279361222758</v>
      </c>
      <c r="AX17" s="6">
        <v>0.45049873289086356</v>
      </c>
      <c r="AY17" s="6">
        <v>0.45049873289086356</v>
      </c>
      <c r="AZ17" s="6">
        <v>12.300118680840304</v>
      </c>
      <c r="BA17" s="6">
        <v>72.051038614953711</v>
      </c>
      <c r="BB17" s="6">
        <v>145.09297408692308</v>
      </c>
      <c r="BC17" s="6" t="str">
        <v>#N/A</v>
      </c>
      <c r="BD17" s="6" t="str">
        <v>#N/A</v>
      </c>
      <c r="BE17" s="6">
        <v>0</v>
      </c>
      <c r="BF17" s="6">
        <v>2.2637780941136216</v>
      </c>
      <c r="BG17" s="6">
        <v>0.84962104405751071</v>
      </c>
      <c r="BH17" s="6">
        <v>4.2333718850056981</v>
      </c>
      <c r="BI17" s="6">
        <v>231.70790947683071</v>
      </c>
      <c r="BJ17" s="6">
        <v>86.962550118309991</v>
      </c>
      <c r="BK17" s="6">
        <v>346.68952526434487</v>
      </c>
      <c r="BL17" s="6">
        <v>0</v>
      </c>
      <c r="BM17" s="6">
        <v>0</v>
      </c>
      <c r="BN17" s="6">
        <v>0.6131943551702338</v>
      </c>
      <c r="BO17" s="6">
        <v>57.198900217333403</v>
      </c>
      <c r="BP17" s="6">
        <v>0.6944256526548428</v>
      </c>
      <c r="BQ17" s="6">
        <v>60.587243503552784</v>
      </c>
      <c r="BR17" s="6">
        <v>2.8750348206735414</v>
      </c>
      <c r="BS17" s="6">
        <v>1.762955122954881</v>
      </c>
      <c r="BT17" s="6">
        <v>164.44882982906492</v>
      </c>
      <c r="BU17" s="6">
        <v>1.9964979317516229</v>
      </c>
      <c r="BV17" s="6">
        <v>174.19043476134107</v>
      </c>
      <c r="BW17" s="6">
        <v>602.03036443965198</v>
      </c>
      <c r="BX17" s="6">
        <v>638.16102648404933</v>
      </c>
      <c r="BY17" s="6">
        <v>624.29659761867356</v>
      </c>
      <c r="BZ17" s="6">
        <v>35.363269505832982</v>
      </c>
      <c r="CA17" s="6">
        <v>10.426482606248213</v>
      </c>
      <c r="CB17" s="6">
        <v>2.5903990874610829</v>
      </c>
      <c r="CC17" s="6">
        <v>0</v>
      </c>
      <c r="CD17" s="6">
        <v>672.67674881821574</v>
      </c>
      <c r="CE17" s="6">
        <v>-9.2222786174066371</v>
      </c>
      <c r="CF17" s="6">
        <v>-4.5057310554071828</v>
      </c>
      <c r="CG17" s="6">
        <v>0.50183838655810997</v>
      </c>
      <c r="CH17" s="6">
        <v>-8.6883537384045102</v>
      </c>
      <c r="CI17" s="6">
        <v>0.61226439668297894</v>
      </c>
      <c r="CJ17" s="6">
        <v>-4.0822321865299305</v>
      </c>
      <c r="CK17" s="6">
        <v>-65.390915873536528</v>
      </c>
      <c r="CL17" s="6">
        <v>-30.106161731113502</v>
      </c>
      <c r="CM17" s="6">
        <v>-56.1108552447402</v>
      </c>
      <c r="CN17" s="6">
        <v>-25.833595696017667</v>
      </c>
      <c r="CO17" s="6">
        <v>198.46947185061546</v>
      </c>
      <c r="CP17" s="6">
        <v>99.234735925307731</v>
      </c>
      <c r="CQ17" s="6">
        <v>34967.727478578046</v>
      </c>
      <c r="CR17" s="6">
        <v>17118.199272336202</v>
      </c>
      <c r="CS17" s="6">
        <v>12838.649454252149</v>
      </c>
      <c r="CT17" s="6">
        <v>2875.0348206735412</v>
      </c>
      <c r="CU17" s="6">
        <v>42795.498180840499</v>
      </c>
      <c r="CV17" s="6">
        <v>19257.974181378224</v>
      </c>
      <c r="CW17" s="6">
        <v>3737.5452668756038</v>
      </c>
      <c r="CX17" s="6">
        <v>-58.25256442889151</v>
      </c>
      <c r="CY17" s="6">
        <v>111.63300615650726</v>
      </c>
      <c r="CZ17" s="6"/>
      <c r="DA17" s="6"/>
      <c r="DB17" s="6"/>
      <c r="DC17" s="6"/>
      <c r="DD17" s="6"/>
      <c r="DE17" s="6"/>
      <c r="DF17" s="6"/>
      <c r="DG17" s="6"/>
      <c r="DH17" s="6"/>
      <c r="DI17" s="6"/>
      <c r="DJ17" s="6"/>
      <c r="DK17" s="6"/>
      <c r="DL17" s="6"/>
      <c r="DM17" s="6"/>
      <c r="DN17" s="6"/>
      <c r="DO17" s="6"/>
      <c r="DP17" s="6"/>
      <c r="DQ17" s="6"/>
      <c r="DR17" s="6"/>
      <c r="DS17" s="6"/>
      <c r="DT17" s="6"/>
      <c r="DU17" s="6"/>
      <c r="DV17" s="6"/>
      <c r="DW17" s="6"/>
      <c r="DX17" s="6"/>
      <c r="DY17" s="6"/>
      <c r="DZ17" s="6"/>
      <c r="EA17" s="6"/>
      <c r="EB17" s="6"/>
      <c r="EC17" s="6"/>
      <c r="ED17" s="6"/>
      <c r="EE17" s="6"/>
      <c r="EF17" s="6"/>
      <c r="EG17" s="6"/>
      <c r="EH17" s="6"/>
      <c r="EI17" s="6"/>
      <c r="EJ17" s="6"/>
      <c r="EK17" s="6"/>
      <c r="EL17" s="6"/>
      <c r="EM17" s="6"/>
      <c r="EN17" s="6"/>
      <c r="EO17" s="6"/>
      <c r="EP17" s="6"/>
      <c r="EQ17" s="6"/>
      <c r="ER17" s="6"/>
      <c r="ES17" s="6"/>
      <c r="ET17" s="6"/>
      <c r="EU17" s="6"/>
      <c r="EV17" s="6"/>
      <c r="EW17" s="6"/>
      <c r="EX17" s="6"/>
      <c r="EY17" s="6"/>
      <c r="EZ17" s="6"/>
      <c r="FA17" s="6"/>
      <c r="FB17" s="6"/>
      <c r="FC17" s="6"/>
      <c r="FD17" s="6"/>
      <c r="FE17" s="6"/>
      <c r="FF17" s="6"/>
      <c r="FG17" s="6"/>
      <c r="FH17" s="6"/>
      <c r="FI17" s="6"/>
      <c r="FJ17" s="6"/>
      <c r="FK17" s="6"/>
      <c r="FL17" s="6"/>
      <c r="FM17" s="6"/>
      <c r="FN17" s="6"/>
      <c r="FO17" s="6"/>
      <c r="FP17" s="6"/>
      <c r="FQ17" s="6"/>
      <c r="FR17" s="6"/>
      <c r="FS17" s="6"/>
      <c r="FT17" s="6"/>
      <c r="FU17" s="6"/>
      <c r="FV17" s="6"/>
      <c r="FW17" s="6"/>
      <c r="FX17" s="6"/>
      <c r="FY17" s="6"/>
      <c r="FZ17" s="6"/>
      <c r="GA17" s="6"/>
      <c r="GB17" s="6"/>
      <c r="GC17" s="6"/>
      <c r="GD17" s="6"/>
      <c r="GE17" s="6"/>
      <c r="GF17" s="6"/>
      <c r="GG17" s="6"/>
      <c r="GH17" s="6"/>
      <c r="GI17" s="6"/>
      <c r="GJ17" s="6"/>
      <c r="GK17" s="6"/>
      <c r="GL17" s="6"/>
      <c r="GM17" s="6"/>
      <c r="GN17" s="6"/>
      <c r="GO17" s="6"/>
      <c r="GP17" s="6"/>
      <c r="GQ17" s="6"/>
      <c r="GR17" s="6"/>
      <c r="GS17" s="6"/>
    </row>
    <row r="18" spans="2:201" x14ac:dyDescent="0.15">
      <c r="B18" s="6">
        <v>15</v>
      </c>
      <c r="C18" s="6">
        <v>7.997379966580051E-2</v>
      </c>
      <c r="D18" s="6">
        <v>311.44064407922951</v>
      </c>
      <c r="E18" s="6">
        <v>0.32108847031076743</v>
      </c>
      <c r="F18" s="6">
        <v>211.70000166126766</v>
      </c>
      <c r="G18" s="6">
        <v>228.63045518337552</v>
      </c>
      <c r="H18" s="6">
        <v>0.34993774911115555</v>
      </c>
      <c r="I18" s="6">
        <v>50000</v>
      </c>
      <c r="J18" s="6">
        <v>1</v>
      </c>
      <c r="K18" s="6">
        <v>50000</v>
      </c>
      <c r="L18" s="6">
        <v>0</v>
      </c>
      <c r="M18" s="6">
        <v>202.47882113640037</v>
      </c>
      <c r="N18" s="6">
        <v>3.6952384857393064</v>
      </c>
      <c r="O18" s="6">
        <v>0.03</v>
      </c>
      <c r="P18" s="6">
        <v>1</v>
      </c>
      <c r="Q18" s="6">
        <v>15.683121854901707</v>
      </c>
      <c r="R18" s="6">
        <v>0.15683121854901713</v>
      </c>
      <c r="S18" s="6">
        <v>15.683121854901707</v>
      </c>
      <c r="T18" s="6">
        <v>0.15683121854901713</v>
      </c>
      <c r="U18" s="6">
        <v>0</v>
      </c>
      <c r="V18" s="6">
        <v>0</v>
      </c>
      <c r="W18" s="6">
        <v>1.4129024153844733E-2</v>
      </c>
      <c r="X18" s="6">
        <v>0.15646169317723324</v>
      </c>
      <c r="Y18" s="6">
        <v>1.4129024153844733E-2</v>
      </c>
      <c r="Z18" s="6">
        <v>7.8230846588616624E-3</v>
      </c>
      <c r="AA18" s="6">
        <v>24.039256444875065</v>
      </c>
      <c r="AB18" s="6">
        <v>1.4955572184205104</v>
      </c>
      <c r="AC18" s="6">
        <v>1.2019628222437533</v>
      </c>
      <c r="AD18" s="6">
        <v>24.039256444875065</v>
      </c>
      <c r="AE18" s="6">
        <v>1.4955572184205104</v>
      </c>
      <c r="AF18" s="6">
        <v>1.2019628222437533</v>
      </c>
      <c r="AG18" s="6" t="str">
        <v>#N/A</v>
      </c>
      <c r="AH18" s="6" t="str">
        <v>#N/A</v>
      </c>
      <c r="AI18" s="6">
        <v>287.50348206735407</v>
      </c>
      <c r="AJ18" s="6">
        <v>14.375174103367705</v>
      </c>
      <c r="AK18" s="6">
        <v>38.312336115243149</v>
      </c>
      <c r="AL18" s="6">
        <v>311.44064407922951</v>
      </c>
      <c r="AM18" s="6">
        <v>49.217582661760574</v>
      </c>
      <c r="AN18" s="6">
        <v>0</v>
      </c>
      <c r="AO18" s="6">
        <v>2.4608791330880289</v>
      </c>
      <c r="AP18" s="6">
        <v>46.756703528672546</v>
      </c>
      <c r="AQ18" s="6" t="str">
        <v>#N/A</v>
      </c>
      <c r="AR18" s="6" t="str">
        <v>#N/A</v>
      </c>
      <c r="AS18" s="6">
        <v>1.2931034381285278</v>
      </c>
      <c r="AT18" s="6">
        <v>7.163377980864774</v>
      </c>
      <c r="AU18" s="6">
        <v>5.5788443809339432</v>
      </c>
      <c r="AV18" s="6">
        <v>1.7226153931616202</v>
      </c>
      <c r="AW18" s="6">
        <v>1.7226153931616202</v>
      </c>
      <c r="AX18" s="6">
        <v>0.3950799582314613</v>
      </c>
      <c r="AY18" s="6">
        <v>0.3950799582314613</v>
      </c>
      <c r="AZ18" s="6">
        <v>12.301649397275392</v>
      </c>
      <c r="BA18" s="6">
        <v>75.428354282501715</v>
      </c>
      <c r="BB18" s="6">
        <v>159.68182726912303</v>
      </c>
      <c r="BC18" s="6" t="str">
        <v>#N/A</v>
      </c>
      <c r="BD18" s="6" t="str">
        <v>#N/A</v>
      </c>
      <c r="BE18" s="6">
        <v>0</v>
      </c>
      <c r="BF18" s="6">
        <v>2.1176953513930816</v>
      </c>
      <c r="BG18" s="6">
        <v>0.74106154456965256</v>
      </c>
      <c r="BH18" s="6">
        <v>4.9744334295753507</v>
      </c>
      <c r="BI18" s="6">
        <v>249.52952630029324</v>
      </c>
      <c r="BJ18" s="6">
        <v>87.319800770297505</v>
      </c>
      <c r="BK18" s="6">
        <v>434.00932603464236</v>
      </c>
      <c r="BL18" s="6">
        <v>2.5190335049378554</v>
      </c>
      <c r="BM18" s="6">
        <v>445.1454114665205</v>
      </c>
      <c r="BN18" s="6">
        <v>0.6131943551702338</v>
      </c>
      <c r="BO18" s="6">
        <v>57.198900217333403</v>
      </c>
      <c r="BP18" s="6">
        <v>0.6944256526548428</v>
      </c>
      <c r="BQ18" s="6">
        <v>60.587243503552784</v>
      </c>
      <c r="BR18" s="6">
        <v>3.1144064407922962</v>
      </c>
      <c r="BS18" s="6">
        <v>1.9097364491996549</v>
      </c>
      <c r="BT18" s="6">
        <v>178.14062324309901</v>
      </c>
      <c r="BU18" s="6">
        <v>2.1627237252796365</v>
      </c>
      <c r="BV18" s="6">
        <v>188.69330139731599</v>
      </c>
      <c r="BW18" s="6">
        <v>665.32901850618714</v>
      </c>
      <c r="BX18" s="6">
        <v>705.25852926824336</v>
      </c>
      <c r="BY18" s="6">
        <v>732.22866372022622</v>
      </c>
      <c r="BZ18" s="6">
        <v>38.312336115243149</v>
      </c>
      <c r="CA18" s="6">
        <v>10.729848950941006</v>
      </c>
      <c r="CB18" s="6">
        <v>2.4608791330880289</v>
      </c>
      <c r="CC18" s="6">
        <v>0</v>
      </c>
      <c r="CD18" s="6">
        <v>783.73172791949844</v>
      </c>
      <c r="CE18" s="6">
        <v>-13.303844057751116</v>
      </c>
      <c r="CF18" s="6">
        <v>-8.8173252347201156</v>
      </c>
      <c r="CG18" s="6">
        <v>0.48982774283598846</v>
      </c>
      <c r="CH18" s="6">
        <v>-12.91774068359908</v>
      </c>
      <c r="CI18" s="6">
        <v>0.59486821289697767</v>
      </c>
      <c r="CJ18" s="6">
        <v>-8.5362623306290804</v>
      </c>
      <c r="CK18" s="6">
        <v>-113.76447017240434</v>
      </c>
      <c r="CL18" s="6">
        <v>-74.769807729321315</v>
      </c>
      <c r="CM18" s="6">
        <v>-94.648909323198154</v>
      </c>
      <c r="CN18" s="6">
        <v>-62.206422982156347</v>
      </c>
      <c r="CO18" s="6">
        <v>202.47882113640037</v>
      </c>
      <c r="CP18" s="6">
        <v>101.23941056820019</v>
      </c>
      <c r="CQ18" s="6">
        <v>38644.302973602375</v>
      </c>
      <c r="CR18" s="6">
        <v>18918.0403401371</v>
      </c>
      <c r="CS18" s="6">
        <v>14188.530255102824</v>
      </c>
      <c r="CT18" s="6">
        <v>3114.4064407922961</v>
      </c>
      <c r="CU18" s="6">
        <v>47295.100850342744</v>
      </c>
      <c r="CV18" s="6">
        <v>21282.795382654236</v>
      </c>
      <c r="CW18" s="6">
        <v>4048.7283730299851</v>
      </c>
      <c r="CX18" s="6">
        <v>-55.4115533373852</v>
      </c>
      <c r="CY18" s="6">
        <v>111.63300615650726</v>
      </c>
      <c r="CZ18" s="6"/>
      <c r="DA18" s="6"/>
      <c r="DB18" s="6"/>
      <c r="DC18" s="6"/>
      <c r="DD18" s="6"/>
      <c r="DE18" s="6"/>
      <c r="DF18" s="6"/>
      <c r="DG18" s="6"/>
      <c r="DH18" s="6"/>
      <c r="DI18" s="6"/>
      <c r="DJ18" s="6"/>
      <c r="DK18" s="6"/>
      <c r="DL18" s="6"/>
      <c r="DM18" s="6"/>
      <c r="DN18" s="6"/>
      <c r="DO18" s="6"/>
      <c r="DP18" s="6"/>
      <c r="DQ18" s="6"/>
      <c r="DR18" s="6"/>
      <c r="DS18" s="6"/>
      <c r="DT18" s="6"/>
      <c r="DU18" s="6"/>
      <c r="DV18" s="6"/>
      <c r="DW18" s="6"/>
      <c r="DX18" s="6"/>
      <c r="DY18" s="6"/>
      <c r="DZ18" s="6"/>
      <c r="EA18" s="6"/>
      <c r="EB18" s="6"/>
      <c r="EC18" s="6"/>
      <c r="ED18" s="6"/>
      <c r="EE18" s="6"/>
      <c r="EF18" s="6"/>
      <c r="EG18" s="6"/>
      <c r="EH18" s="6"/>
      <c r="EI18" s="6"/>
      <c r="EJ18" s="6"/>
      <c r="EK18" s="6"/>
      <c r="EL18" s="6"/>
      <c r="EM18" s="6"/>
      <c r="EN18" s="6"/>
      <c r="EO18" s="6"/>
      <c r="EP18" s="6"/>
      <c r="EQ18" s="6"/>
      <c r="ER18" s="6"/>
      <c r="ES18" s="6"/>
      <c r="ET18" s="6"/>
      <c r="EU18" s="6"/>
      <c r="EV18" s="6"/>
      <c r="EW18" s="6"/>
      <c r="EX18" s="6"/>
      <c r="EY18" s="6"/>
      <c r="EZ18" s="6"/>
      <c r="FA18" s="6"/>
      <c r="FB18" s="6"/>
      <c r="FC18" s="6"/>
      <c r="FD18" s="6"/>
      <c r="FE18" s="6"/>
      <c r="FF18" s="6"/>
      <c r="FG18" s="6"/>
      <c r="FH18" s="6"/>
      <c r="FI18" s="6"/>
      <c r="FJ18" s="6"/>
      <c r="FK18" s="6"/>
      <c r="FL18" s="6"/>
      <c r="FM18" s="6"/>
      <c r="FN18" s="6"/>
      <c r="FO18" s="6"/>
      <c r="FP18" s="6"/>
      <c r="FQ18" s="6"/>
      <c r="FR18" s="6"/>
      <c r="FS18" s="6"/>
      <c r="FT18" s="6"/>
      <c r="FU18" s="6"/>
      <c r="FV18" s="6"/>
      <c r="FW18" s="6"/>
      <c r="FX18" s="6"/>
      <c r="FY18" s="6"/>
      <c r="FZ18" s="6"/>
      <c r="GA18" s="6"/>
      <c r="GB18" s="6"/>
      <c r="GC18" s="6"/>
      <c r="GD18" s="6"/>
      <c r="GE18" s="6"/>
      <c r="GF18" s="6"/>
      <c r="GG18" s="6"/>
      <c r="GH18" s="6"/>
      <c r="GI18" s="6"/>
      <c r="GJ18" s="6"/>
      <c r="GK18" s="6"/>
      <c r="GL18" s="6"/>
      <c r="GM18" s="6"/>
      <c r="GN18" s="6"/>
      <c r="GO18" s="6"/>
      <c r="GP18" s="6"/>
      <c r="GQ18" s="6"/>
      <c r="GR18" s="6"/>
      <c r="GS18" s="6"/>
    </row>
    <row r="19" spans="2:201" x14ac:dyDescent="0.15">
      <c r="B19" s="6">
        <v>16</v>
      </c>
      <c r="C19" s="6">
        <v>7.9984277053455413E-2</v>
      </c>
      <c r="D19" s="6">
        <v>337.37431751932758</v>
      </c>
      <c r="E19" s="6">
        <v>0.29640667592983316</v>
      </c>
      <c r="F19" s="6">
        <v>222.55409284924698</v>
      </c>
      <c r="G19" s="6">
        <v>240.35492107108158</v>
      </c>
      <c r="H19" s="6">
        <v>0.32627979462303969</v>
      </c>
      <c r="I19" s="6">
        <v>50000</v>
      </c>
      <c r="J19" s="6">
        <v>1</v>
      </c>
      <c r="K19" s="6">
        <v>50000</v>
      </c>
      <c r="L19" s="6">
        <v>0</v>
      </c>
      <c r="M19" s="6">
        <v>206.56916465039345</v>
      </c>
      <c r="N19" s="6">
        <v>3.7698872548696807</v>
      </c>
      <c r="O19" s="6">
        <v>0.03</v>
      </c>
      <c r="P19" s="6">
        <v>1</v>
      </c>
      <c r="Q19" s="6">
        <v>16.160744021928956</v>
      </c>
      <c r="R19" s="6">
        <v>0.16160744021928961</v>
      </c>
      <c r="S19" s="6">
        <v>16.160744021928956</v>
      </c>
      <c r="T19" s="6">
        <v>0.16160744021928961</v>
      </c>
      <c r="U19" s="6">
        <v>0</v>
      </c>
      <c r="V19" s="6">
        <v>0</v>
      </c>
      <c r="W19" s="6">
        <v>1.4129024153844733E-2</v>
      </c>
      <c r="X19" s="6">
        <v>0.14233266902338851</v>
      </c>
      <c r="Y19" s="6">
        <v>1.4129024153844733E-2</v>
      </c>
      <c r="Z19" s="6">
        <v>7.1166334511694254E-3</v>
      </c>
      <c r="AA19" s="6">
        <v>23.699539402166209</v>
      </c>
      <c r="AB19" s="6">
        <v>1.5722360767020069</v>
      </c>
      <c r="AC19" s="6">
        <v>1.1849769701083104</v>
      </c>
      <c r="AD19" s="6">
        <v>23.699539402166209</v>
      </c>
      <c r="AE19" s="6">
        <v>1.5722360767020069</v>
      </c>
      <c r="AF19" s="6">
        <v>1.1849769701083104</v>
      </c>
      <c r="AG19" s="6" t="str">
        <v>#N/A</v>
      </c>
      <c r="AH19" s="6" t="str">
        <v>#N/A</v>
      </c>
      <c r="AI19" s="6">
        <v>311.44064407922951</v>
      </c>
      <c r="AJ19" s="6">
        <v>15.572032203961477</v>
      </c>
      <c r="AK19" s="6">
        <v>41.505705644059539</v>
      </c>
      <c r="AL19" s="6">
        <v>337.37431751932758</v>
      </c>
      <c r="AM19" s="6">
        <v>46.756703528672546</v>
      </c>
      <c r="AN19" s="6">
        <v>0</v>
      </c>
      <c r="AO19" s="6">
        <v>2.3378351764336274</v>
      </c>
      <c r="AP19" s="6">
        <v>44.418868352238917</v>
      </c>
      <c r="AQ19" s="6" t="str">
        <v>#N/A</v>
      </c>
      <c r="AR19" s="6" t="str">
        <v>#N/A</v>
      </c>
      <c r="AS19" s="6">
        <v>1.2300380392708943</v>
      </c>
      <c r="AT19" s="6">
        <v>1.2300380392708943</v>
      </c>
      <c r="AU19" s="6">
        <v>0</v>
      </c>
      <c r="AV19" s="6">
        <v>1.6364846235035393</v>
      </c>
      <c r="AW19" s="6">
        <v>1.6364846235035393</v>
      </c>
      <c r="AX19" s="6">
        <v>0.34647497675926325</v>
      </c>
      <c r="AY19" s="6">
        <v>0.34647497675926325</v>
      </c>
      <c r="AZ19" s="6">
        <v>12.302568242077802</v>
      </c>
      <c r="BA19" s="6">
        <v>78.969180019332413</v>
      </c>
      <c r="BB19" s="6">
        <v>175.74914222251411</v>
      </c>
      <c r="BC19" s="6" t="str">
        <v>#N/A</v>
      </c>
      <c r="BD19" s="6" t="str">
        <v>#N/A</v>
      </c>
      <c r="BE19" s="6">
        <v>0</v>
      </c>
      <c r="BF19" s="6">
        <v>1.9829596002628025</v>
      </c>
      <c r="BG19" s="6">
        <v>0.64699965111953206</v>
      </c>
      <c r="BH19" s="6">
        <v>0.64699965111953206</v>
      </c>
      <c r="BI19" s="6">
        <v>269.00385008418709</v>
      </c>
      <c r="BJ19" s="6">
        <v>87.770520958275526</v>
      </c>
      <c r="BK19" s="6">
        <v>87.770520958275526</v>
      </c>
      <c r="BL19" s="6">
        <v>0</v>
      </c>
      <c r="BM19" s="6">
        <v>0</v>
      </c>
      <c r="BN19" s="6">
        <v>0.6131943551702338</v>
      </c>
      <c r="BO19" s="6">
        <v>57.198900217333403</v>
      </c>
      <c r="BP19" s="6">
        <v>0.45153320883923798</v>
      </c>
      <c r="BQ19" s="6">
        <v>79.791688219128929</v>
      </c>
      <c r="BR19" s="6">
        <v>3.3737431751932769</v>
      </c>
      <c r="BS19" s="6">
        <v>2.0687602708226187</v>
      </c>
      <c r="BT19" s="6">
        <v>192.97439923678982</v>
      </c>
      <c r="BU19" s="6">
        <v>1.5233570816944997</v>
      </c>
      <c r="BV19" s="6">
        <v>269.19666356643603</v>
      </c>
      <c r="BW19" s="6">
        <v>735.2907211772623</v>
      </c>
      <c r="BX19" s="6">
        <v>1020.5839554794441</v>
      </c>
      <c r="BY19" s="6">
        <v>859.35420126011161</v>
      </c>
      <c r="BZ19" s="6">
        <v>41.505705644059539</v>
      </c>
      <c r="CA19" s="6">
        <v>11.042157659707611</v>
      </c>
      <c r="CB19" s="6">
        <v>2.3378351764336274</v>
      </c>
      <c r="CC19" s="6">
        <v>0</v>
      </c>
      <c r="CD19" s="6">
        <v>914.23989974031235</v>
      </c>
      <c r="CE19" s="6">
        <v>-17.306445155289179</v>
      </c>
      <c r="CF19" s="6">
        <v>10.28469414064311</v>
      </c>
      <c r="CG19" s="6">
        <v>0.48759814697652587</v>
      </c>
      <c r="CH19" s="6">
        <v>-17.033352470724736</v>
      </c>
      <c r="CI19" s="6">
        <v>0.28874878751726252</v>
      </c>
      <c r="CJ19" s="6">
        <v>10.756636184666814</v>
      </c>
      <c r="CK19" s="6">
        <v>-174.94041478196573</v>
      </c>
      <c r="CL19" s="6">
        <v>112.40892805167539</v>
      </c>
      <c r="CM19" s="6">
        <v>-147.63191116362006</v>
      </c>
      <c r="CN19" s="6">
        <v>94.861698486343485</v>
      </c>
      <c r="CO19" s="6">
        <v>206.56916465039345</v>
      </c>
      <c r="CP19" s="6">
        <v>103.28458232519672</v>
      </c>
      <c r="CQ19" s="6">
        <v>55922.408519421588</v>
      </c>
      <c r="CR19" s="6">
        <v>20907.339283339235</v>
      </c>
      <c r="CS19" s="6">
        <v>15680.504462504428</v>
      </c>
      <c r="CT19" s="6">
        <v>3373.7431751932768</v>
      </c>
      <c r="CU19" s="6">
        <v>52268.348208348092</v>
      </c>
      <c r="CV19" s="6">
        <v>23520.756693756641</v>
      </c>
      <c r="CW19" s="6">
        <v>4385.8661277512601</v>
      </c>
      <c r="CX19" s="6">
        <v>-84.659004893029248</v>
      </c>
      <c r="CY19" s="6">
        <v>111.63300615650726</v>
      </c>
      <c r="CZ19" s="6"/>
      <c r="DA19" s="6"/>
      <c r="DB19" s="6"/>
      <c r="DC19" s="6"/>
      <c r="DD19" s="6"/>
      <c r="DE19" s="6"/>
      <c r="DF19" s="6"/>
      <c r="DG19" s="6"/>
      <c r="DH19" s="6"/>
      <c r="DI19" s="6"/>
      <c r="DJ19" s="6"/>
      <c r="DK19" s="6"/>
      <c r="DL19" s="6"/>
      <c r="DM19" s="6"/>
      <c r="DN19" s="6"/>
      <c r="DO19" s="6"/>
      <c r="DP19" s="6"/>
      <c r="DQ19" s="6"/>
      <c r="DR19" s="6"/>
      <c r="DS19" s="6"/>
      <c r="DT19" s="6"/>
      <c r="DU19" s="6"/>
      <c r="DV19" s="6"/>
      <c r="DW19" s="6"/>
      <c r="DX19" s="6"/>
      <c r="DY19" s="6"/>
      <c r="DZ19" s="6"/>
      <c r="EA19" s="6"/>
      <c r="EB19" s="6"/>
      <c r="EC19" s="6"/>
      <c r="ED19" s="6"/>
      <c r="EE19" s="6"/>
      <c r="EF19" s="6"/>
      <c r="EG19" s="6"/>
      <c r="EH19" s="6"/>
      <c r="EI19" s="6"/>
      <c r="EJ19" s="6"/>
      <c r="EK19" s="6"/>
      <c r="EL19" s="6"/>
      <c r="EM19" s="6"/>
      <c r="EN19" s="6"/>
      <c r="EO19" s="6"/>
      <c r="EP19" s="6"/>
      <c r="EQ19" s="6"/>
      <c r="ER19" s="6"/>
      <c r="ES19" s="6"/>
      <c r="ET19" s="6"/>
      <c r="EU19" s="6"/>
      <c r="EV19" s="6"/>
      <c r="EW19" s="6"/>
      <c r="EX19" s="6"/>
      <c r="EY19" s="6"/>
      <c r="EZ19" s="6"/>
      <c r="FA19" s="6"/>
      <c r="FB19" s="6"/>
      <c r="FC19" s="6"/>
      <c r="FD19" s="6"/>
      <c r="FE19" s="6"/>
      <c r="FF19" s="6"/>
      <c r="FG19" s="6"/>
      <c r="FH19" s="6"/>
      <c r="FI19" s="6"/>
      <c r="FJ19" s="6"/>
      <c r="FK19" s="6"/>
      <c r="FL19" s="6"/>
      <c r="FM19" s="6"/>
      <c r="FN19" s="6"/>
      <c r="FO19" s="6"/>
      <c r="FP19" s="6"/>
      <c r="FQ19" s="6"/>
      <c r="FR19" s="6"/>
      <c r="FS19" s="6"/>
      <c r="FT19" s="6"/>
      <c r="FU19" s="6"/>
      <c r="FV19" s="6"/>
      <c r="FW19" s="6"/>
      <c r="FX19" s="6"/>
      <c r="FY19" s="6"/>
      <c r="FZ19" s="6"/>
      <c r="GA19" s="6"/>
      <c r="GB19" s="6"/>
      <c r="GC19" s="6"/>
      <c r="GD19" s="6"/>
      <c r="GE19" s="6"/>
      <c r="GF19" s="6"/>
      <c r="GG19" s="6"/>
      <c r="GH19" s="6"/>
      <c r="GI19" s="6"/>
      <c r="GJ19" s="6"/>
      <c r="GK19" s="6"/>
      <c r="GL19" s="6"/>
      <c r="GM19" s="6"/>
      <c r="GN19" s="6"/>
      <c r="GO19" s="6"/>
      <c r="GP19" s="6"/>
      <c r="GQ19" s="6"/>
      <c r="GR19" s="6"/>
      <c r="GS19" s="6"/>
    </row>
    <row r="20" spans="2:201" x14ac:dyDescent="0.15">
      <c r="B20" s="6">
        <v>17</v>
      </c>
      <c r="C20" s="6">
        <v>7.9990565243186942E-2</v>
      </c>
      <c r="D20" s="6">
        <v>365.46978699952382</v>
      </c>
      <c r="E20" s="6">
        <v>0.27362042925898628</v>
      </c>
      <c r="F20" s="6">
        <v>233.96468519259935</v>
      </c>
      <c r="G20" s="6">
        <v>252.67965260809964</v>
      </c>
      <c r="H20" s="6">
        <v>0.30422126406670424</v>
      </c>
      <c r="I20" s="6">
        <v>50000</v>
      </c>
      <c r="J20" s="6">
        <v>1</v>
      </c>
      <c r="K20" s="6">
        <v>50000</v>
      </c>
      <c r="L20" s="6">
        <v>0</v>
      </c>
      <c r="M20" s="6">
        <v>210.74213858453894</v>
      </c>
      <c r="N20" s="6">
        <v>3.8460440291678353</v>
      </c>
      <c r="O20" s="6">
        <v>0.03</v>
      </c>
      <c r="P20" s="6">
        <v>1</v>
      </c>
      <c r="Q20" s="6">
        <v>16.652911949458886</v>
      </c>
      <c r="R20" s="6">
        <v>0.16652911949458893</v>
      </c>
      <c r="S20" s="6">
        <v>16.652911949458886</v>
      </c>
      <c r="T20" s="6">
        <v>0.16652911949458893</v>
      </c>
      <c r="U20" s="6">
        <v>0</v>
      </c>
      <c r="V20" s="6">
        <v>0</v>
      </c>
      <c r="W20" s="6">
        <v>1.4129024153844733E-2</v>
      </c>
      <c r="X20" s="6">
        <v>0.12820364486954378</v>
      </c>
      <c r="Y20" s="6">
        <v>1.4129024153844733E-2</v>
      </c>
      <c r="Z20" s="6">
        <v>6.4101822434771893E-3</v>
      </c>
      <c r="AA20" s="6">
        <v>23.261794426805594</v>
      </c>
      <c r="AB20" s="6">
        <v>1.6528463441164576</v>
      </c>
      <c r="AC20" s="6">
        <v>1.16308972134028</v>
      </c>
      <c r="AD20" s="6">
        <v>23.261794426805594</v>
      </c>
      <c r="AE20" s="6">
        <v>1.6528463441164576</v>
      </c>
      <c r="AF20" s="6">
        <v>1.16308972134028</v>
      </c>
      <c r="AG20" s="6" t="str">
        <v>#N/A</v>
      </c>
      <c r="AH20" s="6" t="str">
        <v>#N/A</v>
      </c>
      <c r="AI20" s="6">
        <v>337.37431751932758</v>
      </c>
      <c r="AJ20" s="6">
        <v>16.86871587596638</v>
      </c>
      <c r="AK20" s="6">
        <v>44.964185356162623</v>
      </c>
      <c r="AL20" s="6">
        <v>365.46978699952382</v>
      </c>
      <c r="AM20" s="6">
        <v>44.418868352238917</v>
      </c>
      <c r="AN20" s="6">
        <v>0</v>
      </c>
      <c r="AO20" s="6">
        <v>2.220943417611946</v>
      </c>
      <c r="AP20" s="6">
        <v>42.197924934626968</v>
      </c>
      <c r="AQ20" s="6" t="str">
        <v>#N/A</v>
      </c>
      <c r="AR20" s="6" t="str">
        <v>#N/A</v>
      </c>
      <c r="AS20" s="6">
        <v>1.1700483762096392</v>
      </c>
      <c r="AT20" s="6">
        <v>2.4000864154805335</v>
      </c>
      <c r="AU20" s="6">
        <v>0</v>
      </c>
      <c r="AV20" s="6">
        <v>1.5546603923283622</v>
      </c>
      <c r="AW20" s="6">
        <v>1.5546603923283622</v>
      </c>
      <c r="AX20" s="6">
        <v>0.30384774564345035</v>
      </c>
      <c r="AY20" s="6">
        <v>0.30384774564345035</v>
      </c>
      <c r="AZ20" s="6">
        <v>12.303119698433841</v>
      </c>
      <c r="BA20" s="6">
        <v>82.681605322112546</v>
      </c>
      <c r="BB20" s="6">
        <v>193.44575760406815</v>
      </c>
      <c r="BC20" s="6" t="str">
        <v>#N/A</v>
      </c>
      <c r="BD20" s="6" t="str">
        <v>#N/A</v>
      </c>
      <c r="BE20" s="6">
        <v>0</v>
      </c>
      <c r="BF20" s="6">
        <v>1.8585081379718125</v>
      </c>
      <c r="BG20" s="6">
        <v>0.56539769501204151</v>
      </c>
      <c r="BH20" s="6">
        <v>1.2123973461315736</v>
      </c>
      <c r="BI20" s="6">
        <v>290.28899076258637</v>
      </c>
      <c r="BJ20" s="6">
        <v>88.312083714441854</v>
      </c>
      <c r="BK20" s="6">
        <v>176.08260467271737</v>
      </c>
      <c r="BL20" s="6">
        <v>0</v>
      </c>
      <c r="BM20" s="6">
        <v>0</v>
      </c>
      <c r="BN20" s="6">
        <v>0.6131943551702338</v>
      </c>
      <c r="BO20" s="6">
        <v>57.198900217333403</v>
      </c>
      <c r="BP20" s="6">
        <v>0.45153320883923798</v>
      </c>
      <c r="BQ20" s="6">
        <v>79.791688219128929</v>
      </c>
      <c r="BR20" s="6">
        <v>3.6546978699952386</v>
      </c>
      <c r="BS20" s="6">
        <v>2.2410401037337571</v>
      </c>
      <c r="BT20" s="6">
        <v>209.04469879035858</v>
      </c>
      <c r="BU20" s="6">
        <v>1.6502174565768783</v>
      </c>
      <c r="BV20" s="6">
        <v>291.61451297777467</v>
      </c>
      <c r="BW20" s="6">
        <v>812.61425452193805</v>
      </c>
      <c r="BX20" s="6">
        <v>1127.9090654525523</v>
      </c>
      <c r="BY20" s="6">
        <v>1009.1620851337148</v>
      </c>
      <c r="BZ20" s="6">
        <v>44.964185356162623</v>
      </c>
      <c r="CA20" s="6">
        <v>11.363628048816855</v>
      </c>
      <c r="CB20" s="6">
        <v>2.220943417611946</v>
      </c>
      <c r="CC20" s="6">
        <v>0</v>
      </c>
      <c r="CD20" s="6">
        <v>1067.7108419563065</v>
      </c>
      <c r="CE20" s="6">
        <v>-21.234534029617944</v>
      </c>
      <c r="CF20" s="6">
        <v>5.0109695241707506</v>
      </c>
      <c r="CG20" s="6">
        <v>0.48306529508891893</v>
      </c>
      <c r="CH20" s="6">
        <v>-21.055607463640612</v>
      </c>
      <c r="CI20" s="6">
        <v>0.29391393332814847</v>
      </c>
      <c r="CJ20" s="6">
        <v>5.3790474519088489</v>
      </c>
      <c r="CK20" s="6">
        <v>-251.78400122214657</v>
      </c>
      <c r="CL20" s="6">
        <v>65.783139622862564</v>
      </c>
      <c r="CM20" s="6">
        <v>-216.47857134529971</v>
      </c>
      <c r="CN20" s="6">
        <v>56.558955354757778</v>
      </c>
      <c r="CO20" s="6">
        <v>210.74213858453894</v>
      </c>
      <c r="CP20" s="6">
        <v>105.37106929226947</v>
      </c>
      <c r="CQ20" s="6">
        <v>61803.23646315356</v>
      </c>
      <c r="CR20" s="6">
        <v>23105.965350094673</v>
      </c>
      <c r="CS20" s="6">
        <v>17329.474012571005</v>
      </c>
      <c r="CT20" s="6">
        <v>3654.6978699952388</v>
      </c>
      <c r="CU20" s="6">
        <v>57764.913375236691</v>
      </c>
      <c r="CV20" s="6">
        <v>25994.211018856509</v>
      </c>
      <c r="CW20" s="6">
        <v>4751.1072309938099</v>
      </c>
      <c r="CX20" s="6">
        <v>-80.530136503199316</v>
      </c>
      <c r="CY20" s="6">
        <v>111.63300615650726</v>
      </c>
      <c r="CZ20" s="6"/>
      <c r="DA20" s="6"/>
      <c r="DB20" s="6"/>
      <c r="DC20" s="6"/>
      <c r="DD20" s="6"/>
      <c r="DE20" s="6"/>
      <c r="DF20" s="6"/>
      <c r="DG20" s="6"/>
      <c r="DH20" s="6"/>
      <c r="DI20" s="6"/>
      <c r="DJ20" s="6"/>
      <c r="DK20" s="6"/>
      <c r="DL20" s="6"/>
      <c r="DM20" s="6"/>
      <c r="DN20" s="6"/>
      <c r="DO20" s="6"/>
      <c r="DP20" s="6"/>
      <c r="DQ20" s="6"/>
      <c r="DR20" s="6"/>
      <c r="DS20" s="6"/>
      <c r="DT20" s="6"/>
      <c r="DU20" s="6"/>
      <c r="DV20" s="6"/>
      <c r="DW20" s="6"/>
      <c r="DX20" s="6"/>
      <c r="DY20" s="6"/>
      <c r="DZ20" s="6"/>
      <c r="EA20" s="6"/>
      <c r="EB20" s="6"/>
      <c r="EC20" s="6"/>
      <c r="ED20" s="6"/>
      <c r="EE20" s="6"/>
      <c r="EF20" s="6"/>
      <c r="EG20" s="6"/>
      <c r="EH20" s="6"/>
      <c r="EI20" s="6"/>
      <c r="EJ20" s="6"/>
      <c r="EK20" s="6"/>
      <c r="EL20" s="6"/>
      <c r="EM20" s="6"/>
      <c r="EN20" s="6"/>
      <c r="EO20" s="6"/>
      <c r="EP20" s="6"/>
      <c r="EQ20" s="6"/>
      <c r="ER20" s="6"/>
      <c r="ES20" s="6"/>
      <c r="ET20" s="6"/>
      <c r="EU20" s="6"/>
      <c r="EV20" s="6"/>
      <c r="EW20" s="6"/>
      <c r="EX20" s="6"/>
      <c r="EY20" s="6"/>
      <c r="EZ20" s="6"/>
      <c r="FA20" s="6"/>
      <c r="FB20" s="6"/>
      <c r="FC20" s="6"/>
      <c r="FD20" s="6"/>
      <c r="FE20" s="6"/>
      <c r="FF20" s="6"/>
      <c r="FG20" s="6"/>
      <c r="FH20" s="6"/>
      <c r="FI20" s="6"/>
      <c r="FJ20" s="6"/>
      <c r="FK20" s="6"/>
      <c r="FL20" s="6"/>
      <c r="FM20" s="6"/>
      <c r="FN20" s="6"/>
      <c r="FO20" s="6"/>
      <c r="FP20" s="6"/>
      <c r="FQ20" s="6"/>
      <c r="FR20" s="6"/>
      <c r="FS20" s="6"/>
      <c r="FT20" s="6"/>
      <c r="FU20" s="6"/>
      <c r="FV20" s="6"/>
      <c r="FW20" s="6"/>
      <c r="FX20" s="6"/>
      <c r="FY20" s="6"/>
      <c r="FZ20" s="6"/>
      <c r="GA20" s="6"/>
      <c r="GB20" s="6"/>
      <c r="GC20" s="6"/>
      <c r="GD20" s="6"/>
      <c r="GE20" s="6"/>
      <c r="GF20" s="6"/>
      <c r="GG20" s="6"/>
      <c r="GH20" s="6"/>
      <c r="GI20" s="6"/>
      <c r="GJ20" s="6"/>
      <c r="GK20" s="6"/>
      <c r="GL20" s="6"/>
      <c r="GM20" s="6"/>
      <c r="GN20" s="6"/>
      <c r="GO20" s="6"/>
      <c r="GP20" s="6"/>
      <c r="GQ20" s="6"/>
      <c r="GR20" s="6"/>
      <c r="GS20" s="6"/>
    </row>
    <row r="21" spans="2:201" x14ac:dyDescent="0.15">
      <c r="B21" s="6">
        <v>18</v>
      </c>
      <c r="C21" s="6">
        <v>7.9994338789844521E-2</v>
      </c>
      <c r="D21" s="6">
        <v>395.9064525665317</v>
      </c>
      <c r="E21" s="6">
        <v>0.25258492088657003</v>
      </c>
      <c r="F21" s="6">
        <v>245.96031111569525</v>
      </c>
      <c r="G21" s="6">
        <v>265.63574357193971</v>
      </c>
      <c r="H21" s="6">
        <v>0.28365402649977056</v>
      </c>
      <c r="I21" s="6">
        <v>50000</v>
      </c>
      <c r="J21" s="6">
        <v>1</v>
      </c>
      <c r="K21" s="6">
        <v>50000</v>
      </c>
      <c r="L21" s="6">
        <v>0</v>
      </c>
      <c r="M21" s="6">
        <v>214.9994121840509</v>
      </c>
      <c r="N21" s="6">
        <v>3.9237392723589291</v>
      </c>
      <c r="O21" s="6">
        <v>0.03</v>
      </c>
      <c r="P21" s="6">
        <v>1</v>
      </c>
      <c r="Q21" s="6">
        <v>17.160068621848609</v>
      </c>
      <c r="R21" s="6">
        <v>0.17160068621848618</v>
      </c>
      <c r="S21" s="6">
        <v>17.160068621848609</v>
      </c>
      <c r="T21" s="6">
        <v>0.17160068621848618</v>
      </c>
      <c r="U21" s="6">
        <v>0</v>
      </c>
      <c r="V21" s="6">
        <v>0</v>
      </c>
      <c r="W21" s="6">
        <v>1.4129024153844733E-2</v>
      </c>
      <c r="X21" s="6">
        <v>0.11407462071569904</v>
      </c>
      <c r="Y21" s="6">
        <v>1.4129024153844733E-2</v>
      </c>
      <c r="Z21" s="6">
        <v>5.7037310357849523E-3</v>
      </c>
      <c r="AA21" s="6">
        <v>22.716862542421193</v>
      </c>
      <c r="AB21" s="6">
        <v>1.7375895883204115</v>
      </c>
      <c r="AC21" s="6">
        <v>1.1358431271210598</v>
      </c>
      <c r="AD21" s="6">
        <v>22.716862542421193</v>
      </c>
      <c r="AE21" s="6">
        <v>1.7375895883204115</v>
      </c>
      <c r="AF21" s="6">
        <v>1.1358431271210598</v>
      </c>
      <c r="AG21" s="6" t="str">
        <v>#N/A</v>
      </c>
      <c r="AH21" s="6" t="str">
        <v>#N/A</v>
      </c>
      <c r="AI21" s="6">
        <v>365.46978699952382</v>
      </c>
      <c r="AJ21" s="6">
        <v>18.273489349976192</v>
      </c>
      <c r="AK21" s="6">
        <v>48.710154916984067</v>
      </c>
      <c r="AL21" s="6">
        <v>395.9064525665317</v>
      </c>
      <c r="AM21" s="6">
        <v>42.197924934626968</v>
      </c>
      <c r="AN21" s="6">
        <v>0</v>
      </c>
      <c r="AO21" s="6">
        <v>2.1098962467313487</v>
      </c>
      <c r="AP21" s="6">
        <v>40.088028687895623</v>
      </c>
      <c r="AQ21" s="6" t="str">
        <v>#N/A</v>
      </c>
      <c r="AR21" s="6" t="str">
        <v>#N/A</v>
      </c>
      <c r="AS21" s="6">
        <v>1.1129844435398901</v>
      </c>
      <c r="AT21" s="6">
        <v>3.5130708590204236</v>
      </c>
      <c r="AU21" s="6">
        <v>0</v>
      </c>
      <c r="AV21" s="6">
        <v>1.4769273727119441</v>
      </c>
      <c r="AW21" s="6">
        <v>1.4769273727119441</v>
      </c>
      <c r="AX21" s="6">
        <v>0.26646398827975437</v>
      </c>
      <c r="AY21" s="6">
        <v>0.26646398827975437</v>
      </c>
      <c r="AZ21" s="6">
        <v>12.303450626078991</v>
      </c>
      <c r="BA21" s="6">
        <v>86.574125495994537</v>
      </c>
      <c r="BB21" s="6">
        <v>212.93798841564075</v>
      </c>
      <c r="BC21" s="6" t="str">
        <v>#N/A</v>
      </c>
      <c r="BD21" s="6" t="str">
        <v>#N/A</v>
      </c>
      <c r="BE21" s="6">
        <v>0</v>
      </c>
      <c r="BF21" s="6">
        <v>1.7433913609916984</v>
      </c>
      <c r="BG21" s="6">
        <v>0.4945199793102103</v>
      </c>
      <c r="BH21" s="6">
        <v>1.706917325441784</v>
      </c>
      <c r="BI21" s="6">
        <v>313.55895589870596</v>
      </c>
      <c r="BJ21" s="6">
        <v>88.942260385731927</v>
      </c>
      <c r="BK21" s="6">
        <v>265.02486505844928</v>
      </c>
      <c r="BL21" s="6">
        <v>0</v>
      </c>
      <c r="BM21" s="6">
        <v>0</v>
      </c>
      <c r="BN21" s="6">
        <v>0.6131943551702338</v>
      </c>
      <c r="BO21" s="6">
        <v>57.198900217333403</v>
      </c>
      <c r="BP21" s="6">
        <v>0.45153320883923798</v>
      </c>
      <c r="BQ21" s="6">
        <v>79.791688219128929</v>
      </c>
      <c r="BR21" s="6">
        <v>3.9590645256653172</v>
      </c>
      <c r="BS21" s="6">
        <v>2.4276760188926918</v>
      </c>
      <c r="BT21" s="6">
        <v>226.45413675751487</v>
      </c>
      <c r="BU21" s="6">
        <v>1.7876491092752562</v>
      </c>
      <c r="BV21" s="6">
        <v>315.90044227130056</v>
      </c>
      <c r="BW21" s="6">
        <v>898.07255751949413</v>
      </c>
      <c r="BX21" s="6">
        <v>1246.5252405107176</v>
      </c>
      <c r="BY21" s="6">
        <v>1185.787785194585</v>
      </c>
      <c r="BZ21" s="6">
        <v>48.710154916984074</v>
      </c>
      <c r="CA21" s="6">
        <v>11.694501536575872</v>
      </c>
      <c r="CB21" s="6">
        <v>2.1098962467313487</v>
      </c>
      <c r="CC21" s="6">
        <v>0</v>
      </c>
      <c r="CD21" s="6">
        <v>1248.3023378948762</v>
      </c>
      <c r="CE21" s="6">
        <v>-25.092818457388688</v>
      </c>
      <c r="CF21" s="6">
        <v>-0.12732321618680884</v>
      </c>
      <c r="CG21" s="6">
        <v>0.47660372068681622</v>
      </c>
      <c r="CH21" s="6">
        <v>-24.992126334423347</v>
      </c>
      <c r="CI21" s="6">
        <v>0.2966773796955921</v>
      </c>
      <c r="CJ21" s="6">
        <v>0.15329524776976192</v>
      </c>
      <c r="CK21" s="6">
        <v>-347.68853991628862</v>
      </c>
      <c r="CL21" s="6">
        <v>3.2754417955673034</v>
      </c>
      <c r="CM21" s="6">
        <v>-306.10612646620473</v>
      </c>
      <c r="CN21" s="6">
        <v>2.8837096579255017</v>
      </c>
      <c r="CO21" s="6">
        <v>214.9994121840509</v>
      </c>
      <c r="CP21" s="6">
        <v>107.49970609202545</v>
      </c>
      <c r="CQ21" s="6">
        <v>68302.752904696856</v>
      </c>
      <c r="CR21" s="6">
        <v>25535.896374503143</v>
      </c>
      <c r="CS21" s="6">
        <v>19151.922280877359</v>
      </c>
      <c r="CT21" s="6">
        <v>3959.064525665317</v>
      </c>
      <c r="CU21" s="6">
        <v>63839.740936257855</v>
      </c>
      <c r="CV21" s="6">
        <v>28727.883421316037</v>
      </c>
      <c r="CW21" s="6">
        <v>5146.7838833649121</v>
      </c>
      <c r="CX21" s="6">
        <v>-76.602635400902258</v>
      </c>
      <c r="CY21" s="6">
        <v>111.63300615650726</v>
      </c>
      <c r="CZ21" s="6"/>
      <c r="DA21" s="6"/>
      <c r="DB21" s="6"/>
      <c r="DC21" s="6"/>
      <c r="DD21" s="6"/>
      <c r="DE21" s="6"/>
      <c r="DF21" s="6"/>
      <c r="DG21" s="6"/>
      <c r="DH21" s="6"/>
      <c r="DI21" s="6"/>
      <c r="DJ21" s="6"/>
      <c r="DK21" s="6"/>
      <c r="DL21" s="6"/>
      <c r="DM21" s="6"/>
      <c r="DN21" s="6"/>
      <c r="DO21" s="6"/>
      <c r="DP21" s="6"/>
      <c r="DQ21" s="6"/>
      <c r="DR21" s="6"/>
      <c r="DS21" s="6"/>
      <c r="DT21" s="6"/>
      <c r="DU21" s="6"/>
      <c r="DV21" s="6"/>
      <c r="DW21" s="6"/>
      <c r="DX21" s="6"/>
      <c r="DY21" s="6"/>
      <c r="DZ21" s="6"/>
      <c r="EA21" s="6"/>
      <c r="EB21" s="6"/>
      <c r="EC21" s="6"/>
      <c r="ED21" s="6"/>
      <c r="EE21" s="6"/>
      <c r="EF21" s="6"/>
      <c r="EG21" s="6"/>
      <c r="EH21" s="6"/>
      <c r="EI21" s="6"/>
      <c r="EJ21" s="6"/>
      <c r="EK21" s="6"/>
      <c r="EL21" s="6"/>
      <c r="EM21" s="6"/>
      <c r="EN21" s="6"/>
      <c r="EO21" s="6"/>
      <c r="EP21" s="6"/>
      <c r="EQ21" s="6"/>
      <c r="ER21" s="6"/>
      <c r="ES21" s="6"/>
      <c r="ET21" s="6"/>
      <c r="EU21" s="6"/>
      <c r="EV21" s="6"/>
      <c r="EW21" s="6"/>
      <c r="EX21" s="6"/>
      <c r="EY21" s="6"/>
      <c r="EZ21" s="6"/>
      <c r="FA21" s="6"/>
      <c r="FB21" s="6"/>
      <c r="FC21" s="6"/>
      <c r="FD21" s="6"/>
      <c r="FE21" s="6"/>
      <c r="FF21" s="6"/>
      <c r="FG21" s="6"/>
      <c r="FH21" s="6"/>
      <c r="FI21" s="6"/>
      <c r="FJ21" s="6"/>
      <c r="FK21" s="6"/>
      <c r="FL21" s="6"/>
      <c r="FM21" s="6"/>
      <c r="FN21" s="6"/>
      <c r="FO21" s="6"/>
      <c r="FP21" s="6"/>
      <c r="FQ21" s="6"/>
      <c r="FR21" s="6"/>
      <c r="FS21" s="6"/>
      <c r="FT21" s="6"/>
      <c r="FU21" s="6"/>
      <c r="FV21" s="6"/>
      <c r="FW21" s="6"/>
      <c r="FX21" s="6"/>
      <c r="FY21" s="6"/>
      <c r="FZ21" s="6"/>
      <c r="GA21" s="6"/>
      <c r="GB21" s="6"/>
      <c r="GC21" s="6"/>
      <c r="GD21" s="6"/>
      <c r="GE21" s="6"/>
      <c r="GF21" s="6"/>
      <c r="GG21" s="6"/>
      <c r="GH21" s="6"/>
      <c r="GI21" s="6"/>
      <c r="GJ21" s="6"/>
      <c r="GK21" s="6"/>
      <c r="GL21" s="6"/>
      <c r="GM21" s="6"/>
      <c r="GN21" s="6"/>
      <c r="GO21" s="6"/>
      <c r="GP21" s="6"/>
      <c r="GQ21" s="6"/>
      <c r="GR21" s="6"/>
      <c r="GS21" s="6"/>
    </row>
    <row r="22" spans="2:201" x14ac:dyDescent="0.15">
      <c r="B22" s="6">
        <v>19</v>
      </c>
      <c r="C22" s="6">
        <v>7.9996603145707557E-2</v>
      </c>
      <c r="D22" s="6">
        <v>428.87888323284335</v>
      </c>
      <c r="E22" s="6">
        <v>0.23316606135095913</v>
      </c>
      <c r="F22" s="6">
        <v>258.57096593158491</v>
      </c>
      <c r="G22" s="6">
        <v>279.25576487821616</v>
      </c>
      <c r="H22" s="6">
        <v>0.26447726129982413</v>
      </c>
      <c r="I22" s="6">
        <v>50000</v>
      </c>
      <c r="J22" s="6">
        <v>1</v>
      </c>
      <c r="K22" s="6">
        <v>50000</v>
      </c>
      <c r="L22" s="6">
        <v>0</v>
      </c>
      <c r="M22" s="6">
        <v>219.34268841513352</v>
      </c>
      <c r="N22" s="6">
        <v>4.0030040635761868</v>
      </c>
      <c r="O22" s="6">
        <v>0.03</v>
      </c>
      <c r="P22" s="6">
        <v>1</v>
      </c>
      <c r="Q22" s="6">
        <v>17.682670514337378</v>
      </c>
      <c r="R22" s="6">
        <v>0.17682670514337387</v>
      </c>
      <c r="S22" s="6">
        <v>17.682670514337378</v>
      </c>
      <c r="T22" s="6">
        <v>0.17682670514337387</v>
      </c>
      <c r="U22" s="6">
        <v>0</v>
      </c>
      <c r="V22" s="6">
        <v>0</v>
      </c>
      <c r="W22" s="6">
        <v>1.4129024153844733E-2</v>
      </c>
      <c r="X22" s="6">
        <v>9.9945596561854311E-2</v>
      </c>
      <c r="Y22" s="6">
        <v>1.4129024153844733E-2</v>
      </c>
      <c r="Z22" s="6">
        <v>4.9972798280927162E-3</v>
      </c>
      <c r="AA22" s="6">
        <v>22.054903279629396</v>
      </c>
      <c r="AB22" s="6">
        <v>1.8266777115651633</v>
      </c>
      <c r="AC22" s="6">
        <v>1.10274516398147</v>
      </c>
      <c r="AD22" s="6">
        <v>22.054903279629396</v>
      </c>
      <c r="AE22" s="6">
        <v>1.8266777115651633</v>
      </c>
      <c r="AF22" s="6">
        <v>1.10274516398147</v>
      </c>
      <c r="AG22" s="6" t="str">
        <v>#N/A</v>
      </c>
      <c r="AH22" s="6" t="str">
        <v>#N/A</v>
      </c>
      <c r="AI22" s="6">
        <v>395.9064525665317</v>
      </c>
      <c r="AJ22" s="6">
        <v>19.795322628326588</v>
      </c>
      <c r="AK22" s="6">
        <v>52.76775329463824</v>
      </c>
      <c r="AL22" s="6">
        <v>428.87888323284335</v>
      </c>
      <c r="AM22" s="6">
        <v>40.088028687895623</v>
      </c>
      <c r="AN22" s="6">
        <v>0</v>
      </c>
      <c r="AO22" s="6">
        <v>2.0044014343947811</v>
      </c>
      <c r="AP22" s="6">
        <v>38.083627253500843</v>
      </c>
      <c r="AQ22" s="6" t="str">
        <v>#N/A</v>
      </c>
      <c r="AR22" s="6" t="str">
        <v>#N/A</v>
      </c>
      <c r="AS22" s="6">
        <v>1.0587035517066969</v>
      </c>
      <c r="AT22" s="6">
        <v>4.5717744107271203</v>
      </c>
      <c r="AU22" s="6">
        <v>0</v>
      </c>
      <c r="AV22" s="6">
        <v>1.4030810040763468</v>
      </c>
      <c r="AW22" s="6">
        <v>1.4030810040763468</v>
      </c>
      <c r="AX22" s="6">
        <v>0.23367919391202202</v>
      </c>
      <c r="AY22" s="6">
        <v>0.23367919391202202</v>
      </c>
      <c r="AZ22" s="6">
        <v>12.303649202049895</v>
      </c>
      <c r="BA22" s="6">
        <v>90.655662188328463</v>
      </c>
      <c r="BB22" s="6">
        <v>234.40922139203559</v>
      </c>
      <c r="BC22" s="6" t="str">
        <v>#N/A</v>
      </c>
      <c r="BD22" s="6" t="str">
        <v>#N/A</v>
      </c>
      <c r="BE22" s="6">
        <v>0</v>
      </c>
      <c r="BF22" s="6">
        <v>1.6367601979883688</v>
      </c>
      <c r="BG22" s="6">
        <v>0.43288585456852169</v>
      </c>
      <c r="BH22" s="6">
        <v>2.1398031800103059</v>
      </c>
      <c r="BI22" s="6">
        <v>339.00529298040232</v>
      </c>
      <c r="BJ22" s="6">
        <v>89.659191453601295</v>
      </c>
      <c r="BK22" s="6">
        <v>354.68405651205057</v>
      </c>
      <c r="BL22" s="6">
        <v>0</v>
      </c>
      <c r="BM22" s="6">
        <v>0</v>
      </c>
      <c r="BN22" s="6">
        <v>0.6131943551702338</v>
      </c>
      <c r="BO22" s="6">
        <v>57.198900217333403</v>
      </c>
      <c r="BP22" s="6">
        <v>0.45153320883923798</v>
      </c>
      <c r="BQ22" s="6">
        <v>79.791688219128929</v>
      </c>
      <c r="BR22" s="6">
        <v>4.288788832328434</v>
      </c>
      <c r="BS22" s="6">
        <v>2.629861102500934</v>
      </c>
      <c r="BT22" s="6">
        <v>245.31400447356793</v>
      </c>
      <c r="BU22" s="6">
        <v>1.9365305834951463</v>
      </c>
      <c r="BV22" s="6">
        <v>342.20970134683245</v>
      </c>
      <c r="BW22" s="6">
        <v>992.52030143979152</v>
      </c>
      <c r="BX22" s="6">
        <v>1377.6187648815342</v>
      </c>
      <c r="BY22" s="6">
        <v>1394.1346424816079</v>
      </c>
      <c r="BZ22" s="6">
        <v>52.76775329463824</v>
      </c>
      <c r="CA22" s="6">
        <v>12.035036282269605</v>
      </c>
      <c r="CB22" s="6">
        <v>2.0044014343947811</v>
      </c>
      <c r="CC22" s="6">
        <v>0</v>
      </c>
      <c r="CD22" s="6">
        <v>1460.9418334929105</v>
      </c>
      <c r="CE22" s="6">
        <v>-28.886207452656759</v>
      </c>
      <c r="CF22" s="6">
        <v>-5.1382937819929877</v>
      </c>
      <c r="CG22" s="6">
        <v>0.46854196579980145</v>
      </c>
      <c r="CH22" s="6">
        <v>-28.850275861130374</v>
      </c>
      <c r="CI22" s="6">
        <v>0.29739073600620008</v>
      </c>
      <c r="CJ22" s="6">
        <v>-4.9312109606730008</v>
      </c>
      <c r="CK22" s="6">
        <v>-466.73611672797199</v>
      </c>
      <c r="CL22" s="6">
        <v>-78.862248401247825</v>
      </c>
      <c r="CM22" s="6">
        <v>-423.24929818129294</v>
      </c>
      <c r="CN22" s="6">
        <v>-71.514481293678998</v>
      </c>
      <c r="CO22" s="6">
        <v>219.34268841513352</v>
      </c>
      <c r="CP22" s="6">
        <v>109.67134420756676</v>
      </c>
      <c r="CQ22" s="6">
        <v>75485.959719536113</v>
      </c>
      <c r="CR22" s="6">
        <v>28221.4341758316</v>
      </c>
      <c r="CS22" s="6">
        <v>21166.0756318737</v>
      </c>
      <c r="CT22" s="6">
        <v>4288.7888323284342</v>
      </c>
      <c r="CU22" s="6">
        <v>70553.585439578994</v>
      </c>
      <c r="CV22" s="6">
        <v>31749.113447810549</v>
      </c>
      <c r="CW22" s="6">
        <v>5575.4254820269643</v>
      </c>
      <c r="CX22" s="6">
        <v>-72.866680787638245</v>
      </c>
      <c r="CY22" s="6">
        <v>111.63300615650726</v>
      </c>
      <c r="CZ22" s="6"/>
      <c r="DA22" s="6"/>
      <c r="DB22" s="6"/>
      <c r="DC22" s="6"/>
      <c r="DD22" s="6"/>
      <c r="DE22" s="6"/>
      <c r="DF22" s="6"/>
      <c r="DG22" s="6"/>
      <c r="DH22" s="6"/>
      <c r="DI22" s="6"/>
      <c r="DJ22" s="6"/>
      <c r="DK22" s="6"/>
      <c r="DL22" s="6"/>
      <c r="DM22" s="6"/>
      <c r="DN22" s="6"/>
      <c r="DO22" s="6"/>
      <c r="DP22" s="6"/>
      <c r="DQ22" s="6"/>
      <c r="DR22" s="6"/>
      <c r="DS22" s="6"/>
      <c r="DT22" s="6"/>
      <c r="DU22" s="6"/>
      <c r="DV22" s="6"/>
      <c r="DW22" s="6"/>
      <c r="DX22" s="6"/>
      <c r="DY22" s="6"/>
      <c r="DZ22" s="6"/>
      <c r="EA22" s="6"/>
      <c r="EB22" s="6"/>
      <c r="EC22" s="6"/>
      <c r="ED22" s="6"/>
      <c r="EE22" s="6"/>
      <c r="EF22" s="6"/>
      <c r="EG22" s="6"/>
      <c r="EH22" s="6"/>
      <c r="EI22" s="6"/>
      <c r="EJ22" s="6"/>
      <c r="EK22" s="6"/>
      <c r="EL22" s="6"/>
      <c r="EM22" s="6"/>
      <c r="EN22" s="6"/>
      <c r="EO22" s="6"/>
      <c r="EP22" s="6"/>
      <c r="EQ22" s="6"/>
      <c r="ER22" s="6"/>
      <c r="ES22" s="6"/>
      <c r="ET22" s="6"/>
      <c r="EU22" s="6"/>
      <c r="EV22" s="6"/>
      <c r="EW22" s="6"/>
      <c r="EX22" s="6"/>
      <c r="EY22" s="6"/>
      <c r="EZ22" s="6"/>
      <c r="FA22" s="6"/>
      <c r="FB22" s="6"/>
      <c r="FC22" s="6"/>
      <c r="FD22" s="6"/>
      <c r="FE22" s="6"/>
      <c r="FF22" s="6"/>
      <c r="FG22" s="6"/>
      <c r="FH22" s="6"/>
      <c r="FI22" s="6"/>
      <c r="FJ22" s="6"/>
      <c r="FK22" s="6"/>
      <c r="FL22" s="6"/>
      <c r="FM22" s="6"/>
      <c r="FN22" s="6"/>
      <c r="FO22" s="6"/>
      <c r="FP22" s="6"/>
      <c r="FQ22" s="6"/>
      <c r="FR22" s="6"/>
      <c r="FS22" s="6"/>
      <c r="FT22" s="6"/>
      <c r="FU22" s="6"/>
      <c r="FV22" s="6"/>
      <c r="FW22" s="6"/>
      <c r="FX22" s="6"/>
      <c r="FY22" s="6"/>
      <c r="FZ22" s="6"/>
      <c r="GA22" s="6"/>
      <c r="GB22" s="6"/>
      <c r="GC22" s="6"/>
      <c r="GD22" s="6"/>
      <c r="GE22" s="6"/>
      <c r="GF22" s="6"/>
      <c r="GG22" s="6"/>
      <c r="GH22" s="6"/>
      <c r="GI22" s="6"/>
      <c r="GJ22" s="6"/>
      <c r="GK22" s="6"/>
      <c r="GL22" s="6"/>
      <c r="GM22" s="6"/>
      <c r="GN22" s="6"/>
      <c r="GO22" s="6"/>
      <c r="GP22" s="6"/>
      <c r="GQ22" s="6"/>
      <c r="GR22" s="6"/>
      <c r="GS22" s="6"/>
    </row>
    <row r="23" spans="2:201" x14ac:dyDescent="0.15">
      <c r="B23" s="6">
        <v>20</v>
      </c>
      <c r="C23" s="7">
        <v>7.9997961841269644E-2</v>
      </c>
      <c r="D23" s="6">
        <v>464.59800087958126</v>
      </c>
      <c r="E23" s="6">
        <v>0.21523984134817425</v>
      </c>
      <c r="F23" s="6">
        <v>271.82818284590485</v>
      </c>
      <c r="G23" s="6">
        <v>293.57388344459321</v>
      </c>
      <c r="H23" s="6">
        <v>0.24659696394160663</v>
      </c>
      <c r="I23" s="6">
        <v>50000</v>
      </c>
      <c r="J23" s="6">
        <v>1</v>
      </c>
      <c r="K23" s="6">
        <v>50000</v>
      </c>
      <c r="L23" s="6">
        <v>0</v>
      </c>
      <c r="M23" s="6">
        <v>223.77370464619037</v>
      </c>
      <c r="N23" s="6">
        <v>4.0838701097929739</v>
      </c>
      <c r="O23" s="6">
        <v>0.03</v>
      </c>
      <c r="P23" s="6">
        <v>1</v>
      </c>
      <c r="Q23" s="6">
        <v>18.22118800390512</v>
      </c>
      <c r="R23" s="6">
        <v>0.18221188003905128</v>
      </c>
      <c r="S23" s="6">
        <v>18.22118800390512</v>
      </c>
      <c r="T23" s="6">
        <v>0.18221188003905128</v>
      </c>
      <c r="U23" s="6">
        <v>0</v>
      </c>
      <c r="V23" s="6">
        <v>0</v>
      </c>
      <c r="W23" s="6">
        <v>1.4129024153844733E-2</v>
      </c>
      <c r="X23" s="6">
        <v>8.5816572408009578E-2</v>
      </c>
      <c r="Y23" s="6">
        <v>1.4129024153844733E-2</v>
      </c>
      <c r="Z23" s="6">
        <v>4.2908286204004793E-3</v>
      </c>
      <c r="AA23" s="6">
        <v>21.265348870680409</v>
      </c>
      <c r="AB23" s="6">
        <v>1.9203334805627561</v>
      </c>
      <c r="AC23" s="6">
        <v>1.0632674435340206</v>
      </c>
      <c r="AD23" s="6">
        <v>21.265348870680409</v>
      </c>
      <c r="AE23" s="6">
        <v>1.9203334805627561</v>
      </c>
      <c r="AF23" s="6">
        <v>1.0632674435340206</v>
      </c>
      <c r="AG23" s="6" t="str">
        <v>#N/A</v>
      </c>
      <c r="AH23" s="6" t="str">
        <v>#N/A</v>
      </c>
      <c r="AI23" s="6">
        <v>428.87888323284335</v>
      </c>
      <c r="AJ23" s="6">
        <v>21.443944161642168</v>
      </c>
      <c r="AK23" s="6">
        <v>57.163061808380078</v>
      </c>
      <c r="AL23" s="6">
        <v>464.59800087958126</v>
      </c>
      <c r="AM23" s="6">
        <v>38.083627253500843</v>
      </c>
      <c r="AN23" s="6">
        <v>0</v>
      </c>
      <c r="AO23" s="6">
        <v>1.9041813626750423</v>
      </c>
      <c r="AP23" s="6">
        <v>36.179445890825804</v>
      </c>
      <c r="AQ23" s="6" t="str">
        <v>#N/A</v>
      </c>
      <c r="AR23" s="6" t="str">
        <v>#N/A</v>
      </c>
      <c r="AS23" s="6">
        <v>1.0070699702068231</v>
      </c>
      <c r="AT23" s="6">
        <v>5.5788443809339432</v>
      </c>
      <c r="AU23" s="6">
        <v>5.5788443809339432</v>
      </c>
      <c r="AV23" s="6">
        <v>1.3329269538725297</v>
      </c>
      <c r="AW23" s="6">
        <v>1.3329269538725297</v>
      </c>
      <c r="AX23" s="6">
        <v>0.20492784720016319</v>
      </c>
      <c r="AY23" s="6">
        <v>0.20492784720016319</v>
      </c>
      <c r="AZ23" s="6">
        <v>12.303768354611607</v>
      </c>
      <c r="BA23" s="6">
        <v>94.935584966860205</v>
      </c>
      <c r="BB23" s="6">
        <v>258.06167548954619</v>
      </c>
      <c r="BC23" s="6" t="str">
        <v>#N/A</v>
      </c>
      <c r="BD23" s="6" t="str">
        <v>#N/A</v>
      </c>
      <c r="BE23" s="6">
        <v>0</v>
      </c>
      <c r="BF23" s="6">
        <v>1.5378548010726929</v>
      </c>
      <c r="BG23" s="6">
        <v>0.37923032492754949</v>
      </c>
      <c r="BH23" s="6">
        <v>2.5190335049378554</v>
      </c>
      <c r="BI23" s="6">
        <v>366.83888361209068</v>
      </c>
      <c r="BJ23" s="6">
        <v>90.461354954469954</v>
      </c>
      <c r="BK23" s="6">
        <v>445.1454114665205</v>
      </c>
      <c r="BL23" s="6">
        <v>2.5190335049378554</v>
      </c>
      <c r="BM23" s="6">
        <v>445.1454114665205</v>
      </c>
      <c r="BN23" s="6">
        <v>0.6131943551702338</v>
      </c>
      <c r="BO23" s="6">
        <v>57.198900217333403</v>
      </c>
      <c r="BP23" s="6">
        <v>0.45153320883923798</v>
      </c>
      <c r="BQ23" s="6">
        <v>79.791688219128929</v>
      </c>
      <c r="BR23" s="6">
        <v>4.6459800087958127</v>
      </c>
      <c r="BS23" s="6">
        <v>2.8488887156273455</v>
      </c>
      <c r="BT23" s="6">
        <v>265.74494693483746</v>
      </c>
      <c r="BU23" s="6">
        <v>2.0978142615745243</v>
      </c>
      <c r="BV23" s="6">
        <v>370.71058833414139</v>
      </c>
      <c r="BW23" s="6">
        <v>1096.9023370875798</v>
      </c>
      <c r="BX23" s="6">
        <v>1522.5010920403095</v>
      </c>
      <c r="BY23" s="6">
        <v>1640.0182152401526</v>
      </c>
      <c r="BZ23" s="6">
        <v>57.163061808380078</v>
      </c>
      <c r="CA23" s="6">
        <v>12.385503961753743</v>
      </c>
      <c r="CB23" s="6">
        <v>1.9041813626750423</v>
      </c>
      <c r="CC23" s="6">
        <v>0</v>
      </c>
      <c r="CD23" s="6">
        <v>1711.4709623729614</v>
      </c>
      <c r="CE23" s="6">
        <v>-32.619760920672213</v>
      </c>
      <c r="CF23" s="6">
        <v>-10.030046666634085</v>
      </c>
      <c r="CG23" s="6">
        <v>0.45916756861523222</v>
      </c>
      <c r="CH23" s="6">
        <v>-32.637191944186434</v>
      </c>
      <c r="CI23" s="6">
        <v>0.29636348279607533</v>
      </c>
      <c r="CJ23" s="6">
        <v>-9.8846736043291461</v>
      </c>
      <c r="CK23" s="6">
        <v>-613.83376491339254</v>
      </c>
      <c r="CL23" s="6">
        <v>-185.16771944752736</v>
      </c>
      <c r="CM23" s="6">
        <v>-577.30890628341911</v>
      </c>
      <c r="CN23" s="6">
        <v>-174.1497123546628</v>
      </c>
      <c r="CO23" s="6">
        <v>223.77370464619037</v>
      </c>
      <c r="CP23" s="6">
        <v>111.88685232309518</v>
      </c>
      <c r="CQ23" s="6">
        <v>83424.717372071755</v>
      </c>
      <c r="CR23" s="6">
        <v>31189.444748411373</v>
      </c>
      <c r="CS23" s="6">
        <v>23392.083561308529</v>
      </c>
      <c r="CT23" s="6">
        <v>4645.9800087958129</v>
      </c>
      <c r="CU23" s="6">
        <v>77973.611871028435</v>
      </c>
      <c r="CV23" s="6">
        <v>35088.125341962797</v>
      </c>
      <c r="CW23" s="6">
        <v>6039.774011434557</v>
      </c>
      <c r="CX23" s="6">
        <v>-69.312930830902332</v>
      </c>
      <c r="CY23" s="6">
        <v>111.63300615650726</v>
      </c>
      <c r="CZ23" s="6"/>
      <c r="DA23" s="6"/>
      <c r="DB23" s="6"/>
      <c r="DC23" s="6"/>
      <c r="DD23" s="6"/>
      <c r="DE23" s="6"/>
      <c r="DF23" s="6"/>
      <c r="DG23" s="6"/>
      <c r="DH23" s="6"/>
      <c r="DI23" s="6"/>
      <c r="DJ23" s="6"/>
      <c r="DK23" s="6"/>
      <c r="DL23" s="6"/>
      <c r="DM23" s="6"/>
      <c r="DN23" s="6"/>
      <c r="DO23" s="6"/>
      <c r="DP23" s="6"/>
      <c r="DQ23" s="6"/>
      <c r="DR23" s="6"/>
      <c r="DS23" s="6"/>
      <c r="DT23" s="6"/>
      <c r="DU23" s="6"/>
      <c r="DV23" s="6"/>
      <c r="DW23" s="6"/>
      <c r="DX23" s="6"/>
      <c r="DY23" s="6"/>
      <c r="DZ23" s="6"/>
      <c r="EA23" s="6"/>
      <c r="EB23" s="6"/>
      <c r="EC23" s="6"/>
      <c r="ED23" s="6"/>
      <c r="EE23" s="6"/>
      <c r="EF23" s="6"/>
      <c r="EG23" s="6"/>
      <c r="EH23" s="6"/>
      <c r="EI23" s="6"/>
      <c r="EJ23" s="6"/>
      <c r="EK23" s="6"/>
      <c r="EL23" s="6"/>
      <c r="EM23" s="6"/>
      <c r="EN23" s="6"/>
      <c r="EO23" s="6"/>
      <c r="EP23" s="6"/>
      <c r="EQ23" s="6"/>
      <c r="ER23" s="6"/>
      <c r="ES23" s="6"/>
      <c r="ET23" s="6"/>
      <c r="EU23" s="6"/>
      <c r="EV23" s="6"/>
      <c r="EW23" s="6"/>
      <c r="EX23" s="6"/>
      <c r="EY23" s="6"/>
      <c r="EZ23" s="6"/>
      <c r="FA23" s="6"/>
      <c r="FB23" s="6"/>
      <c r="FC23" s="6"/>
      <c r="FD23" s="6"/>
      <c r="FE23" s="6"/>
      <c r="FF23" s="6"/>
      <c r="FG23" s="6"/>
      <c r="FH23" s="6"/>
      <c r="FI23" s="6"/>
      <c r="FJ23" s="6"/>
      <c r="FK23" s="6"/>
      <c r="FL23" s="6"/>
      <c r="FM23" s="6"/>
      <c r="FN23" s="6"/>
      <c r="FO23" s="6"/>
      <c r="FP23" s="6"/>
      <c r="FQ23" s="6"/>
      <c r="FR23" s="6"/>
      <c r="FS23" s="6"/>
      <c r="FT23" s="6"/>
      <c r="FU23" s="6"/>
      <c r="FV23" s="6"/>
      <c r="FW23" s="6"/>
      <c r="FX23" s="6"/>
      <c r="FY23" s="6"/>
      <c r="FZ23" s="6"/>
      <c r="GA23" s="6"/>
      <c r="GB23" s="6"/>
      <c r="GC23" s="6"/>
      <c r="GD23" s="6"/>
      <c r="GE23" s="6"/>
      <c r="GF23" s="6"/>
      <c r="GG23" s="6"/>
      <c r="GH23" s="6"/>
      <c r="GI23" s="6"/>
      <c r="GJ23" s="6"/>
      <c r="GK23" s="6"/>
      <c r="GL23" s="6"/>
      <c r="GM23" s="6"/>
      <c r="GN23" s="6"/>
      <c r="GO23" s="6"/>
      <c r="GP23" s="6"/>
      <c r="GQ23" s="6"/>
      <c r="GR23" s="6"/>
      <c r="GS23" s="6"/>
    </row>
    <row r="24" spans="2:201" x14ac:dyDescent="0.15">
      <c r="B24" t="e">
        <v>#N/A</v>
      </c>
      <c r="C24" t="e">
        <v>#N/A</v>
      </c>
      <c r="D24" t="e">
        <v>#N/A</v>
      </c>
      <c r="E24" t="e">
        <v>#N/A</v>
      </c>
      <c r="F24" t="e">
        <v>#N/A</v>
      </c>
      <c r="G24" t="e">
        <v>#N/A</v>
      </c>
      <c r="H24" t="e">
        <v>#N/A</v>
      </c>
      <c r="I24" t="e">
        <v>#N/A</v>
      </c>
      <c r="J24" t="e">
        <v>#N/A</v>
      </c>
      <c r="K24" t="e">
        <v>#N/A</v>
      </c>
      <c r="L24" t="e">
        <v>#N/A</v>
      </c>
      <c r="M24" t="e">
        <v>#N/A</v>
      </c>
      <c r="N24" t="e">
        <v>#N/A</v>
      </c>
      <c r="O24" t="e">
        <v>#N/A</v>
      </c>
      <c r="P24" t="e">
        <v>#N/A</v>
      </c>
      <c r="Q24" t="e">
        <v>#N/A</v>
      </c>
      <c r="R24" t="e">
        <v>#N/A</v>
      </c>
      <c r="S24" t="e">
        <v>#N/A</v>
      </c>
      <c r="T24" t="e">
        <v>#N/A</v>
      </c>
      <c r="U24" t="e">
        <v>#N/A</v>
      </c>
      <c r="V24" t="e">
        <v>#N/A</v>
      </c>
      <c r="W24" t="e">
        <v>#N/A</v>
      </c>
      <c r="X24" t="e">
        <v>#N/A</v>
      </c>
      <c r="Y24" t="e">
        <v>#N/A</v>
      </c>
      <c r="Z24" t="e">
        <v>#N/A</v>
      </c>
      <c r="AA24" t="e">
        <v>#N/A</v>
      </c>
      <c r="AB24" t="e">
        <v>#N/A</v>
      </c>
      <c r="AC24" t="e">
        <v>#N/A</v>
      </c>
      <c r="AD24" t="e">
        <v>#N/A</v>
      </c>
      <c r="AE24" t="e">
        <v>#N/A</v>
      </c>
      <c r="AF24" t="e">
        <v>#N/A</v>
      </c>
      <c r="AG24" t="e">
        <v>#N/A</v>
      </c>
      <c r="AH24" t="e">
        <v>#N/A</v>
      </c>
      <c r="AI24" t="e">
        <v>#N/A</v>
      </c>
      <c r="AJ24" t="e">
        <v>#N/A</v>
      </c>
      <c r="AK24" t="e">
        <v>#N/A</v>
      </c>
      <c r="AL24" t="e">
        <v>#N/A</v>
      </c>
      <c r="AM24" t="e">
        <v>#N/A</v>
      </c>
      <c r="AN24" t="e">
        <v>#N/A</v>
      </c>
      <c r="AO24" t="e">
        <v>#N/A</v>
      </c>
      <c r="AP24" t="e">
        <v>#N/A</v>
      </c>
      <c r="AQ24" t="e">
        <v>#N/A</v>
      </c>
      <c r="AR24" t="e">
        <v>#N/A</v>
      </c>
      <c r="AS24" t="e">
        <v>#N/A</v>
      </c>
      <c r="AT24" t="e">
        <v>#N/A</v>
      </c>
      <c r="AU24" t="e">
        <v>#N/A</v>
      </c>
      <c r="AV24" t="e">
        <v>#N/A</v>
      </c>
      <c r="AW24" t="e">
        <v>#N/A</v>
      </c>
      <c r="AX24" t="e">
        <v>#N/A</v>
      </c>
      <c r="AY24" t="e">
        <v>#N/A</v>
      </c>
      <c r="AZ24" t="e">
        <v>#N/A</v>
      </c>
      <c r="BA24" t="e">
        <v>#N/A</v>
      </c>
      <c r="BB24" t="e">
        <v>#N/A</v>
      </c>
      <c r="BC24" t="e">
        <v>#N/A</v>
      </c>
      <c r="BD24" t="e">
        <v>#N/A</v>
      </c>
      <c r="BE24" t="e">
        <v>#N/A</v>
      </c>
      <c r="BF24" t="e">
        <v>#N/A</v>
      </c>
      <c r="BG24" t="e">
        <v>#N/A</v>
      </c>
      <c r="BH24" t="e">
        <v>#N/A</v>
      </c>
      <c r="BI24" t="e">
        <v>#N/A</v>
      </c>
      <c r="BJ24" t="e">
        <v>#N/A</v>
      </c>
      <c r="BK24" t="e">
        <v>#N/A</v>
      </c>
      <c r="BL24" t="e">
        <v>#N/A</v>
      </c>
      <c r="BM24" t="e">
        <v>#N/A</v>
      </c>
      <c r="BN24" t="e">
        <v>#N/A</v>
      </c>
      <c r="BO24" t="e">
        <v>#N/A</v>
      </c>
      <c r="BP24" t="e">
        <v>#N/A</v>
      </c>
      <c r="BQ24" t="e">
        <v>#N/A</v>
      </c>
      <c r="BR24" t="e">
        <v>#N/A</v>
      </c>
      <c r="BS24" t="e">
        <v>#N/A</v>
      </c>
      <c r="BT24" t="e">
        <v>#N/A</v>
      </c>
      <c r="BU24" t="e">
        <v>#N/A</v>
      </c>
      <c r="BV24" t="e">
        <v>#N/A</v>
      </c>
      <c r="BW24" t="e">
        <v>#N/A</v>
      </c>
      <c r="BX24" t="e">
        <v>#N/A</v>
      </c>
      <c r="BY24" t="e">
        <v>#N/A</v>
      </c>
      <c r="BZ24" t="e">
        <v>#N/A</v>
      </c>
      <c r="CA24" t="e">
        <v>#N/A</v>
      </c>
      <c r="CB24" t="e">
        <v>#N/A</v>
      </c>
      <c r="CC24" t="e">
        <v>#N/A</v>
      </c>
      <c r="CD24" t="e">
        <v>#N/A</v>
      </c>
      <c r="CE24" t="e">
        <v>#N/A</v>
      </c>
      <c r="CF24" t="e">
        <v>#N/A</v>
      </c>
      <c r="CG24" t="e">
        <v>#N/A</v>
      </c>
      <c r="CH24" t="e">
        <v>#N/A</v>
      </c>
      <c r="CI24" t="e">
        <v>#N/A</v>
      </c>
      <c r="CJ24" t="e">
        <v>#N/A</v>
      </c>
      <c r="CK24" t="e">
        <v>#N/A</v>
      </c>
      <c r="CL24" t="e">
        <v>#N/A</v>
      </c>
      <c r="CM24" t="e">
        <v>#N/A</v>
      </c>
      <c r="CN24" t="e">
        <v>#N/A</v>
      </c>
      <c r="CO24" t="e">
        <v>#N/A</v>
      </c>
      <c r="CP24" t="e">
        <v>#N/A</v>
      </c>
      <c r="CQ24" t="e">
        <v>#N/A</v>
      </c>
      <c r="CR24" t="e">
        <v>#N/A</v>
      </c>
      <c r="CS24" t="e">
        <v>#N/A</v>
      </c>
      <c r="CT24" t="e">
        <v>#N/A</v>
      </c>
      <c r="CU24" t="e">
        <v>#N/A</v>
      </c>
      <c r="CV24" t="e">
        <v>#N/A</v>
      </c>
      <c r="CW24" t="e">
        <v>#N/A</v>
      </c>
      <c r="CX24" t="e">
        <v>#N/A</v>
      </c>
      <c r="CY24" t="e">
        <v>#N/A</v>
      </c>
    </row>
    <row r="25" spans="2:201" x14ac:dyDescent="0.15">
      <c r="B25" t="e">
        <v>#N/A</v>
      </c>
      <c r="C25" t="e">
        <v>#N/A</v>
      </c>
      <c r="D25" t="e">
        <v>#N/A</v>
      </c>
      <c r="E25" t="e">
        <v>#N/A</v>
      </c>
      <c r="F25" t="e">
        <v>#N/A</v>
      </c>
      <c r="G25" t="e">
        <v>#N/A</v>
      </c>
      <c r="H25" t="e">
        <v>#N/A</v>
      </c>
      <c r="I25" t="e">
        <v>#N/A</v>
      </c>
      <c r="J25" t="e">
        <v>#N/A</v>
      </c>
      <c r="K25" t="e">
        <v>#N/A</v>
      </c>
      <c r="L25" t="e">
        <v>#N/A</v>
      </c>
      <c r="M25" t="e">
        <v>#N/A</v>
      </c>
      <c r="N25" t="e">
        <v>#N/A</v>
      </c>
      <c r="O25" t="e">
        <v>#N/A</v>
      </c>
      <c r="P25" t="e">
        <v>#N/A</v>
      </c>
      <c r="Q25" t="e">
        <v>#N/A</v>
      </c>
      <c r="R25" t="e">
        <v>#N/A</v>
      </c>
      <c r="S25" t="e">
        <v>#N/A</v>
      </c>
      <c r="T25" t="e">
        <v>#N/A</v>
      </c>
      <c r="U25" t="e">
        <v>#N/A</v>
      </c>
      <c r="V25" t="e">
        <v>#N/A</v>
      </c>
      <c r="W25" t="e">
        <v>#N/A</v>
      </c>
      <c r="X25" t="e">
        <v>#N/A</v>
      </c>
      <c r="Y25" t="e">
        <v>#N/A</v>
      </c>
      <c r="Z25" t="e">
        <v>#N/A</v>
      </c>
      <c r="AA25" t="e">
        <v>#N/A</v>
      </c>
      <c r="AB25" t="e">
        <v>#N/A</v>
      </c>
      <c r="AC25" t="e">
        <v>#N/A</v>
      </c>
      <c r="AD25" t="e">
        <v>#N/A</v>
      </c>
      <c r="AE25" t="e">
        <v>#N/A</v>
      </c>
      <c r="AF25" t="e">
        <v>#N/A</v>
      </c>
      <c r="AG25" t="e">
        <v>#N/A</v>
      </c>
      <c r="AH25" t="e">
        <v>#N/A</v>
      </c>
      <c r="AI25" t="e">
        <v>#N/A</v>
      </c>
      <c r="AJ25" t="e">
        <v>#N/A</v>
      </c>
      <c r="AK25" t="e">
        <v>#N/A</v>
      </c>
      <c r="AL25" t="e">
        <v>#N/A</v>
      </c>
      <c r="AM25" t="e">
        <v>#N/A</v>
      </c>
      <c r="AN25" t="e">
        <v>#N/A</v>
      </c>
      <c r="AO25" t="e">
        <v>#N/A</v>
      </c>
      <c r="AP25" t="e">
        <v>#N/A</v>
      </c>
      <c r="AQ25" t="e">
        <v>#N/A</v>
      </c>
      <c r="AR25" t="e">
        <v>#N/A</v>
      </c>
      <c r="AS25" t="e">
        <v>#N/A</v>
      </c>
      <c r="AT25" t="e">
        <v>#N/A</v>
      </c>
      <c r="AU25" t="e">
        <v>#N/A</v>
      </c>
      <c r="AV25" t="e">
        <v>#N/A</v>
      </c>
      <c r="AW25" t="e">
        <v>#N/A</v>
      </c>
      <c r="AX25" t="e">
        <v>#N/A</v>
      </c>
      <c r="AY25" t="e">
        <v>#N/A</v>
      </c>
      <c r="AZ25" t="e">
        <v>#N/A</v>
      </c>
      <c r="BA25" t="e">
        <v>#N/A</v>
      </c>
      <c r="BB25" t="e">
        <v>#N/A</v>
      </c>
      <c r="BC25" t="e">
        <v>#N/A</v>
      </c>
      <c r="BD25" t="e">
        <v>#N/A</v>
      </c>
      <c r="BE25" t="e">
        <v>#N/A</v>
      </c>
      <c r="BF25" t="e">
        <v>#N/A</v>
      </c>
      <c r="BG25" t="e">
        <v>#N/A</v>
      </c>
      <c r="BH25" t="e">
        <v>#N/A</v>
      </c>
      <c r="BI25" t="e">
        <v>#N/A</v>
      </c>
      <c r="BJ25" t="e">
        <v>#N/A</v>
      </c>
      <c r="BK25" t="e">
        <v>#N/A</v>
      </c>
      <c r="BL25" t="e">
        <v>#N/A</v>
      </c>
      <c r="BM25" t="e">
        <v>#N/A</v>
      </c>
      <c r="BN25" t="e">
        <v>#N/A</v>
      </c>
      <c r="BO25" t="e">
        <v>#N/A</v>
      </c>
      <c r="BP25" t="e">
        <v>#N/A</v>
      </c>
      <c r="BQ25" t="e">
        <v>#N/A</v>
      </c>
      <c r="BR25" t="e">
        <v>#N/A</v>
      </c>
      <c r="BS25" t="e">
        <v>#N/A</v>
      </c>
      <c r="BT25" t="e">
        <v>#N/A</v>
      </c>
      <c r="BU25" t="e">
        <v>#N/A</v>
      </c>
      <c r="BV25" t="e">
        <v>#N/A</v>
      </c>
      <c r="BW25" t="e">
        <v>#N/A</v>
      </c>
      <c r="BX25" t="e">
        <v>#N/A</v>
      </c>
      <c r="BY25" t="e">
        <v>#N/A</v>
      </c>
      <c r="BZ25" t="e">
        <v>#N/A</v>
      </c>
      <c r="CA25" t="e">
        <v>#N/A</v>
      </c>
      <c r="CB25" t="e">
        <v>#N/A</v>
      </c>
      <c r="CC25" t="e">
        <v>#N/A</v>
      </c>
      <c r="CD25" t="e">
        <v>#N/A</v>
      </c>
      <c r="CE25" t="e">
        <v>#N/A</v>
      </c>
      <c r="CF25" t="e">
        <v>#N/A</v>
      </c>
      <c r="CG25" t="e">
        <v>#N/A</v>
      </c>
      <c r="CH25" t="e">
        <v>#N/A</v>
      </c>
      <c r="CI25" t="e">
        <v>#N/A</v>
      </c>
      <c r="CJ25" t="e">
        <v>#N/A</v>
      </c>
      <c r="CK25" t="e">
        <v>#N/A</v>
      </c>
      <c r="CL25" t="e">
        <v>#N/A</v>
      </c>
      <c r="CM25" t="e">
        <v>#N/A</v>
      </c>
      <c r="CN25" t="e">
        <v>#N/A</v>
      </c>
      <c r="CO25" t="e">
        <v>#N/A</v>
      </c>
      <c r="CP25" t="e">
        <v>#N/A</v>
      </c>
      <c r="CQ25" t="e">
        <v>#N/A</v>
      </c>
      <c r="CR25" t="e">
        <v>#N/A</v>
      </c>
      <c r="CS25" t="e">
        <v>#N/A</v>
      </c>
      <c r="CT25" t="e">
        <v>#N/A</v>
      </c>
      <c r="CU25" t="e">
        <v>#N/A</v>
      </c>
      <c r="CV25" t="e">
        <v>#N/A</v>
      </c>
      <c r="CW25" t="e">
        <v>#N/A</v>
      </c>
      <c r="CX25" t="e">
        <v>#N/A</v>
      </c>
      <c r="CY25" t="e">
        <v>#N/A</v>
      </c>
    </row>
    <row r="26" spans="2:201" x14ac:dyDescent="0.15">
      <c r="GS26" s="1"/>
    </row>
    <row r="28" spans="2:201" s="15" customFormat="1" x14ac:dyDescent="0.15">
      <c r="B28" s="14">
        <v>0</v>
      </c>
      <c r="C28" s="14">
        <v>2</v>
      </c>
      <c r="D28" s="14">
        <v>3</v>
      </c>
      <c r="E28" s="14">
        <v>4</v>
      </c>
      <c r="F28" s="14">
        <v>6</v>
      </c>
      <c r="G28" s="14">
        <v>7</v>
      </c>
      <c r="H28" s="14">
        <v>9</v>
      </c>
      <c r="I28" s="14">
        <v>13</v>
      </c>
      <c r="J28" s="14">
        <f>I28+1</f>
        <v>14</v>
      </c>
      <c r="K28" s="14">
        <f>J28+1</f>
        <v>15</v>
      </c>
      <c r="L28" s="14">
        <f>K28+1</f>
        <v>16</v>
      </c>
      <c r="M28" s="14">
        <f>L28+2</f>
        <v>18</v>
      </c>
      <c r="N28" s="14">
        <f>M28+1</f>
        <v>19</v>
      </c>
      <c r="O28" s="14">
        <f>N28+2</f>
        <v>21</v>
      </c>
      <c r="P28" s="14">
        <v>22</v>
      </c>
      <c r="Q28" s="14">
        <v>28</v>
      </c>
      <c r="R28" s="14">
        <f>Q28+1</f>
        <v>29</v>
      </c>
      <c r="S28" s="14">
        <f>R28+2</f>
        <v>31</v>
      </c>
      <c r="T28" s="14">
        <f>S28+1</f>
        <v>32</v>
      </c>
      <c r="U28" s="14">
        <v>36</v>
      </c>
      <c r="V28" s="14">
        <f>U28+1</f>
        <v>37</v>
      </c>
      <c r="W28" s="14">
        <v>80</v>
      </c>
      <c r="X28" s="14">
        <v>82</v>
      </c>
      <c r="Y28" s="14">
        <v>83</v>
      </c>
      <c r="Z28" s="14">
        <v>84</v>
      </c>
      <c r="AA28" s="14">
        <v>88</v>
      </c>
      <c r="AB28" s="14">
        <f>AA28+1</f>
        <v>89</v>
      </c>
      <c r="AC28" s="14">
        <f>AB28+1</f>
        <v>90</v>
      </c>
      <c r="AD28" s="14">
        <v>92</v>
      </c>
      <c r="AE28" s="14">
        <f>AD28+1</f>
        <v>93</v>
      </c>
      <c r="AF28" s="14">
        <f>AE28+1</f>
        <v>94</v>
      </c>
      <c r="AG28" s="14" t="e">
        <v>#N/A</v>
      </c>
      <c r="AH28" s="14" t="e">
        <f>AG28+1</f>
        <v>#N/A</v>
      </c>
      <c r="AI28" s="14">
        <v>98</v>
      </c>
      <c r="AJ28" s="14">
        <f>AI28+1</f>
        <v>99</v>
      </c>
      <c r="AK28" s="14">
        <f>AJ28+1</f>
        <v>100</v>
      </c>
      <c r="AL28" s="14">
        <f>AK28+1</f>
        <v>101</v>
      </c>
      <c r="AM28" s="14">
        <f>AL28+2</f>
        <v>103</v>
      </c>
      <c r="AN28" s="14">
        <f>AM28+1</f>
        <v>104</v>
      </c>
      <c r="AO28" s="14">
        <f>AN28+1</f>
        <v>105</v>
      </c>
      <c r="AP28" s="14">
        <f>AO28+1</f>
        <v>106</v>
      </c>
      <c r="AQ28" s="14" t="e">
        <v>#N/A</v>
      </c>
      <c r="AR28" s="14" t="e">
        <v>#N/A</v>
      </c>
      <c r="AS28" s="14">
        <f>AP28+2</f>
        <v>108</v>
      </c>
      <c r="AT28" s="14">
        <f>AS28+1</f>
        <v>109</v>
      </c>
      <c r="AU28" s="14">
        <f>AT28+1</f>
        <v>110</v>
      </c>
      <c r="AV28" s="14">
        <v>112</v>
      </c>
      <c r="AW28" s="14">
        <f>AV28+1</f>
        <v>113</v>
      </c>
      <c r="AX28" s="14">
        <f>AW28+2</f>
        <v>115</v>
      </c>
      <c r="AY28" s="14">
        <f>AX28+1</f>
        <v>116</v>
      </c>
      <c r="AZ28" s="14">
        <f>AY28+1</f>
        <v>117</v>
      </c>
      <c r="BA28" s="14">
        <f>AZ28+1</f>
        <v>118</v>
      </c>
      <c r="BB28" s="14">
        <f>BA28+1</f>
        <v>119</v>
      </c>
      <c r="BC28" s="14" t="e">
        <v>#N/A</v>
      </c>
      <c r="BD28" s="14" t="e">
        <v>#N/A</v>
      </c>
      <c r="BE28" s="14">
        <v>120</v>
      </c>
      <c r="BF28" s="14">
        <v>124</v>
      </c>
      <c r="BG28" s="14">
        <f>BF28+1</f>
        <v>125</v>
      </c>
      <c r="BH28" s="14">
        <f>BG28+1</f>
        <v>126</v>
      </c>
      <c r="BI28" s="14">
        <f>BH28+2</f>
        <v>128</v>
      </c>
      <c r="BJ28" s="14">
        <f>BI28+1</f>
        <v>129</v>
      </c>
      <c r="BK28" s="14">
        <f>BJ28+1</f>
        <v>130</v>
      </c>
      <c r="BL28" s="14">
        <f>BK28+3</f>
        <v>133</v>
      </c>
      <c r="BM28" s="14">
        <f>BL28+1</f>
        <v>134</v>
      </c>
      <c r="BN28" s="14">
        <f>BM28+4</f>
        <v>138</v>
      </c>
      <c r="BO28" s="14">
        <f>BN28+1</f>
        <v>139</v>
      </c>
      <c r="BP28" s="14">
        <f>BO28+2</f>
        <v>141</v>
      </c>
      <c r="BQ28" s="14">
        <f>BP28+1</f>
        <v>142</v>
      </c>
      <c r="BR28" s="14">
        <f>BQ28+4</f>
        <v>146</v>
      </c>
      <c r="BS28" s="14">
        <f>BR28+2</f>
        <v>148</v>
      </c>
      <c r="BT28" s="14">
        <f>BS28+1</f>
        <v>149</v>
      </c>
      <c r="BU28" s="14">
        <f>BT28+2</f>
        <v>151</v>
      </c>
      <c r="BV28" s="14">
        <f>BU28+1</f>
        <v>152</v>
      </c>
      <c r="BW28" s="14">
        <f>BV28+4</f>
        <v>156</v>
      </c>
      <c r="BX28" s="14">
        <f>BW28+1</f>
        <v>157</v>
      </c>
      <c r="BY28" s="14">
        <f>BX28+3</f>
        <v>160</v>
      </c>
      <c r="BZ28" s="14">
        <f t="shared" ref="BZ28:CF28" si="107">BY28+1</f>
        <v>161</v>
      </c>
      <c r="CA28" s="14">
        <f t="shared" si="107"/>
        <v>162</v>
      </c>
      <c r="CB28" s="14">
        <f t="shared" si="107"/>
        <v>163</v>
      </c>
      <c r="CC28" s="14">
        <f t="shared" si="107"/>
        <v>164</v>
      </c>
      <c r="CD28" s="14">
        <f t="shared" si="107"/>
        <v>165</v>
      </c>
      <c r="CE28" s="14">
        <f>CD28+3</f>
        <v>168</v>
      </c>
      <c r="CF28" s="14">
        <f t="shared" si="107"/>
        <v>169</v>
      </c>
      <c r="CG28" s="14">
        <f>CF28+5</f>
        <v>174</v>
      </c>
      <c r="CH28" s="14">
        <f>CG28+1</f>
        <v>175</v>
      </c>
      <c r="CI28" s="14">
        <f>CH28+2</f>
        <v>177</v>
      </c>
      <c r="CJ28" s="14">
        <f>CI28+1</f>
        <v>178</v>
      </c>
      <c r="CK28" s="14">
        <f>CJ28+5</f>
        <v>183</v>
      </c>
      <c r="CL28" s="14">
        <f>CK28+1</f>
        <v>184</v>
      </c>
      <c r="CM28" s="14">
        <f>CL28+2</f>
        <v>186</v>
      </c>
      <c r="CN28" s="14">
        <f>CM28+1</f>
        <v>187</v>
      </c>
      <c r="CO28" s="14">
        <f>CN28+5</f>
        <v>192</v>
      </c>
      <c r="CP28" s="14">
        <f>CO28+1</f>
        <v>193</v>
      </c>
      <c r="CQ28" s="14">
        <v>196</v>
      </c>
      <c r="CR28" s="14">
        <v>197</v>
      </c>
      <c r="CS28" s="14">
        <v>198</v>
      </c>
      <c r="CT28" s="14">
        <v>200</v>
      </c>
      <c r="CU28" s="14">
        <v>202</v>
      </c>
      <c r="CV28" s="14">
        <v>204</v>
      </c>
      <c r="CW28" s="14">
        <v>205</v>
      </c>
      <c r="CX28" s="14">
        <v>207</v>
      </c>
      <c r="CY28" s="14">
        <v>208</v>
      </c>
    </row>
    <row r="29" spans="2:201" x14ac:dyDescent="0.15">
      <c r="B29" s="7">
        <f t="shared" ref="B29:K29" ca="1" si="108">IF($A$1=FALSE,"-",B3-OFFSET($A54,0,B$28))</f>
        <v>0</v>
      </c>
      <c r="C29" s="7">
        <f t="shared" ca="1" si="108"/>
        <v>0</v>
      </c>
      <c r="D29" s="7">
        <f t="shared" ca="1" si="108"/>
        <v>0</v>
      </c>
      <c r="E29" s="7">
        <f t="shared" ca="1" si="108"/>
        <v>0</v>
      </c>
      <c r="F29" s="7">
        <f t="shared" ca="1" si="108"/>
        <v>0</v>
      </c>
      <c r="G29" s="7">
        <f t="shared" ca="1" si="108"/>
        <v>0</v>
      </c>
      <c r="H29" s="7">
        <f t="shared" ca="1" si="108"/>
        <v>0</v>
      </c>
      <c r="I29" s="7">
        <f t="shared" ca="1" si="108"/>
        <v>0</v>
      </c>
      <c r="J29" s="7">
        <f t="shared" ca="1" si="108"/>
        <v>0</v>
      </c>
      <c r="K29" s="7">
        <f t="shared" ca="1" si="108"/>
        <v>0</v>
      </c>
      <c r="L29" s="7"/>
      <c r="M29" s="7">
        <f t="shared" ref="M29:AR29" ca="1" si="109">IF($A$1=FALSE,"-",M3-OFFSET($A54,0,M$28))</f>
        <v>0</v>
      </c>
      <c r="N29" s="7">
        <f t="shared" ca="1" si="109"/>
        <v>0</v>
      </c>
      <c r="O29" s="7">
        <f t="shared" ca="1" si="109"/>
        <v>0</v>
      </c>
      <c r="P29" s="7">
        <f t="shared" ca="1" si="109"/>
        <v>0</v>
      </c>
      <c r="Q29" s="7">
        <f t="shared" ca="1" si="109"/>
        <v>0</v>
      </c>
      <c r="R29" s="7">
        <f t="shared" ca="1" si="109"/>
        <v>0</v>
      </c>
      <c r="S29" s="7">
        <f t="shared" ca="1" si="109"/>
        <v>0</v>
      </c>
      <c r="T29" s="7">
        <f t="shared" ca="1" si="109"/>
        <v>0</v>
      </c>
      <c r="U29" s="7"/>
      <c r="V29" s="7"/>
      <c r="W29" s="7">
        <f t="shared" ca="1" si="109"/>
        <v>0</v>
      </c>
      <c r="X29" s="7">
        <f t="shared" ca="1" si="109"/>
        <v>0</v>
      </c>
      <c r="Y29" s="7">
        <f t="shared" ca="1" si="109"/>
        <v>0</v>
      </c>
      <c r="Z29" s="7"/>
      <c r="AA29" s="7"/>
      <c r="AB29" s="7"/>
      <c r="AC29" s="7"/>
      <c r="AD29" s="7"/>
      <c r="AE29" s="7"/>
      <c r="AF29" s="7"/>
      <c r="AG29" s="7"/>
      <c r="AH29" s="7"/>
      <c r="AI29" s="7"/>
      <c r="AJ29" s="7"/>
      <c r="AK29" s="7"/>
      <c r="AL29" s="7"/>
      <c r="AM29" s="7"/>
      <c r="AN29" s="7"/>
      <c r="AO29" s="7"/>
      <c r="AP29" s="7">
        <f t="shared" ca="1" si="109"/>
        <v>0</v>
      </c>
      <c r="AQ29" s="7" t="e">
        <f t="shared" ca="1" si="109"/>
        <v>#VALUE!</v>
      </c>
      <c r="AR29" s="7" t="e">
        <f t="shared" ca="1" si="109"/>
        <v>#VALUE!</v>
      </c>
      <c r="AS29" s="7"/>
      <c r="AT29" s="7">
        <f t="shared" ref="AT29:BM29" ca="1" si="110">IF($A$1=FALSE,"-",AT3-OFFSET($A54,0,AT$28))</f>
        <v>0</v>
      </c>
      <c r="AU29" s="7">
        <f t="shared" ca="1" si="110"/>
        <v>0</v>
      </c>
      <c r="AV29" s="7"/>
      <c r="AW29" s="7"/>
      <c r="AX29" s="7"/>
      <c r="AY29" s="7"/>
      <c r="AZ29" s="7"/>
      <c r="BA29" s="7"/>
      <c r="BB29" s="7"/>
      <c r="BC29" s="7" t="e">
        <f t="shared" ca="1" si="110"/>
        <v>#VALUE!</v>
      </c>
      <c r="BD29" s="7" t="e">
        <f t="shared" ca="1" si="110"/>
        <v>#VALUE!</v>
      </c>
      <c r="BE29" s="7"/>
      <c r="BF29" s="7"/>
      <c r="BG29" s="7"/>
      <c r="BH29" s="7"/>
      <c r="BI29" s="7"/>
      <c r="BJ29" s="7"/>
      <c r="BK29" s="7"/>
      <c r="BL29" s="7">
        <f t="shared" ca="1" si="110"/>
        <v>0</v>
      </c>
      <c r="BM29" s="7">
        <f t="shared" ca="1" si="110"/>
        <v>0</v>
      </c>
      <c r="BN29" s="7"/>
      <c r="BO29" s="7"/>
      <c r="BP29" s="7"/>
      <c r="BQ29" s="7"/>
      <c r="BR29" s="7"/>
      <c r="BS29" s="7"/>
      <c r="BT29" s="7"/>
      <c r="BU29" s="7"/>
      <c r="BV29" s="7"/>
      <c r="BW29" s="7"/>
      <c r="BX29" s="7"/>
      <c r="BY29" s="7"/>
      <c r="BZ29" s="7"/>
      <c r="CA29" s="7"/>
      <c r="CB29" s="7"/>
      <c r="CC29" s="7"/>
      <c r="CD29" s="7"/>
      <c r="CE29" s="7"/>
      <c r="CF29" s="7"/>
      <c r="CG29" s="7"/>
      <c r="CH29" s="7"/>
      <c r="CI29" s="7"/>
      <c r="CJ29" s="7"/>
      <c r="CK29" s="7"/>
      <c r="CL29" s="7"/>
      <c r="CM29" s="7"/>
      <c r="CN29" s="7"/>
      <c r="CO29" s="7">
        <f t="shared" ref="CO29:CQ29" ca="1" si="111">IF($A$1=FALSE,"-",CO3-OFFSET($A54,0,CO$28))</f>
        <v>0</v>
      </c>
      <c r="CP29" s="7">
        <f t="shared" ca="1" si="111"/>
        <v>0</v>
      </c>
      <c r="CQ29" s="7">
        <f t="shared" ca="1" si="111"/>
        <v>0</v>
      </c>
      <c r="CR29" s="7">
        <f t="shared" ref="CR29:CS29" ca="1" si="112">IF($A$1=FALSE,"-",CR3-OFFSET($A54,0,CR$28))</f>
        <v>0</v>
      </c>
      <c r="CS29" s="7">
        <f t="shared" ca="1" si="112"/>
        <v>0</v>
      </c>
      <c r="CT29" s="7">
        <f t="shared" ref="CT29:CU29" ca="1" si="113">IF($A$1=FALSE,"-",CT3-OFFSET($A54,0,CT$28))</f>
        <v>0</v>
      </c>
      <c r="CU29" s="7">
        <f t="shared" ca="1" si="113"/>
        <v>0</v>
      </c>
      <c r="CV29" s="7">
        <f t="shared" ref="CV29:CW29" ca="1" si="114">IF($A$1=FALSE,"-",CV3-OFFSET($A54,0,CV$28))</f>
        <v>0</v>
      </c>
      <c r="CW29" s="7">
        <f t="shared" ca="1" si="114"/>
        <v>0</v>
      </c>
      <c r="CX29" s="7">
        <f t="shared" ref="CX29:CY29" ca="1" si="115">IF($A$1=FALSE,"-",CX3-OFFSET($A54,0,CX$28))</f>
        <v>0</v>
      </c>
      <c r="CY29" s="7">
        <f t="shared" ca="1" si="115"/>
        <v>0</v>
      </c>
    </row>
    <row r="30" spans="2:201" x14ac:dyDescent="0.15">
      <c r="B30" s="7">
        <f t="shared" ref="B30:K30" ca="1" si="116">IF($A$1=FALSE,"-",B4-OFFSET($A55,0,B$28))</f>
        <v>0</v>
      </c>
      <c r="C30" s="7">
        <f t="shared" ca="1" si="116"/>
        <v>0</v>
      </c>
      <c r="D30" s="7">
        <f t="shared" ca="1" si="116"/>
        <v>0</v>
      </c>
      <c r="E30" s="7">
        <f t="shared" ca="1" si="116"/>
        <v>0</v>
      </c>
      <c r="F30" s="7">
        <f t="shared" ca="1" si="116"/>
        <v>0</v>
      </c>
      <c r="G30" s="7">
        <f t="shared" ca="1" si="116"/>
        <v>0</v>
      </c>
      <c r="H30" s="7">
        <f t="shared" ca="1" si="116"/>
        <v>0</v>
      </c>
      <c r="I30" s="7">
        <f t="shared" ca="1" si="116"/>
        <v>0</v>
      </c>
      <c r="J30" s="7">
        <f t="shared" ca="1" si="116"/>
        <v>0</v>
      </c>
      <c r="K30" s="7">
        <f t="shared" ca="1" si="116"/>
        <v>0</v>
      </c>
      <c r="L30" s="7">
        <f t="shared" ref="L30:L49" ca="1" si="117">IF($A$1=FALSE,"-",L4-OFFSET($A55,0,L$28))</f>
        <v>0</v>
      </c>
      <c r="M30" s="7">
        <f t="shared" ref="M30:AR30" ca="1" si="118">IF($A$1=FALSE,"-",M4-OFFSET($A55,0,M$28))</f>
        <v>0</v>
      </c>
      <c r="N30" s="7">
        <f t="shared" ca="1" si="118"/>
        <v>0</v>
      </c>
      <c r="O30" s="7">
        <f t="shared" ca="1" si="118"/>
        <v>0</v>
      </c>
      <c r="P30" s="7">
        <f t="shared" ca="1" si="118"/>
        <v>0</v>
      </c>
      <c r="Q30" s="7">
        <f t="shared" ca="1" si="118"/>
        <v>0</v>
      </c>
      <c r="R30" s="7">
        <f t="shared" ca="1" si="118"/>
        <v>0</v>
      </c>
      <c r="S30" s="7">
        <f t="shared" ca="1" si="118"/>
        <v>0</v>
      </c>
      <c r="T30" s="7">
        <f t="shared" ca="1" si="118"/>
        <v>0</v>
      </c>
      <c r="U30" s="7">
        <f t="shared" ca="1" si="118"/>
        <v>0</v>
      </c>
      <c r="V30" s="7">
        <f t="shared" ca="1" si="118"/>
        <v>0</v>
      </c>
      <c r="W30" s="7">
        <f t="shared" ca="1" si="118"/>
        <v>0</v>
      </c>
      <c r="X30" s="7">
        <f t="shared" ca="1" si="118"/>
        <v>0</v>
      </c>
      <c r="Y30" s="7">
        <f t="shared" ca="1" si="118"/>
        <v>0</v>
      </c>
      <c r="Z30" s="7">
        <f t="shared" ca="1" si="118"/>
        <v>0</v>
      </c>
      <c r="AA30" s="7">
        <f t="shared" ca="1" si="118"/>
        <v>0</v>
      </c>
      <c r="AB30" s="7">
        <f t="shared" ca="1" si="118"/>
        <v>0</v>
      </c>
      <c r="AC30" s="7">
        <f t="shared" ca="1" si="118"/>
        <v>0</v>
      </c>
      <c r="AD30" s="7">
        <f t="shared" ca="1" si="118"/>
        <v>0</v>
      </c>
      <c r="AE30" s="7">
        <f t="shared" ca="1" si="118"/>
        <v>0</v>
      </c>
      <c r="AF30" s="7">
        <f t="shared" ca="1" si="118"/>
        <v>0</v>
      </c>
      <c r="AG30" s="7" t="e">
        <f t="shared" ca="1" si="118"/>
        <v>#VALUE!</v>
      </c>
      <c r="AH30" s="7" t="e">
        <f t="shared" ca="1" si="118"/>
        <v>#VALUE!</v>
      </c>
      <c r="AI30" s="7">
        <f t="shared" ca="1" si="118"/>
        <v>0</v>
      </c>
      <c r="AJ30" s="7">
        <f t="shared" ca="1" si="118"/>
        <v>0</v>
      </c>
      <c r="AK30" s="7">
        <f t="shared" ca="1" si="118"/>
        <v>0</v>
      </c>
      <c r="AL30" s="7">
        <f t="shared" ca="1" si="118"/>
        <v>0</v>
      </c>
      <c r="AM30" s="7">
        <f t="shared" ca="1" si="118"/>
        <v>0</v>
      </c>
      <c r="AN30" s="7">
        <f t="shared" ca="1" si="118"/>
        <v>0</v>
      </c>
      <c r="AO30" s="7">
        <f t="shared" ca="1" si="118"/>
        <v>0</v>
      </c>
      <c r="AP30" s="7">
        <f t="shared" ca="1" si="118"/>
        <v>0</v>
      </c>
      <c r="AQ30" s="7" t="e">
        <f t="shared" ca="1" si="118"/>
        <v>#VALUE!</v>
      </c>
      <c r="AR30" s="7" t="e">
        <f t="shared" ca="1" si="118"/>
        <v>#VALUE!</v>
      </c>
      <c r="AS30" s="7">
        <f t="shared" ref="AS30:BX30" ca="1" si="119">IF($A$1=FALSE,"-",AS4-OFFSET($A55,0,AS$28))</f>
        <v>0</v>
      </c>
      <c r="AT30" s="7">
        <f t="shared" ca="1" si="119"/>
        <v>0</v>
      </c>
      <c r="AU30" s="7">
        <f t="shared" ca="1" si="119"/>
        <v>0</v>
      </c>
      <c r="AV30" s="7">
        <f t="shared" ca="1" si="119"/>
        <v>0</v>
      </c>
      <c r="AW30" s="7">
        <f t="shared" ca="1" si="119"/>
        <v>0</v>
      </c>
      <c r="AX30" s="7">
        <f t="shared" ca="1" si="119"/>
        <v>0</v>
      </c>
      <c r="AY30" s="7">
        <f t="shared" ca="1" si="119"/>
        <v>0</v>
      </c>
      <c r="AZ30" s="7">
        <f t="shared" ca="1" si="119"/>
        <v>0</v>
      </c>
      <c r="BA30" s="7">
        <f t="shared" ca="1" si="119"/>
        <v>0</v>
      </c>
      <c r="BB30" s="7">
        <f t="shared" ca="1" si="119"/>
        <v>0</v>
      </c>
      <c r="BC30" s="7" t="e">
        <f t="shared" ca="1" si="119"/>
        <v>#VALUE!</v>
      </c>
      <c r="BD30" s="7" t="e">
        <f t="shared" ca="1" si="119"/>
        <v>#VALUE!</v>
      </c>
      <c r="BE30" s="7">
        <f t="shared" ca="1" si="119"/>
        <v>0</v>
      </c>
      <c r="BF30" s="7">
        <f t="shared" ca="1" si="119"/>
        <v>0</v>
      </c>
      <c r="BG30" s="7">
        <f t="shared" ca="1" si="119"/>
        <v>0</v>
      </c>
      <c r="BH30" s="7">
        <f t="shared" ca="1" si="119"/>
        <v>0</v>
      </c>
      <c r="BI30" s="7">
        <f t="shared" ca="1" si="119"/>
        <v>0</v>
      </c>
      <c r="BJ30" s="7">
        <f t="shared" ca="1" si="119"/>
        <v>0</v>
      </c>
      <c r="BK30" s="7">
        <f t="shared" ca="1" si="119"/>
        <v>0</v>
      </c>
      <c r="BL30" s="7">
        <f t="shared" ca="1" si="119"/>
        <v>0</v>
      </c>
      <c r="BM30" s="7">
        <f t="shared" ca="1" si="119"/>
        <v>0</v>
      </c>
      <c r="BN30" s="7">
        <f t="shared" ca="1" si="119"/>
        <v>0</v>
      </c>
      <c r="BO30" s="7">
        <f t="shared" ca="1" si="119"/>
        <v>0</v>
      </c>
      <c r="BP30" s="7">
        <f t="shared" ca="1" si="119"/>
        <v>0</v>
      </c>
      <c r="BQ30" s="7">
        <f t="shared" ca="1" si="119"/>
        <v>0</v>
      </c>
      <c r="BR30" s="7">
        <f t="shared" ca="1" si="119"/>
        <v>0</v>
      </c>
      <c r="BS30" s="7">
        <f t="shared" ca="1" si="119"/>
        <v>0</v>
      </c>
      <c r="BT30" s="7">
        <f t="shared" ca="1" si="119"/>
        <v>0</v>
      </c>
      <c r="BU30" s="7">
        <f t="shared" ca="1" si="119"/>
        <v>0</v>
      </c>
      <c r="BV30" s="7">
        <f t="shared" ca="1" si="119"/>
        <v>0</v>
      </c>
      <c r="BW30" s="7">
        <f t="shared" ca="1" si="119"/>
        <v>0</v>
      </c>
      <c r="BX30" s="7">
        <f t="shared" ca="1" si="119"/>
        <v>0</v>
      </c>
      <c r="BY30" s="7">
        <f t="shared" ref="BY30:CQ30" ca="1" si="120">IF($A$1=FALSE,"-",BY4-OFFSET($A55,0,BY$28))</f>
        <v>0</v>
      </c>
      <c r="BZ30" s="7">
        <f t="shared" ca="1" si="120"/>
        <v>0</v>
      </c>
      <c r="CA30" s="7">
        <f t="shared" ca="1" si="120"/>
        <v>0</v>
      </c>
      <c r="CB30" s="7">
        <f t="shared" ca="1" si="120"/>
        <v>0</v>
      </c>
      <c r="CC30" s="7">
        <f t="shared" ca="1" si="120"/>
        <v>0</v>
      </c>
      <c r="CD30" s="7">
        <f t="shared" ca="1" si="120"/>
        <v>0</v>
      </c>
      <c r="CE30" s="7">
        <f t="shared" ca="1" si="120"/>
        <v>0</v>
      </c>
      <c r="CF30" s="7">
        <f t="shared" ca="1" si="120"/>
        <v>0</v>
      </c>
      <c r="CG30" s="7">
        <f t="shared" ca="1" si="120"/>
        <v>0</v>
      </c>
      <c r="CH30" s="7">
        <f t="shared" ca="1" si="120"/>
        <v>0</v>
      </c>
      <c r="CI30" s="7">
        <f t="shared" ca="1" si="120"/>
        <v>0</v>
      </c>
      <c r="CJ30" s="7">
        <f t="shared" ca="1" si="120"/>
        <v>0</v>
      </c>
      <c r="CK30" s="7">
        <f t="shared" ca="1" si="120"/>
        <v>0</v>
      </c>
      <c r="CL30" s="7">
        <f t="shared" ca="1" si="120"/>
        <v>0</v>
      </c>
      <c r="CM30" s="7" t="e">
        <f t="shared" ca="1" si="120"/>
        <v>#VALUE!</v>
      </c>
      <c r="CN30" s="7" t="e">
        <f t="shared" ca="1" si="120"/>
        <v>#VALUE!</v>
      </c>
      <c r="CO30" s="7">
        <f t="shared" ca="1" si="120"/>
        <v>0</v>
      </c>
      <c r="CP30" s="7">
        <f t="shared" ca="1" si="120"/>
        <v>0</v>
      </c>
      <c r="CQ30" s="7">
        <f t="shared" ca="1" si="120"/>
        <v>0</v>
      </c>
      <c r="CR30" s="7">
        <f t="shared" ref="CR30:CS30" ca="1" si="121">IF($A$1=FALSE,"-",CR4-OFFSET($A55,0,CR$28))</f>
        <v>0</v>
      </c>
      <c r="CS30" s="7">
        <f t="shared" ca="1" si="121"/>
        <v>0</v>
      </c>
      <c r="CT30" s="7">
        <f t="shared" ref="CT30:CU30" ca="1" si="122">IF($A$1=FALSE,"-",CT4-OFFSET($A55,0,CT$28))</f>
        <v>0</v>
      </c>
      <c r="CU30" s="7">
        <f t="shared" ca="1" si="122"/>
        <v>0</v>
      </c>
      <c r="CV30" s="7">
        <f t="shared" ref="CV30:CW30" ca="1" si="123">IF($A$1=FALSE,"-",CV4-OFFSET($A55,0,CV$28))</f>
        <v>0</v>
      </c>
      <c r="CW30" s="7">
        <f t="shared" ca="1" si="123"/>
        <v>0</v>
      </c>
      <c r="CX30" s="7">
        <f t="shared" ref="CX30:CY30" ca="1" si="124">IF($A$1=FALSE,"-",CX4-OFFSET($A55,0,CX$28))</f>
        <v>0</v>
      </c>
      <c r="CY30" s="7">
        <f t="shared" ca="1" si="124"/>
        <v>0</v>
      </c>
    </row>
    <row r="31" spans="2:201" x14ac:dyDescent="0.15">
      <c r="B31" s="7">
        <f t="shared" ref="B31:K31" ca="1" si="125">IF($A$1=FALSE,"-",B5-OFFSET($A56,0,B$28))</f>
        <v>0</v>
      </c>
      <c r="C31" s="7">
        <f t="shared" ca="1" si="125"/>
        <v>0</v>
      </c>
      <c r="D31" s="7">
        <f t="shared" ca="1" si="125"/>
        <v>0</v>
      </c>
      <c r="E31" s="7">
        <f t="shared" ca="1" si="125"/>
        <v>0</v>
      </c>
      <c r="F31" s="7">
        <f t="shared" ca="1" si="125"/>
        <v>0</v>
      </c>
      <c r="G31" s="7">
        <f t="shared" ca="1" si="125"/>
        <v>0</v>
      </c>
      <c r="H31" s="7">
        <f t="shared" ca="1" si="125"/>
        <v>0</v>
      </c>
      <c r="I31" s="7">
        <f t="shared" ca="1" si="125"/>
        <v>0</v>
      </c>
      <c r="J31" s="7">
        <f t="shared" ca="1" si="125"/>
        <v>0</v>
      </c>
      <c r="K31" s="7">
        <f t="shared" ca="1" si="125"/>
        <v>0</v>
      </c>
      <c r="L31" s="7">
        <f t="shared" ca="1" si="117"/>
        <v>0</v>
      </c>
      <c r="M31" s="7">
        <f t="shared" ref="M31:AR31" ca="1" si="126">IF($A$1=FALSE,"-",M5-OFFSET($A56,0,M$28))</f>
        <v>0</v>
      </c>
      <c r="N31" s="7">
        <f t="shared" ca="1" si="126"/>
        <v>0</v>
      </c>
      <c r="O31" s="7">
        <f t="shared" ca="1" si="126"/>
        <v>0</v>
      </c>
      <c r="P31" s="7">
        <f t="shared" ca="1" si="126"/>
        <v>0</v>
      </c>
      <c r="Q31" s="7">
        <f t="shared" ca="1" si="126"/>
        <v>0</v>
      </c>
      <c r="R31" s="7">
        <f t="shared" ca="1" si="126"/>
        <v>0</v>
      </c>
      <c r="S31" s="7">
        <f t="shared" ca="1" si="126"/>
        <v>0</v>
      </c>
      <c r="T31" s="7">
        <f t="shared" ca="1" si="126"/>
        <v>0</v>
      </c>
      <c r="U31" s="7">
        <f t="shared" ca="1" si="126"/>
        <v>0</v>
      </c>
      <c r="V31" s="7">
        <f t="shared" ca="1" si="126"/>
        <v>0</v>
      </c>
      <c r="W31" s="7">
        <f t="shared" ca="1" si="126"/>
        <v>0</v>
      </c>
      <c r="X31" s="7">
        <f t="shared" ca="1" si="126"/>
        <v>0</v>
      </c>
      <c r="Y31" s="7">
        <f t="shared" ca="1" si="126"/>
        <v>0</v>
      </c>
      <c r="Z31" s="7">
        <f t="shared" ca="1" si="126"/>
        <v>0</v>
      </c>
      <c r="AA31" s="7">
        <f t="shared" ca="1" si="126"/>
        <v>0</v>
      </c>
      <c r="AB31" s="7">
        <f t="shared" ca="1" si="126"/>
        <v>0</v>
      </c>
      <c r="AC31" s="7">
        <f t="shared" ca="1" si="126"/>
        <v>0</v>
      </c>
      <c r="AD31" s="7">
        <f t="shared" ca="1" si="126"/>
        <v>0</v>
      </c>
      <c r="AE31" s="7">
        <f t="shared" ca="1" si="126"/>
        <v>0</v>
      </c>
      <c r="AF31" s="7">
        <f t="shared" ca="1" si="126"/>
        <v>0</v>
      </c>
      <c r="AG31" s="7" t="e">
        <f t="shared" ca="1" si="126"/>
        <v>#VALUE!</v>
      </c>
      <c r="AH31" s="7" t="e">
        <f t="shared" ca="1" si="126"/>
        <v>#VALUE!</v>
      </c>
      <c r="AI31" s="7">
        <f t="shared" ca="1" si="126"/>
        <v>0</v>
      </c>
      <c r="AJ31" s="7">
        <f t="shared" ca="1" si="126"/>
        <v>0</v>
      </c>
      <c r="AK31" s="7">
        <f t="shared" ca="1" si="126"/>
        <v>0</v>
      </c>
      <c r="AL31" s="7">
        <f t="shared" ca="1" si="126"/>
        <v>0</v>
      </c>
      <c r="AM31" s="7">
        <f t="shared" ca="1" si="126"/>
        <v>0</v>
      </c>
      <c r="AN31" s="7">
        <f t="shared" ca="1" si="126"/>
        <v>0</v>
      </c>
      <c r="AO31" s="7">
        <f t="shared" ca="1" si="126"/>
        <v>0</v>
      </c>
      <c r="AP31" s="7">
        <f t="shared" ca="1" si="126"/>
        <v>0</v>
      </c>
      <c r="AQ31" s="7" t="e">
        <f t="shared" ca="1" si="126"/>
        <v>#VALUE!</v>
      </c>
      <c r="AR31" s="7" t="e">
        <f t="shared" ca="1" si="126"/>
        <v>#VALUE!</v>
      </c>
      <c r="AS31" s="7">
        <f t="shared" ref="AS31:BX31" ca="1" si="127">IF($A$1=FALSE,"-",AS5-OFFSET($A56,0,AS$28))</f>
        <v>0</v>
      </c>
      <c r="AT31" s="7">
        <f t="shared" ca="1" si="127"/>
        <v>0</v>
      </c>
      <c r="AU31" s="7">
        <f t="shared" ca="1" si="127"/>
        <v>0</v>
      </c>
      <c r="AV31" s="7">
        <f t="shared" ca="1" si="127"/>
        <v>0</v>
      </c>
      <c r="AW31" s="7">
        <f t="shared" ca="1" si="127"/>
        <v>0</v>
      </c>
      <c r="AX31" s="7">
        <f t="shared" ca="1" si="127"/>
        <v>0</v>
      </c>
      <c r="AY31" s="7">
        <f t="shared" ca="1" si="127"/>
        <v>0</v>
      </c>
      <c r="AZ31" s="7">
        <f t="shared" ca="1" si="127"/>
        <v>0</v>
      </c>
      <c r="BA31" s="7">
        <f t="shared" ca="1" si="127"/>
        <v>0</v>
      </c>
      <c r="BB31" s="7">
        <f t="shared" ca="1" si="127"/>
        <v>0</v>
      </c>
      <c r="BC31" s="7" t="e">
        <f t="shared" ca="1" si="127"/>
        <v>#VALUE!</v>
      </c>
      <c r="BD31" s="7" t="e">
        <f t="shared" ca="1" si="127"/>
        <v>#VALUE!</v>
      </c>
      <c r="BE31" s="7">
        <f t="shared" ca="1" si="127"/>
        <v>0</v>
      </c>
      <c r="BF31" s="7">
        <f t="shared" ca="1" si="127"/>
        <v>0</v>
      </c>
      <c r="BG31" s="7">
        <f t="shared" ca="1" si="127"/>
        <v>0</v>
      </c>
      <c r="BH31" s="7">
        <f t="shared" ca="1" si="127"/>
        <v>0</v>
      </c>
      <c r="BI31" s="7">
        <f t="shared" ca="1" si="127"/>
        <v>0</v>
      </c>
      <c r="BJ31" s="7">
        <f t="shared" ca="1" si="127"/>
        <v>0</v>
      </c>
      <c r="BK31" s="7">
        <f t="shared" ca="1" si="127"/>
        <v>0</v>
      </c>
      <c r="BL31" s="7">
        <f t="shared" ca="1" si="127"/>
        <v>0</v>
      </c>
      <c r="BM31" s="7">
        <f t="shared" ca="1" si="127"/>
        <v>0</v>
      </c>
      <c r="BN31" s="7">
        <f t="shared" ca="1" si="127"/>
        <v>0</v>
      </c>
      <c r="BO31" s="7">
        <f t="shared" ca="1" si="127"/>
        <v>0</v>
      </c>
      <c r="BP31" s="7">
        <f t="shared" ca="1" si="127"/>
        <v>0</v>
      </c>
      <c r="BQ31" s="7">
        <f t="shared" ca="1" si="127"/>
        <v>0</v>
      </c>
      <c r="BR31" s="7">
        <f t="shared" ca="1" si="127"/>
        <v>0</v>
      </c>
      <c r="BS31" s="7">
        <f t="shared" ca="1" si="127"/>
        <v>0</v>
      </c>
      <c r="BT31" s="7">
        <f t="shared" ca="1" si="127"/>
        <v>0</v>
      </c>
      <c r="BU31" s="7">
        <f t="shared" ca="1" si="127"/>
        <v>0</v>
      </c>
      <c r="BV31" s="7">
        <f t="shared" ca="1" si="127"/>
        <v>0</v>
      </c>
      <c r="BW31" s="7">
        <f t="shared" ca="1" si="127"/>
        <v>0</v>
      </c>
      <c r="BX31" s="7">
        <f t="shared" ca="1" si="127"/>
        <v>0</v>
      </c>
      <c r="BY31" s="7">
        <f t="shared" ref="BY31:CQ31" ca="1" si="128">IF($A$1=FALSE,"-",BY5-OFFSET($A56,0,BY$28))</f>
        <v>0</v>
      </c>
      <c r="BZ31" s="7">
        <f t="shared" ca="1" si="128"/>
        <v>0</v>
      </c>
      <c r="CA31" s="7">
        <f t="shared" ca="1" si="128"/>
        <v>0</v>
      </c>
      <c r="CB31" s="7">
        <f t="shared" ca="1" si="128"/>
        <v>0</v>
      </c>
      <c r="CC31" s="7">
        <f t="shared" ca="1" si="128"/>
        <v>0</v>
      </c>
      <c r="CD31" s="7">
        <f t="shared" ca="1" si="128"/>
        <v>0</v>
      </c>
      <c r="CE31" s="7">
        <f t="shared" ca="1" si="128"/>
        <v>0</v>
      </c>
      <c r="CF31" s="7">
        <f t="shared" ca="1" si="128"/>
        <v>0</v>
      </c>
      <c r="CG31" s="7">
        <f t="shared" ca="1" si="128"/>
        <v>0</v>
      </c>
      <c r="CH31" s="7">
        <f t="shared" ca="1" si="128"/>
        <v>0</v>
      </c>
      <c r="CI31" s="7">
        <f t="shared" ca="1" si="128"/>
        <v>0</v>
      </c>
      <c r="CJ31" s="7">
        <f t="shared" ca="1" si="128"/>
        <v>5.5511151231257827E-17</v>
      </c>
      <c r="CK31" s="7">
        <f t="shared" ca="1" si="128"/>
        <v>0</v>
      </c>
      <c r="CL31" s="7">
        <f t="shared" ca="1" si="128"/>
        <v>0</v>
      </c>
      <c r="CM31" s="7" t="e">
        <f t="shared" ca="1" si="128"/>
        <v>#VALUE!</v>
      </c>
      <c r="CN31" s="7" t="e">
        <f t="shared" ca="1" si="128"/>
        <v>#VALUE!</v>
      </c>
      <c r="CO31" s="7">
        <f t="shared" ca="1" si="128"/>
        <v>0</v>
      </c>
      <c r="CP31" s="7">
        <f t="shared" ca="1" si="128"/>
        <v>0</v>
      </c>
      <c r="CQ31" s="7">
        <f t="shared" ca="1" si="128"/>
        <v>0</v>
      </c>
      <c r="CR31" s="7">
        <f t="shared" ref="CR31:CS31" ca="1" si="129">IF($A$1=FALSE,"-",CR5-OFFSET($A56,0,CR$28))</f>
        <v>0</v>
      </c>
      <c r="CS31" s="7">
        <f t="shared" ca="1" si="129"/>
        <v>0</v>
      </c>
      <c r="CT31" s="7">
        <f t="shared" ref="CT31:CU31" ca="1" si="130">IF($A$1=FALSE,"-",CT5-OFFSET($A56,0,CT$28))</f>
        <v>0</v>
      </c>
      <c r="CU31" s="7">
        <f t="shared" ca="1" si="130"/>
        <v>0</v>
      </c>
      <c r="CV31" s="7">
        <f t="shared" ref="CV31:CW31" ca="1" si="131">IF($A$1=FALSE,"-",CV5-OFFSET($A56,0,CV$28))</f>
        <v>0</v>
      </c>
      <c r="CW31" s="7">
        <f t="shared" ca="1" si="131"/>
        <v>0</v>
      </c>
      <c r="CX31" s="7">
        <f t="shared" ref="CX31:CY31" ca="1" si="132">IF($A$1=FALSE,"-",CX5-OFFSET($A56,0,CX$28))</f>
        <v>0</v>
      </c>
      <c r="CY31" s="7">
        <f t="shared" ca="1" si="132"/>
        <v>0</v>
      </c>
    </row>
    <row r="32" spans="2:201" x14ac:dyDescent="0.15">
      <c r="B32" s="7">
        <f t="shared" ref="B32:K32" ca="1" si="133">IF($A$1=FALSE,"-",B6-OFFSET($A57,0,B$28))</f>
        <v>0</v>
      </c>
      <c r="C32" s="7">
        <f t="shared" ca="1" si="133"/>
        <v>0</v>
      </c>
      <c r="D32" s="7">
        <f t="shared" ca="1" si="133"/>
        <v>0</v>
      </c>
      <c r="E32" s="7">
        <f t="shared" ca="1" si="133"/>
        <v>0</v>
      </c>
      <c r="F32" s="7">
        <f t="shared" ca="1" si="133"/>
        <v>0</v>
      </c>
      <c r="G32" s="7">
        <f t="shared" ca="1" si="133"/>
        <v>0</v>
      </c>
      <c r="H32" s="7">
        <f t="shared" ca="1" si="133"/>
        <v>0</v>
      </c>
      <c r="I32" s="7">
        <f t="shared" ca="1" si="133"/>
        <v>0</v>
      </c>
      <c r="J32" s="7">
        <f t="shared" ca="1" si="133"/>
        <v>0</v>
      </c>
      <c r="K32" s="7">
        <f t="shared" ca="1" si="133"/>
        <v>0</v>
      </c>
      <c r="L32" s="7">
        <f t="shared" ca="1" si="117"/>
        <v>0</v>
      </c>
      <c r="M32" s="7">
        <f t="shared" ref="M32:AR32" ca="1" si="134">IF($A$1=FALSE,"-",M6-OFFSET($A57,0,M$28))</f>
        <v>0</v>
      </c>
      <c r="N32" s="7">
        <f t="shared" ca="1" si="134"/>
        <v>0</v>
      </c>
      <c r="O32" s="7">
        <f t="shared" ca="1" si="134"/>
        <v>3.4694469519536142E-18</v>
      </c>
      <c r="P32" s="7">
        <f t="shared" ca="1" si="134"/>
        <v>0</v>
      </c>
      <c r="Q32" s="7">
        <f t="shared" ca="1" si="134"/>
        <v>0</v>
      </c>
      <c r="R32" s="7">
        <f t="shared" ca="1" si="134"/>
        <v>0</v>
      </c>
      <c r="S32" s="7">
        <f t="shared" ca="1" si="134"/>
        <v>0</v>
      </c>
      <c r="T32" s="7">
        <f t="shared" ca="1" si="134"/>
        <v>0</v>
      </c>
      <c r="U32" s="7">
        <f t="shared" ca="1" si="134"/>
        <v>0</v>
      </c>
      <c r="V32" s="7">
        <f t="shared" ca="1" si="134"/>
        <v>0</v>
      </c>
      <c r="W32" s="7">
        <f t="shared" ca="1" si="134"/>
        <v>0</v>
      </c>
      <c r="X32" s="7">
        <f t="shared" ca="1" si="134"/>
        <v>0</v>
      </c>
      <c r="Y32" s="7">
        <f t="shared" ca="1" si="134"/>
        <v>0</v>
      </c>
      <c r="Z32" s="7">
        <f t="shared" ca="1" si="134"/>
        <v>0</v>
      </c>
      <c r="AA32" s="7">
        <f t="shared" ca="1" si="134"/>
        <v>0</v>
      </c>
      <c r="AB32" s="7">
        <f t="shared" ca="1" si="134"/>
        <v>0</v>
      </c>
      <c r="AC32" s="7">
        <f t="shared" ca="1" si="134"/>
        <v>0</v>
      </c>
      <c r="AD32" s="7">
        <f t="shared" ca="1" si="134"/>
        <v>0</v>
      </c>
      <c r="AE32" s="7">
        <f t="shared" ca="1" si="134"/>
        <v>0</v>
      </c>
      <c r="AF32" s="7">
        <f t="shared" ca="1" si="134"/>
        <v>0</v>
      </c>
      <c r="AG32" s="7" t="e">
        <f t="shared" ca="1" si="134"/>
        <v>#VALUE!</v>
      </c>
      <c r="AH32" s="7" t="e">
        <f t="shared" ca="1" si="134"/>
        <v>#VALUE!</v>
      </c>
      <c r="AI32" s="7">
        <f t="shared" ca="1" si="134"/>
        <v>0</v>
      </c>
      <c r="AJ32" s="7">
        <f t="shared" ca="1" si="134"/>
        <v>0</v>
      </c>
      <c r="AK32" s="7">
        <f t="shared" ca="1" si="134"/>
        <v>0</v>
      </c>
      <c r="AL32" s="7">
        <f t="shared" ca="1" si="134"/>
        <v>0</v>
      </c>
      <c r="AM32" s="7">
        <f t="shared" ca="1" si="134"/>
        <v>0</v>
      </c>
      <c r="AN32" s="7">
        <f t="shared" ca="1" si="134"/>
        <v>0</v>
      </c>
      <c r="AO32" s="7">
        <f t="shared" ca="1" si="134"/>
        <v>0</v>
      </c>
      <c r="AP32" s="7">
        <f t="shared" ca="1" si="134"/>
        <v>0</v>
      </c>
      <c r="AQ32" s="7" t="e">
        <f t="shared" ca="1" si="134"/>
        <v>#VALUE!</v>
      </c>
      <c r="AR32" s="7" t="e">
        <f t="shared" ca="1" si="134"/>
        <v>#VALUE!</v>
      </c>
      <c r="AS32" s="7">
        <f t="shared" ref="AS32:BX32" ca="1" si="135">IF($A$1=FALSE,"-",AS6-OFFSET($A57,0,AS$28))</f>
        <v>0</v>
      </c>
      <c r="AT32" s="7">
        <f t="shared" ca="1" si="135"/>
        <v>0</v>
      </c>
      <c r="AU32" s="7">
        <f t="shared" ca="1" si="135"/>
        <v>0</v>
      </c>
      <c r="AV32" s="7">
        <f t="shared" ca="1" si="135"/>
        <v>0</v>
      </c>
      <c r="AW32" s="7">
        <f t="shared" ca="1" si="135"/>
        <v>0</v>
      </c>
      <c r="AX32" s="7">
        <f t="shared" ca="1" si="135"/>
        <v>0</v>
      </c>
      <c r="AY32" s="7">
        <f t="shared" ca="1" si="135"/>
        <v>0</v>
      </c>
      <c r="AZ32" s="7">
        <f t="shared" ca="1" si="135"/>
        <v>0</v>
      </c>
      <c r="BA32" s="7">
        <f t="shared" ca="1" si="135"/>
        <v>0</v>
      </c>
      <c r="BB32" s="7">
        <f t="shared" ca="1" si="135"/>
        <v>0</v>
      </c>
      <c r="BC32" s="7" t="e">
        <f t="shared" ca="1" si="135"/>
        <v>#VALUE!</v>
      </c>
      <c r="BD32" s="7" t="e">
        <f t="shared" ca="1" si="135"/>
        <v>#VALUE!</v>
      </c>
      <c r="BE32" s="7">
        <f t="shared" ca="1" si="135"/>
        <v>0</v>
      </c>
      <c r="BF32" s="7">
        <f t="shared" ca="1" si="135"/>
        <v>0</v>
      </c>
      <c r="BG32" s="7">
        <f t="shared" ca="1" si="135"/>
        <v>0</v>
      </c>
      <c r="BH32" s="7">
        <f t="shared" ca="1" si="135"/>
        <v>0</v>
      </c>
      <c r="BI32" s="7">
        <f t="shared" ca="1" si="135"/>
        <v>0</v>
      </c>
      <c r="BJ32" s="7">
        <f t="shared" ca="1" si="135"/>
        <v>0</v>
      </c>
      <c r="BK32" s="7">
        <f t="shared" ca="1" si="135"/>
        <v>0</v>
      </c>
      <c r="BL32" s="7">
        <f t="shared" ca="1" si="135"/>
        <v>0</v>
      </c>
      <c r="BM32" s="7">
        <f t="shared" ca="1" si="135"/>
        <v>0</v>
      </c>
      <c r="BN32" s="7">
        <f t="shared" ca="1" si="135"/>
        <v>0</v>
      </c>
      <c r="BO32" s="7">
        <f t="shared" ca="1" si="135"/>
        <v>0</v>
      </c>
      <c r="BP32" s="7">
        <f t="shared" ca="1" si="135"/>
        <v>0</v>
      </c>
      <c r="BQ32" s="7">
        <f t="shared" ca="1" si="135"/>
        <v>0</v>
      </c>
      <c r="BR32" s="7">
        <f t="shared" ca="1" si="135"/>
        <v>0</v>
      </c>
      <c r="BS32" s="7">
        <f t="shared" ca="1" si="135"/>
        <v>0</v>
      </c>
      <c r="BT32" s="7">
        <f t="shared" ca="1" si="135"/>
        <v>0</v>
      </c>
      <c r="BU32" s="7">
        <f t="shared" ca="1" si="135"/>
        <v>0</v>
      </c>
      <c r="BV32" s="7">
        <f t="shared" ca="1" si="135"/>
        <v>0</v>
      </c>
      <c r="BW32" s="7">
        <f t="shared" ca="1" si="135"/>
        <v>0</v>
      </c>
      <c r="BX32" s="7">
        <f t="shared" ca="1" si="135"/>
        <v>0</v>
      </c>
      <c r="BY32" s="7">
        <f t="shared" ref="BY32:CQ32" ca="1" si="136">IF($A$1=FALSE,"-",BY6-OFFSET($A57,0,BY$28))</f>
        <v>0</v>
      </c>
      <c r="BZ32" s="7">
        <f t="shared" ca="1" si="136"/>
        <v>0</v>
      </c>
      <c r="CA32" s="7">
        <f t="shared" ca="1" si="136"/>
        <v>0</v>
      </c>
      <c r="CB32" s="7">
        <f t="shared" ca="1" si="136"/>
        <v>0</v>
      </c>
      <c r="CC32" s="7">
        <f t="shared" ca="1" si="136"/>
        <v>0</v>
      </c>
      <c r="CD32" s="7">
        <f t="shared" ca="1" si="136"/>
        <v>0</v>
      </c>
      <c r="CE32" s="7">
        <f t="shared" ca="1" si="136"/>
        <v>0</v>
      </c>
      <c r="CF32" s="7">
        <f t="shared" ca="1" si="136"/>
        <v>0</v>
      </c>
      <c r="CG32" s="7">
        <f t="shared" ca="1" si="136"/>
        <v>-5.5511151231257827E-17</v>
      </c>
      <c r="CH32" s="7">
        <f t="shared" ca="1" si="136"/>
        <v>-1.7763568394002505E-15</v>
      </c>
      <c r="CI32" s="7">
        <f t="shared" ca="1" si="136"/>
        <v>2.7755575615628914E-17</v>
      </c>
      <c r="CJ32" s="7">
        <f t="shared" ca="1" si="136"/>
        <v>0</v>
      </c>
      <c r="CK32" s="7">
        <f t="shared" ca="1" si="136"/>
        <v>0</v>
      </c>
      <c r="CL32" s="7">
        <f t="shared" ca="1" si="136"/>
        <v>0</v>
      </c>
      <c r="CM32" s="7" t="e">
        <f t="shared" ca="1" si="136"/>
        <v>#VALUE!</v>
      </c>
      <c r="CN32" s="7" t="e">
        <f t="shared" ca="1" si="136"/>
        <v>#VALUE!</v>
      </c>
      <c r="CO32" s="7">
        <f t="shared" ca="1" si="136"/>
        <v>0</v>
      </c>
      <c r="CP32" s="7">
        <f t="shared" ca="1" si="136"/>
        <v>0</v>
      </c>
      <c r="CQ32" s="7">
        <f t="shared" ca="1" si="136"/>
        <v>0</v>
      </c>
      <c r="CR32" s="7">
        <f t="shared" ref="CR32:CS32" ca="1" si="137">IF($A$1=FALSE,"-",CR6-OFFSET($A57,0,CR$28))</f>
        <v>0</v>
      </c>
      <c r="CS32" s="7">
        <f t="shared" ca="1" si="137"/>
        <v>0</v>
      </c>
      <c r="CT32" s="7">
        <f t="shared" ref="CT32:CU32" ca="1" si="138">IF($A$1=FALSE,"-",CT6-OFFSET($A57,0,CT$28))</f>
        <v>0</v>
      </c>
      <c r="CU32" s="7">
        <f t="shared" ca="1" si="138"/>
        <v>0</v>
      </c>
      <c r="CV32" s="7">
        <f t="shared" ref="CV32:CW32" ca="1" si="139">IF($A$1=FALSE,"-",CV6-OFFSET($A57,0,CV$28))</f>
        <v>0</v>
      </c>
      <c r="CW32" s="7">
        <f t="shared" ca="1" si="139"/>
        <v>0</v>
      </c>
      <c r="CX32" s="7">
        <f t="shared" ref="CX32:CY32" ca="1" si="140">IF($A$1=FALSE,"-",CX6-OFFSET($A57,0,CX$28))</f>
        <v>0</v>
      </c>
      <c r="CY32" s="7">
        <f t="shared" ca="1" si="140"/>
        <v>0</v>
      </c>
    </row>
    <row r="33" spans="2:103" x14ac:dyDescent="0.15">
      <c r="B33" s="7">
        <f t="shared" ref="B33:K33" ca="1" si="141">IF($A$1=FALSE,"-",B7-OFFSET($A58,0,B$28))</f>
        <v>0</v>
      </c>
      <c r="C33" s="7">
        <f t="shared" ca="1" si="141"/>
        <v>0</v>
      </c>
      <c r="D33" s="7">
        <f t="shared" ca="1" si="141"/>
        <v>0</v>
      </c>
      <c r="E33" s="7">
        <f t="shared" ca="1" si="141"/>
        <v>0</v>
      </c>
      <c r="F33" s="7">
        <f t="shared" ca="1" si="141"/>
        <v>0</v>
      </c>
      <c r="G33" s="7">
        <f t="shared" ca="1" si="141"/>
        <v>0</v>
      </c>
      <c r="H33" s="7">
        <f t="shared" ca="1" si="141"/>
        <v>0</v>
      </c>
      <c r="I33" s="7">
        <f t="shared" ca="1" si="141"/>
        <v>0</v>
      </c>
      <c r="J33" s="7">
        <f t="shared" ca="1" si="141"/>
        <v>0</v>
      </c>
      <c r="K33" s="7">
        <f t="shared" ca="1" si="141"/>
        <v>0</v>
      </c>
      <c r="L33" s="7">
        <f t="shared" ca="1" si="117"/>
        <v>0</v>
      </c>
      <c r="M33" s="7">
        <f t="shared" ref="M33:AR33" ca="1" si="142">IF($A$1=FALSE,"-",M7-OFFSET($A58,0,M$28))</f>
        <v>0</v>
      </c>
      <c r="N33" s="7">
        <f t="shared" ca="1" si="142"/>
        <v>0</v>
      </c>
      <c r="O33" s="7">
        <f t="shared" ca="1" si="142"/>
        <v>6.9388939039072284E-18</v>
      </c>
      <c r="P33" s="7">
        <f t="shared" ca="1" si="142"/>
        <v>0</v>
      </c>
      <c r="Q33" s="7">
        <f t="shared" ca="1" si="142"/>
        <v>0</v>
      </c>
      <c r="R33" s="7">
        <f t="shared" ca="1" si="142"/>
        <v>0</v>
      </c>
      <c r="S33" s="7">
        <f t="shared" ca="1" si="142"/>
        <v>0</v>
      </c>
      <c r="T33" s="7">
        <f t="shared" ca="1" si="142"/>
        <v>0</v>
      </c>
      <c r="U33" s="7">
        <f t="shared" ca="1" si="142"/>
        <v>0</v>
      </c>
      <c r="V33" s="7">
        <f t="shared" ca="1" si="142"/>
        <v>0</v>
      </c>
      <c r="W33" s="7">
        <f t="shared" ca="1" si="142"/>
        <v>0</v>
      </c>
      <c r="X33" s="7">
        <f t="shared" ca="1" si="142"/>
        <v>0</v>
      </c>
      <c r="Y33" s="7">
        <f t="shared" ca="1" si="142"/>
        <v>0</v>
      </c>
      <c r="Z33" s="7">
        <f t="shared" ca="1" si="142"/>
        <v>0</v>
      </c>
      <c r="AA33" s="7">
        <f t="shared" ca="1" si="142"/>
        <v>0</v>
      </c>
      <c r="AB33" s="7">
        <f t="shared" ca="1" si="142"/>
        <v>0</v>
      </c>
      <c r="AC33" s="7">
        <f t="shared" ca="1" si="142"/>
        <v>0</v>
      </c>
      <c r="AD33" s="7">
        <f t="shared" ca="1" si="142"/>
        <v>0</v>
      </c>
      <c r="AE33" s="7">
        <f t="shared" ca="1" si="142"/>
        <v>0</v>
      </c>
      <c r="AF33" s="7">
        <f t="shared" ca="1" si="142"/>
        <v>0</v>
      </c>
      <c r="AG33" s="7" t="e">
        <f t="shared" ca="1" si="142"/>
        <v>#VALUE!</v>
      </c>
      <c r="AH33" s="7" t="e">
        <f t="shared" ca="1" si="142"/>
        <v>#VALUE!</v>
      </c>
      <c r="AI33" s="7">
        <f t="shared" ca="1" si="142"/>
        <v>0</v>
      </c>
      <c r="AJ33" s="7">
        <f t="shared" ca="1" si="142"/>
        <v>0</v>
      </c>
      <c r="AK33" s="7">
        <f t="shared" ca="1" si="142"/>
        <v>0</v>
      </c>
      <c r="AL33" s="7">
        <f t="shared" ca="1" si="142"/>
        <v>0</v>
      </c>
      <c r="AM33" s="7">
        <f t="shared" ca="1" si="142"/>
        <v>0</v>
      </c>
      <c r="AN33" s="7">
        <f t="shared" ca="1" si="142"/>
        <v>0</v>
      </c>
      <c r="AO33" s="7">
        <f t="shared" ca="1" si="142"/>
        <v>0</v>
      </c>
      <c r="AP33" s="7">
        <f t="shared" ca="1" si="142"/>
        <v>0</v>
      </c>
      <c r="AQ33" s="7" t="e">
        <f t="shared" ca="1" si="142"/>
        <v>#VALUE!</v>
      </c>
      <c r="AR33" s="7" t="e">
        <f t="shared" ca="1" si="142"/>
        <v>#VALUE!</v>
      </c>
      <c r="AS33" s="7">
        <f t="shared" ref="AS33:BX33" ca="1" si="143">IF($A$1=FALSE,"-",AS7-OFFSET($A58,0,AS$28))</f>
        <v>0</v>
      </c>
      <c r="AT33" s="7">
        <f t="shared" ca="1" si="143"/>
        <v>0</v>
      </c>
      <c r="AU33" s="7">
        <f t="shared" ca="1" si="143"/>
        <v>0</v>
      </c>
      <c r="AV33" s="7">
        <f t="shared" ca="1" si="143"/>
        <v>0</v>
      </c>
      <c r="AW33" s="7">
        <f t="shared" ca="1" si="143"/>
        <v>0</v>
      </c>
      <c r="AX33" s="7">
        <f t="shared" ca="1" si="143"/>
        <v>0</v>
      </c>
      <c r="AY33" s="7">
        <f t="shared" ca="1" si="143"/>
        <v>0</v>
      </c>
      <c r="AZ33" s="7">
        <f t="shared" ca="1" si="143"/>
        <v>0</v>
      </c>
      <c r="BA33" s="7">
        <f t="shared" ca="1" si="143"/>
        <v>0</v>
      </c>
      <c r="BB33" s="7">
        <f t="shared" ca="1" si="143"/>
        <v>0</v>
      </c>
      <c r="BC33" s="7" t="e">
        <f t="shared" ca="1" si="143"/>
        <v>#VALUE!</v>
      </c>
      <c r="BD33" s="7" t="e">
        <f t="shared" ca="1" si="143"/>
        <v>#VALUE!</v>
      </c>
      <c r="BE33" s="7">
        <f t="shared" ca="1" si="143"/>
        <v>0</v>
      </c>
      <c r="BF33" s="7">
        <f t="shared" ca="1" si="143"/>
        <v>0</v>
      </c>
      <c r="BG33" s="7">
        <f t="shared" ca="1" si="143"/>
        <v>0</v>
      </c>
      <c r="BH33" s="7">
        <f t="shared" ca="1" si="143"/>
        <v>0</v>
      </c>
      <c r="BI33" s="7">
        <f t="shared" ca="1" si="143"/>
        <v>0</v>
      </c>
      <c r="BJ33" s="7">
        <f t="shared" ca="1" si="143"/>
        <v>0</v>
      </c>
      <c r="BK33" s="7">
        <f t="shared" ca="1" si="143"/>
        <v>0</v>
      </c>
      <c r="BL33" s="7">
        <f t="shared" ca="1" si="143"/>
        <v>0</v>
      </c>
      <c r="BM33" s="7">
        <f t="shared" ca="1" si="143"/>
        <v>0</v>
      </c>
      <c r="BN33" s="7">
        <f t="shared" ca="1" si="143"/>
        <v>0</v>
      </c>
      <c r="BO33" s="7">
        <f t="shared" ca="1" si="143"/>
        <v>0</v>
      </c>
      <c r="BP33" s="7">
        <f t="shared" ca="1" si="143"/>
        <v>0</v>
      </c>
      <c r="BQ33" s="7">
        <f t="shared" ca="1" si="143"/>
        <v>0</v>
      </c>
      <c r="BR33" s="7">
        <f t="shared" ca="1" si="143"/>
        <v>0</v>
      </c>
      <c r="BS33" s="7">
        <f t="shared" ca="1" si="143"/>
        <v>0</v>
      </c>
      <c r="BT33" s="7">
        <f t="shared" ca="1" si="143"/>
        <v>0</v>
      </c>
      <c r="BU33" s="7">
        <f t="shared" ca="1" si="143"/>
        <v>0</v>
      </c>
      <c r="BV33" s="7">
        <f t="shared" ca="1" si="143"/>
        <v>0</v>
      </c>
      <c r="BW33" s="7">
        <f t="shared" ca="1" si="143"/>
        <v>0</v>
      </c>
      <c r="BX33" s="7">
        <f t="shared" ca="1" si="143"/>
        <v>0</v>
      </c>
      <c r="BY33" s="7">
        <f t="shared" ref="BY33:CQ33" ca="1" si="144">IF($A$1=FALSE,"-",BY7-OFFSET($A58,0,BY$28))</f>
        <v>0</v>
      </c>
      <c r="BZ33" s="7">
        <f t="shared" ca="1" si="144"/>
        <v>0</v>
      </c>
      <c r="CA33" s="7">
        <f t="shared" ca="1" si="144"/>
        <v>0</v>
      </c>
      <c r="CB33" s="7">
        <f t="shared" ca="1" si="144"/>
        <v>0</v>
      </c>
      <c r="CC33" s="7">
        <f t="shared" ca="1" si="144"/>
        <v>0</v>
      </c>
      <c r="CD33" s="7">
        <f t="shared" ca="1" si="144"/>
        <v>0</v>
      </c>
      <c r="CE33" s="7">
        <f t="shared" ca="1" si="144"/>
        <v>0</v>
      </c>
      <c r="CF33" s="7">
        <f t="shared" ca="1" si="144"/>
        <v>0</v>
      </c>
      <c r="CG33" s="7">
        <f t="shared" ca="1" si="144"/>
        <v>0</v>
      </c>
      <c r="CH33" s="7">
        <f t="shared" ca="1" si="144"/>
        <v>0</v>
      </c>
      <c r="CI33" s="7">
        <f t="shared" ca="1" si="144"/>
        <v>0</v>
      </c>
      <c r="CJ33" s="7">
        <f t="shared" ca="1" si="144"/>
        <v>0</v>
      </c>
      <c r="CK33" s="7">
        <f t="shared" ca="1" si="144"/>
        <v>0</v>
      </c>
      <c r="CL33" s="7">
        <f t="shared" ca="1" si="144"/>
        <v>0</v>
      </c>
      <c r="CM33" s="7" t="e">
        <f t="shared" ca="1" si="144"/>
        <v>#VALUE!</v>
      </c>
      <c r="CN33" s="7" t="e">
        <f t="shared" ca="1" si="144"/>
        <v>#VALUE!</v>
      </c>
      <c r="CO33" s="7">
        <f t="shared" ca="1" si="144"/>
        <v>0</v>
      </c>
      <c r="CP33" s="7">
        <f t="shared" ca="1" si="144"/>
        <v>0</v>
      </c>
      <c r="CQ33" s="7">
        <f t="shared" ca="1" si="144"/>
        <v>0</v>
      </c>
      <c r="CR33" s="7">
        <f t="shared" ref="CR33:CS33" ca="1" si="145">IF($A$1=FALSE,"-",CR7-OFFSET($A58,0,CR$28))</f>
        <v>0</v>
      </c>
      <c r="CS33" s="7">
        <f t="shared" ca="1" si="145"/>
        <v>0</v>
      </c>
      <c r="CT33" s="7">
        <f t="shared" ref="CT33:CU33" ca="1" si="146">IF($A$1=FALSE,"-",CT7-OFFSET($A58,0,CT$28))</f>
        <v>0</v>
      </c>
      <c r="CU33" s="7">
        <f t="shared" ca="1" si="146"/>
        <v>0</v>
      </c>
      <c r="CV33" s="7">
        <f t="shared" ref="CV33:CW33" ca="1" si="147">IF($A$1=FALSE,"-",CV7-OFFSET($A58,0,CV$28))</f>
        <v>0</v>
      </c>
      <c r="CW33" s="7">
        <f t="shared" ca="1" si="147"/>
        <v>0</v>
      </c>
      <c r="CX33" s="7">
        <f t="shared" ref="CX33:CY33" ca="1" si="148">IF($A$1=FALSE,"-",CX7-OFFSET($A58,0,CX$28))</f>
        <v>0</v>
      </c>
      <c r="CY33" s="7">
        <f t="shared" ca="1" si="148"/>
        <v>0</v>
      </c>
    </row>
    <row r="34" spans="2:103" x14ac:dyDescent="0.15">
      <c r="B34" s="7">
        <f t="shared" ref="B34:K34" ca="1" si="149">IF($A$1=FALSE,"-",B8-OFFSET($A59,0,B$28))</f>
        <v>0</v>
      </c>
      <c r="C34" s="7">
        <f t="shared" ca="1" si="149"/>
        <v>0</v>
      </c>
      <c r="D34" s="7">
        <f t="shared" ca="1" si="149"/>
        <v>0</v>
      </c>
      <c r="E34" s="7">
        <f t="shared" ca="1" si="149"/>
        <v>0</v>
      </c>
      <c r="F34" s="7">
        <f t="shared" ca="1" si="149"/>
        <v>0</v>
      </c>
      <c r="G34" s="7">
        <f t="shared" ca="1" si="149"/>
        <v>0</v>
      </c>
      <c r="H34" s="7">
        <f t="shared" ca="1" si="149"/>
        <v>0</v>
      </c>
      <c r="I34" s="7">
        <f t="shared" ca="1" si="149"/>
        <v>0</v>
      </c>
      <c r="J34" s="7">
        <f t="shared" ca="1" si="149"/>
        <v>0</v>
      </c>
      <c r="K34" s="7">
        <f t="shared" ca="1" si="149"/>
        <v>0</v>
      </c>
      <c r="L34" s="7">
        <f t="shared" ca="1" si="117"/>
        <v>0</v>
      </c>
      <c r="M34" s="7">
        <f t="shared" ref="M34:AR34" ca="1" si="150">IF($A$1=FALSE,"-",M8-OFFSET($A59,0,M$28))</f>
        <v>0</v>
      </c>
      <c r="N34" s="7">
        <f t="shared" ca="1" si="150"/>
        <v>0</v>
      </c>
      <c r="O34" s="7">
        <f t="shared" ca="1" si="150"/>
        <v>0</v>
      </c>
      <c r="P34" s="7">
        <f t="shared" ca="1" si="150"/>
        <v>0</v>
      </c>
      <c r="Q34" s="7">
        <f t="shared" ca="1" si="150"/>
        <v>0</v>
      </c>
      <c r="R34" s="7">
        <f t="shared" ca="1" si="150"/>
        <v>0</v>
      </c>
      <c r="S34" s="7">
        <f t="shared" ca="1" si="150"/>
        <v>0</v>
      </c>
      <c r="T34" s="7">
        <f t="shared" ca="1" si="150"/>
        <v>0</v>
      </c>
      <c r="U34" s="7">
        <f t="shared" ca="1" si="150"/>
        <v>0</v>
      </c>
      <c r="V34" s="7">
        <f t="shared" ca="1" si="150"/>
        <v>0</v>
      </c>
      <c r="W34" s="7">
        <f t="shared" ca="1" si="150"/>
        <v>0</v>
      </c>
      <c r="X34" s="7">
        <f t="shared" ca="1" si="150"/>
        <v>0</v>
      </c>
      <c r="Y34" s="7">
        <f t="shared" ca="1" si="150"/>
        <v>0</v>
      </c>
      <c r="Z34" s="7">
        <f t="shared" ca="1" si="150"/>
        <v>0</v>
      </c>
      <c r="AA34" s="7">
        <f t="shared" ca="1" si="150"/>
        <v>0</v>
      </c>
      <c r="AB34" s="7">
        <f t="shared" ca="1" si="150"/>
        <v>0</v>
      </c>
      <c r="AC34" s="7">
        <f t="shared" ca="1" si="150"/>
        <v>0</v>
      </c>
      <c r="AD34" s="7">
        <f t="shared" ca="1" si="150"/>
        <v>0</v>
      </c>
      <c r="AE34" s="7">
        <f t="shared" ca="1" si="150"/>
        <v>0</v>
      </c>
      <c r="AF34" s="7">
        <f t="shared" ca="1" si="150"/>
        <v>0</v>
      </c>
      <c r="AG34" s="7" t="e">
        <f t="shared" ca="1" si="150"/>
        <v>#VALUE!</v>
      </c>
      <c r="AH34" s="7" t="e">
        <f t="shared" ca="1" si="150"/>
        <v>#VALUE!</v>
      </c>
      <c r="AI34" s="7">
        <f t="shared" ca="1" si="150"/>
        <v>0</v>
      </c>
      <c r="AJ34" s="7">
        <f t="shared" ca="1" si="150"/>
        <v>0</v>
      </c>
      <c r="AK34" s="7">
        <f t="shared" ca="1" si="150"/>
        <v>0</v>
      </c>
      <c r="AL34" s="7">
        <f t="shared" ca="1" si="150"/>
        <v>0</v>
      </c>
      <c r="AM34" s="7">
        <f t="shared" ca="1" si="150"/>
        <v>0</v>
      </c>
      <c r="AN34" s="7">
        <f t="shared" ca="1" si="150"/>
        <v>0</v>
      </c>
      <c r="AO34" s="7">
        <f t="shared" ca="1" si="150"/>
        <v>0</v>
      </c>
      <c r="AP34" s="7">
        <f t="shared" ca="1" si="150"/>
        <v>0</v>
      </c>
      <c r="AQ34" s="7" t="e">
        <f t="shared" ca="1" si="150"/>
        <v>#VALUE!</v>
      </c>
      <c r="AR34" s="7" t="e">
        <f t="shared" ca="1" si="150"/>
        <v>#VALUE!</v>
      </c>
      <c r="AS34" s="7">
        <f t="shared" ref="AS34:BX34" ca="1" si="151">IF($A$1=FALSE,"-",AS8-OFFSET($A59,0,AS$28))</f>
        <v>0</v>
      </c>
      <c r="AT34" s="7">
        <f t="shared" ca="1" si="151"/>
        <v>0</v>
      </c>
      <c r="AU34" s="7">
        <f t="shared" ca="1" si="151"/>
        <v>0</v>
      </c>
      <c r="AV34" s="7">
        <f t="shared" ca="1" si="151"/>
        <v>0</v>
      </c>
      <c r="AW34" s="7">
        <f t="shared" ca="1" si="151"/>
        <v>0</v>
      </c>
      <c r="AX34" s="7">
        <f t="shared" ca="1" si="151"/>
        <v>0</v>
      </c>
      <c r="AY34" s="7">
        <f t="shared" ca="1" si="151"/>
        <v>0</v>
      </c>
      <c r="AZ34" s="7">
        <f t="shared" ca="1" si="151"/>
        <v>0</v>
      </c>
      <c r="BA34" s="7">
        <f t="shared" ca="1" si="151"/>
        <v>0</v>
      </c>
      <c r="BB34" s="7">
        <f t="shared" ca="1" si="151"/>
        <v>0</v>
      </c>
      <c r="BC34" s="7" t="e">
        <f t="shared" ca="1" si="151"/>
        <v>#VALUE!</v>
      </c>
      <c r="BD34" s="7" t="e">
        <f t="shared" ca="1" si="151"/>
        <v>#VALUE!</v>
      </c>
      <c r="BE34" s="7">
        <f t="shared" ca="1" si="151"/>
        <v>0</v>
      </c>
      <c r="BF34" s="7">
        <f t="shared" ca="1" si="151"/>
        <v>0</v>
      </c>
      <c r="BG34" s="7">
        <f t="shared" ca="1" si="151"/>
        <v>0</v>
      </c>
      <c r="BH34" s="7">
        <f t="shared" ca="1" si="151"/>
        <v>0</v>
      </c>
      <c r="BI34" s="7">
        <f t="shared" ca="1" si="151"/>
        <v>0</v>
      </c>
      <c r="BJ34" s="7">
        <f t="shared" ca="1" si="151"/>
        <v>0</v>
      </c>
      <c r="BK34" s="7">
        <f t="shared" ca="1" si="151"/>
        <v>0</v>
      </c>
      <c r="BL34" s="7">
        <f t="shared" ca="1" si="151"/>
        <v>0</v>
      </c>
      <c r="BM34" s="7">
        <f t="shared" ca="1" si="151"/>
        <v>0</v>
      </c>
      <c r="BN34" s="7">
        <f t="shared" ca="1" si="151"/>
        <v>0</v>
      </c>
      <c r="BO34" s="7">
        <f t="shared" ca="1" si="151"/>
        <v>0</v>
      </c>
      <c r="BP34" s="7">
        <f t="shared" ca="1" si="151"/>
        <v>0</v>
      </c>
      <c r="BQ34" s="7">
        <f t="shared" ca="1" si="151"/>
        <v>0</v>
      </c>
      <c r="BR34" s="7">
        <f t="shared" ca="1" si="151"/>
        <v>0</v>
      </c>
      <c r="BS34" s="7">
        <f t="shared" ca="1" si="151"/>
        <v>0</v>
      </c>
      <c r="BT34" s="7">
        <f t="shared" ca="1" si="151"/>
        <v>0</v>
      </c>
      <c r="BU34" s="7">
        <f t="shared" ca="1" si="151"/>
        <v>0</v>
      </c>
      <c r="BV34" s="7">
        <f t="shared" ca="1" si="151"/>
        <v>0</v>
      </c>
      <c r="BW34" s="7">
        <f t="shared" ca="1" si="151"/>
        <v>0</v>
      </c>
      <c r="BX34" s="7">
        <f t="shared" ca="1" si="151"/>
        <v>0</v>
      </c>
      <c r="BY34" s="7">
        <f t="shared" ref="BY34:CQ34" ca="1" si="152">IF($A$1=FALSE,"-",BY8-OFFSET($A59,0,BY$28))</f>
        <v>0</v>
      </c>
      <c r="BZ34" s="7">
        <f t="shared" ca="1" si="152"/>
        <v>0</v>
      </c>
      <c r="CA34" s="7">
        <f t="shared" ca="1" si="152"/>
        <v>0</v>
      </c>
      <c r="CB34" s="7">
        <f t="shared" ca="1" si="152"/>
        <v>0</v>
      </c>
      <c r="CC34" s="7">
        <f t="shared" ca="1" si="152"/>
        <v>0</v>
      </c>
      <c r="CD34" s="7">
        <f t="shared" ca="1" si="152"/>
        <v>0</v>
      </c>
      <c r="CE34" s="7">
        <f t="shared" ca="1" si="152"/>
        <v>0</v>
      </c>
      <c r="CF34" s="7">
        <f t="shared" ca="1" si="152"/>
        <v>0</v>
      </c>
      <c r="CG34" s="7">
        <f t="shared" ca="1" si="152"/>
        <v>-1.1102230246251565E-16</v>
      </c>
      <c r="CH34" s="7">
        <f t="shared" ca="1" si="152"/>
        <v>1.7763568394002505E-15</v>
      </c>
      <c r="CI34" s="7">
        <f t="shared" ca="1" si="152"/>
        <v>0</v>
      </c>
      <c r="CJ34" s="7">
        <f t="shared" ca="1" si="152"/>
        <v>-2.2204460492503131E-16</v>
      </c>
      <c r="CK34" s="7">
        <f t="shared" ca="1" si="152"/>
        <v>0</v>
      </c>
      <c r="CL34" s="7">
        <f t="shared" ca="1" si="152"/>
        <v>0</v>
      </c>
      <c r="CM34" s="7" t="e">
        <f t="shared" ca="1" si="152"/>
        <v>#VALUE!</v>
      </c>
      <c r="CN34" s="7" t="e">
        <f t="shared" ca="1" si="152"/>
        <v>#VALUE!</v>
      </c>
      <c r="CO34" s="7">
        <f t="shared" ca="1" si="152"/>
        <v>0</v>
      </c>
      <c r="CP34" s="7">
        <f t="shared" ca="1" si="152"/>
        <v>0</v>
      </c>
      <c r="CQ34" s="7">
        <f t="shared" ca="1" si="152"/>
        <v>0</v>
      </c>
      <c r="CR34" s="7">
        <f t="shared" ref="CR34:CS34" ca="1" si="153">IF($A$1=FALSE,"-",CR8-OFFSET($A59,0,CR$28))</f>
        <v>0</v>
      </c>
      <c r="CS34" s="7">
        <f t="shared" ca="1" si="153"/>
        <v>0</v>
      </c>
      <c r="CT34" s="7">
        <f t="shared" ref="CT34:CU34" ca="1" si="154">IF($A$1=FALSE,"-",CT8-OFFSET($A59,0,CT$28))</f>
        <v>0</v>
      </c>
      <c r="CU34" s="7">
        <f t="shared" ca="1" si="154"/>
        <v>0</v>
      </c>
      <c r="CV34" s="7">
        <f t="shared" ref="CV34:CW34" ca="1" si="155">IF($A$1=FALSE,"-",CV8-OFFSET($A59,0,CV$28))</f>
        <v>0</v>
      </c>
      <c r="CW34" s="7">
        <f t="shared" ca="1" si="155"/>
        <v>0</v>
      </c>
      <c r="CX34" s="7">
        <f t="shared" ref="CX34:CY34" ca="1" si="156">IF($A$1=FALSE,"-",CX8-OFFSET($A59,0,CX$28))</f>
        <v>0</v>
      </c>
      <c r="CY34" s="7">
        <f t="shared" ca="1" si="156"/>
        <v>0</v>
      </c>
    </row>
    <row r="35" spans="2:103" x14ac:dyDescent="0.15">
      <c r="B35" s="7">
        <f t="shared" ref="B35:K35" ca="1" si="157">IF($A$1=FALSE,"-",B9-OFFSET($A60,0,B$28))</f>
        <v>0</v>
      </c>
      <c r="C35" s="7">
        <f t="shared" ca="1" si="157"/>
        <v>0</v>
      </c>
      <c r="D35" s="7">
        <f t="shared" ca="1" si="157"/>
        <v>0</v>
      </c>
      <c r="E35" s="7">
        <f t="shared" ca="1" si="157"/>
        <v>0</v>
      </c>
      <c r="F35" s="7">
        <f t="shared" ca="1" si="157"/>
        <v>0</v>
      </c>
      <c r="G35" s="7">
        <f t="shared" ca="1" si="157"/>
        <v>0</v>
      </c>
      <c r="H35" s="7">
        <f t="shared" ca="1" si="157"/>
        <v>0</v>
      </c>
      <c r="I35" s="7">
        <f t="shared" ca="1" si="157"/>
        <v>0</v>
      </c>
      <c r="J35" s="7">
        <f t="shared" ca="1" si="157"/>
        <v>0</v>
      </c>
      <c r="K35" s="7">
        <f t="shared" ca="1" si="157"/>
        <v>0</v>
      </c>
      <c r="L35" s="7">
        <f t="shared" ca="1" si="117"/>
        <v>0</v>
      </c>
      <c r="M35" s="7">
        <f t="shared" ref="M35:AR35" ca="1" si="158">IF($A$1=FALSE,"-",M9-OFFSET($A60,0,M$28))</f>
        <v>0</v>
      </c>
      <c r="N35" s="7">
        <f t="shared" ca="1" si="158"/>
        <v>0</v>
      </c>
      <c r="O35" s="7">
        <f t="shared" ca="1" si="158"/>
        <v>0</v>
      </c>
      <c r="P35" s="7">
        <f t="shared" ca="1" si="158"/>
        <v>0</v>
      </c>
      <c r="Q35" s="7">
        <f t="shared" ca="1" si="158"/>
        <v>0</v>
      </c>
      <c r="R35" s="7">
        <f t="shared" ca="1" si="158"/>
        <v>0</v>
      </c>
      <c r="S35" s="7">
        <f t="shared" ca="1" si="158"/>
        <v>0</v>
      </c>
      <c r="T35" s="7">
        <f t="shared" ca="1" si="158"/>
        <v>0</v>
      </c>
      <c r="U35" s="7">
        <f t="shared" ca="1" si="158"/>
        <v>0</v>
      </c>
      <c r="V35" s="7">
        <f t="shared" ca="1" si="158"/>
        <v>0</v>
      </c>
      <c r="W35" s="7">
        <f t="shared" ca="1" si="158"/>
        <v>0</v>
      </c>
      <c r="X35" s="7">
        <f t="shared" ca="1" si="158"/>
        <v>0</v>
      </c>
      <c r="Y35" s="7">
        <f t="shared" ca="1" si="158"/>
        <v>0</v>
      </c>
      <c r="Z35" s="7">
        <f t="shared" ca="1" si="158"/>
        <v>0</v>
      </c>
      <c r="AA35" s="7">
        <f t="shared" ca="1" si="158"/>
        <v>0</v>
      </c>
      <c r="AB35" s="7">
        <f t="shared" ca="1" si="158"/>
        <v>0</v>
      </c>
      <c r="AC35" s="7">
        <f t="shared" ca="1" si="158"/>
        <v>0</v>
      </c>
      <c r="AD35" s="7">
        <f t="shared" ca="1" si="158"/>
        <v>0</v>
      </c>
      <c r="AE35" s="7">
        <f t="shared" ca="1" si="158"/>
        <v>0</v>
      </c>
      <c r="AF35" s="7">
        <f t="shared" ca="1" si="158"/>
        <v>0</v>
      </c>
      <c r="AG35" s="7" t="e">
        <f t="shared" ca="1" si="158"/>
        <v>#VALUE!</v>
      </c>
      <c r="AH35" s="7" t="e">
        <f t="shared" ca="1" si="158"/>
        <v>#VALUE!</v>
      </c>
      <c r="AI35" s="7">
        <f t="shared" ca="1" si="158"/>
        <v>0</v>
      </c>
      <c r="AJ35" s="7">
        <f t="shared" ca="1" si="158"/>
        <v>0</v>
      </c>
      <c r="AK35" s="7">
        <f t="shared" ca="1" si="158"/>
        <v>0</v>
      </c>
      <c r="AL35" s="7">
        <f t="shared" ca="1" si="158"/>
        <v>0</v>
      </c>
      <c r="AM35" s="7">
        <f t="shared" ca="1" si="158"/>
        <v>0</v>
      </c>
      <c r="AN35" s="7">
        <f t="shared" ca="1" si="158"/>
        <v>0</v>
      </c>
      <c r="AO35" s="7">
        <f t="shared" ca="1" si="158"/>
        <v>0</v>
      </c>
      <c r="AP35" s="7">
        <f t="shared" ca="1" si="158"/>
        <v>0</v>
      </c>
      <c r="AQ35" s="7" t="e">
        <f t="shared" ca="1" si="158"/>
        <v>#VALUE!</v>
      </c>
      <c r="AR35" s="7" t="e">
        <f t="shared" ca="1" si="158"/>
        <v>#VALUE!</v>
      </c>
      <c r="AS35" s="7">
        <f t="shared" ref="AS35:BX35" ca="1" si="159">IF($A$1=FALSE,"-",AS9-OFFSET($A60,0,AS$28))</f>
        <v>0</v>
      </c>
      <c r="AT35" s="7">
        <f t="shared" ca="1" si="159"/>
        <v>0</v>
      </c>
      <c r="AU35" s="7">
        <f t="shared" ca="1" si="159"/>
        <v>0</v>
      </c>
      <c r="AV35" s="7">
        <f t="shared" ca="1" si="159"/>
        <v>0</v>
      </c>
      <c r="AW35" s="7">
        <f t="shared" ca="1" si="159"/>
        <v>0</v>
      </c>
      <c r="AX35" s="7">
        <f t="shared" ca="1" si="159"/>
        <v>0</v>
      </c>
      <c r="AY35" s="7">
        <f t="shared" ca="1" si="159"/>
        <v>0</v>
      </c>
      <c r="AZ35" s="7">
        <f t="shared" ca="1" si="159"/>
        <v>0</v>
      </c>
      <c r="BA35" s="7">
        <f t="shared" ca="1" si="159"/>
        <v>0</v>
      </c>
      <c r="BB35" s="7">
        <f t="shared" ca="1" si="159"/>
        <v>0</v>
      </c>
      <c r="BC35" s="7" t="e">
        <f t="shared" ca="1" si="159"/>
        <v>#VALUE!</v>
      </c>
      <c r="BD35" s="7" t="e">
        <f t="shared" ca="1" si="159"/>
        <v>#VALUE!</v>
      </c>
      <c r="BE35" s="7">
        <f t="shared" ca="1" si="159"/>
        <v>0</v>
      </c>
      <c r="BF35" s="7">
        <f t="shared" ca="1" si="159"/>
        <v>0</v>
      </c>
      <c r="BG35" s="7">
        <f t="shared" ca="1" si="159"/>
        <v>0</v>
      </c>
      <c r="BH35" s="7">
        <f t="shared" ca="1" si="159"/>
        <v>0</v>
      </c>
      <c r="BI35" s="7">
        <f t="shared" ca="1" si="159"/>
        <v>0</v>
      </c>
      <c r="BJ35" s="7">
        <f t="shared" ca="1" si="159"/>
        <v>0</v>
      </c>
      <c r="BK35" s="7">
        <f t="shared" ca="1" si="159"/>
        <v>0</v>
      </c>
      <c r="BL35" s="7">
        <f t="shared" ca="1" si="159"/>
        <v>0</v>
      </c>
      <c r="BM35" s="7">
        <f t="shared" ca="1" si="159"/>
        <v>0</v>
      </c>
      <c r="BN35" s="7">
        <f t="shared" ca="1" si="159"/>
        <v>0</v>
      </c>
      <c r="BO35" s="7">
        <f t="shared" ca="1" si="159"/>
        <v>0</v>
      </c>
      <c r="BP35" s="7">
        <f t="shared" ca="1" si="159"/>
        <v>0</v>
      </c>
      <c r="BQ35" s="7">
        <f t="shared" ca="1" si="159"/>
        <v>0</v>
      </c>
      <c r="BR35" s="7">
        <f t="shared" ca="1" si="159"/>
        <v>0</v>
      </c>
      <c r="BS35" s="7">
        <f t="shared" ca="1" si="159"/>
        <v>0</v>
      </c>
      <c r="BT35" s="7">
        <f t="shared" ca="1" si="159"/>
        <v>0</v>
      </c>
      <c r="BU35" s="7">
        <f t="shared" ca="1" si="159"/>
        <v>0</v>
      </c>
      <c r="BV35" s="7">
        <f t="shared" ca="1" si="159"/>
        <v>0</v>
      </c>
      <c r="BW35" s="7">
        <f t="shared" ca="1" si="159"/>
        <v>0</v>
      </c>
      <c r="BX35" s="7">
        <f t="shared" ca="1" si="159"/>
        <v>0</v>
      </c>
      <c r="BY35" s="7">
        <f t="shared" ref="BY35:CQ35" ca="1" si="160">IF($A$1=FALSE,"-",BY9-OFFSET($A60,0,BY$28))</f>
        <v>0</v>
      </c>
      <c r="BZ35" s="7">
        <f t="shared" ca="1" si="160"/>
        <v>0</v>
      </c>
      <c r="CA35" s="7">
        <f t="shared" ca="1" si="160"/>
        <v>0</v>
      </c>
      <c r="CB35" s="7">
        <f t="shared" ca="1" si="160"/>
        <v>0</v>
      </c>
      <c r="CC35" s="7">
        <f t="shared" ca="1" si="160"/>
        <v>0</v>
      </c>
      <c r="CD35" s="7">
        <f t="shared" ca="1" si="160"/>
        <v>0</v>
      </c>
      <c r="CE35" s="7">
        <f t="shared" ca="1" si="160"/>
        <v>0</v>
      </c>
      <c r="CF35" s="7">
        <f t="shared" ca="1" si="160"/>
        <v>0</v>
      </c>
      <c r="CG35" s="7">
        <f t="shared" ca="1" si="160"/>
        <v>0</v>
      </c>
      <c r="CH35" s="7">
        <f t="shared" ca="1" si="160"/>
        <v>0</v>
      </c>
      <c r="CI35" s="7">
        <f t="shared" ca="1" si="160"/>
        <v>0</v>
      </c>
      <c r="CJ35" s="7">
        <f t="shared" ca="1" si="160"/>
        <v>0</v>
      </c>
      <c r="CK35" s="7">
        <f t="shared" ca="1" si="160"/>
        <v>0</v>
      </c>
      <c r="CL35" s="7">
        <f t="shared" ca="1" si="160"/>
        <v>0</v>
      </c>
      <c r="CM35" s="7">
        <f t="shared" ca="1" si="160"/>
        <v>0</v>
      </c>
      <c r="CN35" s="7">
        <f t="shared" ca="1" si="160"/>
        <v>0</v>
      </c>
      <c r="CO35" s="7">
        <f t="shared" ca="1" si="160"/>
        <v>0</v>
      </c>
      <c r="CP35" s="7">
        <f t="shared" ca="1" si="160"/>
        <v>0</v>
      </c>
      <c r="CQ35" s="7">
        <f t="shared" ca="1" si="160"/>
        <v>0</v>
      </c>
      <c r="CR35" s="7">
        <f t="shared" ref="CR35:CS35" ca="1" si="161">IF($A$1=FALSE,"-",CR9-OFFSET($A60,0,CR$28))</f>
        <v>0</v>
      </c>
      <c r="CS35" s="7">
        <f t="shared" ca="1" si="161"/>
        <v>0</v>
      </c>
      <c r="CT35" s="7">
        <f t="shared" ref="CT35:CU35" ca="1" si="162">IF($A$1=FALSE,"-",CT9-OFFSET($A60,0,CT$28))</f>
        <v>0</v>
      </c>
      <c r="CU35" s="7">
        <f t="shared" ca="1" si="162"/>
        <v>0</v>
      </c>
      <c r="CV35" s="7">
        <f t="shared" ref="CV35:CW35" ca="1" si="163">IF($A$1=FALSE,"-",CV9-OFFSET($A60,0,CV$28))</f>
        <v>0</v>
      </c>
      <c r="CW35" s="7">
        <f t="shared" ca="1" si="163"/>
        <v>0</v>
      </c>
      <c r="CX35" s="7">
        <f t="shared" ref="CX35:CY35" ca="1" si="164">IF($A$1=FALSE,"-",CX9-OFFSET($A60,0,CX$28))</f>
        <v>0</v>
      </c>
      <c r="CY35" s="7">
        <f t="shared" ca="1" si="164"/>
        <v>0</v>
      </c>
    </row>
    <row r="36" spans="2:103" x14ac:dyDescent="0.15">
      <c r="B36" s="7">
        <f t="shared" ref="B36:K36" ca="1" si="165">IF($A$1=FALSE,"-",B10-OFFSET($A61,0,B$28))</f>
        <v>0</v>
      </c>
      <c r="C36" s="7">
        <f t="shared" ca="1" si="165"/>
        <v>0</v>
      </c>
      <c r="D36" s="7">
        <f t="shared" ca="1" si="165"/>
        <v>0</v>
      </c>
      <c r="E36" s="7">
        <f t="shared" ca="1" si="165"/>
        <v>0</v>
      </c>
      <c r="F36" s="7">
        <f t="shared" ca="1" si="165"/>
        <v>0</v>
      </c>
      <c r="G36" s="7">
        <f t="shared" ca="1" si="165"/>
        <v>0</v>
      </c>
      <c r="H36" s="7">
        <f t="shared" ca="1" si="165"/>
        <v>0</v>
      </c>
      <c r="I36" s="7">
        <f t="shared" ca="1" si="165"/>
        <v>0</v>
      </c>
      <c r="J36" s="7">
        <f t="shared" ca="1" si="165"/>
        <v>0</v>
      </c>
      <c r="K36" s="7">
        <f t="shared" ca="1" si="165"/>
        <v>0</v>
      </c>
      <c r="L36" s="7">
        <f t="shared" ca="1" si="117"/>
        <v>0</v>
      </c>
      <c r="M36" s="7">
        <f t="shared" ref="M36:AR36" ca="1" si="166">IF($A$1=FALSE,"-",M10-OFFSET($A61,0,M$28))</f>
        <v>0</v>
      </c>
      <c r="N36" s="7">
        <f t="shared" ca="1" si="166"/>
        <v>0</v>
      </c>
      <c r="O36" s="7">
        <f t="shared" ca="1" si="166"/>
        <v>0</v>
      </c>
      <c r="P36" s="7">
        <f t="shared" ca="1" si="166"/>
        <v>0</v>
      </c>
      <c r="Q36" s="7">
        <f t="shared" ca="1" si="166"/>
        <v>0</v>
      </c>
      <c r="R36" s="7">
        <f t="shared" ca="1" si="166"/>
        <v>0</v>
      </c>
      <c r="S36" s="7">
        <f t="shared" ca="1" si="166"/>
        <v>0</v>
      </c>
      <c r="T36" s="7">
        <f t="shared" ca="1" si="166"/>
        <v>0</v>
      </c>
      <c r="U36" s="7">
        <f t="shared" ca="1" si="166"/>
        <v>0</v>
      </c>
      <c r="V36" s="7">
        <f t="shared" ca="1" si="166"/>
        <v>0</v>
      </c>
      <c r="W36" s="7">
        <f t="shared" ca="1" si="166"/>
        <v>0</v>
      </c>
      <c r="X36" s="7">
        <f t="shared" ca="1" si="166"/>
        <v>0</v>
      </c>
      <c r="Y36" s="7">
        <f t="shared" ca="1" si="166"/>
        <v>0</v>
      </c>
      <c r="Z36" s="7">
        <f t="shared" ca="1" si="166"/>
        <v>0</v>
      </c>
      <c r="AA36" s="7">
        <f t="shared" ca="1" si="166"/>
        <v>0</v>
      </c>
      <c r="AB36" s="7">
        <f t="shared" ca="1" si="166"/>
        <v>0</v>
      </c>
      <c r="AC36" s="7">
        <f t="shared" ca="1" si="166"/>
        <v>0</v>
      </c>
      <c r="AD36" s="7">
        <f t="shared" ca="1" si="166"/>
        <v>0</v>
      </c>
      <c r="AE36" s="7">
        <f t="shared" ca="1" si="166"/>
        <v>0</v>
      </c>
      <c r="AF36" s="7">
        <f t="shared" ca="1" si="166"/>
        <v>0</v>
      </c>
      <c r="AG36" s="7" t="e">
        <f t="shared" ca="1" si="166"/>
        <v>#VALUE!</v>
      </c>
      <c r="AH36" s="7" t="e">
        <f t="shared" ca="1" si="166"/>
        <v>#VALUE!</v>
      </c>
      <c r="AI36" s="7">
        <f t="shared" ca="1" si="166"/>
        <v>0</v>
      </c>
      <c r="AJ36" s="7">
        <f t="shared" ca="1" si="166"/>
        <v>0</v>
      </c>
      <c r="AK36" s="7">
        <f t="shared" ca="1" si="166"/>
        <v>0</v>
      </c>
      <c r="AL36" s="7">
        <f t="shared" ca="1" si="166"/>
        <v>0</v>
      </c>
      <c r="AM36" s="7">
        <f t="shared" ca="1" si="166"/>
        <v>0</v>
      </c>
      <c r="AN36" s="7">
        <f t="shared" ca="1" si="166"/>
        <v>0</v>
      </c>
      <c r="AO36" s="7">
        <f t="shared" ca="1" si="166"/>
        <v>0</v>
      </c>
      <c r="AP36" s="7">
        <f t="shared" ca="1" si="166"/>
        <v>0</v>
      </c>
      <c r="AQ36" s="7" t="e">
        <f t="shared" ca="1" si="166"/>
        <v>#VALUE!</v>
      </c>
      <c r="AR36" s="7" t="e">
        <f t="shared" ca="1" si="166"/>
        <v>#VALUE!</v>
      </c>
      <c r="AS36" s="7">
        <f t="shared" ref="AS36:BX36" ca="1" si="167">IF($A$1=FALSE,"-",AS10-OFFSET($A61,0,AS$28))</f>
        <v>0</v>
      </c>
      <c r="AT36" s="7">
        <f t="shared" ca="1" si="167"/>
        <v>0</v>
      </c>
      <c r="AU36" s="7">
        <f t="shared" ca="1" si="167"/>
        <v>0</v>
      </c>
      <c r="AV36" s="7">
        <f t="shared" ca="1" si="167"/>
        <v>0</v>
      </c>
      <c r="AW36" s="7">
        <f t="shared" ca="1" si="167"/>
        <v>0</v>
      </c>
      <c r="AX36" s="7">
        <f t="shared" ca="1" si="167"/>
        <v>0</v>
      </c>
      <c r="AY36" s="7">
        <f t="shared" ca="1" si="167"/>
        <v>0</v>
      </c>
      <c r="AZ36" s="7">
        <f t="shared" ca="1" si="167"/>
        <v>0</v>
      </c>
      <c r="BA36" s="7">
        <f t="shared" ca="1" si="167"/>
        <v>0</v>
      </c>
      <c r="BB36" s="7">
        <f t="shared" ca="1" si="167"/>
        <v>0</v>
      </c>
      <c r="BC36" s="7" t="e">
        <f t="shared" ca="1" si="167"/>
        <v>#VALUE!</v>
      </c>
      <c r="BD36" s="7" t="e">
        <f t="shared" ca="1" si="167"/>
        <v>#VALUE!</v>
      </c>
      <c r="BE36" s="7">
        <f t="shared" ca="1" si="167"/>
        <v>0</v>
      </c>
      <c r="BF36" s="7">
        <f t="shared" ca="1" si="167"/>
        <v>0</v>
      </c>
      <c r="BG36" s="7">
        <f t="shared" ca="1" si="167"/>
        <v>0</v>
      </c>
      <c r="BH36" s="7">
        <f t="shared" ca="1" si="167"/>
        <v>0</v>
      </c>
      <c r="BI36" s="7">
        <f t="shared" ca="1" si="167"/>
        <v>0</v>
      </c>
      <c r="BJ36" s="7">
        <f t="shared" ca="1" si="167"/>
        <v>0</v>
      </c>
      <c r="BK36" s="7">
        <f t="shared" ca="1" si="167"/>
        <v>0</v>
      </c>
      <c r="BL36" s="7">
        <f t="shared" ca="1" si="167"/>
        <v>0</v>
      </c>
      <c r="BM36" s="7">
        <f t="shared" ca="1" si="167"/>
        <v>0</v>
      </c>
      <c r="BN36" s="7">
        <f t="shared" ca="1" si="167"/>
        <v>0</v>
      </c>
      <c r="BO36" s="7">
        <f t="shared" ca="1" si="167"/>
        <v>0</v>
      </c>
      <c r="BP36" s="7">
        <f t="shared" ca="1" si="167"/>
        <v>0</v>
      </c>
      <c r="BQ36" s="7">
        <f t="shared" ca="1" si="167"/>
        <v>0</v>
      </c>
      <c r="BR36" s="7">
        <f t="shared" ca="1" si="167"/>
        <v>0</v>
      </c>
      <c r="BS36" s="7">
        <f t="shared" ca="1" si="167"/>
        <v>0</v>
      </c>
      <c r="BT36" s="7">
        <f t="shared" ca="1" si="167"/>
        <v>0</v>
      </c>
      <c r="BU36" s="7">
        <f t="shared" ca="1" si="167"/>
        <v>0</v>
      </c>
      <c r="BV36" s="7">
        <f t="shared" ca="1" si="167"/>
        <v>0</v>
      </c>
      <c r="BW36" s="7">
        <f t="shared" ca="1" si="167"/>
        <v>0</v>
      </c>
      <c r="BX36" s="7">
        <f t="shared" ca="1" si="167"/>
        <v>0</v>
      </c>
      <c r="BY36" s="7">
        <f t="shared" ref="BY36:CQ36" ca="1" si="168">IF($A$1=FALSE,"-",BY10-OFFSET($A61,0,BY$28))</f>
        <v>0</v>
      </c>
      <c r="BZ36" s="7">
        <f t="shared" ca="1" si="168"/>
        <v>0</v>
      </c>
      <c r="CA36" s="7">
        <f t="shared" ca="1" si="168"/>
        <v>0</v>
      </c>
      <c r="CB36" s="7">
        <f t="shared" ca="1" si="168"/>
        <v>0</v>
      </c>
      <c r="CC36" s="7">
        <f t="shared" ca="1" si="168"/>
        <v>0</v>
      </c>
      <c r="CD36" s="7">
        <f t="shared" ca="1" si="168"/>
        <v>0</v>
      </c>
      <c r="CE36" s="7">
        <f t="shared" ca="1" si="168"/>
        <v>0</v>
      </c>
      <c r="CF36" s="7">
        <f t="shared" ca="1" si="168"/>
        <v>0</v>
      </c>
      <c r="CG36" s="7">
        <f t="shared" ca="1" si="168"/>
        <v>0</v>
      </c>
      <c r="CH36" s="7">
        <f t="shared" ca="1" si="168"/>
        <v>-3.5527136788005009E-15</v>
      </c>
      <c r="CI36" s="7">
        <f t="shared" ca="1" si="168"/>
        <v>0</v>
      </c>
      <c r="CJ36" s="7">
        <f t="shared" ca="1" si="168"/>
        <v>-4.4408920985006262E-16</v>
      </c>
      <c r="CK36" s="7">
        <f t="shared" ca="1" si="168"/>
        <v>0</v>
      </c>
      <c r="CL36" s="7">
        <f t="shared" ca="1" si="168"/>
        <v>0</v>
      </c>
      <c r="CM36" s="7">
        <f t="shared" ca="1" si="168"/>
        <v>0</v>
      </c>
      <c r="CN36" s="7">
        <f t="shared" ca="1" si="168"/>
        <v>0</v>
      </c>
      <c r="CO36" s="7">
        <f t="shared" ca="1" si="168"/>
        <v>0</v>
      </c>
      <c r="CP36" s="7">
        <f t="shared" ca="1" si="168"/>
        <v>0</v>
      </c>
      <c r="CQ36" s="7">
        <f t="shared" ca="1" si="168"/>
        <v>0</v>
      </c>
      <c r="CR36" s="7">
        <f t="shared" ref="CR36:CS36" ca="1" si="169">IF($A$1=FALSE,"-",CR10-OFFSET($A61,0,CR$28))</f>
        <v>0</v>
      </c>
      <c r="CS36" s="7">
        <f t="shared" ca="1" si="169"/>
        <v>0</v>
      </c>
      <c r="CT36" s="7">
        <f t="shared" ref="CT36:CU36" ca="1" si="170">IF($A$1=FALSE,"-",CT10-OFFSET($A61,0,CT$28))</f>
        <v>0</v>
      </c>
      <c r="CU36" s="7">
        <f t="shared" ca="1" si="170"/>
        <v>0</v>
      </c>
      <c r="CV36" s="7">
        <f t="shared" ref="CV36:CW36" ca="1" si="171">IF($A$1=FALSE,"-",CV10-OFFSET($A61,0,CV$28))</f>
        <v>0</v>
      </c>
      <c r="CW36" s="7">
        <f t="shared" ca="1" si="171"/>
        <v>0</v>
      </c>
      <c r="CX36" s="7">
        <f t="shared" ref="CX36:CY36" ca="1" si="172">IF($A$1=FALSE,"-",CX10-OFFSET($A61,0,CX$28))</f>
        <v>0</v>
      </c>
      <c r="CY36" s="7">
        <f t="shared" ca="1" si="172"/>
        <v>0</v>
      </c>
    </row>
    <row r="37" spans="2:103" x14ac:dyDescent="0.15">
      <c r="B37" s="7">
        <f t="shared" ref="B37:K37" ca="1" si="173">IF($A$1=FALSE,"-",B11-OFFSET($A62,0,B$28))</f>
        <v>0</v>
      </c>
      <c r="C37" s="7">
        <f t="shared" ca="1" si="173"/>
        <v>0</v>
      </c>
      <c r="D37" s="7">
        <f t="shared" ca="1" si="173"/>
        <v>0</v>
      </c>
      <c r="E37" s="7">
        <f t="shared" ca="1" si="173"/>
        <v>0</v>
      </c>
      <c r="F37" s="7">
        <f t="shared" ca="1" si="173"/>
        <v>0</v>
      </c>
      <c r="G37" s="7">
        <f t="shared" ca="1" si="173"/>
        <v>0</v>
      </c>
      <c r="H37" s="7">
        <f t="shared" ca="1" si="173"/>
        <v>0</v>
      </c>
      <c r="I37" s="7">
        <f t="shared" ca="1" si="173"/>
        <v>0</v>
      </c>
      <c r="J37" s="7">
        <f t="shared" ca="1" si="173"/>
        <v>0</v>
      </c>
      <c r="K37" s="7">
        <f t="shared" ca="1" si="173"/>
        <v>0</v>
      </c>
      <c r="L37" s="7">
        <f t="shared" ca="1" si="117"/>
        <v>0</v>
      </c>
      <c r="M37" s="7">
        <f t="shared" ref="M37:AR37" ca="1" si="174">IF($A$1=FALSE,"-",M11-OFFSET($A62,0,M$28))</f>
        <v>0</v>
      </c>
      <c r="N37" s="7">
        <f t="shared" ca="1" si="174"/>
        <v>0</v>
      </c>
      <c r="O37" s="7">
        <f t="shared" ca="1" si="174"/>
        <v>0</v>
      </c>
      <c r="P37" s="7">
        <f t="shared" ca="1" si="174"/>
        <v>0</v>
      </c>
      <c r="Q37" s="7">
        <f t="shared" ca="1" si="174"/>
        <v>0</v>
      </c>
      <c r="R37" s="7">
        <f t="shared" ca="1" si="174"/>
        <v>0</v>
      </c>
      <c r="S37" s="7">
        <f t="shared" ca="1" si="174"/>
        <v>0</v>
      </c>
      <c r="T37" s="7">
        <f t="shared" ca="1" si="174"/>
        <v>0</v>
      </c>
      <c r="U37" s="7">
        <f t="shared" ca="1" si="174"/>
        <v>0</v>
      </c>
      <c r="V37" s="7">
        <f t="shared" ca="1" si="174"/>
        <v>0</v>
      </c>
      <c r="W37" s="7">
        <f t="shared" ca="1" si="174"/>
        <v>0</v>
      </c>
      <c r="X37" s="7">
        <f t="shared" ca="1" si="174"/>
        <v>0</v>
      </c>
      <c r="Y37" s="7">
        <f t="shared" ca="1" si="174"/>
        <v>0</v>
      </c>
      <c r="Z37" s="7">
        <f t="shared" ca="1" si="174"/>
        <v>0</v>
      </c>
      <c r="AA37" s="7">
        <f t="shared" ca="1" si="174"/>
        <v>0</v>
      </c>
      <c r="AB37" s="7">
        <f t="shared" ca="1" si="174"/>
        <v>0</v>
      </c>
      <c r="AC37" s="7">
        <f t="shared" ca="1" si="174"/>
        <v>0</v>
      </c>
      <c r="AD37" s="7">
        <f t="shared" ca="1" si="174"/>
        <v>0</v>
      </c>
      <c r="AE37" s="7">
        <f t="shared" ca="1" si="174"/>
        <v>0</v>
      </c>
      <c r="AF37" s="7">
        <f t="shared" ca="1" si="174"/>
        <v>0</v>
      </c>
      <c r="AG37" s="7" t="e">
        <f t="shared" ca="1" si="174"/>
        <v>#VALUE!</v>
      </c>
      <c r="AH37" s="7" t="e">
        <f t="shared" ca="1" si="174"/>
        <v>#VALUE!</v>
      </c>
      <c r="AI37" s="7">
        <f t="shared" ca="1" si="174"/>
        <v>0</v>
      </c>
      <c r="AJ37" s="7">
        <f t="shared" ca="1" si="174"/>
        <v>0</v>
      </c>
      <c r="AK37" s="7">
        <f t="shared" ca="1" si="174"/>
        <v>0</v>
      </c>
      <c r="AL37" s="7">
        <f t="shared" ca="1" si="174"/>
        <v>0</v>
      </c>
      <c r="AM37" s="7">
        <f t="shared" ca="1" si="174"/>
        <v>0</v>
      </c>
      <c r="AN37" s="7">
        <f t="shared" ca="1" si="174"/>
        <v>0</v>
      </c>
      <c r="AO37" s="7">
        <f t="shared" ca="1" si="174"/>
        <v>0</v>
      </c>
      <c r="AP37" s="7">
        <f t="shared" ca="1" si="174"/>
        <v>0</v>
      </c>
      <c r="AQ37" s="7" t="e">
        <f t="shared" ca="1" si="174"/>
        <v>#VALUE!</v>
      </c>
      <c r="AR37" s="7" t="e">
        <f t="shared" ca="1" si="174"/>
        <v>#VALUE!</v>
      </c>
      <c r="AS37" s="7">
        <f t="shared" ref="AS37:BX37" ca="1" si="175">IF($A$1=FALSE,"-",AS11-OFFSET($A62,0,AS$28))</f>
        <v>0</v>
      </c>
      <c r="AT37" s="7">
        <f t="shared" ca="1" si="175"/>
        <v>0</v>
      </c>
      <c r="AU37" s="7">
        <f t="shared" ca="1" si="175"/>
        <v>0</v>
      </c>
      <c r="AV37" s="7">
        <f t="shared" ca="1" si="175"/>
        <v>0</v>
      </c>
      <c r="AW37" s="7">
        <f t="shared" ca="1" si="175"/>
        <v>0</v>
      </c>
      <c r="AX37" s="7">
        <f t="shared" ca="1" si="175"/>
        <v>0</v>
      </c>
      <c r="AY37" s="7">
        <f t="shared" ca="1" si="175"/>
        <v>0</v>
      </c>
      <c r="AZ37" s="7">
        <f t="shared" ca="1" si="175"/>
        <v>0</v>
      </c>
      <c r="BA37" s="7">
        <f t="shared" ca="1" si="175"/>
        <v>0</v>
      </c>
      <c r="BB37" s="7">
        <f t="shared" ca="1" si="175"/>
        <v>0</v>
      </c>
      <c r="BC37" s="7" t="e">
        <f t="shared" ca="1" si="175"/>
        <v>#VALUE!</v>
      </c>
      <c r="BD37" s="7" t="e">
        <f t="shared" ca="1" si="175"/>
        <v>#VALUE!</v>
      </c>
      <c r="BE37" s="7">
        <f t="shared" ca="1" si="175"/>
        <v>0</v>
      </c>
      <c r="BF37" s="7">
        <f t="shared" ca="1" si="175"/>
        <v>0</v>
      </c>
      <c r="BG37" s="7">
        <f t="shared" ca="1" si="175"/>
        <v>0</v>
      </c>
      <c r="BH37" s="7">
        <f t="shared" ca="1" si="175"/>
        <v>0</v>
      </c>
      <c r="BI37" s="7">
        <f t="shared" ca="1" si="175"/>
        <v>0</v>
      </c>
      <c r="BJ37" s="7">
        <f t="shared" ca="1" si="175"/>
        <v>0</v>
      </c>
      <c r="BK37" s="7">
        <f t="shared" ca="1" si="175"/>
        <v>0</v>
      </c>
      <c r="BL37" s="7">
        <f t="shared" ca="1" si="175"/>
        <v>0</v>
      </c>
      <c r="BM37" s="7">
        <f t="shared" ca="1" si="175"/>
        <v>0</v>
      </c>
      <c r="BN37" s="7">
        <f t="shared" ca="1" si="175"/>
        <v>0</v>
      </c>
      <c r="BO37" s="7">
        <f t="shared" ca="1" si="175"/>
        <v>0</v>
      </c>
      <c r="BP37" s="7">
        <f t="shared" ca="1" si="175"/>
        <v>0</v>
      </c>
      <c r="BQ37" s="7">
        <f t="shared" ca="1" si="175"/>
        <v>0</v>
      </c>
      <c r="BR37" s="7">
        <f t="shared" ca="1" si="175"/>
        <v>0</v>
      </c>
      <c r="BS37" s="7">
        <f t="shared" ca="1" si="175"/>
        <v>0</v>
      </c>
      <c r="BT37" s="7">
        <f t="shared" ca="1" si="175"/>
        <v>0</v>
      </c>
      <c r="BU37" s="7">
        <f t="shared" ca="1" si="175"/>
        <v>0</v>
      </c>
      <c r="BV37" s="7">
        <f t="shared" ca="1" si="175"/>
        <v>0</v>
      </c>
      <c r="BW37" s="7">
        <f t="shared" ca="1" si="175"/>
        <v>0</v>
      </c>
      <c r="BX37" s="7">
        <f t="shared" ca="1" si="175"/>
        <v>0</v>
      </c>
      <c r="BY37" s="7">
        <f t="shared" ref="BY37:CQ37" ca="1" si="176">IF($A$1=FALSE,"-",BY11-OFFSET($A62,0,BY$28))</f>
        <v>0</v>
      </c>
      <c r="BZ37" s="7">
        <f t="shared" ca="1" si="176"/>
        <v>0</v>
      </c>
      <c r="CA37" s="7">
        <f t="shared" ca="1" si="176"/>
        <v>0</v>
      </c>
      <c r="CB37" s="7">
        <f t="shared" ca="1" si="176"/>
        <v>0</v>
      </c>
      <c r="CC37" s="7">
        <f t="shared" ca="1" si="176"/>
        <v>0</v>
      </c>
      <c r="CD37" s="7">
        <f t="shared" ca="1" si="176"/>
        <v>0</v>
      </c>
      <c r="CE37" s="7">
        <f t="shared" ca="1" si="176"/>
        <v>0</v>
      </c>
      <c r="CF37" s="7">
        <f t="shared" ca="1" si="176"/>
        <v>0</v>
      </c>
      <c r="CG37" s="7">
        <f t="shared" ca="1" si="176"/>
        <v>0</v>
      </c>
      <c r="CH37" s="7">
        <f t="shared" ca="1" si="176"/>
        <v>0</v>
      </c>
      <c r="CI37" s="7">
        <f t="shared" ca="1" si="176"/>
        <v>0</v>
      </c>
      <c r="CJ37" s="7">
        <f t="shared" ca="1" si="176"/>
        <v>0</v>
      </c>
      <c r="CK37" s="7">
        <f t="shared" ca="1" si="176"/>
        <v>0</v>
      </c>
      <c r="CL37" s="7">
        <f t="shared" ca="1" si="176"/>
        <v>0</v>
      </c>
      <c r="CM37" s="7">
        <f t="shared" ca="1" si="176"/>
        <v>0</v>
      </c>
      <c r="CN37" s="7">
        <f t="shared" ca="1" si="176"/>
        <v>0</v>
      </c>
      <c r="CO37" s="7">
        <f t="shared" ca="1" si="176"/>
        <v>0</v>
      </c>
      <c r="CP37" s="7">
        <f t="shared" ca="1" si="176"/>
        <v>0</v>
      </c>
      <c r="CQ37" s="7">
        <f t="shared" ca="1" si="176"/>
        <v>0</v>
      </c>
      <c r="CR37" s="7">
        <f t="shared" ref="CR37:CS37" ca="1" si="177">IF($A$1=FALSE,"-",CR11-OFFSET($A62,0,CR$28))</f>
        <v>0</v>
      </c>
      <c r="CS37" s="7">
        <f t="shared" ca="1" si="177"/>
        <v>0</v>
      </c>
      <c r="CT37" s="7">
        <f t="shared" ref="CT37:CU37" ca="1" si="178">IF($A$1=FALSE,"-",CT11-OFFSET($A62,0,CT$28))</f>
        <v>0</v>
      </c>
      <c r="CU37" s="7">
        <f t="shared" ca="1" si="178"/>
        <v>0</v>
      </c>
      <c r="CV37" s="7">
        <f t="shared" ref="CV37:CW37" ca="1" si="179">IF($A$1=FALSE,"-",CV11-OFFSET($A62,0,CV$28))</f>
        <v>0</v>
      </c>
      <c r="CW37" s="7">
        <f t="shared" ca="1" si="179"/>
        <v>0</v>
      </c>
      <c r="CX37" s="7">
        <f t="shared" ref="CX37:CY37" ca="1" si="180">IF($A$1=FALSE,"-",CX11-OFFSET($A62,0,CX$28))</f>
        <v>0</v>
      </c>
      <c r="CY37" s="7">
        <f t="shared" ca="1" si="180"/>
        <v>0</v>
      </c>
    </row>
    <row r="38" spans="2:103" x14ac:dyDescent="0.15">
      <c r="B38" s="7">
        <f t="shared" ref="B38:K38" ca="1" si="181">IF($A$1=FALSE,"-",B12-OFFSET($A63,0,B$28))</f>
        <v>0</v>
      </c>
      <c r="C38" s="7">
        <f t="shared" ca="1" si="181"/>
        <v>0</v>
      </c>
      <c r="D38" s="7">
        <f t="shared" ca="1" si="181"/>
        <v>0</v>
      </c>
      <c r="E38" s="7">
        <f t="shared" ca="1" si="181"/>
        <v>0</v>
      </c>
      <c r="F38" s="7">
        <f t="shared" ca="1" si="181"/>
        <v>0</v>
      </c>
      <c r="G38" s="7">
        <f t="shared" ca="1" si="181"/>
        <v>0</v>
      </c>
      <c r="H38" s="7">
        <f t="shared" ca="1" si="181"/>
        <v>0</v>
      </c>
      <c r="I38" s="7">
        <f t="shared" ca="1" si="181"/>
        <v>0</v>
      </c>
      <c r="J38" s="7">
        <f t="shared" ca="1" si="181"/>
        <v>0</v>
      </c>
      <c r="K38" s="7">
        <f t="shared" ca="1" si="181"/>
        <v>0</v>
      </c>
      <c r="L38" s="7">
        <f t="shared" ca="1" si="117"/>
        <v>0</v>
      </c>
      <c r="M38" s="7">
        <f t="shared" ref="M38:AR38" ca="1" si="182">IF($A$1=FALSE,"-",M12-OFFSET($A63,0,M$28))</f>
        <v>0</v>
      </c>
      <c r="N38" s="7">
        <f t="shared" ca="1" si="182"/>
        <v>0</v>
      </c>
      <c r="O38" s="7">
        <f t="shared" ca="1" si="182"/>
        <v>0</v>
      </c>
      <c r="P38" s="7">
        <f t="shared" ca="1" si="182"/>
        <v>0</v>
      </c>
      <c r="Q38" s="7">
        <f t="shared" ca="1" si="182"/>
        <v>0</v>
      </c>
      <c r="R38" s="7">
        <f t="shared" ca="1" si="182"/>
        <v>0</v>
      </c>
      <c r="S38" s="7">
        <f t="shared" ca="1" si="182"/>
        <v>0</v>
      </c>
      <c r="T38" s="7">
        <f t="shared" ca="1" si="182"/>
        <v>0</v>
      </c>
      <c r="U38" s="7">
        <f t="shared" ca="1" si="182"/>
        <v>0</v>
      </c>
      <c r="V38" s="7">
        <f t="shared" ca="1" si="182"/>
        <v>0</v>
      </c>
      <c r="W38" s="7">
        <f t="shared" ca="1" si="182"/>
        <v>0</v>
      </c>
      <c r="X38" s="7">
        <f t="shared" ca="1" si="182"/>
        <v>0</v>
      </c>
      <c r="Y38" s="7">
        <f t="shared" ca="1" si="182"/>
        <v>0</v>
      </c>
      <c r="Z38" s="7">
        <f t="shared" ca="1" si="182"/>
        <v>0</v>
      </c>
      <c r="AA38" s="7">
        <f t="shared" ca="1" si="182"/>
        <v>0</v>
      </c>
      <c r="AB38" s="7">
        <f t="shared" ca="1" si="182"/>
        <v>0</v>
      </c>
      <c r="AC38" s="7">
        <f t="shared" ca="1" si="182"/>
        <v>0</v>
      </c>
      <c r="AD38" s="7">
        <f t="shared" ca="1" si="182"/>
        <v>0</v>
      </c>
      <c r="AE38" s="7">
        <f t="shared" ca="1" si="182"/>
        <v>0</v>
      </c>
      <c r="AF38" s="7">
        <f t="shared" ca="1" si="182"/>
        <v>0</v>
      </c>
      <c r="AG38" s="7" t="e">
        <f t="shared" ca="1" si="182"/>
        <v>#VALUE!</v>
      </c>
      <c r="AH38" s="7" t="e">
        <f t="shared" ca="1" si="182"/>
        <v>#VALUE!</v>
      </c>
      <c r="AI38" s="7">
        <f t="shared" ca="1" si="182"/>
        <v>0</v>
      </c>
      <c r="AJ38" s="7">
        <f t="shared" ca="1" si="182"/>
        <v>0</v>
      </c>
      <c r="AK38" s="7">
        <f t="shared" ca="1" si="182"/>
        <v>0</v>
      </c>
      <c r="AL38" s="7">
        <f t="shared" ca="1" si="182"/>
        <v>0</v>
      </c>
      <c r="AM38" s="7">
        <f t="shared" ca="1" si="182"/>
        <v>0</v>
      </c>
      <c r="AN38" s="7">
        <f t="shared" ca="1" si="182"/>
        <v>0</v>
      </c>
      <c r="AO38" s="7">
        <f t="shared" ca="1" si="182"/>
        <v>0</v>
      </c>
      <c r="AP38" s="7">
        <f t="shared" ca="1" si="182"/>
        <v>0</v>
      </c>
      <c r="AQ38" s="7" t="e">
        <f t="shared" ca="1" si="182"/>
        <v>#VALUE!</v>
      </c>
      <c r="AR38" s="7" t="e">
        <f t="shared" ca="1" si="182"/>
        <v>#VALUE!</v>
      </c>
      <c r="AS38" s="7">
        <f t="shared" ref="AS38:BX38" ca="1" si="183">IF($A$1=FALSE,"-",AS12-OFFSET($A63,0,AS$28))</f>
        <v>0</v>
      </c>
      <c r="AT38" s="7">
        <f t="shared" ca="1" si="183"/>
        <v>0</v>
      </c>
      <c r="AU38" s="7">
        <f t="shared" ca="1" si="183"/>
        <v>0</v>
      </c>
      <c r="AV38" s="7">
        <f t="shared" ca="1" si="183"/>
        <v>0</v>
      </c>
      <c r="AW38" s="7">
        <f t="shared" ca="1" si="183"/>
        <v>0</v>
      </c>
      <c r="AX38" s="7">
        <f t="shared" ca="1" si="183"/>
        <v>0</v>
      </c>
      <c r="AY38" s="7">
        <f t="shared" ca="1" si="183"/>
        <v>0</v>
      </c>
      <c r="AZ38" s="7">
        <f t="shared" ca="1" si="183"/>
        <v>0</v>
      </c>
      <c r="BA38" s="7">
        <f t="shared" ca="1" si="183"/>
        <v>0</v>
      </c>
      <c r="BB38" s="7">
        <f t="shared" ca="1" si="183"/>
        <v>0</v>
      </c>
      <c r="BC38" s="7" t="e">
        <f t="shared" ca="1" si="183"/>
        <v>#VALUE!</v>
      </c>
      <c r="BD38" s="7" t="e">
        <f t="shared" ca="1" si="183"/>
        <v>#VALUE!</v>
      </c>
      <c r="BE38" s="7">
        <f t="shared" ca="1" si="183"/>
        <v>0</v>
      </c>
      <c r="BF38" s="7">
        <f t="shared" ca="1" si="183"/>
        <v>0</v>
      </c>
      <c r="BG38" s="7">
        <f t="shared" ca="1" si="183"/>
        <v>0</v>
      </c>
      <c r="BH38" s="7">
        <f t="shared" ca="1" si="183"/>
        <v>0</v>
      </c>
      <c r="BI38" s="7">
        <f t="shared" ca="1" si="183"/>
        <v>0</v>
      </c>
      <c r="BJ38" s="7">
        <f t="shared" ca="1" si="183"/>
        <v>0</v>
      </c>
      <c r="BK38" s="7">
        <f t="shared" ca="1" si="183"/>
        <v>0</v>
      </c>
      <c r="BL38" s="7">
        <f t="shared" ca="1" si="183"/>
        <v>0</v>
      </c>
      <c r="BM38" s="7">
        <f t="shared" ca="1" si="183"/>
        <v>0</v>
      </c>
      <c r="BN38" s="7">
        <f t="shared" ca="1" si="183"/>
        <v>0</v>
      </c>
      <c r="BO38" s="7">
        <f t="shared" ca="1" si="183"/>
        <v>0</v>
      </c>
      <c r="BP38" s="7">
        <f t="shared" ca="1" si="183"/>
        <v>0</v>
      </c>
      <c r="BQ38" s="7">
        <f t="shared" ca="1" si="183"/>
        <v>0</v>
      </c>
      <c r="BR38" s="7">
        <f t="shared" ca="1" si="183"/>
        <v>0</v>
      </c>
      <c r="BS38" s="7">
        <f t="shared" ca="1" si="183"/>
        <v>0</v>
      </c>
      <c r="BT38" s="7">
        <f t="shared" ca="1" si="183"/>
        <v>0</v>
      </c>
      <c r="BU38" s="7">
        <f t="shared" ca="1" si="183"/>
        <v>0</v>
      </c>
      <c r="BV38" s="7">
        <f t="shared" ca="1" si="183"/>
        <v>0</v>
      </c>
      <c r="BW38" s="7">
        <f t="shared" ca="1" si="183"/>
        <v>0</v>
      </c>
      <c r="BX38" s="7">
        <f t="shared" ca="1" si="183"/>
        <v>0</v>
      </c>
      <c r="BY38" s="7">
        <f t="shared" ref="BY38:CQ38" ca="1" si="184">IF($A$1=FALSE,"-",BY12-OFFSET($A63,0,BY$28))</f>
        <v>0</v>
      </c>
      <c r="BZ38" s="7">
        <f t="shared" ca="1" si="184"/>
        <v>0</v>
      </c>
      <c r="CA38" s="7">
        <f t="shared" ca="1" si="184"/>
        <v>0</v>
      </c>
      <c r="CB38" s="7">
        <f t="shared" ca="1" si="184"/>
        <v>0</v>
      </c>
      <c r="CC38" s="7">
        <f t="shared" ca="1" si="184"/>
        <v>0</v>
      </c>
      <c r="CD38" s="7">
        <f t="shared" ca="1" si="184"/>
        <v>0</v>
      </c>
      <c r="CE38" s="7">
        <f t="shared" ca="1" si="184"/>
        <v>0</v>
      </c>
      <c r="CF38" s="7">
        <f t="shared" ca="1" si="184"/>
        <v>0</v>
      </c>
      <c r="CG38" s="7">
        <f t="shared" ca="1" si="184"/>
        <v>1.1102230246251565E-16</v>
      </c>
      <c r="CH38" s="7">
        <f t="shared" ca="1" si="184"/>
        <v>0</v>
      </c>
      <c r="CI38" s="7">
        <f t="shared" ca="1" si="184"/>
        <v>0</v>
      </c>
      <c r="CJ38" s="7">
        <f t="shared" ca="1" si="184"/>
        <v>0</v>
      </c>
      <c r="CK38" s="7">
        <f t="shared" ca="1" si="184"/>
        <v>0</v>
      </c>
      <c r="CL38" s="7">
        <f t="shared" ca="1" si="184"/>
        <v>0</v>
      </c>
      <c r="CM38" s="7">
        <f t="shared" ca="1" si="184"/>
        <v>0</v>
      </c>
      <c r="CN38" s="7">
        <f t="shared" ca="1" si="184"/>
        <v>0</v>
      </c>
      <c r="CO38" s="7">
        <f t="shared" ca="1" si="184"/>
        <v>0</v>
      </c>
      <c r="CP38" s="7">
        <f t="shared" ca="1" si="184"/>
        <v>0</v>
      </c>
      <c r="CQ38" s="7">
        <f t="shared" ca="1" si="184"/>
        <v>0</v>
      </c>
      <c r="CR38" s="7">
        <f t="shared" ref="CR38:CS38" ca="1" si="185">IF($A$1=FALSE,"-",CR12-OFFSET($A63,0,CR$28))</f>
        <v>0</v>
      </c>
      <c r="CS38" s="7">
        <f t="shared" ca="1" si="185"/>
        <v>0</v>
      </c>
      <c r="CT38" s="7">
        <f t="shared" ref="CT38:CU38" ca="1" si="186">IF($A$1=FALSE,"-",CT12-OFFSET($A63,0,CT$28))</f>
        <v>0</v>
      </c>
      <c r="CU38" s="7">
        <f t="shared" ca="1" si="186"/>
        <v>0</v>
      </c>
      <c r="CV38" s="7">
        <f t="shared" ref="CV38:CW38" ca="1" si="187">IF($A$1=FALSE,"-",CV12-OFFSET($A63,0,CV$28))</f>
        <v>0</v>
      </c>
      <c r="CW38" s="7">
        <f t="shared" ca="1" si="187"/>
        <v>0</v>
      </c>
      <c r="CX38" s="7">
        <f t="shared" ref="CX38:CY38" ca="1" si="188">IF($A$1=FALSE,"-",CX12-OFFSET($A63,0,CX$28))</f>
        <v>0</v>
      </c>
      <c r="CY38" s="7">
        <f t="shared" ca="1" si="188"/>
        <v>0</v>
      </c>
    </row>
    <row r="39" spans="2:103" x14ac:dyDescent="0.15">
      <c r="B39" s="7">
        <f t="shared" ref="B39:K39" ca="1" si="189">IF($A$1=FALSE,"-",B13-OFFSET($A64,0,B$28))</f>
        <v>0</v>
      </c>
      <c r="C39" s="7">
        <f t="shared" ca="1" si="189"/>
        <v>0</v>
      </c>
      <c r="D39" s="7">
        <f t="shared" ca="1" si="189"/>
        <v>0</v>
      </c>
      <c r="E39" s="7">
        <f t="shared" ca="1" si="189"/>
        <v>0</v>
      </c>
      <c r="F39" s="7">
        <f t="shared" ca="1" si="189"/>
        <v>0</v>
      </c>
      <c r="G39" s="7">
        <f t="shared" ca="1" si="189"/>
        <v>0</v>
      </c>
      <c r="H39" s="7">
        <f t="shared" ca="1" si="189"/>
        <v>0</v>
      </c>
      <c r="I39" s="7">
        <f t="shared" ca="1" si="189"/>
        <v>0</v>
      </c>
      <c r="J39" s="7">
        <f t="shared" ca="1" si="189"/>
        <v>0</v>
      </c>
      <c r="K39" s="7">
        <f t="shared" ca="1" si="189"/>
        <v>0</v>
      </c>
      <c r="L39" s="7">
        <f t="shared" ca="1" si="117"/>
        <v>0</v>
      </c>
      <c r="M39" s="7">
        <f t="shared" ref="M39:AR39" ca="1" si="190">IF($A$1=FALSE,"-",M13-OFFSET($A64,0,M$28))</f>
        <v>0</v>
      </c>
      <c r="N39" s="7">
        <f t="shared" ca="1" si="190"/>
        <v>0</v>
      </c>
      <c r="O39" s="7">
        <f t="shared" ca="1" si="190"/>
        <v>0</v>
      </c>
      <c r="P39" s="7">
        <f t="shared" ca="1" si="190"/>
        <v>0</v>
      </c>
      <c r="Q39" s="7">
        <f t="shared" ca="1" si="190"/>
        <v>0</v>
      </c>
      <c r="R39" s="7">
        <f t="shared" ca="1" si="190"/>
        <v>0</v>
      </c>
      <c r="S39" s="7">
        <f t="shared" ca="1" si="190"/>
        <v>0</v>
      </c>
      <c r="T39" s="7">
        <f t="shared" ca="1" si="190"/>
        <v>0</v>
      </c>
      <c r="U39" s="7">
        <f t="shared" ca="1" si="190"/>
        <v>0</v>
      </c>
      <c r="V39" s="7">
        <f t="shared" ca="1" si="190"/>
        <v>0</v>
      </c>
      <c r="W39" s="7">
        <f t="shared" ca="1" si="190"/>
        <v>0</v>
      </c>
      <c r="X39" s="7">
        <f t="shared" ca="1" si="190"/>
        <v>0</v>
      </c>
      <c r="Y39" s="7">
        <f t="shared" ca="1" si="190"/>
        <v>0</v>
      </c>
      <c r="Z39" s="7">
        <f t="shared" ca="1" si="190"/>
        <v>0</v>
      </c>
      <c r="AA39" s="7">
        <f t="shared" ca="1" si="190"/>
        <v>0</v>
      </c>
      <c r="AB39" s="7">
        <f t="shared" ca="1" si="190"/>
        <v>0</v>
      </c>
      <c r="AC39" s="7">
        <f t="shared" ca="1" si="190"/>
        <v>0</v>
      </c>
      <c r="AD39" s="7">
        <f t="shared" ca="1" si="190"/>
        <v>0</v>
      </c>
      <c r="AE39" s="7">
        <f t="shared" ca="1" si="190"/>
        <v>0</v>
      </c>
      <c r="AF39" s="7">
        <f t="shared" ca="1" si="190"/>
        <v>0</v>
      </c>
      <c r="AG39" s="7" t="e">
        <f t="shared" ca="1" si="190"/>
        <v>#VALUE!</v>
      </c>
      <c r="AH39" s="7" t="e">
        <f t="shared" ca="1" si="190"/>
        <v>#VALUE!</v>
      </c>
      <c r="AI39" s="7">
        <f t="shared" ca="1" si="190"/>
        <v>0</v>
      </c>
      <c r="AJ39" s="7">
        <f t="shared" ca="1" si="190"/>
        <v>0</v>
      </c>
      <c r="AK39" s="7">
        <f t="shared" ca="1" si="190"/>
        <v>0</v>
      </c>
      <c r="AL39" s="7">
        <f t="shared" ca="1" si="190"/>
        <v>0</v>
      </c>
      <c r="AM39" s="7">
        <f t="shared" ca="1" si="190"/>
        <v>0</v>
      </c>
      <c r="AN39" s="7">
        <f t="shared" ca="1" si="190"/>
        <v>0</v>
      </c>
      <c r="AO39" s="7">
        <f t="shared" ca="1" si="190"/>
        <v>0</v>
      </c>
      <c r="AP39" s="7">
        <f t="shared" ca="1" si="190"/>
        <v>0</v>
      </c>
      <c r="AQ39" s="7" t="e">
        <f t="shared" ca="1" si="190"/>
        <v>#VALUE!</v>
      </c>
      <c r="AR39" s="7" t="e">
        <f t="shared" ca="1" si="190"/>
        <v>#VALUE!</v>
      </c>
      <c r="AS39" s="7">
        <f t="shared" ref="AS39:BX39" ca="1" si="191">IF($A$1=FALSE,"-",AS13-OFFSET($A64,0,AS$28))</f>
        <v>0</v>
      </c>
      <c r="AT39" s="7">
        <f t="shared" ca="1" si="191"/>
        <v>0</v>
      </c>
      <c r="AU39" s="7">
        <f t="shared" ca="1" si="191"/>
        <v>0</v>
      </c>
      <c r="AV39" s="7">
        <f t="shared" ca="1" si="191"/>
        <v>0</v>
      </c>
      <c r="AW39" s="7">
        <f t="shared" ca="1" si="191"/>
        <v>0</v>
      </c>
      <c r="AX39" s="7">
        <f t="shared" ca="1" si="191"/>
        <v>0</v>
      </c>
      <c r="AY39" s="7">
        <f t="shared" ca="1" si="191"/>
        <v>0</v>
      </c>
      <c r="AZ39" s="7">
        <f t="shared" ca="1" si="191"/>
        <v>0</v>
      </c>
      <c r="BA39" s="7">
        <f t="shared" ca="1" si="191"/>
        <v>0</v>
      </c>
      <c r="BB39" s="7">
        <f t="shared" ca="1" si="191"/>
        <v>0</v>
      </c>
      <c r="BC39" s="7" t="e">
        <f t="shared" ca="1" si="191"/>
        <v>#VALUE!</v>
      </c>
      <c r="BD39" s="7" t="e">
        <f t="shared" ca="1" si="191"/>
        <v>#VALUE!</v>
      </c>
      <c r="BE39" s="7">
        <f t="shared" ca="1" si="191"/>
        <v>0</v>
      </c>
      <c r="BF39" s="7">
        <f t="shared" ca="1" si="191"/>
        <v>0</v>
      </c>
      <c r="BG39" s="7">
        <f t="shared" ca="1" si="191"/>
        <v>0</v>
      </c>
      <c r="BH39" s="7">
        <f t="shared" ca="1" si="191"/>
        <v>0</v>
      </c>
      <c r="BI39" s="7">
        <f t="shared" ca="1" si="191"/>
        <v>0</v>
      </c>
      <c r="BJ39" s="7">
        <f t="shared" ca="1" si="191"/>
        <v>0</v>
      </c>
      <c r="BK39" s="7">
        <f t="shared" ca="1" si="191"/>
        <v>0</v>
      </c>
      <c r="BL39" s="7">
        <f t="shared" ca="1" si="191"/>
        <v>0</v>
      </c>
      <c r="BM39" s="7">
        <f t="shared" ca="1" si="191"/>
        <v>0</v>
      </c>
      <c r="BN39" s="7">
        <f t="shared" ca="1" si="191"/>
        <v>0</v>
      </c>
      <c r="BO39" s="7">
        <f t="shared" ca="1" si="191"/>
        <v>0</v>
      </c>
      <c r="BP39" s="7">
        <f t="shared" ca="1" si="191"/>
        <v>0</v>
      </c>
      <c r="BQ39" s="7">
        <f t="shared" ca="1" si="191"/>
        <v>0</v>
      </c>
      <c r="BR39" s="7">
        <f t="shared" ca="1" si="191"/>
        <v>0</v>
      </c>
      <c r="BS39" s="7">
        <f t="shared" ca="1" si="191"/>
        <v>0</v>
      </c>
      <c r="BT39" s="7">
        <f t="shared" ca="1" si="191"/>
        <v>0</v>
      </c>
      <c r="BU39" s="7">
        <f t="shared" ca="1" si="191"/>
        <v>0</v>
      </c>
      <c r="BV39" s="7">
        <f t="shared" ca="1" si="191"/>
        <v>0</v>
      </c>
      <c r="BW39" s="7">
        <f t="shared" ca="1" si="191"/>
        <v>0</v>
      </c>
      <c r="BX39" s="7">
        <f t="shared" ca="1" si="191"/>
        <v>0</v>
      </c>
      <c r="BY39" s="7">
        <f t="shared" ref="BY39:CQ39" ca="1" si="192">IF($A$1=FALSE,"-",BY13-OFFSET($A64,0,BY$28))</f>
        <v>5.6843418860808015E-14</v>
      </c>
      <c r="BZ39" s="7">
        <f t="shared" ca="1" si="192"/>
        <v>3.5527136788005009E-15</v>
      </c>
      <c r="CA39" s="7">
        <f t="shared" ca="1" si="192"/>
        <v>0</v>
      </c>
      <c r="CB39" s="7">
        <f t="shared" ca="1" si="192"/>
        <v>0</v>
      </c>
      <c r="CC39" s="7">
        <f t="shared" ca="1" si="192"/>
        <v>0</v>
      </c>
      <c r="CD39" s="7">
        <f t="shared" ca="1" si="192"/>
        <v>5.6843418860808015E-14</v>
      </c>
      <c r="CE39" s="7">
        <f t="shared" ca="1" si="192"/>
        <v>-1.4210854715202004E-14</v>
      </c>
      <c r="CF39" s="7">
        <f t="shared" ca="1" si="192"/>
        <v>-1.3322676295501878E-14</v>
      </c>
      <c r="CG39" s="7">
        <f t="shared" ca="1" si="192"/>
        <v>0</v>
      </c>
      <c r="CH39" s="7">
        <f t="shared" ca="1" si="192"/>
        <v>-1.4210854715202004E-14</v>
      </c>
      <c r="CI39" s="7">
        <f t="shared" ca="1" si="192"/>
        <v>-2.2204460492503131E-16</v>
      </c>
      <c r="CJ39" s="7">
        <f t="shared" ca="1" si="192"/>
        <v>-1.3322676295501878E-14</v>
      </c>
      <c r="CK39" s="7">
        <f t="shared" ca="1" si="192"/>
        <v>-5.6843418860808015E-14</v>
      </c>
      <c r="CL39" s="7">
        <f t="shared" ca="1" si="192"/>
        <v>-5.6843418860808015E-14</v>
      </c>
      <c r="CM39" s="7">
        <f t="shared" ca="1" si="192"/>
        <v>-1.4210854715202004E-13</v>
      </c>
      <c r="CN39" s="7">
        <f t="shared" ca="1" si="192"/>
        <v>-1.4210854715202004E-13</v>
      </c>
      <c r="CO39" s="7">
        <f t="shared" ca="1" si="192"/>
        <v>0</v>
      </c>
      <c r="CP39" s="7">
        <f t="shared" ca="1" si="192"/>
        <v>0</v>
      </c>
      <c r="CQ39" s="7">
        <f t="shared" ca="1" si="192"/>
        <v>0</v>
      </c>
      <c r="CR39" s="7">
        <f t="shared" ref="CR39:CS39" ca="1" si="193">IF($A$1=FALSE,"-",CR13-OFFSET($A64,0,CR$28))</f>
        <v>0</v>
      </c>
      <c r="CS39" s="7">
        <f t="shared" ca="1" si="193"/>
        <v>0</v>
      </c>
      <c r="CT39" s="7">
        <f t="shared" ref="CT39:CU39" ca="1" si="194">IF($A$1=FALSE,"-",CT13-OFFSET($A64,0,CT$28))</f>
        <v>0</v>
      </c>
      <c r="CU39" s="7">
        <f t="shared" ca="1" si="194"/>
        <v>0</v>
      </c>
      <c r="CV39" s="7">
        <f t="shared" ref="CV39:CW39" ca="1" si="195">IF($A$1=FALSE,"-",CV13-OFFSET($A64,0,CV$28))</f>
        <v>0</v>
      </c>
      <c r="CW39" s="7">
        <f t="shared" ca="1" si="195"/>
        <v>0</v>
      </c>
      <c r="CX39" s="7">
        <f t="shared" ref="CX39:CY39" ca="1" si="196">IF($A$1=FALSE,"-",CX13-OFFSET($A64,0,CX$28))</f>
        <v>0</v>
      </c>
      <c r="CY39" s="7">
        <f t="shared" ca="1" si="196"/>
        <v>0</v>
      </c>
    </row>
    <row r="40" spans="2:103" x14ac:dyDescent="0.15">
      <c r="B40" s="7">
        <f t="shared" ref="B40:K40" ca="1" si="197">IF($A$1=FALSE,"-",B14-OFFSET($A65,0,B$28))</f>
        <v>0</v>
      </c>
      <c r="C40" s="7">
        <f t="shared" ca="1" si="197"/>
        <v>0</v>
      </c>
      <c r="D40" s="7">
        <f t="shared" ca="1" si="197"/>
        <v>0</v>
      </c>
      <c r="E40" s="7">
        <f t="shared" ca="1" si="197"/>
        <v>0</v>
      </c>
      <c r="F40" s="7">
        <f t="shared" ca="1" si="197"/>
        <v>0</v>
      </c>
      <c r="G40" s="7">
        <f t="shared" ca="1" si="197"/>
        <v>0</v>
      </c>
      <c r="H40" s="7">
        <f t="shared" ca="1" si="197"/>
        <v>0</v>
      </c>
      <c r="I40" s="7">
        <f t="shared" ca="1" si="197"/>
        <v>0</v>
      </c>
      <c r="J40" s="7">
        <f t="shared" ca="1" si="197"/>
        <v>0</v>
      </c>
      <c r="K40" s="7">
        <f t="shared" ca="1" si="197"/>
        <v>0</v>
      </c>
      <c r="L40" s="7">
        <f t="shared" ca="1" si="117"/>
        <v>0</v>
      </c>
      <c r="M40" s="7">
        <f t="shared" ref="M40:AR40" ca="1" si="198">IF($A$1=FALSE,"-",M14-OFFSET($A65,0,M$28))</f>
        <v>0</v>
      </c>
      <c r="N40" s="7">
        <f t="shared" ca="1" si="198"/>
        <v>0</v>
      </c>
      <c r="O40" s="7">
        <f t="shared" ca="1" si="198"/>
        <v>0</v>
      </c>
      <c r="P40" s="7">
        <f t="shared" ca="1" si="198"/>
        <v>0</v>
      </c>
      <c r="Q40" s="7">
        <f t="shared" ca="1" si="198"/>
        <v>0</v>
      </c>
      <c r="R40" s="7">
        <f t="shared" ca="1" si="198"/>
        <v>0</v>
      </c>
      <c r="S40" s="7">
        <f t="shared" ca="1" si="198"/>
        <v>0</v>
      </c>
      <c r="T40" s="7">
        <f t="shared" ca="1" si="198"/>
        <v>0</v>
      </c>
      <c r="U40" s="7">
        <f t="shared" ca="1" si="198"/>
        <v>0</v>
      </c>
      <c r="V40" s="7">
        <f t="shared" ca="1" si="198"/>
        <v>0</v>
      </c>
      <c r="W40" s="7">
        <f t="shared" ca="1" si="198"/>
        <v>0</v>
      </c>
      <c r="X40" s="7">
        <f t="shared" ca="1" si="198"/>
        <v>0</v>
      </c>
      <c r="Y40" s="7">
        <f t="shared" ca="1" si="198"/>
        <v>0</v>
      </c>
      <c r="Z40" s="7">
        <f t="shared" ca="1" si="198"/>
        <v>0</v>
      </c>
      <c r="AA40" s="7">
        <f t="shared" ca="1" si="198"/>
        <v>0</v>
      </c>
      <c r="AB40" s="7">
        <f t="shared" ca="1" si="198"/>
        <v>0</v>
      </c>
      <c r="AC40" s="7">
        <f t="shared" ca="1" si="198"/>
        <v>0</v>
      </c>
      <c r="AD40" s="7">
        <f t="shared" ca="1" si="198"/>
        <v>0</v>
      </c>
      <c r="AE40" s="7">
        <f t="shared" ca="1" si="198"/>
        <v>0</v>
      </c>
      <c r="AF40" s="7">
        <f t="shared" ca="1" si="198"/>
        <v>0</v>
      </c>
      <c r="AG40" s="7" t="e">
        <f t="shared" ca="1" si="198"/>
        <v>#VALUE!</v>
      </c>
      <c r="AH40" s="7" t="e">
        <f t="shared" ca="1" si="198"/>
        <v>#VALUE!</v>
      </c>
      <c r="AI40" s="7">
        <f t="shared" ca="1" si="198"/>
        <v>0</v>
      </c>
      <c r="AJ40" s="7">
        <f t="shared" ca="1" si="198"/>
        <v>0</v>
      </c>
      <c r="AK40" s="7">
        <f t="shared" ca="1" si="198"/>
        <v>0</v>
      </c>
      <c r="AL40" s="7">
        <f t="shared" ca="1" si="198"/>
        <v>0</v>
      </c>
      <c r="AM40" s="7">
        <f t="shared" ca="1" si="198"/>
        <v>0</v>
      </c>
      <c r="AN40" s="7">
        <f t="shared" ca="1" si="198"/>
        <v>0</v>
      </c>
      <c r="AO40" s="7">
        <f t="shared" ca="1" si="198"/>
        <v>0</v>
      </c>
      <c r="AP40" s="7">
        <f t="shared" ca="1" si="198"/>
        <v>0</v>
      </c>
      <c r="AQ40" s="7" t="e">
        <f t="shared" ca="1" si="198"/>
        <v>#VALUE!</v>
      </c>
      <c r="AR40" s="7" t="e">
        <f t="shared" ca="1" si="198"/>
        <v>#VALUE!</v>
      </c>
      <c r="AS40" s="7">
        <f t="shared" ref="AS40:BX40" ca="1" si="199">IF($A$1=FALSE,"-",AS14-OFFSET($A65,0,AS$28))</f>
        <v>0</v>
      </c>
      <c r="AT40" s="7">
        <f t="shared" ca="1" si="199"/>
        <v>0</v>
      </c>
      <c r="AU40" s="7">
        <f t="shared" ca="1" si="199"/>
        <v>0</v>
      </c>
      <c r="AV40" s="7">
        <f t="shared" ca="1" si="199"/>
        <v>0</v>
      </c>
      <c r="AW40" s="7">
        <f t="shared" ca="1" si="199"/>
        <v>0</v>
      </c>
      <c r="AX40" s="7">
        <f t="shared" ca="1" si="199"/>
        <v>0</v>
      </c>
      <c r="AY40" s="7">
        <f t="shared" ca="1" si="199"/>
        <v>0</v>
      </c>
      <c r="AZ40" s="7">
        <f t="shared" ca="1" si="199"/>
        <v>0</v>
      </c>
      <c r="BA40" s="7">
        <f t="shared" ca="1" si="199"/>
        <v>0</v>
      </c>
      <c r="BB40" s="7">
        <f t="shared" ca="1" si="199"/>
        <v>0</v>
      </c>
      <c r="BC40" s="7" t="e">
        <f t="shared" ca="1" si="199"/>
        <v>#VALUE!</v>
      </c>
      <c r="BD40" s="7" t="e">
        <f t="shared" ca="1" si="199"/>
        <v>#VALUE!</v>
      </c>
      <c r="BE40" s="7">
        <f t="shared" ca="1" si="199"/>
        <v>0</v>
      </c>
      <c r="BF40" s="7">
        <f t="shared" ca="1" si="199"/>
        <v>0</v>
      </c>
      <c r="BG40" s="7">
        <f t="shared" ca="1" si="199"/>
        <v>0</v>
      </c>
      <c r="BH40" s="7">
        <f t="shared" ca="1" si="199"/>
        <v>0</v>
      </c>
      <c r="BI40" s="7">
        <f t="shared" ca="1" si="199"/>
        <v>0</v>
      </c>
      <c r="BJ40" s="7">
        <f t="shared" ca="1" si="199"/>
        <v>0</v>
      </c>
      <c r="BK40" s="7">
        <f t="shared" ca="1" si="199"/>
        <v>0</v>
      </c>
      <c r="BL40" s="7">
        <f t="shared" ca="1" si="199"/>
        <v>0</v>
      </c>
      <c r="BM40" s="7">
        <f t="shared" ca="1" si="199"/>
        <v>0</v>
      </c>
      <c r="BN40" s="7">
        <f t="shared" ca="1" si="199"/>
        <v>0</v>
      </c>
      <c r="BO40" s="7">
        <f t="shared" ca="1" si="199"/>
        <v>0</v>
      </c>
      <c r="BP40" s="7">
        <f t="shared" ca="1" si="199"/>
        <v>0</v>
      </c>
      <c r="BQ40" s="7">
        <f t="shared" ca="1" si="199"/>
        <v>0</v>
      </c>
      <c r="BR40" s="7">
        <f t="shared" ca="1" si="199"/>
        <v>0</v>
      </c>
      <c r="BS40" s="7">
        <f t="shared" ca="1" si="199"/>
        <v>0</v>
      </c>
      <c r="BT40" s="7">
        <f t="shared" ca="1" si="199"/>
        <v>0</v>
      </c>
      <c r="BU40" s="7">
        <f t="shared" ca="1" si="199"/>
        <v>0</v>
      </c>
      <c r="BV40" s="7">
        <f t="shared" ca="1" si="199"/>
        <v>0</v>
      </c>
      <c r="BW40" s="7">
        <f t="shared" ca="1" si="199"/>
        <v>0</v>
      </c>
      <c r="BX40" s="7">
        <f t="shared" ca="1" si="199"/>
        <v>0</v>
      </c>
      <c r="BY40" s="7">
        <f t="shared" ref="BY40:CQ40" ca="1" si="200">IF($A$1=FALSE,"-",BY14-OFFSET($A65,0,BY$28))</f>
        <v>5.6843418860808015E-14</v>
      </c>
      <c r="BZ40" s="7">
        <f t="shared" ca="1" si="200"/>
        <v>3.5527136788005009E-15</v>
      </c>
      <c r="CA40" s="7">
        <f t="shared" ca="1" si="200"/>
        <v>1.7763568394002505E-15</v>
      </c>
      <c r="CB40" s="7">
        <f t="shared" ca="1" si="200"/>
        <v>0</v>
      </c>
      <c r="CC40" s="7">
        <f t="shared" ca="1" si="200"/>
        <v>0</v>
      </c>
      <c r="CD40" s="7">
        <f t="shared" ca="1" si="200"/>
        <v>1.1368683772161603E-13</v>
      </c>
      <c r="CE40" s="7">
        <f t="shared" ca="1" si="200"/>
        <v>-2.3536728122053319E-14</v>
      </c>
      <c r="CF40" s="7">
        <f t="shared" ca="1" si="200"/>
        <v>-2.3092638912203256E-14</v>
      </c>
      <c r="CG40" s="7">
        <f t="shared" ca="1" si="200"/>
        <v>0</v>
      </c>
      <c r="CH40" s="7">
        <f t="shared" ca="1" si="200"/>
        <v>-1.2434497875801753E-14</v>
      </c>
      <c r="CI40" s="7">
        <f t="shared" ca="1" si="200"/>
        <v>-1.1102230246251565E-16</v>
      </c>
      <c r="CJ40" s="7">
        <f t="shared" ca="1" si="200"/>
        <v>-1.2434497875801753E-14</v>
      </c>
      <c r="CK40" s="7">
        <f t="shared" ca="1" si="200"/>
        <v>-5.6843418860808015E-14</v>
      </c>
      <c r="CL40" s="7">
        <f t="shared" ca="1" si="200"/>
        <v>-5.6843418860808015E-14</v>
      </c>
      <c r="CM40" s="7">
        <f t="shared" ca="1" si="200"/>
        <v>-8.5265128291212022E-14</v>
      </c>
      <c r="CN40" s="7">
        <f t="shared" ca="1" si="200"/>
        <v>-8.5265128291212022E-14</v>
      </c>
      <c r="CO40" s="7">
        <f t="shared" ca="1" si="200"/>
        <v>0</v>
      </c>
      <c r="CP40" s="7">
        <f t="shared" ca="1" si="200"/>
        <v>0</v>
      </c>
      <c r="CQ40" s="7">
        <f t="shared" ca="1" si="200"/>
        <v>0</v>
      </c>
      <c r="CR40" s="7">
        <f t="shared" ref="CR40:CS40" ca="1" si="201">IF($A$1=FALSE,"-",CR14-OFFSET($A65,0,CR$28))</f>
        <v>0</v>
      </c>
      <c r="CS40" s="7">
        <f t="shared" ca="1" si="201"/>
        <v>0</v>
      </c>
      <c r="CT40" s="7">
        <f t="shared" ref="CT40:CU40" ca="1" si="202">IF($A$1=FALSE,"-",CT14-OFFSET($A65,0,CT$28))</f>
        <v>0</v>
      </c>
      <c r="CU40" s="7">
        <f t="shared" ca="1" si="202"/>
        <v>0</v>
      </c>
      <c r="CV40" s="7">
        <f t="shared" ref="CV40:CW40" ca="1" si="203">IF($A$1=FALSE,"-",CV14-OFFSET($A65,0,CV$28))</f>
        <v>0</v>
      </c>
      <c r="CW40" s="7">
        <f t="shared" ca="1" si="203"/>
        <v>0</v>
      </c>
      <c r="CX40" s="7">
        <f t="shared" ref="CX40:CY40" ca="1" si="204">IF($A$1=FALSE,"-",CX14-OFFSET($A65,0,CX$28))</f>
        <v>0</v>
      </c>
      <c r="CY40" s="7">
        <f t="shared" ca="1" si="204"/>
        <v>0</v>
      </c>
    </row>
    <row r="41" spans="2:103" x14ac:dyDescent="0.15">
      <c r="B41" s="7">
        <f t="shared" ref="B41:K41" ca="1" si="205">IF($A$1=FALSE,"-",B15-OFFSET($A66,0,B$28))</f>
        <v>0</v>
      </c>
      <c r="C41" s="7">
        <f t="shared" ca="1" si="205"/>
        <v>0</v>
      </c>
      <c r="D41" s="7">
        <f t="shared" ca="1" si="205"/>
        <v>0</v>
      </c>
      <c r="E41" s="7">
        <f t="shared" ca="1" si="205"/>
        <v>0</v>
      </c>
      <c r="F41" s="7">
        <f t="shared" ca="1" si="205"/>
        <v>0</v>
      </c>
      <c r="G41" s="7">
        <f t="shared" ca="1" si="205"/>
        <v>0</v>
      </c>
      <c r="H41" s="7">
        <f t="shared" ca="1" si="205"/>
        <v>0</v>
      </c>
      <c r="I41" s="7">
        <f t="shared" ca="1" si="205"/>
        <v>0</v>
      </c>
      <c r="J41" s="7">
        <f t="shared" ca="1" si="205"/>
        <v>0</v>
      </c>
      <c r="K41" s="7">
        <f t="shared" ca="1" si="205"/>
        <v>0</v>
      </c>
      <c r="L41" s="7">
        <f t="shared" ca="1" si="117"/>
        <v>0</v>
      </c>
      <c r="M41" s="7">
        <f t="shared" ref="M41:AR41" ca="1" si="206">IF($A$1=FALSE,"-",M15-OFFSET($A66,0,M$28))</f>
        <v>0</v>
      </c>
      <c r="N41" s="7">
        <f t="shared" ca="1" si="206"/>
        <v>0</v>
      </c>
      <c r="O41" s="7">
        <f t="shared" ca="1" si="206"/>
        <v>0</v>
      </c>
      <c r="P41" s="7">
        <f t="shared" ca="1" si="206"/>
        <v>0</v>
      </c>
      <c r="Q41" s="7">
        <f t="shared" ca="1" si="206"/>
        <v>0</v>
      </c>
      <c r="R41" s="7">
        <f t="shared" ca="1" si="206"/>
        <v>0</v>
      </c>
      <c r="S41" s="7">
        <f t="shared" ca="1" si="206"/>
        <v>0</v>
      </c>
      <c r="T41" s="7">
        <f t="shared" ca="1" si="206"/>
        <v>0</v>
      </c>
      <c r="U41" s="7">
        <f t="shared" ca="1" si="206"/>
        <v>0</v>
      </c>
      <c r="V41" s="7">
        <f t="shared" ca="1" si="206"/>
        <v>0</v>
      </c>
      <c r="W41" s="7">
        <f t="shared" ca="1" si="206"/>
        <v>0</v>
      </c>
      <c r="X41" s="7">
        <f t="shared" ca="1" si="206"/>
        <v>0</v>
      </c>
      <c r="Y41" s="7">
        <f t="shared" ca="1" si="206"/>
        <v>0</v>
      </c>
      <c r="Z41" s="7">
        <f t="shared" ca="1" si="206"/>
        <v>0</v>
      </c>
      <c r="AA41" s="7">
        <f t="shared" ca="1" si="206"/>
        <v>0</v>
      </c>
      <c r="AB41" s="7">
        <f t="shared" ca="1" si="206"/>
        <v>0</v>
      </c>
      <c r="AC41" s="7">
        <f t="shared" ca="1" si="206"/>
        <v>0</v>
      </c>
      <c r="AD41" s="7">
        <f t="shared" ca="1" si="206"/>
        <v>0</v>
      </c>
      <c r="AE41" s="7">
        <f t="shared" ca="1" si="206"/>
        <v>0</v>
      </c>
      <c r="AF41" s="7">
        <f t="shared" ca="1" si="206"/>
        <v>0</v>
      </c>
      <c r="AG41" s="7" t="e">
        <f t="shared" ca="1" si="206"/>
        <v>#VALUE!</v>
      </c>
      <c r="AH41" s="7" t="e">
        <f t="shared" ca="1" si="206"/>
        <v>#VALUE!</v>
      </c>
      <c r="AI41" s="7">
        <f t="shared" ca="1" si="206"/>
        <v>0</v>
      </c>
      <c r="AJ41" s="7">
        <f t="shared" ca="1" si="206"/>
        <v>0</v>
      </c>
      <c r="AK41" s="7">
        <f t="shared" ca="1" si="206"/>
        <v>0</v>
      </c>
      <c r="AL41" s="7">
        <f t="shared" ca="1" si="206"/>
        <v>0</v>
      </c>
      <c r="AM41" s="7">
        <f t="shared" ca="1" si="206"/>
        <v>0</v>
      </c>
      <c r="AN41" s="7">
        <f t="shared" ca="1" si="206"/>
        <v>0</v>
      </c>
      <c r="AO41" s="7">
        <f t="shared" ca="1" si="206"/>
        <v>0</v>
      </c>
      <c r="AP41" s="7">
        <f t="shared" ca="1" si="206"/>
        <v>0</v>
      </c>
      <c r="AQ41" s="7" t="e">
        <f t="shared" ca="1" si="206"/>
        <v>#VALUE!</v>
      </c>
      <c r="AR41" s="7" t="e">
        <f t="shared" ca="1" si="206"/>
        <v>#VALUE!</v>
      </c>
      <c r="AS41" s="7">
        <f t="shared" ref="AS41:BX41" ca="1" si="207">IF($A$1=FALSE,"-",AS15-OFFSET($A66,0,AS$28))</f>
        <v>0</v>
      </c>
      <c r="AT41" s="7">
        <f t="shared" ca="1" si="207"/>
        <v>0</v>
      </c>
      <c r="AU41" s="7">
        <f t="shared" ca="1" si="207"/>
        <v>0</v>
      </c>
      <c r="AV41" s="7">
        <f t="shared" ca="1" si="207"/>
        <v>0</v>
      </c>
      <c r="AW41" s="7">
        <f t="shared" ca="1" si="207"/>
        <v>0</v>
      </c>
      <c r="AX41" s="7">
        <f t="shared" ca="1" si="207"/>
        <v>0</v>
      </c>
      <c r="AY41" s="7">
        <f t="shared" ca="1" si="207"/>
        <v>0</v>
      </c>
      <c r="AZ41" s="7">
        <f t="shared" ca="1" si="207"/>
        <v>0</v>
      </c>
      <c r="BA41" s="7">
        <f t="shared" ca="1" si="207"/>
        <v>0</v>
      </c>
      <c r="BB41" s="7">
        <f t="shared" ca="1" si="207"/>
        <v>0</v>
      </c>
      <c r="BC41" s="7" t="e">
        <f t="shared" ca="1" si="207"/>
        <v>#VALUE!</v>
      </c>
      <c r="BD41" s="7" t="e">
        <f t="shared" ca="1" si="207"/>
        <v>#VALUE!</v>
      </c>
      <c r="BE41" s="7">
        <f t="shared" ca="1" si="207"/>
        <v>0</v>
      </c>
      <c r="BF41" s="7">
        <f t="shared" ca="1" si="207"/>
        <v>0</v>
      </c>
      <c r="BG41" s="7">
        <f t="shared" ca="1" si="207"/>
        <v>0</v>
      </c>
      <c r="BH41" s="7">
        <f t="shared" ca="1" si="207"/>
        <v>0</v>
      </c>
      <c r="BI41" s="7">
        <f t="shared" ca="1" si="207"/>
        <v>0</v>
      </c>
      <c r="BJ41" s="7">
        <f t="shared" ca="1" si="207"/>
        <v>0</v>
      </c>
      <c r="BK41" s="7">
        <f t="shared" ca="1" si="207"/>
        <v>0</v>
      </c>
      <c r="BL41" s="7">
        <f t="shared" ca="1" si="207"/>
        <v>0</v>
      </c>
      <c r="BM41" s="7">
        <f t="shared" ca="1" si="207"/>
        <v>0</v>
      </c>
      <c r="BN41" s="7">
        <f t="shared" ca="1" si="207"/>
        <v>0</v>
      </c>
      <c r="BO41" s="7">
        <f t="shared" ca="1" si="207"/>
        <v>0</v>
      </c>
      <c r="BP41" s="7">
        <f t="shared" ca="1" si="207"/>
        <v>0</v>
      </c>
      <c r="BQ41" s="7">
        <f t="shared" ca="1" si="207"/>
        <v>0</v>
      </c>
      <c r="BR41" s="7">
        <f t="shared" ca="1" si="207"/>
        <v>0</v>
      </c>
      <c r="BS41" s="7">
        <f t="shared" ca="1" si="207"/>
        <v>0</v>
      </c>
      <c r="BT41" s="7">
        <f t="shared" ca="1" si="207"/>
        <v>0</v>
      </c>
      <c r="BU41" s="7">
        <f t="shared" ca="1" si="207"/>
        <v>0</v>
      </c>
      <c r="BV41" s="7">
        <f t="shared" ca="1" si="207"/>
        <v>0</v>
      </c>
      <c r="BW41" s="7">
        <f t="shared" ca="1" si="207"/>
        <v>0</v>
      </c>
      <c r="BX41" s="7">
        <f t="shared" ca="1" si="207"/>
        <v>0</v>
      </c>
      <c r="BY41" s="7">
        <f t="shared" ref="BY41:CQ41" ca="1" si="208">IF($A$1=FALSE,"-",BY15-OFFSET($A66,0,BY$28))</f>
        <v>0</v>
      </c>
      <c r="BZ41" s="7">
        <f t="shared" ca="1" si="208"/>
        <v>0</v>
      </c>
      <c r="CA41" s="7">
        <f t="shared" ca="1" si="208"/>
        <v>0</v>
      </c>
      <c r="CB41" s="7">
        <f t="shared" ca="1" si="208"/>
        <v>0</v>
      </c>
      <c r="CC41" s="7">
        <f t="shared" ca="1" si="208"/>
        <v>0</v>
      </c>
      <c r="CD41" s="7">
        <f t="shared" ca="1" si="208"/>
        <v>0</v>
      </c>
      <c r="CE41" s="7">
        <f t="shared" ca="1" si="208"/>
        <v>0</v>
      </c>
      <c r="CF41" s="7">
        <f t="shared" ca="1" si="208"/>
        <v>0</v>
      </c>
      <c r="CG41" s="7">
        <f t="shared" ca="1" si="208"/>
        <v>1.1102230246251565E-16</v>
      </c>
      <c r="CH41" s="7">
        <f t="shared" ca="1" si="208"/>
        <v>2.7755575615628914E-17</v>
      </c>
      <c r="CI41" s="7">
        <f t="shared" ca="1" si="208"/>
        <v>0</v>
      </c>
      <c r="CJ41" s="7">
        <f t="shared" ca="1" si="208"/>
        <v>8.8817841970012523E-16</v>
      </c>
      <c r="CK41" s="7">
        <f t="shared" ca="1" si="208"/>
        <v>0</v>
      </c>
      <c r="CL41" s="7">
        <f t="shared" ca="1" si="208"/>
        <v>0</v>
      </c>
      <c r="CM41" s="7">
        <f t="shared" ca="1" si="208"/>
        <v>0</v>
      </c>
      <c r="CN41" s="7">
        <f t="shared" ca="1" si="208"/>
        <v>0</v>
      </c>
      <c r="CO41" s="7">
        <f t="shared" ca="1" si="208"/>
        <v>0</v>
      </c>
      <c r="CP41" s="7">
        <f t="shared" ca="1" si="208"/>
        <v>0</v>
      </c>
      <c r="CQ41" s="7">
        <f t="shared" ca="1" si="208"/>
        <v>0</v>
      </c>
      <c r="CR41" s="7">
        <f t="shared" ref="CR41:CS41" ca="1" si="209">IF($A$1=FALSE,"-",CR15-OFFSET($A66,0,CR$28))</f>
        <v>0</v>
      </c>
      <c r="CS41" s="7">
        <f t="shared" ca="1" si="209"/>
        <v>0</v>
      </c>
      <c r="CT41" s="7">
        <f t="shared" ref="CT41:CU41" ca="1" si="210">IF($A$1=FALSE,"-",CT15-OFFSET($A66,0,CT$28))</f>
        <v>0</v>
      </c>
      <c r="CU41" s="7">
        <f t="shared" ca="1" si="210"/>
        <v>0</v>
      </c>
      <c r="CV41" s="7">
        <f t="shared" ref="CV41:CW41" ca="1" si="211">IF($A$1=FALSE,"-",CV15-OFFSET($A66,0,CV$28))</f>
        <v>0</v>
      </c>
      <c r="CW41" s="7">
        <f t="shared" ca="1" si="211"/>
        <v>0</v>
      </c>
      <c r="CX41" s="7">
        <f t="shared" ref="CX41:CY41" ca="1" si="212">IF($A$1=FALSE,"-",CX15-OFFSET($A66,0,CX$28))</f>
        <v>0</v>
      </c>
      <c r="CY41" s="7">
        <f t="shared" ca="1" si="212"/>
        <v>0</v>
      </c>
    </row>
    <row r="42" spans="2:103" x14ac:dyDescent="0.15">
      <c r="B42" s="7">
        <f t="shared" ref="B42:K42" ca="1" si="213">IF($A$1=FALSE,"-",B16-OFFSET($A67,0,B$28))</f>
        <v>0</v>
      </c>
      <c r="C42" s="7">
        <f t="shared" ca="1" si="213"/>
        <v>0</v>
      </c>
      <c r="D42" s="7">
        <f t="shared" ca="1" si="213"/>
        <v>0</v>
      </c>
      <c r="E42" s="7">
        <f t="shared" ca="1" si="213"/>
        <v>0</v>
      </c>
      <c r="F42" s="7">
        <f t="shared" ca="1" si="213"/>
        <v>0</v>
      </c>
      <c r="G42" s="7">
        <f t="shared" ca="1" si="213"/>
        <v>0</v>
      </c>
      <c r="H42" s="7">
        <f t="shared" ca="1" si="213"/>
        <v>0</v>
      </c>
      <c r="I42" s="7">
        <f t="shared" ca="1" si="213"/>
        <v>0</v>
      </c>
      <c r="J42" s="7">
        <f t="shared" ca="1" si="213"/>
        <v>0</v>
      </c>
      <c r="K42" s="7">
        <f t="shared" ca="1" si="213"/>
        <v>0</v>
      </c>
      <c r="L42" s="7">
        <f t="shared" ca="1" si="117"/>
        <v>0</v>
      </c>
      <c r="M42" s="7">
        <f t="shared" ref="M42:AR42" ca="1" si="214">IF($A$1=FALSE,"-",M16-OFFSET($A67,0,M$28))</f>
        <v>0</v>
      </c>
      <c r="N42" s="7">
        <f t="shared" ca="1" si="214"/>
        <v>0</v>
      </c>
      <c r="O42" s="7">
        <f t="shared" ca="1" si="214"/>
        <v>0</v>
      </c>
      <c r="P42" s="7">
        <f t="shared" ca="1" si="214"/>
        <v>0</v>
      </c>
      <c r="Q42" s="7">
        <f t="shared" ca="1" si="214"/>
        <v>0</v>
      </c>
      <c r="R42" s="7">
        <f t="shared" ca="1" si="214"/>
        <v>0</v>
      </c>
      <c r="S42" s="7">
        <f t="shared" ca="1" si="214"/>
        <v>0</v>
      </c>
      <c r="T42" s="7">
        <f t="shared" ca="1" si="214"/>
        <v>0</v>
      </c>
      <c r="U42" s="7">
        <f t="shared" ca="1" si="214"/>
        <v>0</v>
      </c>
      <c r="V42" s="7">
        <f t="shared" ca="1" si="214"/>
        <v>0</v>
      </c>
      <c r="W42" s="7">
        <f t="shared" ca="1" si="214"/>
        <v>0</v>
      </c>
      <c r="X42" s="7">
        <f t="shared" ca="1" si="214"/>
        <v>0</v>
      </c>
      <c r="Y42" s="7">
        <f t="shared" ca="1" si="214"/>
        <v>0</v>
      </c>
      <c r="Z42" s="7">
        <f t="shared" ca="1" si="214"/>
        <v>0</v>
      </c>
      <c r="AA42" s="7">
        <f t="shared" ca="1" si="214"/>
        <v>0</v>
      </c>
      <c r="AB42" s="7">
        <f t="shared" ca="1" si="214"/>
        <v>0</v>
      </c>
      <c r="AC42" s="7">
        <f t="shared" ca="1" si="214"/>
        <v>0</v>
      </c>
      <c r="AD42" s="7">
        <f t="shared" ca="1" si="214"/>
        <v>0</v>
      </c>
      <c r="AE42" s="7">
        <f t="shared" ca="1" si="214"/>
        <v>0</v>
      </c>
      <c r="AF42" s="7">
        <f t="shared" ca="1" si="214"/>
        <v>0</v>
      </c>
      <c r="AG42" s="7" t="e">
        <f t="shared" ca="1" si="214"/>
        <v>#VALUE!</v>
      </c>
      <c r="AH42" s="7" t="e">
        <f t="shared" ca="1" si="214"/>
        <v>#VALUE!</v>
      </c>
      <c r="AI42" s="7">
        <f t="shared" ca="1" si="214"/>
        <v>0</v>
      </c>
      <c r="AJ42" s="7">
        <f t="shared" ca="1" si="214"/>
        <v>0</v>
      </c>
      <c r="AK42" s="7">
        <f t="shared" ca="1" si="214"/>
        <v>0</v>
      </c>
      <c r="AL42" s="7">
        <f t="shared" ca="1" si="214"/>
        <v>0</v>
      </c>
      <c r="AM42" s="7">
        <f t="shared" ca="1" si="214"/>
        <v>0</v>
      </c>
      <c r="AN42" s="7">
        <f t="shared" ca="1" si="214"/>
        <v>0</v>
      </c>
      <c r="AO42" s="7">
        <f t="shared" ca="1" si="214"/>
        <v>0</v>
      </c>
      <c r="AP42" s="7">
        <f t="shared" ca="1" si="214"/>
        <v>0</v>
      </c>
      <c r="AQ42" s="7" t="e">
        <f t="shared" ca="1" si="214"/>
        <v>#VALUE!</v>
      </c>
      <c r="AR42" s="7" t="e">
        <f t="shared" ca="1" si="214"/>
        <v>#VALUE!</v>
      </c>
      <c r="AS42" s="7">
        <f t="shared" ref="AS42:BX42" ca="1" si="215">IF($A$1=FALSE,"-",AS16-OFFSET($A67,0,AS$28))</f>
        <v>0</v>
      </c>
      <c r="AT42" s="7">
        <f t="shared" ca="1" si="215"/>
        <v>0</v>
      </c>
      <c r="AU42" s="7">
        <f t="shared" ca="1" si="215"/>
        <v>0</v>
      </c>
      <c r="AV42" s="7">
        <f t="shared" ca="1" si="215"/>
        <v>0</v>
      </c>
      <c r="AW42" s="7">
        <f t="shared" ca="1" si="215"/>
        <v>0</v>
      </c>
      <c r="AX42" s="7">
        <f t="shared" ca="1" si="215"/>
        <v>0</v>
      </c>
      <c r="AY42" s="7">
        <f t="shared" ca="1" si="215"/>
        <v>0</v>
      </c>
      <c r="AZ42" s="7">
        <f t="shared" ca="1" si="215"/>
        <v>0</v>
      </c>
      <c r="BA42" s="7">
        <f t="shared" ca="1" si="215"/>
        <v>0</v>
      </c>
      <c r="BB42" s="7">
        <f t="shared" ca="1" si="215"/>
        <v>0</v>
      </c>
      <c r="BC42" s="7" t="e">
        <f t="shared" ca="1" si="215"/>
        <v>#VALUE!</v>
      </c>
      <c r="BD42" s="7" t="e">
        <f t="shared" ca="1" si="215"/>
        <v>#VALUE!</v>
      </c>
      <c r="BE42" s="7">
        <f t="shared" ca="1" si="215"/>
        <v>0</v>
      </c>
      <c r="BF42" s="7">
        <f t="shared" ca="1" si="215"/>
        <v>0</v>
      </c>
      <c r="BG42" s="7">
        <f t="shared" ca="1" si="215"/>
        <v>0</v>
      </c>
      <c r="BH42" s="7">
        <f t="shared" ca="1" si="215"/>
        <v>0</v>
      </c>
      <c r="BI42" s="7">
        <f t="shared" ca="1" si="215"/>
        <v>0</v>
      </c>
      <c r="BJ42" s="7">
        <f t="shared" ca="1" si="215"/>
        <v>0</v>
      </c>
      <c r="BK42" s="7">
        <f t="shared" ca="1" si="215"/>
        <v>0</v>
      </c>
      <c r="BL42" s="7">
        <f t="shared" ca="1" si="215"/>
        <v>0</v>
      </c>
      <c r="BM42" s="7">
        <f t="shared" ca="1" si="215"/>
        <v>0</v>
      </c>
      <c r="BN42" s="7">
        <f t="shared" ca="1" si="215"/>
        <v>0</v>
      </c>
      <c r="BO42" s="7">
        <f t="shared" ca="1" si="215"/>
        <v>0</v>
      </c>
      <c r="BP42" s="7">
        <f t="shared" ca="1" si="215"/>
        <v>0</v>
      </c>
      <c r="BQ42" s="7">
        <f t="shared" ca="1" si="215"/>
        <v>0</v>
      </c>
      <c r="BR42" s="7">
        <f t="shared" ca="1" si="215"/>
        <v>0</v>
      </c>
      <c r="BS42" s="7">
        <f t="shared" ca="1" si="215"/>
        <v>0</v>
      </c>
      <c r="BT42" s="7">
        <f t="shared" ca="1" si="215"/>
        <v>0</v>
      </c>
      <c r="BU42" s="7">
        <f t="shared" ca="1" si="215"/>
        <v>0</v>
      </c>
      <c r="BV42" s="7">
        <f t="shared" ca="1" si="215"/>
        <v>0</v>
      </c>
      <c r="BW42" s="7">
        <f t="shared" ca="1" si="215"/>
        <v>0</v>
      </c>
      <c r="BX42" s="7">
        <f t="shared" ca="1" si="215"/>
        <v>0</v>
      </c>
      <c r="BY42" s="7">
        <f t="shared" ref="BY42:CQ42" ca="1" si="216">IF($A$1=FALSE,"-",BY16-OFFSET($A67,0,BY$28))</f>
        <v>0</v>
      </c>
      <c r="BZ42" s="7">
        <f t="shared" ca="1" si="216"/>
        <v>0</v>
      </c>
      <c r="CA42" s="7">
        <f t="shared" ca="1" si="216"/>
        <v>0</v>
      </c>
      <c r="CB42" s="7">
        <f t="shared" ca="1" si="216"/>
        <v>0</v>
      </c>
      <c r="CC42" s="7">
        <f t="shared" ca="1" si="216"/>
        <v>0</v>
      </c>
      <c r="CD42" s="7">
        <f t="shared" ca="1" si="216"/>
        <v>0</v>
      </c>
      <c r="CE42" s="7">
        <f t="shared" ca="1" si="216"/>
        <v>0</v>
      </c>
      <c r="CF42" s="7">
        <f t="shared" ca="1" si="216"/>
        <v>0</v>
      </c>
      <c r="CG42" s="7">
        <f t="shared" ca="1" si="216"/>
        <v>0</v>
      </c>
      <c r="CH42" s="7">
        <f t="shared" ca="1" si="216"/>
        <v>-8.8817841970012523E-16</v>
      </c>
      <c r="CI42" s="7">
        <f t="shared" ca="1" si="216"/>
        <v>0</v>
      </c>
      <c r="CJ42" s="7">
        <f t="shared" ca="1" si="216"/>
        <v>0</v>
      </c>
      <c r="CK42" s="7">
        <f t="shared" ca="1" si="216"/>
        <v>0</v>
      </c>
      <c r="CL42" s="7">
        <f t="shared" ca="1" si="216"/>
        <v>0</v>
      </c>
      <c r="CM42" s="7">
        <f t="shared" ca="1" si="216"/>
        <v>0</v>
      </c>
      <c r="CN42" s="7">
        <f t="shared" ca="1" si="216"/>
        <v>0</v>
      </c>
      <c r="CO42" s="7">
        <f t="shared" ca="1" si="216"/>
        <v>0</v>
      </c>
      <c r="CP42" s="7">
        <f t="shared" ca="1" si="216"/>
        <v>0</v>
      </c>
      <c r="CQ42" s="7">
        <f t="shared" ca="1" si="216"/>
        <v>0</v>
      </c>
      <c r="CR42" s="7">
        <f t="shared" ref="CR42:CS42" ca="1" si="217">IF($A$1=FALSE,"-",CR16-OFFSET($A67,0,CR$28))</f>
        <v>0</v>
      </c>
      <c r="CS42" s="7">
        <f t="shared" ca="1" si="217"/>
        <v>0</v>
      </c>
      <c r="CT42" s="7">
        <f t="shared" ref="CT42:CU42" ca="1" si="218">IF($A$1=FALSE,"-",CT16-OFFSET($A67,0,CT$28))</f>
        <v>0</v>
      </c>
      <c r="CU42" s="7">
        <f t="shared" ca="1" si="218"/>
        <v>0</v>
      </c>
      <c r="CV42" s="7">
        <f t="shared" ref="CV42:CW42" ca="1" si="219">IF($A$1=FALSE,"-",CV16-OFFSET($A67,0,CV$28))</f>
        <v>0</v>
      </c>
      <c r="CW42" s="7">
        <f t="shared" ca="1" si="219"/>
        <v>0</v>
      </c>
      <c r="CX42" s="7">
        <f t="shared" ref="CX42:CY42" ca="1" si="220">IF($A$1=FALSE,"-",CX16-OFFSET($A67,0,CX$28))</f>
        <v>0</v>
      </c>
      <c r="CY42" s="7">
        <f t="shared" ca="1" si="220"/>
        <v>0</v>
      </c>
    </row>
    <row r="43" spans="2:103" x14ac:dyDescent="0.15">
      <c r="B43" s="7">
        <f t="shared" ref="B43:K43" ca="1" si="221">IF($A$1=FALSE,"-",B17-OFFSET($A68,0,B$28))</f>
        <v>0</v>
      </c>
      <c r="C43" s="7">
        <f t="shared" ca="1" si="221"/>
        <v>0</v>
      </c>
      <c r="D43" s="7">
        <f t="shared" ca="1" si="221"/>
        <v>0</v>
      </c>
      <c r="E43" s="7">
        <f t="shared" ca="1" si="221"/>
        <v>0</v>
      </c>
      <c r="F43" s="7">
        <f t="shared" ca="1" si="221"/>
        <v>0</v>
      </c>
      <c r="G43" s="7">
        <f t="shared" ca="1" si="221"/>
        <v>0</v>
      </c>
      <c r="H43" s="7">
        <f t="shared" ca="1" si="221"/>
        <v>0</v>
      </c>
      <c r="I43" s="7">
        <f t="shared" ca="1" si="221"/>
        <v>0</v>
      </c>
      <c r="J43" s="7">
        <f t="shared" ca="1" si="221"/>
        <v>0</v>
      </c>
      <c r="K43" s="7">
        <f t="shared" ca="1" si="221"/>
        <v>0</v>
      </c>
      <c r="L43" s="7">
        <f t="shared" ca="1" si="117"/>
        <v>0</v>
      </c>
      <c r="M43" s="7">
        <f t="shared" ref="M43:AR43" ca="1" si="222">IF($A$1=FALSE,"-",M17-OFFSET($A68,0,M$28))</f>
        <v>0</v>
      </c>
      <c r="N43" s="7">
        <f t="shared" ca="1" si="222"/>
        <v>0</v>
      </c>
      <c r="O43" s="7">
        <f t="shared" ca="1" si="222"/>
        <v>0</v>
      </c>
      <c r="P43" s="7">
        <f t="shared" ca="1" si="222"/>
        <v>0</v>
      </c>
      <c r="Q43" s="7">
        <f t="shared" ca="1" si="222"/>
        <v>0</v>
      </c>
      <c r="R43" s="7">
        <f t="shared" ca="1" si="222"/>
        <v>0</v>
      </c>
      <c r="S43" s="7">
        <f t="shared" ca="1" si="222"/>
        <v>0</v>
      </c>
      <c r="T43" s="7">
        <f t="shared" ca="1" si="222"/>
        <v>0</v>
      </c>
      <c r="U43" s="7">
        <f t="shared" ca="1" si="222"/>
        <v>0</v>
      </c>
      <c r="V43" s="7">
        <f t="shared" ca="1" si="222"/>
        <v>0</v>
      </c>
      <c r="W43" s="7">
        <f t="shared" ca="1" si="222"/>
        <v>0</v>
      </c>
      <c r="X43" s="7">
        <f t="shared" ca="1" si="222"/>
        <v>0</v>
      </c>
      <c r="Y43" s="7">
        <f t="shared" ca="1" si="222"/>
        <v>0</v>
      </c>
      <c r="Z43" s="7">
        <f t="shared" ca="1" si="222"/>
        <v>0</v>
      </c>
      <c r="AA43" s="7">
        <f t="shared" ca="1" si="222"/>
        <v>0</v>
      </c>
      <c r="AB43" s="7">
        <f t="shared" ca="1" si="222"/>
        <v>0</v>
      </c>
      <c r="AC43" s="7">
        <f t="shared" ca="1" si="222"/>
        <v>0</v>
      </c>
      <c r="AD43" s="7">
        <f t="shared" ca="1" si="222"/>
        <v>0</v>
      </c>
      <c r="AE43" s="7">
        <f t="shared" ca="1" si="222"/>
        <v>0</v>
      </c>
      <c r="AF43" s="7">
        <f t="shared" ca="1" si="222"/>
        <v>0</v>
      </c>
      <c r="AG43" s="7" t="e">
        <f t="shared" ca="1" si="222"/>
        <v>#VALUE!</v>
      </c>
      <c r="AH43" s="7" t="e">
        <f t="shared" ca="1" si="222"/>
        <v>#VALUE!</v>
      </c>
      <c r="AI43" s="7">
        <f t="shared" ca="1" si="222"/>
        <v>0</v>
      </c>
      <c r="AJ43" s="7">
        <f t="shared" ca="1" si="222"/>
        <v>0</v>
      </c>
      <c r="AK43" s="7">
        <f t="shared" ca="1" si="222"/>
        <v>0</v>
      </c>
      <c r="AL43" s="7">
        <f t="shared" ca="1" si="222"/>
        <v>0</v>
      </c>
      <c r="AM43" s="7">
        <f t="shared" ca="1" si="222"/>
        <v>0</v>
      </c>
      <c r="AN43" s="7">
        <f t="shared" ca="1" si="222"/>
        <v>0</v>
      </c>
      <c r="AO43" s="7">
        <f t="shared" ca="1" si="222"/>
        <v>0</v>
      </c>
      <c r="AP43" s="7">
        <f t="shared" ca="1" si="222"/>
        <v>0</v>
      </c>
      <c r="AQ43" s="7" t="e">
        <f t="shared" ca="1" si="222"/>
        <v>#VALUE!</v>
      </c>
      <c r="AR43" s="7" t="e">
        <f t="shared" ca="1" si="222"/>
        <v>#VALUE!</v>
      </c>
      <c r="AS43" s="7">
        <f t="shared" ref="AS43:BX43" ca="1" si="223">IF($A$1=FALSE,"-",AS17-OFFSET($A68,0,AS$28))</f>
        <v>0</v>
      </c>
      <c r="AT43" s="7">
        <f t="shared" ca="1" si="223"/>
        <v>0</v>
      </c>
      <c r="AU43" s="7">
        <f t="shared" ca="1" si="223"/>
        <v>0</v>
      </c>
      <c r="AV43" s="7">
        <f t="shared" ca="1" si="223"/>
        <v>0</v>
      </c>
      <c r="AW43" s="7">
        <f t="shared" ca="1" si="223"/>
        <v>0</v>
      </c>
      <c r="AX43" s="7">
        <f t="shared" ca="1" si="223"/>
        <v>0</v>
      </c>
      <c r="AY43" s="7">
        <f t="shared" ca="1" si="223"/>
        <v>0</v>
      </c>
      <c r="AZ43" s="7">
        <f t="shared" ca="1" si="223"/>
        <v>0</v>
      </c>
      <c r="BA43" s="7">
        <f t="shared" ca="1" si="223"/>
        <v>0</v>
      </c>
      <c r="BB43" s="7">
        <f t="shared" ca="1" si="223"/>
        <v>0</v>
      </c>
      <c r="BC43" s="7" t="e">
        <f t="shared" ca="1" si="223"/>
        <v>#VALUE!</v>
      </c>
      <c r="BD43" s="7" t="e">
        <f t="shared" ca="1" si="223"/>
        <v>#VALUE!</v>
      </c>
      <c r="BE43" s="7">
        <f t="shared" ca="1" si="223"/>
        <v>0</v>
      </c>
      <c r="BF43" s="7">
        <f t="shared" ca="1" si="223"/>
        <v>0</v>
      </c>
      <c r="BG43" s="7">
        <f t="shared" ca="1" si="223"/>
        <v>0</v>
      </c>
      <c r="BH43" s="7">
        <f t="shared" ca="1" si="223"/>
        <v>0</v>
      </c>
      <c r="BI43" s="7">
        <f t="shared" ca="1" si="223"/>
        <v>0</v>
      </c>
      <c r="BJ43" s="7">
        <f t="shared" ca="1" si="223"/>
        <v>0</v>
      </c>
      <c r="BK43" s="7">
        <f t="shared" ca="1" si="223"/>
        <v>0</v>
      </c>
      <c r="BL43" s="7">
        <f t="shared" ca="1" si="223"/>
        <v>0</v>
      </c>
      <c r="BM43" s="7">
        <f t="shared" ca="1" si="223"/>
        <v>0</v>
      </c>
      <c r="BN43" s="7">
        <f t="shared" ca="1" si="223"/>
        <v>0</v>
      </c>
      <c r="BO43" s="7">
        <f t="shared" ca="1" si="223"/>
        <v>0</v>
      </c>
      <c r="BP43" s="7">
        <f t="shared" ca="1" si="223"/>
        <v>0</v>
      </c>
      <c r="BQ43" s="7">
        <f t="shared" ca="1" si="223"/>
        <v>0</v>
      </c>
      <c r="BR43" s="7">
        <f t="shared" ca="1" si="223"/>
        <v>0</v>
      </c>
      <c r="BS43" s="7">
        <f t="shared" ca="1" si="223"/>
        <v>0</v>
      </c>
      <c r="BT43" s="7">
        <f t="shared" ca="1" si="223"/>
        <v>0</v>
      </c>
      <c r="BU43" s="7">
        <f t="shared" ca="1" si="223"/>
        <v>0</v>
      </c>
      <c r="BV43" s="7">
        <f t="shared" ca="1" si="223"/>
        <v>0</v>
      </c>
      <c r="BW43" s="7">
        <f t="shared" ca="1" si="223"/>
        <v>0</v>
      </c>
      <c r="BX43" s="7">
        <f t="shared" ca="1" si="223"/>
        <v>0</v>
      </c>
      <c r="BY43" s="7">
        <f t="shared" ref="BY43:CQ43" ca="1" si="224">IF($A$1=FALSE,"-",BY17-OFFSET($A68,0,BY$28))</f>
        <v>1.1368683772161603E-13</v>
      </c>
      <c r="BZ43" s="7">
        <f t="shared" ca="1" si="224"/>
        <v>0</v>
      </c>
      <c r="CA43" s="7">
        <f t="shared" ca="1" si="224"/>
        <v>1.7763568394002505E-15</v>
      </c>
      <c r="CB43" s="7">
        <f t="shared" ca="1" si="224"/>
        <v>0</v>
      </c>
      <c r="CC43" s="7">
        <f t="shared" ca="1" si="224"/>
        <v>0</v>
      </c>
      <c r="CD43" s="7">
        <f t="shared" ca="1" si="224"/>
        <v>1.1368683772161603E-13</v>
      </c>
      <c r="CE43" s="7">
        <f t="shared" ca="1" si="224"/>
        <v>-1.4210854715202004E-14</v>
      </c>
      <c r="CF43" s="7">
        <f t="shared" ca="1" si="224"/>
        <v>-1.4210854715202004E-14</v>
      </c>
      <c r="CG43" s="7">
        <f t="shared" ca="1" si="224"/>
        <v>0</v>
      </c>
      <c r="CH43" s="7">
        <f t="shared" ca="1" si="224"/>
        <v>-1.5987211554602254E-14</v>
      </c>
      <c r="CI43" s="7">
        <f t="shared" ca="1" si="224"/>
        <v>0</v>
      </c>
      <c r="CJ43" s="7">
        <f t="shared" ca="1" si="224"/>
        <v>-1.5099033134902129E-14</v>
      </c>
      <c r="CK43" s="7">
        <f t="shared" ca="1" si="224"/>
        <v>-1.1368683772161603E-13</v>
      </c>
      <c r="CL43" s="7">
        <f t="shared" ca="1" si="224"/>
        <v>-1.1368683772161603E-13</v>
      </c>
      <c r="CM43" s="7">
        <f t="shared" ca="1" si="224"/>
        <v>-9.9475983006414026E-14</v>
      </c>
      <c r="CN43" s="7">
        <f t="shared" ca="1" si="224"/>
        <v>-9.5923269327613525E-14</v>
      </c>
      <c r="CO43" s="7">
        <f t="shared" ca="1" si="224"/>
        <v>0</v>
      </c>
      <c r="CP43" s="7">
        <f t="shared" ca="1" si="224"/>
        <v>0</v>
      </c>
      <c r="CQ43" s="7">
        <f t="shared" ca="1" si="224"/>
        <v>0</v>
      </c>
      <c r="CR43" s="7">
        <f t="shared" ref="CR43:CS43" ca="1" si="225">IF($A$1=FALSE,"-",CR17-OFFSET($A68,0,CR$28))</f>
        <v>0</v>
      </c>
      <c r="CS43" s="7">
        <f t="shared" ca="1" si="225"/>
        <v>0</v>
      </c>
      <c r="CT43" s="7">
        <f t="shared" ref="CT43:CU43" ca="1" si="226">IF($A$1=FALSE,"-",CT17-OFFSET($A68,0,CT$28))</f>
        <v>0</v>
      </c>
      <c r="CU43" s="7">
        <f t="shared" ca="1" si="226"/>
        <v>0</v>
      </c>
      <c r="CV43" s="7">
        <f t="shared" ref="CV43:CW43" ca="1" si="227">IF($A$1=FALSE,"-",CV17-OFFSET($A68,0,CV$28))</f>
        <v>0</v>
      </c>
      <c r="CW43" s="7">
        <f t="shared" ca="1" si="227"/>
        <v>0</v>
      </c>
      <c r="CX43" s="7">
        <f t="shared" ref="CX43:CY43" ca="1" si="228">IF($A$1=FALSE,"-",CX17-OFFSET($A68,0,CX$28))</f>
        <v>0</v>
      </c>
      <c r="CY43" s="7">
        <f t="shared" ca="1" si="228"/>
        <v>0</v>
      </c>
    </row>
    <row r="44" spans="2:103" x14ac:dyDescent="0.15">
      <c r="B44" s="7">
        <f t="shared" ref="B44:K44" ca="1" si="229">IF($A$1=FALSE,"-",B18-OFFSET($A69,0,B$28))</f>
        <v>0</v>
      </c>
      <c r="C44" s="7">
        <f t="shared" ca="1" si="229"/>
        <v>0</v>
      </c>
      <c r="D44" s="7">
        <f t="shared" ca="1" si="229"/>
        <v>0</v>
      </c>
      <c r="E44" s="7">
        <f t="shared" ca="1" si="229"/>
        <v>0</v>
      </c>
      <c r="F44" s="7">
        <f t="shared" ca="1" si="229"/>
        <v>0</v>
      </c>
      <c r="G44" s="7">
        <f t="shared" ca="1" si="229"/>
        <v>0</v>
      </c>
      <c r="H44" s="7">
        <f t="shared" ca="1" si="229"/>
        <v>0</v>
      </c>
      <c r="I44" s="7">
        <f t="shared" ca="1" si="229"/>
        <v>0</v>
      </c>
      <c r="J44" s="7">
        <f t="shared" ca="1" si="229"/>
        <v>0</v>
      </c>
      <c r="K44" s="7">
        <f t="shared" ca="1" si="229"/>
        <v>0</v>
      </c>
      <c r="L44" s="7">
        <f t="shared" ca="1" si="117"/>
        <v>0</v>
      </c>
      <c r="M44" s="7">
        <f t="shared" ref="M44:AR44" ca="1" si="230">IF($A$1=FALSE,"-",M18-OFFSET($A69,0,M$28))</f>
        <v>0</v>
      </c>
      <c r="N44" s="7">
        <f t="shared" ca="1" si="230"/>
        <v>0</v>
      </c>
      <c r="O44" s="7">
        <f t="shared" ca="1" si="230"/>
        <v>0</v>
      </c>
      <c r="P44" s="7">
        <f t="shared" ca="1" si="230"/>
        <v>0</v>
      </c>
      <c r="Q44" s="7">
        <f t="shared" ca="1" si="230"/>
        <v>0</v>
      </c>
      <c r="R44" s="7">
        <f t="shared" ca="1" si="230"/>
        <v>0</v>
      </c>
      <c r="S44" s="7">
        <f t="shared" ca="1" si="230"/>
        <v>0</v>
      </c>
      <c r="T44" s="7">
        <f t="shared" ca="1" si="230"/>
        <v>0</v>
      </c>
      <c r="U44" s="7">
        <f t="shared" ca="1" si="230"/>
        <v>0</v>
      </c>
      <c r="V44" s="7">
        <f t="shared" ca="1" si="230"/>
        <v>0</v>
      </c>
      <c r="W44" s="7">
        <f t="shared" ca="1" si="230"/>
        <v>0</v>
      </c>
      <c r="X44" s="7">
        <f t="shared" ca="1" si="230"/>
        <v>0</v>
      </c>
      <c r="Y44" s="7">
        <f t="shared" ca="1" si="230"/>
        <v>0</v>
      </c>
      <c r="Z44" s="7">
        <f t="shared" ca="1" si="230"/>
        <v>0</v>
      </c>
      <c r="AA44" s="7">
        <f t="shared" ca="1" si="230"/>
        <v>0</v>
      </c>
      <c r="AB44" s="7">
        <f t="shared" ca="1" si="230"/>
        <v>0</v>
      </c>
      <c r="AC44" s="7">
        <f t="shared" ca="1" si="230"/>
        <v>0</v>
      </c>
      <c r="AD44" s="7">
        <f t="shared" ca="1" si="230"/>
        <v>0</v>
      </c>
      <c r="AE44" s="7">
        <f t="shared" ca="1" si="230"/>
        <v>0</v>
      </c>
      <c r="AF44" s="7">
        <f t="shared" ca="1" si="230"/>
        <v>0</v>
      </c>
      <c r="AG44" s="7" t="e">
        <f t="shared" ca="1" si="230"/>
        <v>#VALUE!</v>
      </c>
      <c r="AH44" s="7" t="e">
        <f t="shared" ca="1" si="230"/>
        <v>#VALUE!</v>
      </c>
      <c r="AI44" s="7">
        <f t="shared" ca="1" si="230"/>
        <v>0</v>
      </c>
      <c r="AJ44" s="7">
        <f t="shared" ca="1" si="230"/>
        <v>0</v>
      </c>
      <c r="AK44" s="7">
        <f t="shared" ca="1" si="230"/>
        <v>0</v>
      </c>
      <c r="AL44" s="7">
        <f t="shared" ca="1" si="230"/>
        <v>0</v>
      </c>
      <c r="AM44" s="7">
        <f t="shared" ca="1" si="230"/>
        <v>0</v>
      </c>
      <c r="AN44" s="7">
        <f t="shared" ca="1" si="230"/>
        <v>0</v>
      </c>
      <c r="AO44" s="7">
        <f t="shared" ca="1" si="230"/>
        <v>0</v>
      </c>
      <c r="AP44" s="7">
        <f t="shared" ca="1" si="230"/>
        <v>0</v>
      </c>
      <c r="AQ44" s="7" t="e">
        <f t="shared" ca="1" si="230"/>
        <v>#VALUE!</v>
      </c>
      <c r="AR44" s="7" t="e">
        <f t="shared" ca="1" si="230"/>
        <v>#VALUE!</v>
      </c>
      <c r="AS44" s="7">
        <f t="shared" ref="AS44:BX44" ca="1" si="231">IF($A$1=FALSE,"-",AS18-OFFSET($A69,0,AS$28))</f>
        <v>0</v>
      </c>
      <c r="AT44" s="7">
        <f t="shared" ca="1" si="231"/>
        <v>0</v>
      </c>
      <c r="AU44" s="7">
        <f t="shared" ca="1" si="231"/>
        <v>0</v>
      </c>
      <c r="AV44" s="7">
        <f t="shared" ca="1" si="231"/>
        <v>0</v>
      </c>
      <c r="AW44" s="7">
        <f t="shared" ca="1" si="231"/>
        <v>0</v>
      </c>
      <c r="AX44" s="7">
        <f t="shared" ca="1" si="231"/>
        <v>0</v>
      </c>
      <c r="AY44" s="7">
        <f t="shared" ca="1" si="231"/>
        <v>0</v>
      </c>
      <c r="AZ44" s="7">
        <f t="shared" ca="1" si="231"/>
        <v>0</v>
      </c>
      <c r="BA44" s="7">
        <f t="shared" ca="1" si="231"/>
        <v>0</v>
      </c>
      <c r="BB44" s="7">
        <f t="shared" ca="1" si="231"/>
        <v>0</v>
      </c>
      <c r="BC44" s="7" t="e">
        <f t="shared" ca="1" si="231"/>
        <v>#VALUE!</v>
      </c>
      <c r="BD44" s="7" t="e">
        <f t="shared" ca="1" si="231"/>
        <v>#VALUE!</v>
      </c>
      <c r="BE44" s="7">
        <f t="shared" ca="1" si="231"/>
        <v>0</v>
      </c>
      <c r="BF44" s="7">
        <f t="shared" ca="1" si="231"/>
        <v>0</v>
      </c>
      <c r="BG44" s="7">
        <f t="shared" ca="1" si="231"/>
        <v>0</v>
      </c>
      <c r="BH44" s="7">
        <f t="shared" ca="1" si="231"/>
        <v>0</v>
      </c>
      <c r="BI44" s="7">
        <f t="shared" ca="1" si="231"/>
        <v>0</v>
      </c>
      <c r="BJ44" s="7">
        <f t="shared" ca="1" si="231"/>
        <v>0</v>
      </c>
      <c r="BK44" s="7">
        <f t="shared" ca="1" si="231"/>
        <v>0</v>
      </c>
      <c r="BL44" s="7">
        <f t="shared" ca="1" si="231"/>
        <v>0</v>
      </c>
      <c r="BM44" s="7">
        <f t="shared" ca="1" si="231"/>
        <v>0</v>
      </c>
      <c r="BN44" s="7">
        <f t="shared" ca="1" si="231"/>
        <v>0</v>
      </c>
      <c r="BO44" s="7">
        <f t="shared" ca="1" si="231"/>
        <v>0</v>
      </c>
      <c r="BP44" s="7">
        <f t="shared" ca="1" si="231"/>
        <v>0</v>
      </c>
      <c r="BQ44" s="7">
        <f t="shared" ca="1" si="231"/>
        <v>0</v>
      </c>
      <c r="BR44" s="7">
        <f t="shared" ca="1" si="231"/>
        <v>0</v>
      </c>
      <c r="BS44" s="7">
        <f t="shared" ca="1" si="231"/>
        <v>0</v>
      </c>
      <c r="BT44" s="7">
        <f t="shared" ca="1" si="231"/>
        <v>0</v>
      </c>
      <c r="BU44" s="7">
        <f t="shared" ca="1" si="231"/>
        <v>0</v>
      </c>
      <c r="BV44" s="7">
        <f t="shared" ca="1" si="231"/>
        <v>0</v>
      </c>
      <c r="BW44" s="7">
        <f t="shared" ca="1" si="231"/>
        <v>0</v>
      </c>
      <c r="BX44" s="7">
        <f t="shared" ca="1" si="231"/>
        <v>0</v>
      </c>
      <c r="BY44" s="7">
        <f t="shared" ref="BY44:CQ44" ca="1" si="232">IF($A$1=FALSE,"-",BY18-OFFSET($A69,0,BY$28))</f>
        <v>0</v>
      </c>
      <c r="BZ44" s="7">
        <f t="shared" ca="1" si="232"/>
        <v>0</v>
      </c>
      <c r="CA44" s="7">
        <f t="shared" ca="1" si="232"/>
        <v>0</v>
      </c>
      <c r="CB44" s="7">
        <f t="shared" ca="1" si="232"/>
        <v>0</v>
      </c>
      <c r="CC44" s="7">
        <f t="shared" ca="1" si="232"/>
        <v>0</v>
      </c>
      <c r="CD44" s="7">
        <f t="shared" ca="1" si="232"/>
        <v>0</v>
      </c>
      <c r="CE44" s="7">
        <f t="shared" ca="1" si="232"/>
        <v>0</v>
      </c>
      <c r="CF44" s="7">
        <f t="shared" ca="1" si="232"/>
        <v>0</v>
      </c>
      <c r="CG44" s="7">
        <f t="shared" ca="1" si="232"/>
        <v>-5.5511151231257827E-17</v>
      </c>
      <c r="CH44" s="7">
        <f t="shared" ca="1" si="232"/>
        <v>0</v>
      </c>
      <c r="CI44" s="7">
        <f t="shared" ca="1" si="232"/>
        <v>0</v>
      </c>
      <c r="CJ44" s="7">
        <f t="shared" ca="1" si="232"/>
        <v>0</v>
      </c>
      <c r="CK44" s="7">
        <f t="shared" ca="1" si="232"/>
        <v>0</v>
      </c>
      <c r="CL44" s="7">
        <f t="shared" ca="1" si="232"/>
        <v>0</v>
      </c>
      <c r="CM44" s="7">
        <f t="shared" ca="1" si="232"/>
        <v>0</v>
      </c>
      <c r="CN44" s="7">
        <f t="shared" ca="1" si="232"/>
        <v>0</v>
      </c>
      <c r="CO44" s="7">
        <f t="shared" ca="1" si="232"/>
        <v>0</v>
      </c>
      <c r="CP44" s="7">
        <f t="shared" ca="1" si="232"/>
        <v>0</v>
      </c>
      <c r="CQ44" s="7">
        <f t="shared" ca="1" si="232"/>
        <v>0</v>
      </c>
      <c r="CR44" s="7">
        <f t="shared" ref="CR44:CS44" ca="1" si="233">IF($A$1=FALSE,"-",CR18-OFFSET($A69,0,CR$28))</f>
        <v>0</v>
      </c>
      <c r="CS44" s="7">
        <f t="shared" ca="1" si="233"/>
        <v>0</v>
      </c>
      <c r="CT44" s="7">
        <f t="shared" ref="CT44:CU44" ca="1" si="234">IF($A$1=FALSE,"-",CT18-OFFSET($A69,0,CT$28))</f>
        <v>0</v>
      </c>
      <c r="CU44" s="7">
        <f t="shared" ca="1" si="234"/>
        <v>0</v>
      </c>
      <c r="CV44" s="7">
        <f t="shared" ref="CV44:CW44" ca="1" si="235">IF($A$1=FALSE,"-",CV18-OFFSET($A69,0,CV$28))</f>
        <v>0</v>
      </c>
      <c r="CW44" s="7">
        <f t="shared" ca="1" si="235"/>
        <v>0</v>
      </c>
      <c r="CX44" s="7">
        <f t="shared" ref="CX44:CY44" ca="1" si="236">IF($A$1=FALSE,"-",CX18-OFFSET($A69,0,CX$28))</f>
        <v>0</v>
      </c>
      <c r="CY44" s="7">
        <f t="shared" ca="1" si="236"/>
        <v>0</v>
      </c>
    </row>
    <row r="45" spans="2:103" x14ac:dyDescent="0.15">
      <c r="B45" s="7">
        <f t="shared" ref="B45:K45" ca="1" si="237">IF($A$1=FALSE,"-",B19-OFFSET($A70,0,B$28))</f>
        <v>0</v>
      </c>
      <c r="C45" s="7">
        <f t="shared" ca="1" si="237"/>
        <v>0</v>
      </c>
      <c r="D45" s="7">
        <f t="shared" ca="1" si="237"/>
        <v>0</v>
      </c>
      <c r="E45" s="7">
        <f t="shared" ca="1" si="237"/>
        <v>0</v>
      </c>
      <c r="F45" s="7">
        <f t="shared" ca="1" si="237"/>
        <v>0</v>
      </c>
      <c r="G45" s="7">
        <f t="shared" ca="1" si="237"/>
        <v>0</v>
      </c>
      <c r="H45" s="7">
        <f t="shared" ca="1" si="237"/>
        <v>0</v>
      </c>
      <c r="I45" s="7">
        <f t="shared" ca="1" si="237"/>
        <v>0</v>
      </c>
      <c r="J45" s="7">
        <f t="shared" ca="1" si="237"/>
        <v>0</v>
      </c>
      <c r="K45" s="7">
        <f t="shared" ca="1" si="237"/>
        <v>0</v>
      </c>
      <c r="L45" s="7">
        <f t="shared" ca="1" si="117"/>
        <v>0</v>
      </c>
      <c r="M45" s="7">
        <f t="shared" ref="M45:AR45" ca="1" si="238">IF($A$1=FALSE,"-",M19-OFFSET($A70,0,M$28))</f>
        <v>0</v>
      </c>
      <c r="N45" s="7">
        <f t="shared" ca="1" si="238"/>
        <v>0</v>
      </c>
      <c r="O45" s="7">
        <f t="shared" ca="1" si="238"/>
        <v>0</v>
      </c>
      <c r="P45" s="7">
        <f t="shared" ca="1" si="238"/>
        <v>0</v>
      </c>
      <c r="Q45" s="7">
        <f t="shared" ca="1" si="238"/>
        <v>0</v>
      </c>
      <c r="R45" s="7">
        <f t="shared" ca="1" si="238"/>
        <v>0</v>
      </c>
      <c r="S45" s="7">
        <f t="shared" ca="1" si="238"/>
        <v>0</v>
      </c>
      <c r="T45" s="7">
        <f t="shared" ca="1" si="238"/>
        <v>0</v>
      </c>
      <c r="U45" s="7">
        <f t="shared" ca="1" si="238"/>
        <v>0</v>
      </c>
      <c r="V45" s="7">
        <f t="shared" ca="1" si="238"/>
        <v>0</v>
      </c>
      <c r="W45" s="7">
        <f t="shared" ca="1" si="238"/>
        <v>0</v>
      </c>
      <c r="X45" s="7">
        <f t="shared" ca="1" si="238"/>
        <v>0</v>
      </c>
      <c r="Y45" s="7">
        <f t="shared" ca="1" si="238"/>
        <v>0</v>
      </c>
      <c r="Z45" s="7">
        <f t="shared" ca="1" si="238"/>
        <v>0</v>
      </c>
      <c r="AA45" s="7">
        <f t="shared" ca="1" si="238"/>
        <v>0</v>
      </c>
      <c r="AB45" s="7">
        <f t="shared" ca="1" si="238"/>
        <v>0</v>
      </c>
      <c r="AC45" s="7">
        <f t="shared" ca="1" si="238"/>
        <v>0</v>
      </c>
      <c r="AD45" s="7">
        <f t="shared" ca="1" si="238"/>
        <v>0</v>
      </c>
      <c r="AE45" s="7">
        <f t="shared" ca="1" si="238"/>
        <v>0</v>
      </c>
      <c r="AF45" s="7">
        <f t="shared" ca="1" si="238"/>
        <v>0</v>
      </c>
      <c r="AG45" s="7" t="e">
        <f t="shared" ca="1" si="238"/>
        <v>#VALUE!</v>
      </c>
      <c r="AH45" s="7" t="e">
        <f t="shared" ca="1" si="238"/>
        <v>#VALUE!</v>
      </c>
      <c r="AI45" s="7">
        <f t="shared" ca="1" si="238"/>
        <v>0</v>
      </c>
      <c r="AJ45" s="7">
        <f t="shared" ca="1" si="238"/>
        <v>0</v>
      </c>
      <c r="AK45" s="7">
        <f t="shared" ca="1" si="238"/>
        <v>0</v>
      </c>
      <c r="AL45" s="7">
        <f t="shared" ca="1" si="238"/>
        <v>0</v>
      </c>
      <c r="AM45" s="7">
        <f t="shared" ca="1" si="238"/>
        <v>0</v>
      </c>
      <c r="AN45" s="7">
        <f t="shared" ca="1" si="238"/>
        <v>0</v>
      </c>
      <c r="AO45" s="7">
        <f t="shared" ca="1" si="238"/>
        <v>0</v>
      </c>
      <c r="AP45" s="7">
        <f t="shared" ca="1" si="238"/>
        <v>0</v>
      </c>
      <c r="AQ45" s="7" t="e">
        <f t="shared" ca="1" si="238"/>
        <v>#VALUE!</v>
      </c>
      <c r="AR45" s="7" t="e">
        <f t="shared" ca="1" si="238"/>
        <v>#VALUE!</v>
      </c>
      <c r="AS45" s="7">
        <f t="shared" ref="AS45:BX45" ca="1" si="239">IF($A$1=FALSE,"-",AS19-OFFSET($A70,0,AS$28))</f>
        <v>0</v>
      </c>
      <c r="AT45" s="7">
        <f t="shared" ca="1" si="239"/>
        <v>0</v>
      </c>
      <c r="AU45" s="7">
        <f t="shared" ca="1" si="239"/>
        <v>0</v>
      </c>
      <c r="AV45" s="7">
        <f t="shared" ca="1" si="239"/>
        <v>0</v>
      </c>
      <c r="AW45" s="7">
        <f t="shared" ca="1" si="239"/>
        <v>0</v>
      </c>
      <c r="AX45" s="7">
        <f t="shared" ca="1" si="239"/>
        <v>0</v>
      </c>
      <c r="AY45" s="7">
        <f t="shared" ca="1" si="239"/>
        <v>0</v>
      </c>
      <c r="AZ45" s="7">
        <f t="shared" ca="1" si="239"/>
        <v>0</v>
      </c>
      <c r="BA45" s="7">
        <f t="shared" ca="1" si="239"/>
        <v>0</v>
      </c>
      <c r="BB45" s="7">
        <f t="shared" ca="1" si="239"/>
        <v>0</v>
      </c>
      <c r="BC45" s="7" t="e">
        <f t="shared" ca="1" si="239"/>
        <v>#VALUE!</v>
      </c>
      <c r="BD45" s="7" t="e">
        <f t="shared" ca="1" si="239"/>
        <v>#VALUE!</v>
      </c>
      <c r="BE45" s="7">
        <f t="shared" ca="1" si="239"/>
        <v>0</v>
      </c>
      <c r="BF45" s="7">
        <f t="shared" ca="1" si="239"/>
        <v>0</v>
      </c>
      <c r="BG45" s="7">
        <f t="shared" ca="1" si="239"/>
        <v>0</v>
      </c>
      <c r="BH45" s="7">
        <f t="shared" ca="1" si="239"/>
        <v>0</v>
      </c>
      <c r="BI45" s="7">
        <f t="shared" ca="1" si="239"/>
        <v>0</v>
      </c>
      <c r="BJ45" s="7">
        <f t="shared" ca="1" si="239"/>
        <v>0</v>
      </c>
      <c r="BK45" s="7">
        <f t="shared" ca="1" si="239"/>
        <v>0</v>
      </c>
      <c r="BL45" s="7">
        <f t="shared" ca="1" si="239"/>
        <v>0</v>
      </c>
      <c r="BM45" s="7">
        <f t="shared" ca="1" si="239"/>
        <v>0</v>
      </c>
      <c r="BN45" s="7">
        <f t="shared" ca="1" si="239"/>
        <v>0</v>
      </c>
      <c r="BO45" s="7">
        <f t="shared" ca="1" si="239"/>
        <v>0</v>
      </c>
      <c r="BP45" s="7">
        <f t="shared" ca="1" si="239"/>
        <v>0</v>
      </c>
      <c r="BQ45" s="7">
        <f t="shared" ca="1" si="239"/>
        <v>0</v>
      </c>
      <c r="BR45" s="7">
        <f t="shared" ca="1" si="239"/>
        <v>0</v>
      </c>
      <c r="BS45" s="7">
        <f t="shared" ca="1" si="239"/>
        <v>0</v>
      </c>
      <c r="BT45" s="7">
        <f t="shared" ca="1" si="239"/>
        <v>0</v>
      </c>
      <c r="BU45" s="7">
        <f t="shared" ca="1" si="239"/>
        <v>0</v>
      </c>
      <c r="BV45" s="7">
        <f t="shared" ca="1" si="239"/>
        <v>0</v>
      </c>
      <c r="BW45" s="7">
        <f t="shared" ca="1" si="239"/>
        <v>0</v>
      </c>
      <c r="BX45" s="7">
        <f t="shared" ca="1" si="239"/>
        <v>0</v>
      </c>
      <c r="BY45" s="7">
        <f t="shared" ref="BY45:CQ45" ca="1" si="240">IF($A$1=FALSE,"-",BY19-OFFSET($A70,0,BY$28))</f>
        <v>0</v>
      </c>
      <c r="BZ45" s="7">
        <f t="shared" ca="1" si="240"/>
        <v>0</v>
      </c>
      <c r="CA45" s="7">
        <f t="shared" ca="1" si="240"/>
        <v>0</v>
      </c>
      <c r="CB45" s="7">
        <f t="shared" ca="1" si="240"/>
        <v>0</v>
      </c>
      <c r="CC45" s="7">
        <f t="shared" ca="1" si="240"/>
        <v>0</v>
      </c>
      <c r="CD45" s="7">
        <f t="shared" ca="1" si="240"/>
        <v>0</v>
      </c>
      <c r="CE45" s="7">
        <f t="shared" ca="1" si="240"/>
        <v>0</v>
      </c>
      <c r="CF45" s="7">
        <f t="shared" ca="1" si="240"/>
        <v>0</v>
      </c>
      <c r="CG45" s="7">
        <f t="shared" ca="1" si="240"/>
        <v>0</v>
      </c>
      <c r="CH45" s="7">
        <f t="shared" ca="1" si="240"/>
        <v>3.5527136788005009E-15</v>
      </c>
      <c r="CI45" s="7">
        <f t="shared" ca="1" si="240"/>
        <v>0</v>
      </c>
      <c r="CJ45" s="7">
        <f t="shared" ca="1" si="240"/>
        <v>-1.7763568394002505E-15</v>
      </c>
      <c r="CK45" s="7">
        <f t="shared" ca="1" si="240"/>
        <v>0</v>
      </c>
      <c r="CL45" s="7">
        <f t="shared" ca="1" si="240"/>
        <v>0</v>
      </c>
      <c r="CM45" s="7">
        <f t="shared" ca="1" si="240"/>
        <v>0</v>
      </c>
      <c r="CN45" s="7">
        <f t="shared" ca="1" si="240"/>
        <v>0</v>
      </c>
      <c r="CO45" s="7">
        <f t="shared" ca="1" si="240"/>
        <v>0</v>
      </c>
      <c r="CP45" s="7">
        <f t="shared" ca="1" si="240"/>
        <v>0</v>
      </c>
      <c r="CQ45" s="7">
        <f t="shared" ca="1" si="240"/>
        <v>0</v>
      </c>
      <c r="CR45" s="7">
        <f t="shared" ref="CR45:CS45" ca="1" si="241">IF($A$1=FALSE,"-",CR19-OFFSET($A70,0,CR$28))</f>
        <v>0</v>
      </c>
      <c r="CS45" s="7">
        <f t="shared" ca="1" si="241"/>
        <v>0</v>
      </c>
      <c r="CT45" s="7">
        <f t="shared" ref="CT45:CU45" ca="1" si="242">IF($A$1=FALSE,"-",CT19-OFFSET($A70,0,CT$28))</f>
        <v>0</v>
      </c>
      <c r="CU45" s="7">
        <f t="shared" ca="1" si="242"/>
        <v>0</v>
      </c>
      <c r="CV45" s="7">
        <f t="shared" ref="CV45:CW45" ca="1" si="243">IF($A$1=FALSE,"-",CV19-OFFSET($A70,0,CV$28))</f>
        <v>0</v>
      </c>
      <c r="CW45" s="7">
        <f t="shared" ca="1" si="243"/>
        <v>0</v>
      </c>
      <c r="CX45" s="7">
        <f t="shared" ref="CX45:CY45" ca="1" si="244">IF($A$1=FALSE,"-",CX19-OFFSET($A70,0,CX$28))</f>
        <v>0</v>
      </c>
      <c r="CY45" s="7">
        <f t="shared" ca="1" si="244"/>
        <v>0</v>
      </c>
    </row>
    <row r="46" spans="2:103" x14ac:dyDescent="0.15">
      <c r="B46" s="7">
        <f t="shared" ref="B46:K46" ca="1" si="245">IF($A$1=FALSE,"-",B20-OFFSET($A71,0,B$28))</f>
        <v>0</v>
      </c>
      <c r="C46" s="7">
        <f t="shared" ca="1" si="245"/>
        <v>0</v>
      </c>
      <c r="D46" s="7">
        <f t="shared" ca="1" si="245"/>
        <v>0</v>
      </c>
      <c r="E46" s="7">
        <f t="shared" ca="1" si="245"/>
        <v>0</v>
      </c>
      <c r="F46" s="7">
        <f t="shared" ca="1" si="245"/>
        <v>0</v>
      </c>
      <c r="G46" s="7">
        <f t="shared" ca="1" si="245"/>
        <v>0</v>
      </c>
      <c r="H46" s="7">
        <f t="shared" ca="1" si="245"/>
        <v>0</v>
      </c>
      <c r="I46" s="7">
        <f t="shared" ca="1" si="245"/>
        <v>0</v>
      </c>
      <c r="J46" s="7">
        <f t="shared" ca="1" si="245"/>
        <v>0</v>
      </c>
      <c r="K46" s="7">
        <f t="shared" ca="1" si="245"/>
        <v>0</v>
      </c>
      <c r="L46" s="7">
        <f t="shared" ca="1" si="117"/>
        <v>0</v>
      </c>
      <c r="M46" s="7">
        <f t="shared" ref="M46:AR46" ca="1" si="246">IF($A$1=FALSE,"-",M20-OFFSET($A71,0,M$28))</f>
        <v>0</v>
      </c>
      <c r="N46" s="7">
        <f t="shared" ca="1" si="246"/>
        <v>0</v>
      </c>
      <c r="O46" s="7">
        <f t="shared" ca="1" si="246"/>
        <v>0</v>
      </c>
      <c r="P46" s="7">
        <f t="shared" ca="1" si="246"/>
        <v>0</v>
      </c>
      <c r="Q46" s="7">
        <f t="shared" ca="1" si="246"/>
        <v>0</v>
      </c>
      <c r="R46" s="7">
        <f t="shared" ca="1" si="246"/>
        <v>0</v>
      </c>
      <c r="S46" s="7">
        <f t="shared" ca="1" si="246"/>
        <v>0</v>
      </c>
      <c r="T46" s="7">
        <f t="shared" ca="1" si="246"/>
        <v>0</v>
      </c>
      <c r="U46" s="7">
        <f t="shared" ca="1" si="246"/>
        <v>0</v>
      </c>
      <c r="V46" s="7">
        <f t="shared" ca="1" si="246"/>
        <v>0</v>
      </c>
      <c r="W46" s="7">
        <f t="shared" ca="1" si="246"/>
        <v>0</v>
      </c>
      <c r="X46" s="7">
        <f t="shared" ca="1" si="246"/>
        <v>0</v>
      </c>
      <c r="Y46" s="7">
        <f t="shared" ca="1" si="246"/>
        <v>0</v>
      </c>
      <c r="Z46" s="7">
        <f t="shared" ca="1" si="246"/>
        <v>0</v>
      </c>
      <c r="AA46" s="7">
        <f t="shared" ca="1" si="246"/>
        <v>0</v>
      </c>
      <c r="AB46" s="7">
        <f t="shared" ca="1" si="246"/>
        <v>0</v>
      </c>
      <c r="AC46" s="7">
        <f t="shared" ca="1" si="246"/>
        <v>0</v>
      </c>
      <c r="AD46" s="7">
        <f t="shared" ca="1" si="246"/>
        <v>0</v>
      </c>
      <c r="AE46" s="7">
        <f t="shared" ca="1" si="246"/>
        <v>0</v>
      </c>
      <c r="AF46" s="7">
        <f t="shared" ca="1" si="246"/>
        <v>0</v>
      </c>
      <c r="AG46" s="7" t="e">
        <f t="shared" ca="1" si="246"/>
        <v>#VALUE!</v>
      </c>
      <c r="AH46" s="7" t="e">
        <f t="shared" ca="1" si="246"/>
        <v>#VALUE!</v>
      </c>
      <c r="AI46" s="7">
        <f t="shared" ca="1" si="246"/>
        <v>0</v>
      </c>
      <c r="AJ46" s="7">
        <f t="shared" ca="1" si="246"/>
        <v>0</v>
      </c>
      <c r="AK46" s="7">
        <f t="shared" ca="1" si="246"/>
        <v>0</v>
      </c>
      <c r="AL46" s="7">
        <f t="shared" ca="1" si="246"/>
        <v>0</v>
      </c>
      <c r="AM46" s="7">
        <f t="shared" ca="1" si="246"/>
        <v>0</v>
      </c>
      <c r="AN46" s="7">
        <f t="shared" ca="1" si="246"/>
        <v>0</v>
      </c>
      <c r="AO46" s="7">
        <f t="shared" ca="1" si="246"/>
        <v>0</v>
      </c>
      <c r="AP46" s="7">
        <f t="shared" ca="1" si="246"/>
        <v>0</v>
      </c>
      <c r="AQ46" s="7" t="e">
        <f t="shared" ca="1" si="246"/>
        <v>#VALUE!</v>
      </c>
      <c r="AR46" s="7" t="e">
        <f t="shared" ca="1" si="246"/>
        <v>#VALUE!</v>
      </c>
      <c r="AS46" s="7">
        <f t="shared" ref="AS46:BX46" ca="1" si="247">IF($A$1=FALSE,"-",AS20-OFFSET($A71,0,AS$28))</f>
        <v>0</v>
      </c>
      <c r="AT46" s="7">
        <f t="shared" ca="1" si="247"/>
        <v>0</v>
      </c>
      <c r="AU46" s="7">
        <f t="shared" ca="1" si="247"/>
        <v>0</v>
      </c>
      <c r="AV46" s="7">
        <f t="shared" ca="1" si="247"/>
        <v>0</v>
      </c>
      <c r="AW46" s="7">
        <f t="shared" ca="1" si="247"/>
        <v>0</v>
      </c>
      <c r="AX46" s="7">
        <f t="shared" ca="1" si="247"/>
        <v>0</v>
      </c>
      <c r="AY46" s="7">
        <f t="shared" ca="1" si="247"/>
        <v>0</v>
      </c>
      <c r="AZ46" s="7">
        <f t="shared" ca="1" si="247"/>
        <v>0</v>
      </c>
      <c r="BA46" s="7">
        <f t="shared" ca="1" si="247"/>
        <v>0</v>
      </c>
      <c r="BB46" s="7">
        <f t="shared" ca="1" si="247"/>
        <v>0</v>
      </c>
      <c r="BC46" s="7" t="e">
        <f t="shared" ca="1" si="247"/>
        <v>#VALUE!</v>
      </c>
      <c r="BD46" s="7" t="e">
        <f t="shared" ca="1" si="247"/>
        <v>#VALUE!</v>
      </c>
      <c r="BE46" s="7">
        <f t="shared" ca="1" si="247"/>
        <v>0</v>
      </c>
      <c r="BF46" s="7">
        <f t="shared" ca="1" si="247"/>
        <v>0</v>
      </c>
      <c r="BG46" s="7">
        <f t="shared" ca="1" si="247"/>
        <v>0</v>
      </c>
      <c r="BH46" s="7">
        <f t="shared" ca="1" si="247"/>
        <v>0</v>
      </c>
      <c r="BI46" s="7">
        <f t="shared" ca="1" si="247"/>
        <v>0</v>
      </c>
      <c r="BJ46" s="7">
        <f t="shared" ca="1" si="247"/>
        <v>0</v>
      </c>
      <c r="BK46" s="7">
        <f t="shared" ca="1" si="247"/>
        <v>0</v>
      </c>
      <c r="BL46" s="7">
        <f t="shared" ca="1" si="247"/>
        <v>0</v>
      </c>
      <c r="BM46" s="7">
        <f t="shared" ca="1" si="247"/>
        <v>0</v>
      </c>
      <c r="BN46" s="7">
        <f t="shared" ca="1" si="247"/>
        <v>0</v>
      </c>
      <c r="BO46" s="7">
        <f t="shared" ca="1" si="247"/>
        <v>0</v>
      </c>
      <c r="BP46" s="7">
        <f t="shared" ca="1" si="247"/>
        <v>0</v>
      </c>
      <c r="BQ46" s="7">
        <f t="shared" ca="1" si="247"/>
        <v>0</v>
      </c>
      <c r="BR46" s="7">
        <f t="shared" ca="1" si="247"/>
        <v>0</v>
      </c>
      <c r="BS46" s="7">
        <f t="shared" ca="1" si="247"/>
        <v>0</v>
      </c>
      <c r="BT46" s="7">
        <f t="shared" ca="1" si="247"/>
        <v>0</v>
      </c>
      <c r="BU46" s="7">
        <f t="shared" ca="1" si="247"/>
        <v>0</v>
      </c>
      <c r="BV46" s="7">
        <f t="shared" ca="1" si="247"/>
        <v>0</v>
      </c>
      <c r="BW46" s="7">
        <f t="shared" ca="1" si="247"/>
        <v>0</v>
      </c>
      <c r="BX46" s="7">
        <f t="shared" ca="1" si="247"/>
        <v>0</v>
      </c>
      <c r="BY46" s="7">
        <f t="shared" ref="BY46:CQ46" ca="1" si="248">IF($A$1=FALSE,"-",BY20-OFFSET($A71,0,BY$28))</f>
        <v>0</v>
      </c>
      <c r="BZ46" s="7">
        <f t="shared" ca="1" si="248"/>
        <v>0</v>
      </c>
      <c r="CA46" s="7">
        <f t="shared" ca="1" si="248"/>
        <v>0</v>
      </c>
      <c r="CB46" s="7">
        <f t="shared" ca="1" si="248"/>
        <v>0</v>
      </c>
      <c r="CC46" s="7">
        <f t="shared" ca="1" si="248"/>
        <v>0</v>
      </c>
      <c r="CD46" s="7">
        <f t="shared" ca="1" si="248"/>
        <v>0</v>
      </c>
      <c r="CE46" s="7">
        <f t="shared" ca="1" si="248"/>
        <v>0</v>
      </c>
      <c r="CF46" s="7">
        <f t="shared" ca="1" si="248"/>
        <v>0</v>
      </c>
      <c r="CG46" s="7">
        <f t="shared" ca="1" si="248"/>
        <v>5.5511151231257827E-17</v>
      </c>
      <c r="CH46" s="7">
        <f t="shared" ca="1" si="248"/>
        <v>0</v>
      </c>
      <c r="CI46" s="7">
        <f t="shared" ca="1" si="248"/>
        <v>-5.5511151231257827E-17</v>
      </c>
      <c r="CJ46" s="7">
        <f t="shared" ca="1" si="248"/>
        <v>8.8817841970012523E-16</v>
      </c>
      <c r="CK46" s="7">
        <f t="shared" ca="1" si="248"/>
        <v>0</v>
      </c>
      <c r="CL46" s="7">
        <f t="shared" ca="1" si="248"/>
        <v>0</v>
      </c>
      <c r="CM46" s="7">
        <f t="shared" ca="1" si="248"/>
        <v>0</v>
      </c>
      <c r="CN46" s="7">
        <f t="shared" ca="1" si="248"/>
        <v>0</v>
      </c>
      <c r="CO46" s="7">
        <f t="shared" ca="1" si="248"/>
        <v>0</v>
      </c>
      <c r="CP46" s="7">
        <f t="shared" ca="1" si="248"/>
        <v>0</v>
      </c>
      <c r="CQ46" s="7">
        <f t="shared" ca="1" si="248"/>
        <v>0</v>
      </c>
      <c r="CR46" s="7">
        <f t="shared" ref="CR46:CS46" ca="1" si="249">IF($A$1=FALSE,"-",CR20-OFFSET($A71,0,CR$28))</f>
        <v>0</v>
      </c>
      <c r="CS46" s="7">
        <f t="shared" ca="1" si="249"/>
        <v>0</v>
      </c>
      <c r="CT46" s="7">
        <f t="shared" ref="CT46:CU46" ca="1" si="250">IF($A$1=FALSE,"-",CT20-OFFSET($A71,0,CT$28))</f>
        <v>0</v>
      </c>
      <c r="CU46" s="7">
        <f t="shared" ca="1" si="250"/>
        <v>0</v>
      </c>
      <c r="CV46" s="7">
        <f t="shared" ref="CV46:CW46" ca="1" si="251">IF($A$1=FALSE,"-",CV20-OFFSET($A71,0,CV$28))</f>
        <v>0</v>
      </c>
      <c r="CW46" s="7">
        <f t="shared" ca="1" si="251"/>
        <v>0</v>
      </c>
      <c r="CX46" s="7">
        <f t="shared" ref="CX46:CY46" ca="1" si="252">IF($A$1=FALSE,"-",CX20-OFFSET($A71,0,CX$28))</f>
        <v>0</v>
      </c>
      <c r="CY46" s="7">
        <f t="shared" ca="1" si="252"/>
        <v>0</v>
      </c>
    </row>
    <row r="47" spans="2:103" x14ac:dyDescent="0.15">
      <c r="B47" s="7">
        <f t="shared" ref="B47:K47" ca="1" si="253">IF($A$1=FALSE,"-",B21-OFFSET($A72,0,B$28))</f>
        <v>0</v>
      </c>
      <c r="C47" s="7">
        <f t="shared" ca="1" si="253"/>
        <v>0</v>
      </c>
      <c r="D47" s="7">
        <f t="shared" ca="1" si="253"/>
        <v>0</v>
      </c>
      <c r="E47" s="7">
        <f t="shared" ca="1" si="253"/>
        <v>0</v>
      </c>
      <c r="F47" s="7">
        <f t="shared" ca="1" si="253"/>
        <v>0</v>
      </c>
      <c r="G47" s="7">
        <f t="shared" ca="1" si="253"/>
        <v>0</v>
      </c>
      <c r="H47" s="7">
        <f t="shared" ca="1" si="253"/>
        <v>0</v>
      </c>
      <c r="I47" s="7">
        <f t="shared" ca="1" si="253"/>
        <v>0</v>
      </c>
      <c r="J47" s="7">
        <f t="shared" ca="1" si="253"/>
        <v>0</v>
      </c>
      <c r="K47" s="7">
        <f t="shared" ca="1" si="253"/>
        <v>0</v>
      </c>
      <c r="L47" s="7">
        <f t="shared" ca="1" si="117"/>
        <v>0</v>
      </c>
      <c r="M47" s="7">
        <f t="shared" ref="M47:AR47" ca="1" si="254">IF($A$1=FALSE,"-",M21-OFFSET($A72,0,M$28))</f>
        <v>0</v>
      </c>
      <c r="N47" s="7">
        <f t="shared" ca="1" si="254"/>
        <v>0</v>
      </c>
      <c r="O47" s="7">
        <f t="shared" ca="1" si="254"/>
        <v>0</v>
      </c>
      <c r="P47" s="7">
        <f t="shared" ca="1" si="254"/>
        <v>0</v>
      </c>
      <c r="Q47" s="7">
        <f t="shared" ca="1" si="254"/>
        <v>0</v>
      </c>
      <c r="R47" s="7">
        <f t="shared" ca="1" si="254"/>
        <v>0</v>
      </c>
      <c r="S47" s="7">
        <f t="shared" ca="1" si="254"/>
        <v>0</v>
      </c>
      <c r="T47" s="7">
        <f t="shared" ca="1" si="254"/>
        <v>0</v>
      </c>
      <c r="U47" s="7">
        <f t="shared" ca="1" si="254"/>
        <v>0</v>
      </c>
      <c r="V47" s="7">
        <f t="shared" ca="1" si="254"/>
        <v>0</v>
      </c>
      <c r="W47" s="7">
        <f t="shared" ca="1" si="254"/>
        <v>0</v>
      </c>
      <c r="X47" s="7">
        <f t="shared" ca="1" si="254"/>
        <v>0</v>
      </c>
      <c r="Y47" s="7">
        <f t="shared" ca="1" si="254"/>
        <v>0</v>
      </c>
      <c r="Z47" s="7">
        <f t="shared" ca="1" si="254"/>
        <v>0</v>
      </c>
      <c r="AA47" s="7">
        <f t="shared" ca="1" si="254"/>
        <v>0</v>
      </c>
      <c r="AB47" s="7">
        <f t="shared" ca="1" si="254"/>
        <v>0</v>
      </c>
      <c r="AC47" s="7">
        <f t="shared" ca="1" si="254"/>
        <v>0</v>
      </c>
      <c r="AD47" s="7">
        <f t="shared" ca="1" si="254"/>
        <v>0</v>
      </c>
      <c r="AE47" s="7">
        <f t="shared" ca="1" si="254"/>
        <v>0</v>
      </c>
      <c r="AF47" s="7">
        <f t="shared" ca="1" si="254"/>
        <v>0</v>
      </c>
      <c r="AG47" s="7" t="e">
        <f t="shared" ca="1" si="254"/>
        <v>#VALUE!</v>
      </c>
      <c r="AH47" s="7" t="e">
        <f t="shared" ca="1" si="254"/>
        <v>#VALUE!</v>
      </c>
      <c r="AI47" s="7">
        <f t="shared" ca="1" si="254"/>
        <v>0</v>
      </c>
      <c r="AJ47" s="7">
        <f t="shared" ca="1" si="254"/>
        <v>0</v>
      </c>
      <c r="AK47" s="7">
        <f t="shared" ca="1" si="254"/>
        <v>0</v>
      </c>
      <c r="AL47" s="7">
        <f t="shared" ca="1" si="254"/>
        <v>0</v>
      </c>
      <c r="AM47" s="7">
        <f t="shared" ca="1" si="254"/>
        <v>0</v>
      </c>
      <c r="AN47" s="7">
        <f t="shared" ca="1" si="254"/>
        <v>0</v>
      </c>
      <c r="AO47" s="7">
        <f t="shared" ca="1" si="254"/>
        <v>0</v>
      </c>
      <c r="AP47" s="7">
        <f t="shared" ca="1" si="254"/>
        <v>0</v>
      </c>
      <c r="AQ47" s="7" t="e">
        <f t="shared" ca="1" si="254"/>
        <v>#VALUE!</v>
      </c>
      <c r="AR47" s="7" t="e">
        <f t="shared" ca="1" si="254"/>
        <v>#VALUE!</v>
      </c>
      <c r="AS47" s="7">
        <f t="shared" ref="AS47:BX47" ca="1" si="255">IF($A$1=FALSE,"-",AS21-OFFSET($A72,0,AS$28))</f>
        <v>0</v>
      </c>
      <c r="AT47" s="7">
        <f t="shared" ca="1" si="255"/>
        <v>0</v>
      </c>
      <c r="AU47" s="7">
        <f t="shared" ca="1" si="255"/>
        <v>0</v>
      </c>
      <c r="AV47" s="7">
        <f t="shared" ca="1" si="255"/>
        <v>0</v>
      </c>
      <c r="AW47" s="7">
        <f t="shared" ca="1" si="255"/>
        <v>0</v>
      </c>
      <c r="AX47" s="7">
        <f t="shared" ca="1" si="255"/>
        <v>0</v>
      </c>
      <c r="AY47" s="7">
        <f t="shared" ca="1" si="255"/>
        <v>0</v>
      </c>
      <c r="AZ47" s="7">
        <f t="shared" ca="1" si="255"/>
        <v>0</v>
      </c>
      <c r="BA47" s="7">
        <f t="shared" ca="1" si="255"/>
        <v>0</v>
      </c>
      <c r="BB47" s="7">
        <f t="shared" ca="1" si="255"/>
        <v>0</v>
      </c>
      <c r="BC47" s="7" t="e">
        <f t="shared" ca="1" si="255"/>
        <v>#VALUE!</v>
      </c>
      <c r="BD47" s="7" t="e">
        <f t="shared" ca="1" si="255"/>
        <v>#VALUE!</v>
      </c>
      <c r="BE47" s="7">
        <f t="shared" ca="1" si="255"/>
        <v>0</v>
      </c>
      <c r="BF47" s="7">
        <f t="shared" ca="1" si="255"/>
        <v>0</v>
      </c>
      <c r="BG47" s="7">
        <f t="shared" ca="1" si="255"/>
        <v>0</v>
      </c>
      <c r="BH47" s="7">
        <f t="shared" ca="1" si="255"/>
        <v>0</v>
      </c>
      <c r="BI47" s="7">
        <f t="shared" ca="1" si="255"/>
        <v>0</v>
      </c>
      <c r="BJ47" s="7">
        <f t="shared" ca="1" si="255"/>
        <v>0</v>
      </c>
      <c r="BK47" s="7">
        <f t="shared" ca="1" si="255"/>
        <v>0</v>
      </c>
      <c r="BL47" s="7">
        <f t="shared" ca="1" si="255"/>
        <v>0</v>
      </c>
      <c r="BM47" s="7">
        <f t="shared" ca="1" si="255"/>
        <v>0</v>
      </c>
      <c r="BN47" s="7">
        <f t="shared" ca="1" si="255"/>
        <v>0</v>
      </c>
      <c r="BO47" s="7">
        <f t="shared" ca="1" si="255"/>
        <v>0</v>
      </c>
      <c r="BP47" s="7">
        <f t="shared" ca="1" si="255"/>
        <v>0</v>
      </c>
      <c r="BQ47" s="7">
        <f t="shared" ca="1" si="255"/>
        <v>0</v>
      </c>
      <c r="BR47" s="7">
        <f t="shared" ca="1" si="255"/>
        <v>0</v>
      </c>
      <c r="BS47" s="7">
        <f t="shared" ca="1" si="255"/>
        <v>0</v>
      </c>
      <c r="BT47" s="7">
        <f t="shared" ca="1" si="255"/>
        <v>0</v>
      </c>
      <c r="BU47" s="7">
        <f t="shared" ca="1" si="255"/>
        <v>0</v>
      </c>
      <c r="BV47" s="7">
        <f t="shared" ca="1" si="255"/>
        <v>0</v>
      </c>
      <c r="BW47" s="7">
        <f t="shared" ca="1" si="255"/>
        <v>0</v>
      </c>
      <c r="BX47" s="7">
        <f t="shared" ca="1" si="255"/>
        <v>0</v>
      </c>
      <c r="BY47" s="7">
        <f t="shared" ref="BY47:CQ47" ca="1" si="256">IF($A$1=FALSE,"-",BY21-OFFSET($A72,0,BY$28))</f>
        <v>2.2737367544323206E-13</v>
      </c>
      <c r="BZ47" s="7">
        <f t="shared" ca="1" si="256"/>
        <v>7.1054273576010019E-15</v>
      </c>
      <c r="CA47" s="7">
        <f t="shared" ca="1" si="256"/>
        <v>1.7763568394002505E-15</v>
      </c>
      <c r="CB47" s="7">
        <f t="shared" ca="1" si="256"/>
        <v>0</v>
      </c>
      <c r="CC47" s="7">
        <f t="shared" ca="1" si="256"/>
        <v>0</v>
      </c>
      <c r="CD47" s="7">
        <f t="shared" ca="1" si="256"/>
        <v>2.2737367544323206E-13</v>
      </c>
      <c r="CE47" s="7">
        <f t="shared" ca="1" si="256"/>
        <v>-1.7763568394002505E-14</v>
      </c>
      <c r="CF47" s="7">
        <f t="shared" ca="1" si="256"/>
        <v>-1.6292522886374172E-14</v>
      </c>
      <c r="CG47" s="7">
        <f t="shared" ca="1" si="256"/>
        <v>5.5511151231257827E-17</v>
      </c>
      <c r="CH47" s="7">
        <f t="shared" ca="1" si="256"/>
        <v>-2.1316282072803006E-14</v>
      </c>
      <c r="CI47" s="7">
        <f t="shared" ca="1" si="256"/>
        <v>5.5511151231257827E-17</v>
      </c>
      <c r="CJ47" s="7">
        <f t="shared" ca="1" si="256"/>
        <v>-1.6292522886374172E-14</v>
      </c>
      <c r="CK47" s="7">
        <f t="shared" ca="1" si="256"/>
        <v>-2.2737367544323206E-13</v>
      </c>
      <c r="CL47" s="7">
        <f t="shared" ca="1" si="256"/>
        <v>-2.2737367544323206E-13</v>
      </c>
      <c r="CM47" s="7">
        <f t="shared" ca="1" si="256"/>
        <v>-1.7053025658242404E-13</v>
      </c>
      <c r="CN47" s="7">
        <f t="shared" ca="1" si="256"/>
        <v>-1.9984014443252818E-13</v>
      </c>
      <c r="CO47" s="7">
        <f t="shared" ca="1" si="256"/>
        <v>0</v>
      </c>
      <c r="CP47" s="7">
        <f t="shared" ca="1" si="256"/>
        <v>0</v>
      </c>
      <c r="CQ47" s="7">
        <f t="shared" ca="1" si="256"/>
        <v>0</v>
      </c>
      <c r="CR47" s="7">
        <f t="shared" ref="CR47:CS47" ca="1" si="257">IF($A$1=FALSE,"-",CR21-OFFSET($A72,0,CR$28))</f>
        <v>0</v>
      </c>
      <c r="CS47" s="7">
        <f t="shared" ca="1" si="257"/>
        <v>0</v>
      </c>
      <c r="CT47" s="7">
        <f t="shared" ref="CT47:CU47" ca="1" si="258">IF($A$1=FALSE,"-",CT21-OFFSET($A72,0,CT$28))</f>
        <v>0</v>
      </c>
      <c r="CU47" s="7">
        <f t="shared" ca="1" si="258"/>
        <v>0</v>
      </c>
      <c r="CV47" s="7">
        <f t="shared" ref="CV47:CW47" ca="1" si="259">IF($A$1=FALSE,"-",CV21-OFFSET($A72,0,CV$28))</f>
        <v>0</v>
      </c>
      <c r="CW47" s="7">
        <f t="shared" ca="1" si="259"/>
        <v>0</v>
      </c>
      <c r="CX47" s="7">
        <f t="shared" ref="CX47:CY47" ca="1" si="260">IF($A$1=FALSE,"-",CX21-OFFSET($A72,0,CX$28))</f>
        <v>0</v>
      </c>
      <c r="CY47" s="7">
        <f t="shared" ca="1" si="260"/>
        <v>0</v>
      </c>
    </row>
    <row r="48" spans="2:103" x14ac:dyDescent="0.15">
      <c r="B48" s="7">
        <f t="shared" ref="B48:K48" ca="1" si="261">IF($A$1=FALSE,"-",B22-OFFSET($A73,0,B$28))</f>
        <v>0</v>
      </c>
      <c r="C48" s="7">
        <f t="shared" ca="1" si="261"/>
        <v>0</v>
      </c>
      <c r="D48" s="7">
        <f t="shared" ca="1" si="261"/>
        <v>0</v>
      </c>
      <c r="E48" s="7">
        <f t="shared" ca="1" si="261"/>
        <v>0</v>
      </c>
      <c r="F48" s="7">
        <f t="shared" ca="1" si="261"/>
        <v>0</v>
      </c>
      <c r="G48" s="7">
        <f t="shared" ca="1" si="261"/>
        <v>0</v>
      </c>
      <c r="H48" s="7">
        <f t="shared" ca="1" si="261"/>
        <v>0</v>
      </c>
      <c r="I48" s="7">
        <f t="shared" ca="1" si="261"/>
        <v>0</v>
      </c>
      <c r="J48" s="7">
        <f t="shared" ca="1" si="261"/>
        <v>0</v>
      </c>
      <c r="K48" s="7">
        <f t="shared" ca="1" si="261"/>
        <v>0</v>
      </c>
      <c r="L48" s="7">
        <f t="shared" ca="1" si="117"/>
        <v>0</v>
      </c>
      <c r="M48" s="7">
        <f t="shared" ref="M48:AR48" ca="1" si="262">IF($A$1=FALSE,"-",M22-OFFSET($A73,0,M$28))</f>
        <v>0</v>
      </c>
      <c r="N48" s="7">
        <f t="shared" ca="1" si="262"/>
        <v>0</v>
      </c>
      <c r="O48" s="7">
        <f t="shared" ca="1" si="262"/>
        <v>0</v>
      </c>
      <c r="P48" s="7">
        <f t="shared" ca="1" si="262"/>
        <v>0</v>
      </c>
      <c r="Q48" s="7">
        <f t="shared" ca="1" si="262"/>
        <v>0</v>
      </c>
      <c r="R48" s="7">
        <f t="shared" ca="1" si="262"/>
        <v>0</v>
      </c>
      <c r="S48" s="7">
        <f t="shared" ca="1" si="262"/>
        <v>0</v>
      </c>
      <c r="T48" s="7">
        <f t="shared" ca="1" si="262"/>
        <v>0</v>
      </c>
      <c r="U48" s="7">
        <f t="shared" ca="1" si="262"/>
        <v>0</v>
      </c>
      <c r="V48" s="7">
        <f t="shared" ca="1" si="262"/>
        <v>0</v>
      </c>
      <c r="W48" s="7">
        <f t="shared" ca="1" si="262"/>
        <v>0</v>
      </c>
      <c r="X48" s="7">
        <f t="shared" ca="1" si="262"/>
        <v>0</v>
      </c>
      <c r="Y48" s="7">
        <f t="shared" ca="1" si="262"/>
        <v>0</v>
      </c>
      <c r="Z48" s="7">
        <f t="shared" ca="1" si="262"/>
        <v>0</v>
      </c>
      <c r="AA48" s="7">
        <f t="shared" ca="1" si="262"/>
        <v>0</v>
      </c>
      <c r="AB48" s="7">
        <f t="shared" ca="1" si="262"/>
        <v>0</v>
      </c>
      <c r="AC48" s="7">
        <f t="shared" ca="1" si="262"/>
        <v>0</v>
      </c>
      <c r="AD48" s="7">
        <f t="shared" ca="1" si="262"/>
        <v>0</v>
      </c>
      <c r="AE48" s="7">
        <f t="shared" ca="1" si="262"/>
        <v>0</v>
      </c>
      <c r="AF48" s="7">
        <f t="shared" ca="1" si="262"/>
        <v>0</v>
      </c>
      <c r="AG48" s="7" t="e">
        <f t="shared" ca="1" si="262"/>
        <v>#VALUE!</v>
      </c>
      <c r="AH48" s="7" t="e">
        <f t="shared" ca="1" si="262"/>
        <v>#VALUE!</v>
      </c>
      <c r="AI48" s="7">
        <f t="shared" ca="1" si="262"/>
        <v>0</v>
      </c>
      <c r="AJ48" s="7">
        <f t="shared" ca="1" si="262"/>
        <v>0</v>
      </c>
      <c r="AK48" s="7">
        <f t="shared" ca="1" si="262"/>
        <v>0</v>
      </c>
      <c r="AL48" s="7">
        <f t="shared" ca="1" si="262"/>
        <v>0</v>
      </c>
      <c r="AM48" s="7">
        <f t="shared" ca="1" si="262"/>
        <v>0</v>
      </c>
      <c r="AN48" s="7">
        <f t="shared" ca="1" si="262"/>
        <v>0</v>
      </c>
      <c r="AO48" s="7">
        <f t="shared" ca="1" si="262"/>
        <v>0</v>
      </c>
      <c r="AP48" s="7">
        <f t="shared" ca="1" si="262"/>
        <v>0</v>
      </c>
      <c r="AQ48" s="7" t="e">
        <f t="shared" ca="1" si="262"/>
        <v>#VALUE!</v>
      </c>
      <c r="AR48" s="7" t="e">
        <f t="shared" ca="1" si="262"/>
        <v>#VALUE!</v>
      </c>
      <c r="AS48" s="7">
        <f t="shared" ref="AS48:BX48" ca="1" si="263">IF($A$1=FALSE,"-",AS22-OFFSET($A73,0,AS$28))</f>
        <v>0</v>
      </c>
      <c r="AT48" s="7">
        <f t="shared" ca="1" si="263"/>
        <v>0</v>
      </c>
      <c r="AU48" s="7">
        <f t="shared" ca="1" si="263"/>
        <v>0</v>
      </c>
      <c r="AV48" s="7">
        <f t="shared" ca="1" si="263"/>
        <v>0</v>
      </c>
      <c r="AW48" s="7">
        <f t="shared" ca="1" si="263"/>
        <v>0</v>
      </c>
      <c r="AX48" s="7">
        <f t="shared" ca="1" si="263"/>
        <v>0</v>
      </c>
      <c r="AY48" s="7">
        <f t="shared" ca="1" si="263"/>
        <v>0</v>
      </c>
      <c r="AZ48" s="7">
        <f t="shared" ca="1" si="263"/>
        <v>0</v>
      </c>
      <c r="BA48" s="7">
        <f t="shared" ca="1" si="263"/>
        <v>0</v>
      </c>
      <c r="BB48" s="7">
        <f t="shared" ca="1" si="263"/>
        <v>0</v>
      </c>
      <c r="BC48" s="7" t="e">
        <f t="shared" ca="1" si="263"/>
        <v>#VALUE!</v>
      </c>
      <c r="BD48" s="7" t="e">
        <f t="shared" ca="1" si="263"/>
        <v>#VALUE!</v>
      </c>
      <c r="BE48" s="7">
        <f t="shared" ca="1" si="263"/>
        <v>0</v>
      </c>
      <c r="BF48" s="7">
        <f t="shared" ca="1" si="263"/>
        <v>0</v>
      </c>
      <c r="BG48" s="7">
        <f t="shared" ca="1" si="263"/>
        <v>0</v>
      </c>
      <c r="BH48" s="7">
        <f t="shared" ca="1" si="263"/>
        <v>0</v>
      </c>
      <c r="BI48" s="7">
        <f t="shared" ca="1" si="263"/>
        <v>0</v>
      </c>
      <c r="BJ48" s="7">
        <f t="shared" ca="1" si="263"/>
        <v>0</v>
      </c>
      <c r="BK48" s="7">
        <f t="shared" ca="1" si="263"/>
        <v>0</v>
      </c>
      <c r="BL48" s="7">
        <f t="shared" ca="1" si="263"/>
        <v>0</v>
      </c>
      <c r="BM48" s="7">
        <f t="shared" ca="1" si="263"/>
        <v>0</v>
      </c>
      <c r="BN48" s="7">
        <f t="shared" ca="1" si="263"/>
        <v>0</v>
      </c>
      <c r="BO48" s="7">
        <f t="shared" ca="1" si="263"/>
        <v>0</v>
      </c>
      <c r="BP48" s="7">
        <f t="shared" ca="1" si="263"/>
        <v>0</v>
      </c>
      <c r="BQ48" s="7">
        <f t="shared" ca="1" si="263"/>
        <v>0</v>
      </c>
      <c r="BR48" s="7">
        <f t="shared" ca="1" si="263"/>
        <v>0</v>
      </c>
      <c r="BS48" s="7">
        <f t="shared" ca="1" si="263"/>
        <v>0</v>
      </c>
      <c r="BT48" s="7">
        <f t="shared" ca="1" si="263"/>
        <v>0</v>
      </c>
      <c r="BU48" s="7">
        <f t="shared" ca="1" si="263"/>
        <v>0</v>
      </c>
      <c r="BV48" s="7">
        <f t="shared" ca="1" si="263"/>
        <v>0</v>
      </c>
      <c r="BW48" s="7">
        <f t="shared" ca="1" si="263"/>
        <v>0</v>
      </c>
      <c r="BX48" s="7">
        <f t="shared" ca="1" si="263"/>
        <v>0</v>
      </c>
      <c r="BY48" s="7">
        <f t="shared" ref="BY48:CQ48" ca="1" si="264">IF($A$1=FALSE,"-",BY22-OFFSET($A73,0,BY$28))</f>
        <v>0</v>
      </c>
      <c r="BZ48" s="7">
        <f t="shared" ca="1" si="264"/>
        <v>0</v>
      </c>
      <c r="CA48" s="7">
        <f t="shared" ca="1" si="264"/>
        <v>0</v>
      </c>
      <c r="CB48" s="7">
        <f t="shared" ca="1" si="264"/>
        <v>0</v>
      </c>
      <c r="CC48" s="7">
        <f t="shared" ca="1" si="264"/>
        <v>0</v>
      </c>
      <c r="CD48" s="7">
        <f t="shared" ca="1" si="264"/>
        <v>0</v>
      </c>
      <c r="CE48" s="7">
        <f t="shared" ca="1" si="264"/>
        <v>0</v>
      </c>
      <c r="CF48" s="7">
        <f t="shared" ca="1" si="264"/>
        <v>0</v>
      </c>
      <c r="CG48" s="7">
        <f t="shared" ca="1" si="264"/>
        <v>5.5511151231257827E-17</v>
      </c>
      <c r="CH48" s="7">
        <f t="shared" ca="1" si="264"/>
        <v>0</v>
      </c>
      <c r="CI48" s="7">
        <f t="shared" ca="1" si="264"/>
        <v>0</v>
      </c>
      <c r="CJ48" s="7">
        <f t="shared" ca="1" si="264"/>
        <v>0</v>
      </c>
      <c r="CK48" s="7">
        <f t="shared" ca="1" si="264"/>
        <v>0</v>
      </c>
      <c r="CL48" s="7">
        <f t="shared" ca="1" si="264"/>
        <v>0</v>
      </c>
      <c r="CM48" s="7">
        <f t="shared" ca="1" si="264"/>
        <v>0</v>
      </c>
      <c r="CN48" s="7">
        <f t="shared" ca="1" si="264"/>
        <v>0</v>
      </c>
      <c r="CO48" s="7">
        <f t="shared" ca="1" si="264"/>
        <v>0</v>
      </c>
      <c r="CP48" s="7">
        <f t="shared" ca="1" si="264"/>
        <v>0</v>
      </c>
      <c r="CQ48" s="7">
        <f t="shared" ca="1" si="264"/>
        <v>0</v>
      </c>
      <c r="CR48" s="7">
        <f t="shared" ref="CR48:CS48" ca="1" si="265">IF($A$1=FALSE,"-",CR22-OFFSET($A73,0,CR$28))</f>
        <v>0</v>
      </c>
      <c r="CS48" s="7">
        <f t="shared" ca="1" si="265"/>
        <v>0</v>
      </c>
      <c r="CT48" s="7">
        <f t="shared" ref="CT48:CU48" ca="1" si="266">IF($A$1=FALSE,"-",CT22-OFFSET($A73,0,CT$28))</f>
        <v>0</v>
      </c>
      <c r="CU48" s="7">
        <f t="shared" ca="1" si="266"/>
        <v>0</v>
      </c>
      <c r="CV48" s="7">
        <f t="shared" ref="CV48:CW48" ca="1" si="267">IF($A$1=FALSE,"-",CV22-OFFSET($A73,0,CV$28))</f>
        <v>0</v>
      </c>
      <c r="CW48" s="7">
        <f t="shared" ca="1" si="267"/>
        <v>0</v>
      </c>
      <c r="CX48" s="7">
        <f t="shared" ref="CX48:CY48" ca="1" si="268">IF($A$1=FALSE,"-",CX22-OFFSET($A73,0,CX$28))</f>
        <v>0</v>
      </c>
      <c r="CY48" s="7">
        <f t="shared" ca="1" si="268"/>
        <v>0</v>
      </c>
    </row>
    <row r="49" spans="1:300" x14ac:dyDescent="0.15">
      <c r="B49" s="7">
        <f t="shared" ref="B49:K49" ca="1" si="269">IF($A$1=FALSE,"-",B23-OFFSET($A74,0,B$28))</f>
        <v>0</v>
      </c>
      <c r="C49" s="7">
        <f t="shared" ca="1" si="269"/>
        <v>0</v>
      </c>
      <c r="D49" s="7">
        <f t="shared" ca="1" si="269"/>
        <v>0</v>
      </c>
      <c r="E49" s="7">
        <f t="shared" ca="1" si="269"/>
        <v>0</v>
      </c>
      <c r="F49" s="7">
        <f t="shared" ca="1" si="269"/>
        <v>0</v>
      </c>
      <c r="G49" s="7">
        <f t="shared" ca="1" si="269"/>
        <v>0</v>
      </c>
      <c r="H49" s="7">
        <f t="shared" ca="1" si="269"/>
        <v>0</v>
      </c>
      <c r="I49" s="7">
        <f t="shared" ca="1" si="269"/>
        <v>0</v>
      </c>
      <c r="J49" s="7">
        <f t="shared" ca="1" si="269"/>
        <v>0</v>
      </c>
      <c r="K49" s="7">
        <f t="shared" ca="1" si="269"/>
        <v>0</v>
      </c>
      <c r="L49" s="7">
        <f t="shared" ca="1" si="117"/>
        <v>0</v>
      </c>
      <c r="M49" s="7">
        <f t="shared" ref="M49:AR49" ca="1" si="270">IF($A$1=FALSE,"-",M23-OFFSET($A74,0,M$28))</f>
        <v>0</v>
      </c>
      <c r="N49" s="7">
        <f t="shared" ca="1" si="270"/>
        <v>0</v>
      </c>
      <c r="O49" s="7">
        <f t="shared" ca="1" si="270"/>
        <v>0</v>
      </c>
      <c r="P49" s="7">
        <f t="shared" ca="1" si="270"/>
        <v>0</v>
      </c>
      <c r="Q49" s="7">
        <f t="shared" ca="1" si="270"/>
        <v>0</v>
      </c>
      <c r="R49" s="7">
        <f t="shared" ca="1" si="270"/>
        <v>0</v>
      </c>
      <c r="S49" s="7">
        <f t="shared" ca="1" si="270"/>
        <v>0</v>
      </c>
      <c r="T49" s="7">
        <f t="shared" ca="1" si="270"/>
        <v>0</v>
      </c>
      <c r="U49" s="7">
        <f t="shared" ca="1" si="270"/>
        <v>0</v>
      </c>
      <c r="V49" s="7">
        <f t="shared" ca="1" si="270"/>
        <v>0</v>
      </c>
      <c r="W49" s="7">
        <f t="shared" ca="1" si="270"/>
        <v>0</v>
      </c>
      <c r="X49" s="7">
        <f t="shared" ca="1" si="270"/>
        <v>0</v>
      </c>
      <c r="Y49" s="7">
        <f t="shared" ca="1" si="270"/>
        <v>0</v>
      </c>
      <c r="Z49" s="7">
        <f t="shared" ca="1" si="270"/>
        <v>0</v>
      </c>
      <c r="AA49" s="7">
        <f t="shared" ca="1" si="270"/>
        <v>0</v>
      </c>
      <c r="AB49" s="7">
        <f t="shared" ca="1" si="270"/>
        <v>0</v>
      </c>
      <c r="AC49" s="7">
        <f t="shared" ca="1" si="270"/>
        <v>0</v>
      </c>
      <c r="AD49" s="7">
        <f t="shared" ca="1" si="270"/>
        <v>0</v>
      </c>
      <c r="AE49" s="7">
        <f t="shared" ca="1" si="270"/>
        <v>0</v>
      </c>
      <c r="AF49" s="7">
        <f t="shared" ca="1" si="270"/>
        <v>0</v>
      </c>
      <c r="AG49" s="7" t="e">
        <f t="shared" ca="1" si="270"/>
        <v>#VALUE!</v>
      </c>
      <c r="AH49" s="7" t="e">
        <f t="shared" ca="1" si="270"/>
        <v>#VALUE!</v>
      </c>
      <c r="AI49" s="7">
        <f t="shared" ca="1" si="270"/>
        <v>0</v>
      </c>
      <c r="AJ49" s="7">
        <f t="shared" ca="1" si="270"/>
        <v>0</v>
      </c>
      <c r="AK49" s="7">
        <f t="shared" ca="1" si="270"/>
        <v>0</v>
      </c>
      <c r="AL49" s="7">
        <f t="shared" ca="1" si="270"/>
        <v>0</v>
      </c>
      <c r="AM49" s="7">
        <f t="shared" ca="1" si="270"/>
        <v>0</v>
      </c>
      <c r="AN49" s="7">
        <f t="shared" ca="1" si="270"/>
        <v>0</v>
      </c>
      <c r="AO49" s="7">
        <f t="shared" ca="1" si="270"/>
        <v>0</v>
      </c>
      <c r="AP49" s="7">
        <f t="shared" ca="1" si="270"/>
        <v>0</v>
      </c>
      <c r="AQ49" s="7" t="e">
        <f t="shared" ca="1" si="270"/>
        <v>#VALUE!</v>
      </c>
      <c r="AR49" s="7" t="e">
        <f t="shared" ca="1" si="270"/>
        <v>#VALUE!</v>
      </c>
      <c r="AS49" s="7">
        <f t="shared" ref="AS49:BX49" ca="1" si="271">IF($A$1=FALSE,"-",AS23-OFFSET($A74,0,AS$28))</f>
        <v>0</v>
      </c>
      <c r="AT49" s="7">
        <f t="shared" ca="1" si="271"/>
        <v>0</v>
      </c>
      <c r="AU49" s="7">
        <f t="shared" ca="1" si="271"/>
        <v>0</v>
      </c>
      <c r="AV49" s="7">
        <f t="shared" ca="1" si="271"/>
        <v>0</v>
      </c>
      <c r="AW49" s="7">
        <f t="shared" ca="1" si="271"/>
        <v>0</v>
      </c>
      <c r="AX49" s="7">
        <f t="shared" ca="1" si="271"/>
        <v>0</v>
      </c>
      <c r="AY49" s="7">
        <f t="shared" ca="1" si="271"/>
        <v>0</v>
      </c>
      <c r="AZ49" s="7">
        <f t="shared" ca="1" si="271"/>
        <v>0</v>
      </c>
      <c r="BA49" s="7">
        <f t="shared" ca="1" si="271"/>
        <v>0</v>
      </c>
      <c r="BB49" s="7">
        <f t="shared" ca="1" si="271"/>
        <v>0</v>
      </c>
      <c r="BC49" s="7" t="e">
        <f t="shared" ca="1" si="271"/>
        <v>#VALUE!</v>
      </c>
      <c r="BD49" s="7" t="e">
        <f t="shared" ca="1" si="271"/>
        <v>#VALUE!</v>
      </c>
      <c r="BE49" s="7">
        <f t="shared" ca="1" si="271"/>
        <v>0</v>
      </c>
      <c r="BF49" s="7">
        <f t="shared" ca="1" si="271"/>
        <v>0</v>
      </c>
      <c r="BG49" s="7">
        <f t="shared" ca="1" si="271"/>
        <v>0</v>
      </c>
      <c r="BH49" s="7">
        <f t="shared" ca="1" si="271"/>
        <v>0</v>
      </c>
      <c r="BI49" s="7">
        <f t="shared" ca="1" si="271"/>
        <v>0</v>
      </c>
      <c r="BJ49" s="7">
        <f t="shared" ca="1" si="271"/>
        <v>0</v>
      </c>
      <c r="BK49" s="7">
        <f t="shared" ca="1" si="271"/>
        <v>0</v>
      </c>
      <c r="BL49" s="7">
        <f t="shared" ca="1" si="271"/>
        <v>0</v>
      </c>
      <c r="BM49" s="7">
        <f t="shared" ca="1" si="271"/>
        <v>0</v>
      </c>
      <c r="BN49" s="7">
        <f t="shared" ca="1" si="271"/>
        <v>0</v>
      </c>
      <c r="BO49" s="7">
        <f t="shared" ca="1" si="271"/>
        <v>0</v>
      </c>
      <c r="BP49" s="7">
        <f t="shared" ca="1" si="271"/>
        <v>0</v>
      </c>
      <c r="BQ49" s="7">
        <f t="shared" ca="1" si="271"/>
        <v>0</v>
      </c>
      <c r="BR49" s="7">
        <f t="shared" ca="1" si="271"/>
        <v>0</v>
      </c>
      <c r="BS49" s="7">
        <f t="shared" ca="1" si="271"/>
        <v>0</v>
      </c>
      <c r="BT49" s="7">
        <f t="shared" ca="1" si="271"/>
        <v>0</v>
      </c>
      <c r="BU49" s="7">
        <f t="shared" ca="1" si="271"/>
        <v>0</v>
      </c>
      <c r="BV49" s="7">
        <f t="shared" ca="1" si="271"/>
        <v>0</v>
      </c>
      <c r="BW49" s="7">
        <f t="shared" ca="1" si="271"/>
        <v>0</v>
      </c>
      <c r="BX49" s="7">
        <f t="shared" ca="1" si="271"/>
        <v>0</v>
      </c>
      <c r="BY49" s="7">
        <f t="shared" ref="BY49:CQ49" ca="1" si="272">IF($A$1=FALSE,"-",BY23-OFFSET($A74,0,BY$28))</f>
        <v>-2.2737367544323206E-13</v>
      </c>
      <c r="BZ49" s="7">
        <f t="shared" ca="1" si="272"/>
        <v>0</v>
      </c>
      <c r="CA49" s="7">
        <f t="shared" ca="1" si="272"/>
        <v>0</v>
      </c>
      <c r="CB49" s="7">
        <f t="shared" ca="1" si="272"/>
        <v>0</v>
      </c>
      <c r="CC49" s="7">
        <f t="shared" ca="1" si="272"/>
        <v>0</v>
      </c>
      <c r="CD49" s="7">
        <f t="shared" ca="1" si="272"/>
        <v>-2.2737367544323206E-13</v>
      </c>
      <c r="CE49" s="7">
        <f t="shared" ca="1" si="272"/>
        <v>1.4210854715202004E-14</v>
      </c>
      <c r="CF49" s="7">
        <f t="shared" ca="1" si="272"/>
        <v>1.2434497875801753E-14</v>
      </c>
      <c r="CG49" s="7">
        <f t="shared" ca="1" si="272"/>
        <v>1.1102230246251565E-16</v>
      </c>
      <c r="CH49" s="7">
        <f t="shared" ca="1" si="272"/>
        <v>1.4210854715202004E-14</v>
      </c>
      <c r="CI49" s="7">
        <f t="shared" ca="1" si="272"/>
        <v>5.5511151231257827E-17</v>
      </c>
      <c r="CJ49" s="7">
        <f t="shared" ca="1" si="272"/>
        <v>1.2434497875801753E-14</v>
      </c>
      <c r="CK49" s="7">
        <f t="shared" ca="1" si="272"/>
        <v>2.2737367544323206E-13</v>
      </c>
      <c r="CL49" s="7">
        <f t="shared" ca="1" si="272"/>
        <v>2.2737367544323206E-13</v>
      </c>
      <c r="CM49" s="7">
        <f t="shared" ca="1" si="272"/>
        <v>2.2737367544323206E-13</v>
      </c>
      <c r="CN49" s="7">
        <f t="shared" ca="1" si="272"/>
        <v>2.2737367544323206E-13</v>
      </c>
      <c r="CO49" s="7">
        <f t="shared" ca="1" si="272"/>
        <v>0</v>
      </c>
      <c r="CP49" s="7">
        <f t="shared" ca="1" si="272"/>
        <v>0</v>
      </c>
      <c r="CQ49" s="7">
        <f t="shared" ca="1" si="272"/>
        <v>0</v>
      </c>
      <c r="CR49" s="7">
        <f t="shared" ref="CR49:CS49" ca="1" si="273">IF($A$1=FALSE,"-",CR23-OFFSET($A74,0,CR$28))</f>
        <v>0</v>
      </c>
      <c r="CS49" s="7">
        <f t="shared" ca="1" si="273"/>
        <v>0</v>
      </c>
      <c r="CT49" s="7">
        <f t="shared" ref="CT49:CU49" ca="1" si="274">IF($A$1=FALSE,"-",CT23-OFFSET($A74,0,CT$28))</f>
        <v>0</v>
      </c>
      <c r="CU49" s="7">
        <f t="shared" ca="1" si="274"/>
        <v>0</v>
      </c>
      <c r="CV49" s="7">
        <f t="shared" ref="CV49:CW49" ca="1" si="275">IF($A$1=FALSE,"-",CV23-OFFSET($A74,0,CV$28))</f>
        <v>0</v>
      </c>
      <c r="CW49" s="7">
        <f t="shared" ca="1" si="275"/>
        <v>0</v>
      </c>
      <c r="CX49" s="7">
        <f t="shared" ref="CX49:CY49" ca="1" si="276">IF($A$1=FALSE,"-",CX23-OFFSET($A74,0,CX$28))</f>
        <v>0</v>
      </c>
      <c r="CY49" s="7">
        <f t="shared" ca="1" si="276"/>
        <v>0</v>
      </c>
    </row>
    <row r="50" spans="1:300" x14ac:dyDescent="0.15">
      <c r="C50" s="3"/>
      <c r="E50" s="3">
        <f>'Analysis - No risk'!$D$2:$X$210</f>
        <v>0</v>
      </c>
    </row>
    <row r="51" spans="1:300" x14ac:dyDescent="0.15">
      <c r="C51" s="3"/>
      <c r="E51" s="3"/>
    </row>
    <row r="52" spans="1:300" s="17" customFormat="1" x14ac:dyDescent="0.15">
      <c r="A52" s="16">
        <v>0</v>
      </c>
      <c r="B52" s="16">
        <f>A52+1</f>
        <v>1</v>
      </c>
      <c r="C52" s="16">
        <f t="shared" ref="C52:BN52" si="277">B52+1</f>
        <v>2</v>
      </c>
      <c r="D52" s="16">
        <f t="shared" si="277"/>
        <v>3</v>
      </c>
      <c r="E52" s="16">
        <f t="shared" si="277"/>
        <v>4</v>
      </c>
      <c r="F52" s="16">
        <f t="shared" si="277"/>
        <v>5</v>
      </c>
      <c r="G52" s="16">
        <f t="shared" si="277"/>
        <v>6</v>
      </c>
      <c r="H52" s="16">
        <f t="shared" si="277"/>
        <v>7</v>
      </c>
      <c r="I52" s="16">
        <f t="shared" si="277"/>
        <v>8</v>
      </c>
      <c r="J52" s="16">
        <f t="shared" si="277"/>
        <v>9</v>
      </c>
      <c r="K52" s="16">
        <f t="shared" si="277"/>
        <v>10</v>
      </c>
      <c r="L52" s="16">
        <f t="shared" si="277"/>
        <v>11</v>
      </c>
      <c r="M52" s="16">
        <f t="shared" si="277"/>
        <v>12</v>
      </c>
      <c r="N52" s="16">
        <f t="shared" si="277"/>
        <v>13</v>
      </c>
      <c r="O52" s="16">
        <f t="shared" si="277"/>
        <v>14</v>
      </c>
      <c r="P52" s="16">
        <f t="shared" si="277"/>
        <v>15</v>
      </c>
      <c r="Q52" s="16">
        <f t="shared" si="277"/>
        <v>16</v>
      </c>
      <c r="R52" s="16">
        <f t="shared" si="277"/>
        <v>17</v>
      </c>
      <c r="S52" s="16">
        <f t="shared" si="277"/>
        <v>18</v>
      </c>
      <c r="T52" s="16">
        <f t="shared" si="277"/>
        <v>19</v>
      </c>
      <c r="U52" s="16">
        <f t="shared" si="277"/>
        <v>20</v>
      </c>
      <c r="V52" s="16">
        <f t="shared" si="277"/>
        <v>21</v>
      </c>
      <c r="W52" s="16">
        <f t="shared" si="277"/>
        <v>22</v>
      </c>
      <c r="X52" s="16">
        <f t="shared" si="277"/>
        <v>23</v>
      </c>
      <c r="Y52" s="16">
        <f t="shared" si="277"/>
        <v>24</v>
      </c>
      <c r="Z52" s="16">
        <f t="shared" si="277"/>
        <v>25</v>
      </c>
      <c r="AA52" s="16">
        <f t="shared" si="277"/>
        <v>26</v>
      </c>
      <c r="AB52" s="16">
        <f t="shared" si="277"/>
        <v>27</v>
      </c>
      <c r="AC52" s="16">
        <f t="shared" si="277"/>
        <v>28</v>
      </c>
      <c r="AD52" s="16">
        <f t="shared" si="277"/>
        <v>29</v>
      </c>
      <c r="AE52" s="16">
        <f t="shared" si="277"/>
        <v>30</v>
      </c>
      <c r="AF52" s="16">
        <f t="shared" si="277"/>
        <v>31</v>
      </c>
      <c r="AG52" s="16">
        <f t="shared" si="277"/>
        <v>32</v>
      </c>
      <c r="AH52" s="16">
        <f t="shared" si="277"/>
        <v>33</v>
      </c>
      <c r="AI52" s="16">
        <f t="shared" si="277"/>
        <v>34</v>
      </c>
      <c r="AJ52" s="16">
        <f t="shared" si="277"/>
        <v>35</v>
      </c>
      <c r="AK52" s="16">
        <f t="shared" si="277"/>
        <v>36</v>
      </c>
      <c r="AL52" s="16">
        <f t="shared" si="277"/>
        <v>37</v>
      </c>
      <c r="AM52" s="16">
        <f t="shared" si="277"/>
        <v>38</v>
      </c>
      <c r="AN52" s="16">
        <f t="shared" si="277"/>
        <v>39</v>
      </c>
      <c r="AO52" s="16">
        <f t="shared" si="277"/>
        <v>40</v>
      </c>
      <c r="AP52" s="16">
        <f t="shared" si="277"/>
        <v>41</v>
      </c>
      <c r="AQ52" s="16">
        <f t="shared" si="277"/>
        <v>42</v>
      </c>
      <c r="AR52" s="16">
        <f t="shared" si="277"/>
        <v>43</v>
      </c>
      <c r="AS52" s="16">
        <f t="shared" si="277"/>
        <v>44</v>
      </c>
      <c r="AT52" s="16">
        <f t="shared" si="277"/>
        <v>45</v>
      </c>
      <c r="AU52" s="16">
        <f t="shared" si="277"/>
        <v>46</v>
      </c>
      <c r="AV52" s="16">
        <f t="shared" si="277"/>
        <v>47</v>
      </c>
      <c r="AW52" s="16">
        <f t="shared" si="277"/>
        <v>48</v>
      </c>
      <c r="AX52" s="16">
        <f t="shared" si="277"/>
        <v>49</v>
      </c>
      <c r="AY52" s="16">
        <f t="shared" si="277"/>
        <v>50</v>
      </c>
      <c r="AZ52" s="16">
        <f t="shared" si="277"/>
        <v>51</v>
      </c>
      <c r="BA52" s="16">
        <f t="shared" si="277"/>
        <v>52</v>
      </c>
      <c r="BB52" s="16">
        <f t="shared" si="277"/>
        <v>53</v>
      </c>
      <c r="BC52" s="16">
        <f t="shared" si="277"/>
        <v>54</v>
      </c>
      <c r="BD52" s="16">
        <f t="shared" si="277"/>
        <v>55</v>
      </c>
      <c r="BE52" s="16">
        <f t="shared" si="277"/>
        <v>56</v>
      </c>
      <c r="BF52" s="16">
        <f t="shared" si="277"/>
        <v>57</v>
      </c>
      <c r="BG52" s="16">
        <f t="shared" si="277"/>
        <v>58</v>
      </c>
      <c r="BH52" s="16">
        <f t="shared" si="277"/>
        <v>59</v>
      </c>
      <c r="BI52" s="16">
        <f t="shared" si="277"/>
        <v>60</v>
      </c>
      <c r="BJ52" s="16">
        <f t="shared" si="277"/>
        <v>61</v>
      </c>
      <c r="BK52" s="16">
        <f t="shared" si="277"/>
        <v>62</v>
      </c>
      <c r="BL52" s="16">
        <f t="shared" si="277"/>
        <v>63</v>
      </c>
      <c r="BM52" s="16">
        <f t="shared" si="277"/>
        <v>64</v>
      </c>
      <c r="BN52" s="16">
        <f t="shared" si="277"/>
        <v>65</v>
      </c>
      <c r="BO52" s="16">
        <f t="shared" ref="BO52:DZ52" si="278">BN52+1</f>
        <v>66</v>
      </c>
      <c r="BP52" s="16">
        <f t="shared" si="278"/>
        <v>67</v>
      </c>
      <c r="BQ52" s="16">
        <f t="shared" si="278"/>
        <v>68</v>
      </c>
      <c r="BR52" s="16">
        <f t="shared" si="278"/>
        <v>69</v>
      </c>
      <c r="BS52" s="16">
        <f t="shared" si="278"/>
        <v>70</v>
      </c>
      <c r="BT52" s="16">
        <f t="shared" si="278"/>
        <v>71</v>
      </c>
      <c r="BU52" s="16">
        <f t="shared" si="278"/>
        <v>72</v>
      </c>
      <c r="BV52" s="16">
        <f t="shared" si="278"/>
        <v>73</v>
      </c>
      <c r="BW52" s="16">
        <f t="shared" si="278"/>
        <v>74</v>
      </c>
      <c r="BX52" s="16">
        <f t="shared" si="278"/>
        <v>75</v>
      </c>
      <c r="BY52" s="16">
        <f t="shared" si="278"/>
        <v>76</v>
      </c>
      <c r="BZ52" s="16">
        <f t="shared" si="278"/>
        <v>77</v>
      </c>
      <c r="CA52" s="16">
        <f t="shared" si="278"/>
        <v>78</v>
      </c>
      <c r="CB52" s="16">
        <f t="shared" si="278"/>
        <v>79</v>
      </c>
      <c r="CC52" s="16">
        <f t="shared" si="278"/>
        <v>80</v>
      </c>
      <c r="CD52" s="16">
        <f t="shared" si="278"/>
        <v>81</v>
      </c>
      <c r="CE52" s="16">
        <f t="shared" si="278"/>
        <v>82</v>
      </c>
      <c r="CF52" s="16">
        <f t="shared" si="278"/>
        <v>83</v>
      </c>
      <c r="CG52" s="16">
        <f t="shared" si="278"/>
        <v>84</v>
      </c>
      <c r="CH52" s="16">
        <f t="shared" si="278"/>
        <v>85</v>
      </c>
      <c r="CI52" s="16">
        <f t="shared" si="278"/>
        <v>86</v>
      </c>
      <c r="CJ52" s="16">
        <f t="shared" si="278"/>
        <v>87</v>
      </c>
      <c r="CK52" s="16">
        <f t="shared" si="278"/>
        <v>88</v>
      </c>
      <c r="CL52" s="16">
        <f t="shared" si="278"/>
        <v>89</v>
      </c>
      <c r="CM52" s="16">
        <f t="shared" si="278"/>
        <v>90</v>
      </c>
      <c r="CN52" s="16">
        <f t="shared" si="278"/>
        <v>91</v>
      </c>
      <c r="CO52" s="16">
        <f t="shared" si="278"/>
        <v>92</v>
      </c>
      <c r="CP52" s="16">
        <f t="shared" si="278"/>
        <v>93</v>
      </c>
      <c r="CQ52" s="16">
        <f t="shared" si="278"/>
        <v>94</v>
      </c>
      <c r="CR52" s="16">
        <f t="shared" si="278"/>
        <v>95</v>
      </c>
      <c r="CS52" s="16">
        <f t="shared" si="278"/>
        <v>96</v>
      </c>
      <c r="CT52" s="16">
        <f t="shared" si="278"/>
        <v>97</v>
      </c>
      <c r="CU52" s="16">
        <f t="shared" si="278"/>
        <v>98</v>
      </c>
      <c r="CV52" s="16">
        <f t="shared" si="278"/>
        <v>99</v>
      </c>
      <c r="CW52" s="16">
        <f t="shared" si="278"/>
        <v>100</v>
      </c>
      <c r="CX52" s="16">
        <f t="shared" si="278"/>
        <v>101</v>
      </c>
      <c r="CY52" s="16">
        <f t="shared" si="278"/>
        <v>102</v>
      </c>
      <c r="CZ52" s="16">
        <f t="shared" si="278"/>
        <v>103</v>
      </c>
      <c r="DA52" s="16">
        <f t="shared" si="278"/>
        <v>104</v>
      </c>
      <c r="DB52" s="16">
        <f t="shared" si="278"/>
        <v>105</v>
      </c>
      <c r="DC52" s="16">
        <f t="shared" si="278"/>
        <v>106</v>
      </c>
      <c r="DD52" s="16">
        <f t="shared" si="278"/>
        <v>107</v>
      </c>
      <c r="DE52" s="16">
        <f t="shared" si="278"/>
        <v>108</v>
      </c>
      <c r="DF52" s="16">
        <f t="shared" si="278"/>
        <v>109</v>
      </c>
      <c r="DG52" s="16">
        <f t="shared" si="278"/>
        <v>110</v>
      </c>
      <c r="DH52" s="16">
        <f t="shared" si="278"/>
        <v>111</v>
      </c>
      <c r="DI52" s="16">
        <f t="shared" si="278"/>
        <v>112</v>
      </c>
      <c r="DJ52" s="16">
        <f t="shared" si="278"/>
        <v>113</v>
      </c>
      <c r="DK52" s="16">
        <f t="shared" si="278"/>
        <v>114</v>
      </c>
      <c r="DL52" s="16">
        <f t="shared" si="278"/>
        <v>115</v>
      </c>
      <c r="DM52" s="16">
        <f t="shared" si="278"/>
        <v>116</v>
      </c>
      <c r="DN52" s="16">
        <f t="shared" si="278"/>
        <v>117</v>
      </c>
      <c r="DO52" s="16">
        <f t="shared" si="278"/>
        <v>118</v>
      </c>
      <c r="DP52" s="16">
        <f t="shared" si="278"/>
        <v>119</v>
      </c>
      <c r="DQ52" s="16">
        <f t="shared" si="278"/>
        <v>120</v>
      </c>
      <c r="DR52" s="16">
        <f t="shared" si="278"/>
        <v>121</v>
      </c>
      <c r="DS52" s="16">
        <f t="shared" si="278"/>
        <v>122</v>
      </c>
      <c r="DT52" s="16">
        <f t="shared" si="278"/>
        <v>123</v>
      </c>
      <c r="DU52" s="16">
        <f t="shared" si="278"/>
        <v>124</v>
      </c>
      <c r="DV52" s="16">
        <f t="shared" si="278"/>
        <v>125</v>
      </c>
      <c r="DW52" s="16">
        <f t="shared" si="278"/>
        <v>126</v>
      </c>
      <c r="DX52" s="16">
        <f t="shared" si="278"/>
        <v>127</v>
      </c>
      <c r="DY52" s="16">
        <f t="shared" si="278"/>
        <v>128</v>
      </c>
      <c r="DZ52" s="16">
        <f t="shared" si="278"/>
        <v>129</v>
      </c>
      <c r="EA52" s="16">
        <f t="shared" ref="EA52:GL52" si="279">DZ52+1</f>
        <v>130</v>
      </c>
      <c r="EB52" s="16">
        <f t="shared" si="279"/>
        <v>131</v>
      </c>
      <c r="EC52" s="16">
        <f t="shared" si="279"/>
        <v>132</v>
      </c>
      <c r="ED52" s="16">
        <f t="shared" si="279"/>
        <v>133</v>
      </c>
      <c r="EE52" s="16">
        <f t="shared" si="279"/>
        <v>134</v>
      </c>
      <c r="EF52" s="16">
        <f t="shared" si="279"/>
        <v>135</v>
      </c>
      <c r="EG52" s="16">
        <f t="shared" si="279"/>
        <v>136</v>
      </c>
      <c r="EH52" s="16">
        <f t="shared" si="279"/>
        <v>137</v>
      </c>
      <c r="EI52" s="16">
        <f t="shared" si="279"/>
        <v>138</v>
      </c>
      <c r="EJ52" s="16">
        <f t="shared" si="279"/>
        <v>139</v>
      </c>
      <c r="EK52" s="16">
        <f t="shared" si="279"/>
        <v>140</v>
      </c>
      <c r="EL52" s="16">
        <f t="shared" si="279"/>
        <v>141</v>
      </c>
      <c r="EM52" s="16">
        <f t="shared" si="279"/>
        <v>142</v>
      </c>
      <c r="EN52" s="16">
        <f t="shared" si="279"/>
        <v>143</v>
      </c>
      <c r="EO52" s="16">
        <f t="shared" si="279"/>
        <v>144</v>
      </c>
      <c r="EP52" s="16">
        <f t="shared" si="279"/>
        <v>145</v>
      </c>
      <c r="EQ52" s="16">
        <f t="shared" si="279"/>
        <v>146</v>
      </c>
      <c r="ER52" s="16">
        <f t="shared" si="279"/>
        <v>147</v>
      </c>
      <c r="ES52" s="16">
        <f t="shared" si="279"/>
        <v>148</v>
      </c>
      <c r="ET52" s="16">
        <f t="shared" si="279"/>
        <v>149</v>
      </c>
      <c r="EU52" s="16">
        <f t="shared" si="279"/>
        <v>150</v>
      </c>
      <c r="EV52" s="16">
        <f t="shared" si="279"/>
        <v>151</v>
      </c>
      <c r="EW52" s="16">
        <f t="shared" si="279"/>
        <v>152</v>
      </c>
      <c r="EX52" s="16">
        <f t="shared" si="279"/>
        <v>153</v>
      </c>
      <c r="EY52" s="16">
        <f t="shared" si="279"/>
        <v>154</v>
      </c>
      <c r="EZ52" s="16">
        <f t="shared" si="279"/>
        <v>155</v>
      </c>
      <c r="FA52" s="16">
        <f t="shared" si="279"/>
        <v>156</v>
      </c>
      <c r="FB52" s="16">
        <f t="shared" si="279"/>
        <v>157</v>
      </c>
      <c r="FC52" s="16">
        <f t="shared" si="279"/>
        <v>158</v>
      </c>
      <c r="FD52" s="16">
        <f t="shared" si="279"/>
        <v>159</v>
      </c>
      <c r="FE52" s="16">
        <f t="shared" si="279"/>
        <v>160</v>
      </c>
      <c r="FF52" s="16">
        <f t="shared" si="279"/>
        <v>161</v>
      </c>
      <c r="FG52" s="16">
        <f t="shared" si="279"/>
        <v>162</v>
      </c>
      <c r="FH52" s="16">
        <f t="shared" si="279"/>
        <v>163</v>
      </c>
      <c r="FI52" s="16">
        <f t="shared" si="279"/>
        <v>164</v>
      </c>
      <c r="FJ52" s="16">
        <f t="shared" si="279"/>
        <v>165</v>
      </c>
      <c r="FK52" s="16">
        <f t="shared" si="279"/>
        <v>166</v>
      </c>
      <c r="FL52" s="16">
        <f t="shared" si="279"/>
        <v>167</v>
      </c>
      <c r="FM52" s="16">
        <f t="shared" si="279"/>
        <v>168</v>
      </c>
      <c r="FN52" s="16">
        <f t="shared" si="279"/>
        <v>169</v>
      </c>
      <c r="FO52" s="16">
        <f t="shared" si="279"/>
        <v>170</v>
      </c>
      <c r="FP52" s="16">
        <f t="shared" si="279"/>
        <v>171</v>
      </c>
      <c r="FQ52" s="16">
        <f t="shared" si="279"/>
        <v>172</v>
      </c>
      <c r="FR52" s="16">
        <f t="shared" si="279"/>
        <v>173</v>
      </c>
      <c r="FS52" s="16">
        <f t="shared" si="279"/>
        <v>174</v>
      </c>
      <c r="FT52" s="16">
        <f t="shared" si="279"/>
        <v>175</v>
      </c>
      <c r="FU52" s="16">
        <f t="shared" si="279"/>
        <v>176</v>
      </c>
      <c r="FV52" s="16">
        <f t="shared" si="279"/>
        <v>177</v>
      </c>
      <c r="FW52" s="16">
        <f t="shared" si="279"/>
        <v>178</v>
      </c>
      <c r="FX52" s="16">
        <f t="shared" si="279"/>
        <v>179</v>
      </c>
      <c r="FY52" s="16">
        <f t="shared" si="279"/>
        <v>180</v>
      </c>
      <c r="FZ52" s="16">
        <f t="shared" si="279"/>
        <v>181</v>
      </c>
      <c r="GA52" s="16">
        <f t="shared" si="279"/>
        <v>182</v>
      </c>
      <c r="GB52" s="16">
        <f t="shared" si="279"/>
        <v>183</v>
      </c>
      <c r="GC52" s="16">
        <f t="shared" si="279"/>
        <v>184</v>
      </c>
      <c r="GD52" s="16">
        <f t="shared" si="279"/>
        <v>185</v>
      </c>
      <c r="GE52" s="16">
        <f t="shared" si="279"/>
        <v>186</v>
      </c>
      <c r="GF52" s="16">
        <f t="shared" si="279"/>
        <v>187</v>
      </c>
      <c r="GG52" s="16">
        <f t="shared" si="279"/>
        <v>188</v>
      </c>
      <c r="GH52" s="16">
        <f t="shared" si="279"/>
        <v>189</v>
      </c>
      <c r="GI52" s="16">
        <f t="shared" si="279"/>
        <v>190</v>
      </c>
      <c r="GJ52" s="16">
        <f t="shared" si="279"/>
        <v>191</v>
      </c>
      <c r="GK52" s="16">
        <f t="shared" si="279"/>
        <v>192</v>
      </c>
      <c r="GL52" s="16">
        <f t="shared" si="279"/>
        <v>193</v>
      </c>
      <c r="GM52" s="16">
        <f t="shared" ref="GM52:IX52" si="280">GL52+1</f>
        <v>194</v>
      </c>
      <c r="GN52" s="16">
        <f t="shared" si="280"/>
        <v>195</v>
      </c>
      <c r="GO52" s="16">
        <f t="shared" si="280"/>
        <v>196</v>
      </c>
      <c r="GP52" s="16">
        <f t="shared" si="280"/>
        <v>197</v>
      </c>
      <c r="GQ52" s="16">
        <f t="shared" si="280"/>
        <v>198</v>
      </c>
      <c r="GR52" s="16">
        <f t="shared" si="280"/>
        <v>199</v>
      </c>
      <c r="GS52" s="16">
        <f t="shared" si="280"/>
        <v>200</v>
      </c>
      <c r="GT52" s="16">
        <f t="shared" si="280"/>
        <v>201</v>
      </c>
      <c r="GU52" s="16">
        <f t="shared" si="280"/>
        <v>202</v>
      </c>
      <c r="GV52" s="16">
        <f t="shared" si="280"/>
        <v>203</v>
      </c>
      <c r="GW52" s="16">
        <f t="shared" si="280"/>
        <v>204</v>
      </c>
      <c r="GX52" s="16">
        <f t="shared" si="280"/>
        <v>205</v>
      </c>
      <c r="GY52" s="16">
        <f t="shared" si="280"/>
        <v>206</v>
      </c>
      <c r="GZ52" s="16">
        <f t="shared" si="280"/>
        <v>207</v>
      </c>
      <c r="HA52" s="16">
        <f t="shared" si="280"/>
        <v>208</v>
      </c>
      <c r="HB52" s="16">
        <f t="shared" si="280"/>
        <v>209</v>
      </c>
      <c r="HC52" s="16">
        <f t="shared" si="280"/>
        <v>210</v>
      </c>
      <c r="HD52" s="16">
        <f t="shared" si="280"/>
        <v>211</v>
      </c>
      <c r="HE52" s="16">
        <f t="shared" si="280"/>
        <v>212</v>
      </c>
      <c r="HF52" s="16">
        <f t="shared" si="280"/>
        <v>213</v>
      </c>
      <c r="HG52" s="16">
        <f t="shared" si="280"/>
        <v>214</v>
      </c>
      <c r="HH52" s="16">
        <f t="shared" si="280"/>
        <v>215</v>
      </c>
      <c r="HI52" s="16">
        <f t="shared" si="280"/>
        <v>216</v>
      </c>
      <c r="HJ52" s="16">
        <f t="shared" si="280"/>
        <v>217</v>
      </c>
      <c r="HK52" s="16">
        <f t="shared" si="280"/>
        <v>218</v>
      </c>
      <c r="HL52" s="16">
        <f t="shared" si="280"/>
        <v>219</v>
      </c>
      <c r="HM52" s="16">
        <f t="shared" si="280"/>
        <v>220</v>
      </c>
      <c r="HN52" s="16">
        <f t="shared" si="280"/>
        <v>221</v>
      </c>
      <c r="HO52" s="16">
        <f t="shared" si="280"/>
        <v>222</v>
      </c>
      <c r="HP52" s="16">
        <f t="shared" si="280"/>
        <v>223</v>
      </c>
      <c r="HQ52" s="16">
        <f t="shared" si="280"/>
        <v>224</v>
      </c>
      <c r="HR52" s="16">
        <f t="shared" si="280"/>
        <v>225</v>
      </c>
      <c r="HS52" s="16">
        <f t="shared" si="280"/>
        <v>226</v>
      </c>
      <c r="HT52" s="16">
        <f t="shared" si="280"/>
        <v>227</v>
      </c>
      <c r="HU52" s="16">
        <f t="shared" si="280"/>
        <v>228</v>
      </c>
      <c r="HV52" s="16">
        <f t="shared" si="280"/>
        <v>229</v>
      </c>
      <c r="HW52" s="16">
        <f t="shared" si="280"/>
        <v>230</v>
      </c>
      <c r="HX52" s="16">
        <f t="shared" si="280"/>
        <v>231</v>
      </c>
      <c r="HY52" s="16">
        <f t="shared" si="280"/>
        <v>232</v>
      </c>
      <c r="HZ52" s="16">
        <f t="shared" si="280"/>
        <v>233</v>
      </c>
      <c r="IA52" s="16">
        <f t="shared" si="280"/>
        <v>234</v>
      </c>
      <c r="IB52" s="16">
        <f t="shared" si="280"/>
        <v>235</v>
      </c>
      <c r="IC52" s="16">
        <f t="shared" si="280"/>
        <v>236</v>
      </c>
      <c r="ID52" s="16">
        <f t="shared" si="280"/>
        <v>237</v>
      </c>
      <c r="IE52" s="16">
        <f t="shared" si="280"/>
        <v>238</v>
      </c>
      <c r="IF52" s="16">
        <f t="shared" si="280"/>
        <v>239</v>
      </c>
      <c r="IG52" s="16">
        <f t="shared" si="280"/>
        <v>240</v>
      </c>
      <c r="IH52" s="16">
        <f t="shared" si="280"/>
        <v>241</v>
      </c>
      <c r="II52" s="16">
        <f t="shared" si="280"/>
        <v>242</v>
      </c>
      <c r="IJ52" s="16">
        <f t="shared" si="280"/>
        <v>243</v>
      </c>
      <c r="IK52" s="16">
        <f t="shared" si="280"/>
        <v>244</v>
      </c>
      <c r="IL52" s="16">
        <f t="shared" si="280"/>
        <v>245</v>
      </c>
      <c r="IM52" s="16">
        <f t="shared" si="280"/>
        <v>246</v>
      </c>
      <c r="IN52" s="16">
        <f t="shared" si="280"/>
        <v>247</v>
      </c>
      <c r="IO52" s="16">
        <f t="shared" si="280"/>
        <v>248</v>
      </c>
      <c r="IP52" s="16">
        <f t="shared" si="280"/>
        <v>249</v>
      </c>
      <c r="IQ52" s="16">
        <f t="shared" si="280"/>
        <v>250</v>
      </c>
      <c r="IR52" s="16">
        <f t="shared" si="280"/>
        <v>251</v>
      </c>
      <c r="IS52" s="16">
        <f t="shared" si="280"/>
        <v>252</v>
      </c>
      <c r="IT52" s="16">
        <f t="shared" si="280"/>
        <v>253</v>
      </c>
      <c r="IU52" s="16">
        <f t="shared" si="280"/>
        <v>254</v>
      </c>
      <c r="IV52" s="16">
        <f t="shared" si="280"/>
        <v>255</v>
      </c>
      <c r="IW52" s="16">
        <f t="shared" si="280"/>
        <v>256</v>
      </c>
      <c r="IX52" s="16">
        <f t="shared" si="280"/>
        <v>257</v>
      </c>
      <c r="IY52" s="16">
        <f t="shared" ref="IY52:KN52" si="281">IX52+1</f>
        <v>258</v>
      </c>
      <c r="IZ52" s="16">
        <f t="shared" si="281"/>
        <v>259</v>
      </c>
      <c r="JA52" s="16">
        <f t="shared" si="281"/>
        <v>260</v>
      </c>
      <c r="JB52" s="16">
        <f t="shared" si="281"/>
        <v>261</v>
      </c>
      <c r="JC52" s="16">
        <f t="shared" si="281"/>
        <v>262</v>
      </c>
      <c r="JD52" s="16">
        <f t="shared" si="281"/>
        <v>263</v>
      </c>
      <c r="JE52" s="16">
        <f t="shared" si="281"/>
        <v>264</v>
      </c>
      <c r="JF52" s="16">
        <f t="shared" si="281"/>
        <v>265</v>
      </c>
      <c r="JG52" s="16">
        <f t="shared" si="281"/>
        <v>266</v>
      </c>
      <c r="JH52" s="16">
        <f t="shared" si="281"/>
        <v>267</v>
      </c>
      <c r="JI52" s="16">
        <f t="shared" si="281"/>
        <v>268</v>
      </c>
      <c r="JJ52" s="16">
        <f t="shared" si="281"/>
        <v>269</v>
      </c>
      <c r="JK52" s="16">
        <f t="shared" si="281"/>
        <v>270</v>
      </c>
      <c r="JL52" s="16">
        <f t="shared" si="281"/>
        <v>271</v>
      </c>
      <c r="JM52" s="16">
        <f t="shared" si="281"/>
        <v>272</v>
      </c>
      <c r="JN52" s="16">
        <f t="shared" si="281"/>
        <v>273</v>
      </c>
      <c r="JO52" s="16">
        <f t="shared" si="281"/>
        <v>274</v>
      </c>
      <c r="JP52" s="16">
        <f t="shared" si="281"/>
        <v>275</v>
      </c>
      <c r="JQ52" s="16">
        <f t="shared" si="281"/>
        <v>276</v>
      </c>
      <c r="JR52" s="16">
        <f t="shared" si="281"/>
        <v>277</v>
      </c>
      <c r="JS52" s="16">
        <f t="shared" si="281"/>
        <v>278</v>
      </c>
      <c r="JT52" s="16">
        <f t="shared" si="281"/>
        <v>279</v>
      </c>
      <c r="JU52" s="16">
        <f t="shared" si="281"/>
        <v>280</v>
      </c>
      <c r="JV52" s="16">
        <f t="shared" si="281"/>
        <v>281</v>
      </c>
      <c r="JW52" s="16">
        <f t="shared" si="281"/>
        <v>282</v>
      </c>
      <c r="JX52" s="16">
        <f t="shared" si="281"/>
        <v>283</v>
      </c>
      <c r="JY52" s="16">
        <f t="shared" si="281"/>
        <v>284</v>
      </c>
      <c r="JZ52" s="16">
        <f t="shared" si="281"/>
        <v>285</v>
      </c>
      <c r="KA52" s="16">
        <f t="shared" si="281"/>
        <v>286</v>
      </c>
      <c r="KB52" s="16">
        <f t="shared" si="281"/>
        <v>287</v>
      </c>
      <c r="KC52" s="16">
        <f t="shared" si="281"/>
        <v>288</v>
      </c>
      <c r="KD52" s="16">
        <f t="shared" si="281"/>
        <v>289</v>
      </c>
      <c r="KE52" s="16">
        <f t="shared" si="281"/>
        <v>290</v>
      </c>
      <c r="KF52" s="16">
        <f t="shared" si="281"/>
        <v>291</v>
      </c>
      <c r="KG52" s="16">
        <f t="shared" si="281"/>
        <v>292</v>
      </c>
      <c r="KH52" s="16">
        <f t="shared" si="281"/>
        <v>293</v>
      </c>
      <c r="KI52" s="16">
        <f t="shared" si="281"/>
        <v>294</v>
      </c>
      <c r="KJ52" s="16">
        <f t="shared" si="281"/>
        <v>295</v>
      </c>
      <c r="KK52" s="16">
        <f t="shared" si="281"/>
        <v>296</v>
      </c>
      <c r="KL52" s="16">
        <f t="shared" si="281"/>
        <v>297</v>
      </c>
      <c r="KM52" s="16">
        <f t="shared" si="281"/>
        <v>298</v>
      </c>
      <c r="KN52" s="16">
        <f t="shared" si="281"/>
        <v>299</v>
      </c>
    </row>
    <row r="53" spans="1:300" x14ac:dyDescent="0.15">
      <c r="C53" s="3"/>
      <c r="E53" s="3"/>
    </row>
    <row r="54" spans="1:300" x14ac:dyDescent="0.15">
      <c r="A54">
        <f t="array" ref="A54:KN74">IF($A$1=FALSE,"-",TRANSPOSE('Analysis - No risk'!$D$2:$X$210))</f>
        <v>0</v>
      </c>
      <c r="B54">
        <v>0</v>
      </c>
      <c r="C54">
        <v>0.05</v>
      </c>
      <c r="D54">
        <v>100</v>
      </c>
      <c r="E54">
        <v>1</v>
      </c>
      <c r="F54">
        <v>0</v>
      </c>
      <c r="G54">
        <v>100</v>
      </c>
      <c r="H54">
        <v>105</v>
      </c>
      <c r="I54">
        <v>0</v>
      </c>
      <c r="J54">
        <v>1</v>
      </c>
      <c r="K54">
        <v>0</v>
      </c>
      <c r="L54">
        <v>0</v>
      </c>
      <c r="M54">
        <v>0</v>
      </c>
      <c r="N54">
        <v>50000</v>
      </c>
      <c r="O54">
        <v>0.5</v>
      </c>
      <c r="P54">
        <v>25000</v>
      </c>
      <c r="Q54">
        <v>0</v>
      </c>
      <c r="R54">
        <v>0</v>
      </c>
      <c r="S54">
        <v>150</v>
      </c>
      <c r="T54">
        <v>1.3687499999999999</v>
      </c>
      <c r="U54">
        <v>0</v>
      </c>
      <c r="V54">
        <v>0.01</v>
      </c>
      <c r="W54">
        <v>1</v>
      </c>
      <c r="X54">
        <v>0</v>
      </c>
      <c r="Y54">
        <v>0</v>
      </c>
      <c r="Z54">
        <v>0</v>
      </c>
      <c r="AA54">
        <v>0</v>
      </c>
      <c r="AB54">
        <v>0</v>
      </c>
      <c r="AC54">
        <v>10</v>
      </c>
      <c r="AD54">
        <v>0.1</v>
      </c>
      <c r="AE54">
        <v>0</v>
      </c>
      <c r="AF54">
        <v>10</v>
      </c>
      <c r="AG54">
        <v>0.1</v>
      </c>
      <c r="AH54">
        <v>0</v>
      </c>
      <c r="AI54">
        <v>0</v>
      </c>
      <c r="AJ54">
        <v>0</v>
      </c>
      <c r="AK54">
        <v>0</v>
      </c>
      <c r="AL54">
        <v>0</v>
      </c>
      <c r="AM54">
        <v>0</v>
      </c>
      <c r="AN54" t="str">
        <v>Total</v>
      </c>
      <c r="AO54">
        <v>2.76226123554446E-3</v>
      </c>
      <c r="AP54">
        <v>4.68613189059026E-3</v>
      </c>
      <c r="AQ54">
        <v>1.2149462601283063E-2</v>
      </c>
      <c r="AR54">
        <v>2.846831705616416E-2</v>
      </c>
      <c r="AS54">
        <v>5.3498453365534507E-2</v>
      </c>
      <c r="AT54">
        <v>6.9025505000859855E-2</v>
      </c>
      <c r="AU54">
        <v>5.6579008150732857E-2</v>
      </c>
      <c r="AV54">
        <v>3.1810915805157568E-2</v>
      </c>
      <c r="AW54">
        <v>1.4314692924540929E-2</v>
      </c>
      <c r="AX54">
        <v>9.285735046486986E-3</v>
      </c>
      <c r="AY54">
        <v>0</v>
      </c>
      <c r="AZ54">
        <v>0</v>
      </c>
      <c r="BA54">
        <v>0</v>
      </c>
      <c r="BB54">
        <v>0</v>
      </c>
      <c r="BC54">
        <v>0</v>
      </c>
      <c r="BD54">
        <v>0</v>
      </c>
      <c r="BE54">
        <v>0</v>
      </c>
      <c r="BF54">
        <v>0</v>
      </c>
      <c r="BG54">
        <v>0</v>
      </c>
      <c r="BH54">
        <v>0</v>
      </c>
      <c r="BI54">
        <v>0</v>
      </c>
      <c r="BJ54">
        <v>0</v>
      </c>
      <c r="BK54">
        <v>0</v>
      </c>
      <c r="BL54">
        <v>0</v>
      </c>
      <c r="BM54">
        <v>0</v>
      </c>
      <c r="BN54">
        <v>0</v>
      </c>
      <c r="BO54">
        <v>0</v>
      </c>
      <c r="BP54">
        <v>0</v>
      </c>
      <c r="BQ54">
        <v>0</v>
      </c>
      <c r="BR54">
        <v>0</v>
      </c>
      <c r="BS54">
        <v>0</v>
      </c>
      <c r="BT54">
        <v>0</v>
      </c>
      <c r="BU54">
        <v>0</v>
      </c>
      <c r="BV54">
        <v>0</v>
      </c>
      <c r="BW54">
        <v>0</v>
      </c>
      <c r="BX54">
        <v>0</v>
      </c>
      <c r="BY54">
        <v>0</v>
      </c>
      <c r="BZ54">
        <v>0</v>
      </c>
      <c r="CA54">
        <v>0</v>
      </c>
      <c r="CB54">
        <v>0</v>
      </c>
      <c r="CC54">
        <v>0.2825804830768946</v>
      </c>
      <c r="CD54">
        <v>0</v>
      </c>
      <c r="CE54">
        <v>0</v>
      </c>
      <c r="CF54">
        <v>0</v>
      </c>
      <c r="CG54">
        <v>0</v>
      </c>
      <c r="CH54">
        <v>0</v>
      </c>
      <c r="CI54">
        <v>0</v>
      </c>
      <c r="CJ54">
        <v>0</v>
      </c>
      <c r="CK54">
        <v>0</v>
      </c>
      <c r="CL54">
        <v>0</v>
      </c>
      <c r="CM54">
        <v>0</v>
      </c>
      <c r="CN54">
        <v>0</v>
      </c>
      <c r="CO54">
        <v>0</v>
      </c>
      <c r="CP54">
        <v>0</v>
      </c>
      <c r="CQ54">
        <v>0</v>
      </c>
      <c r="CR54">
        <v>0</v>
      </c>
      <c r="CS54">
        <v>0</v>
      </c>
      <c r="CT54">
        <v>0</v>
      </c>
      <c r="CU54">
        <v>0</v>
      </c>
      <c r="CV54">
        <v>0</v>
      </c>
      <c r="CW54">
        <v>0</v>
      </c>
      <c r="CX54">
        <v>100</v>
      </c>
      <c r="CY54">
        <v>0</v>
      </c>
      <c r="CZ54">
        <v>0</v>
      </c>
      <c r="DA54">
        <v>0</v>
      </c>
      <c r="DB54">
        <v>0</v>
      </c>
      <c r="DC54">
        <v>0</v>
      </c>
      <c r="DD54">
        <v>0</v>
      </c>
      <c r="DE54">
        <v>0</v>
      </c>
      <c r="DF54">
        <v>0</v>
      </c>
      <c r="DG54">
        <v>6.6519209510237243</v>
      </c>
      <c r="DH54">
        <v>0</v>
      </c>
      <c r="DI54">
        <v>0</v>
      </c>
      <c r="DJ54">
        <v>0</v>
      </c>
      <c r="DK54">
        <v>0</v>
      </c>
      <c r="DL54">
        <v>0</v>
      </c>
      <c r="DM54">
        <v>0</v>
      </c>
      <c r="DN54">
        <v>0</v>
      </c>
      <c r="DO54">
        <v>0</v>
      </c>
      <c r="DP54">
        <v>0</v>
      </c>
      <c r="DQ54">
        <v>0</v>
      </c>
      <c r="DR54">
        <v>0</v>
      </c>
      <c r="DS54">
        <v>0</v>
      </c>
      <c r="DT54">
        <v>0</v>
      </c>
      <c r="DU54">
        <v>0</v>
      </c>
      <c r="DV54">
        <v>0</v>
      </c>
      <c r="DW54">
        <v>0</v>
      </c>
      <c r="DX54">
        <v>0</v>
      </c>
      <c r="DY54">
        <v>0</v>
      </c>
      <c r="DZ54">
        <v>0</v>
      </c>
      <c r="EA54">
        <v>0</v>
      </c>
      <c r="EB54">
        <v>0</v>
      </c>
      <c r="EC54">
        <v>0</v>
      </c>
      <c r="ED54">
        <v>1.6604725128080058</v>
      </c>
      <c r="EE54">
        <v>305.20007953989193</v>
      </c>
      <c r="EF54">
        <v>0</v>
      </c>
      <c r="EG54">
        <v>0</v>
      </c>
      <c r="EH54">
        <v>0</v>
      </c>
      <c r="EI54">
        <v>0</v>
      </c>
      <c r="EJ54">
        <v>0</v>
      </c>
      <c r="EK54">
        <v>0</v>
      </c>
      <c r="EL54">
        <v>0</v>
      </c>
      <c r="EM54">
        <v>0</v>
      </c>
      <c r="EN54">
        <v>0</v>
      </c>
      <c r="EO54">
        <v>0</v>
      </c>
      <c r="EP54">
        <v>0</v>
      </c>
      <c r="EQ54">
        <v>1</v>
      </c>
      <c r="ER54">
        <v>0</v>
      </c>
      <c r="ES54">
        <v>0</v>
      </c>
      <c r="ET54">
        <v>0</v>
      </c>
      <c r="EU54">
        <v>0</v>
      </c>
      <c r="EV54">
        <v>0</v>
      </c>
      <c r="EW54">
        <v>0</v>
      </c>
      <c r="EX54">
        <v>0</v>
      </c>
      <c r="EY54">
        <v>0</v>
      </c>
      <c r="EZ54">
        <v>0</v>
      </c>
      <c r="FA54">
        <v>0</v>
      </c>
      <c r="FB54">
        <v>0</v>
      </c>
      <c r="FC54">
        <v>0</v>
      </c>
      <c r="FD54">
        <v>0</v>
      </c>
      <c r="FE54">
        <v>0</v>
      </c>
      <c r="FF54">
        <v>0</v>
      </c>
      <c r="FG54">
        <v>0</v>
      </c>
      <c r="FH54">
        <v>0</v>
      </c>
      <c r="FI54">
        <v>0</v>
      </c>
      <c r="FJ54">
        <v>0</v>
      </c>
      <c r="FK54">
        <v>0</v>
      </c>
      <c r="FL54">
        <v>0</v>
      </c>
      <c r="FM54">
        <v>0</v>
      </c>
      <c r="FN54">
        <v>0</v>
      </c>
      <c r="FO54">
        <v>0</v>
      </c>
      <c r="FP54">
        <v>0</v>
      </c>
      <c r="FQ54">
        <v>0</v>
      </c>
      <c r="FR54">
        <v>0</v>
      </c>
      <c r="FS54">
        <v>0</v>
      </c>
      <c r="FT54">
        <v>0</v>
      </c>
      <c r="FU54">
        <v>0</v>
      </c>
      <c r="FV54">
        <v>0</v>
      </c>
      <c r="FW54">
        <v>0</v>
      </c>
      <c r="FX54">
        <v>0</v>
      </c>
      <c r="FY54">
        <v>0</v>
      </c>
      <c r="FZ54">
        <v>0</v>
      </c>
      <c r="GA54">
        <v>0</v>
      </c>
      <c r="GB54">
        <v>0</v>
      </c>
      <c r="GC54">
        <v>0</v>
      </c>
      <c r="GD54">
        <v>0</v>
      </c>
      <c r="GE54">
        <v>0</v>
      </c>
      <c r="GF54">
        <v>0</v>
      </c>
      <c r="GG54">
        <v>0</v>
      </c>
      <c r="GH54">
        <v>0</v>
      </c>
      <c r="GI54">
        <v>0</v>
      </c>
      <c r="GJ54">
        <v>0</v>
      </c>
      <c r="GK54">
        <v>150</v>
      </c>
      <c r="GL54">
        <v>75</v>
      </c>
      <c r="GM54">
        <v>0</v>
      </c>
      <c r="GN54">
        <v>0</v>
      </c>
      <c r="GO54">
        <v>4500</v>
      </c>
      <c r="GP54">
        <v>4500</v>
      </c>
      <c r="GQ54">
        <v>3375</v>
      </c>
      <c r="GR54">
        <v>0</v>
      </c>
      <c r="GS54">
        <v>1000</v>
      </c>
      <c r="GT54">
        <v>0</v>
      </c>
      <c r="GU54">
        <v>11250</v>
      </c>
      <c r="GV54">
        <v>0</v>
      </c>
      <c r="GW54">
        <v>5062.5</v>
      </c>
      <c r="GX54">
        <v>1300</v>
      </c>
      <c r="GY54">
        <v>0</v>
      </c>
      <c r="GZ54">
        <v>0</v>
      </c>
      <c r="HA54">
        <v>0</v>
      </c>
      <c r="HB54" t="e">
        <v>#N/A</v>
      </c>
      <c r="HC54" t="e">
        <v>#N/A</v>
      </c>
      <c r="HD54" t="e">
        <v>#N/A</v>
      </c>
      <c r="HE54" t="e">
        <v>#N/A</v>
      </c>
      <c r="HF54" t="e">
        <v>#N/A</v>
      </c>
      <c r="HG54" t="e">
        <v>#N/A</v>
      </c>
      <c r="HH54" t="e">
        <v>#N/A</v>
      </c>
      <c r="HI54" t="e">
        <v>#N/A</v>
      </c>
      <c r="HJ54" t="e">
        <v>#N/A</v>
      </c>
      <c r="HK54" t="e">
        <v>#N/A</v>
      </c>
      <c r="HL54" t="e">
        <v>#N/A</v>
      </c>
      <c r="HM54" t="e">
        <v>#N/A</v>
      </c>
      <c r="HN54" t="e">
        <v>#N/A</v>
      </c>
      <c r="HO54" t="e">
        <v>#N/A</v>
      </c>
      <c r="HP54" t="e">
        <v>#N/A</v>
      </c>
      <c r="HQ54" t="e">
        <v>#N/A</v>
      </c>
      <c r="HR54" t="e">
        <v>#N/A</v>
      </c>
      <c r="HS54" t="e">
        <v>#N/A</v>
      </c>
      <c r="HT54" t="e">
        <v>#N/A</v>
      </c>
      <c r="HU54" t="e">
        <v>#N/A</v>
      </c>
      <c r="HV54" t="e">
        <v>#N/A</v>
      </c>
      <c r="HW54" t="e">
        <v>#N/A</v>
      </c>
      <c r="HX54" t="e">
        <v>#N/A</v>
      </c>
      <c r="HY54" t="e">
        <v>#N/A</v>
      </c>
      <c r="HZ54" t="e">
        <v>#N/A</v>
      </c>
      <c r="IA54" t="e">
        <v>#N/A</v>
      </c>
      <c r="IB54" t="e">
        <v>#N/A</v>
      </c>
      <c r="IC54" t="e">
        <v>#N/A</v>
      </c>
      <c r="ID54" t="e">
        <v>#N/A</v>
      </c>
      <c r="IE54" t="e">
        <v>#N/A</v>
      </c>
      <c r="IF54" t="e">
        <v>#N/A</v>
      </c>
      <c r="IG54" t="e">
        <v>#N/A</v>
      </c>
      <c r="IH54" t="e">
        <v>#N/A</v>
      </c>
      <c r="II54" t="e">
        <v>#N/A</v>
      </c>
      <c r="IJ54" t="e">
        <v>#N/A</v>
      </c>
      <c r="IK54" t="e">
        <v>#N/A</v>
      </c>
      <c r="IL54" t="e">
        <v>#N/A</v>
      </c>
      <c r="IM54" t="e">
        <v>#N/A</v>
      </c>
      <c r="IN54" t="e">
        <v>#N/A</v>
      </c>
      <c r="IO54" t="e">
        <v>#N/A</v>
      </c>
      <c r="IP54" t="e">
        <v>#N/A</v>
      </c>
      <c r="IQ54" t="e">
        <v>#N/A</v>
      </c>
      <c r="IR54" t="e">
        <v>#N/A</v>
      </c>
      <c r="IS54" t="e">
        <v>#N/A</v>
      </c>
      <c r="IT54" t="e">
        <v>#N/A</v>
      </c>
      <c r="IU54" t="e">
        <v>#N/A</v>
      </c>
      <c r="IV54" t="e">
        <v>#N/A</v>
      </c>
      <c r="IW54" t="e">
        <v>#N/A</v>
      </c>
      <c r="IX54" t="e">
        <v>#N/A</v>
      </c>
      <c r="IY54" t="e">
        <v>#N/A</v>
      </c>
      <c r="IZ54" t="e">
        <v>#N/A</v>
      </c>
      <c r="JA54" t="e">
        <v>#N/A</v>
      </c>
      <c r="JB54" t="e">
        <v>#N/A</v>
      </c>
      <c r="JC54" t="e">
        <v>#N/A</v>
      </c>
      <c r="JD54" t="e">
        <v>#N/A</v>
      </c>
      <c r="JE54" t="e">
        <v>#N/A</v>
      </c>
      <c r="JF54" t="e">
        <v>#N/A</v>
      </c>
      <c r="JG54" t="e">
        <v>#N/A</v>
      </c>
      <c r="JH54" t="e">
        <v>#N/A</v>
      </c>
      <c r="JI54" t="e">
        <v>#N/A</v>
      </c>
      <c r="JJ54" t="e">
        <v>#N/A</v>
      </c>
      <c r="JK54" t="e">
        <v>#N/A</v>
      </c>
      <c r="JL54" t="e">
        <v>#N/A</v>
      </c>
      <c r="JM54" t="e">
        <v>#N/A</v>
      </c>
      <c r="JN54" t="e">
        <v>#N/A</v>
      </c>
      <c r="JO54" t="e">
        <v>#N/A</v>
      </c>
      <c r="JP54" t="e">
        <v>#N/A</v>
      </c>
      <c r="JQ54" t="e">
        <v>#N/A</v>
      </c>
      <c r="JR54" t="e">
        <v>#N/A</v>
      </c>
      <c r="JS54" t="e">
        <v>#N/A</v>
      </c>
      <c r="JT54" t="e">
        <v>#N/A</v>
      </c>
      <c r="JU54" t="e">
        <v>#N/A</v>
      </c>
      <c r="JV54" t="e">
        <v>#N/A</v>
      </c>
      <c r="JW54" t="e">
        <v>#N/A</v>
      </c>
      <c r="JX54" t="e">
        <v>#N/A</v>
      </c>
      <c r="JY54" t="e">
        <v>#N/A</v>
      </c>
      <c r="JZ54" t="e">
        <v>#N/A</v>
      </c>
      <c r="KA54" t="e">
        <v>#N/A</v>
      </c>
      <c r="KB54" t="e">
        <v>#N/A</v>
      </c>
      <c r="KC54" t="e">
        <v>#N/A</v>
      </c>
      <c r="KD54" t="e">
        <v>#N/A</v>
      </c>
      <c r="KE54" t="e">
        <v>#N/A</v>
      </c>
      <c r="KF54" t="e">
        <v>#N/A</v>
      </c>
      <c r="KG54" t="e">
        <v>#N/A</v>
      </c>
      <c r="KH54" t="e">
        <v>#N/A</v>
      </c>
      <c r="KI54" t="e">
        <v>#N/A</v>
      </c>
      <c r="KJ54" t="e">
        <v>#N/A</v>
      </c>
      <c r="KK54" t="e">
        <v>#N/A</v>
      </c>
      <c r="KL54" t="e">
        <v>#N/A</v>
      </c>
      <c r="KM54" t="e">
        <v>#N/A</v>
      </c>
      <c r="KN54" t="e">
        <v>#N/A</v>
      </c>
    </row>
    <row r="55" spans="1:300" x14ac:dyDescent="0.15">
      <c r="A55">
        <v>1</v>
      </c>
      <c r="B55">
        <v>0</v>
      </c>
      <c r="C55">
        <v>5.8091712136414154E-2</v>
      </c>
      <c r="D55">
        <v>105.98121888933633</v>
      </c>
      <c r="E55">
        <v>0.94356340725254528</v>
      </c>
      <c r="F55">
        <v>0</v>
      </c>
      <c r="G55">
        <v>105.12710963760242</v>
      </c>
      <c r="H55">
        <v>111.23412342840327</v>
      </c>
      <c r="I55">
        <v>0</v>
      </c>
      <c r="J55">
        <v>0.93239381990594827</v>
      </c>
      <c r="K55">
        <v>0</v>
      </c>
      <c r="L55">
        <v>0</v>
      </c>
      <c r="M55">
        <v>0</v>
      </c>
      <c r="N55">
        <v>50000</v>
      </c>
      <c r="O55">
        <v>0.50549347131529654</v>
      </c>
      <c r="P55">
        <v>25274</v>
      </c>
      <c r="Q55">
        <v>274</v>
      </c>
      <c r="R55">
        <v>0</v>
      </c>
      <c r="S55">
        <v>153.03020100401338</v>
      </c>
      <c r="T55">
        <v>1.4117051345640335</v>
      </c>
      <c r="U55">
        <v>0</v>
      </c>
      <c r="V55">
        <v>1.0359724199241832E-2</v>
      </c>
      <c r="W55">
        <v>1</v>
      </c>
      <c r="X55">
        <v>0</v>
      </c>
      <c r="Y55">
        <v>0</v>
      </c>
      <c r="Z55">
        <v>0</v>
      </c>
      <c r="AA55">
        <v>0</v>
      </c>
      <c r="AB55">
        <v>0</v>
      </c>
      <c r="AC55">
        <v>10.304545339535169</v>
      </c>
      <c r="AD55">
        <v>0.1030454533953517</v>
      </c>
      <c r="AE55">
        <v>0</v>
      </c>
      <c r="AF55">
        <v>10.304545339535169</v>
      </c>
      <c r="AG55">
        <v>0.1030454533953517</v>
      </c>
      <c r="AH55">
        <v>0</v>
      </c>
      <c r="AI55">
        <v>0</v>
      </c>
      <c r="AJ55">
        <v>0</v>
      </c>
      <c r="AK55">
        <v>0.58077707951356317</v>
      </c>
      <c r="AL55">
        <v>0.29038853975678158</v>
      </c>
      <c r="AM55">
        <v>0</v>
      </c>
      <c r="AN55">
        <v>0</v>
      </c>
      <c r="AO55">
        <v>1.38113061777223E-4</v>
      </c>
      <c r="AP55">
        <v>0</v>
      </c>
      <c r="AQ55">
        <v>0</v>
      </c>
      <c r="AR55">
        <v>0</v>
      </c>
      <c r="AS55">
        <v>0</v>
      </c>
      <c r="AT55">
        <v>0</v>
      </c>
      <c r="AU55">
        <v>0</v>
      </c>
      <c r="AV55">
        <v>0</v>
      </c>
      <c r="AW55">
        <v>0</v>
      </c>
      <c r="AX55">
        <v>0</v>
      </c>
      <c r="AY55">
        <v>0</v>
      </c>
      <c r="AZ55">
        <v>0</v>
      </c>
      <c r="BA55">
        <v>0</v>
      </c>
      <c r="BB55">
        <v>0</v>
      </c>
      <c r="BC55">
        <v>0</v>
      </c>
      <c r="BD55">
        <v>0</v>
      </c>
      <c r="BE55">
        <v>0</v>
      </c>
      <c r="BF55">
        <v>0</v>
      </c>
      <c r="BG55">
        <v>0</v>
      </c>
      <c r="BH55">
        <v>0</v>
      </c>
      <c r="BI55">
        <v>0</v>
      </c>
      <c r="BJ55">
        <v>0</v>
      </c>
      <c r="BK55">
        <v>0</v>
      </c>
      <c r="BL55">
        <v>0</v>
      </c>
      <c r="BM55">
        <v>0</v>
      </c>
      <c r="BN55">
        <v>0</v>
      </c>
      <c r="BO55">
        <v>0</v>
      </c>
      <c r="BP55">
        <v>0</v>
      </c>
      <c r="BQ55">
        <v>0</v>
      </c>
      <c r="BR55">
        <v>0</v>
      </c>
      <c r="BS55">
        <v>0</v>
      </c>
      <c r="BT55">
        <v>0</v>
      </c>
      <c r="BU55">
        <v>0</v>
      </c>
      <c r="BV55">
        <v>0</v>
      </c>
      <c r="BW55">
        <v>0</v>
      </c>
      <c r="BX55">
        <v>0</v>
      </c>
      <c r="BY55">
        <v>0</v>
      </c>
      <c r="BZ55">
        <v>0</v>
      </c>
      <c r="CA55">
        <v>0</v>
      </c>
      <c r="CB55">
        <v>0</v>
      </c>
      <c r="CC55">
        <v>1.38113061777223E-4</v>
      </c>
      <c r="CD55">
        <v>0</v>
      </c>
      <c r="CE55">
        <v>2.76226123554446E-3</v>
      </c>
      <c r="CF55">
        <v>1.38113061777223E-4</v>
      </c>
      <c r="CG55">
        <v>1.38113061777223E-4</v>
      </c>
      <c r="CH55">
        <v>0</v>
      </c>
      <c r="CI55">
        <v>0</v>
      </c>
      <c r="CJ55">
        <v>0</v>
      </c>
      <c r="CK55">
        <v>0</v>
      </c>
      <c r="CL55">
        <v>0</v>
      </c>
      <c r="CM55">
        <v>0</v>
      </c>
      <c r="CN55">
        <v>0</v>
      </c>
      <c r="CO55">
        <v>0</v>
      </c>
      <c r="CP55">
        <v>0</v>
      </c>
      <c r="CQ55">
        <v>0</v>
      </c>
      <c r="CR55">
        <v>0</v>
      </c>
      <c r="CS55">
        <v>0</v>
      </c>
      <c r="CT55">
        <v>0</v>
      </c>
      <c r="CU55">
        <v>100</v>
      </c>
      <c r="CV55">
        <v>5</v>
      </c>
      <c r="CW55">
        <v>10.981218889336333</v>
      </c>
      <c r="CX55">
        <v>105.98121888933633</v>
      </c>
      <c r="CY55">
        <v>0</v>
      </c>
      <c r="CZ55">
        <v>0</v>
      </c>
      <c r="DA55">
        <v>0.58077707951356317</v>
      </c>
      <c r="DB55">
        <v>2.903885397567816E-2</v>
      </c>
      <c r="DC55">
        <v>0.55173822553788499</v>
      </c>
      <c r="DD55">
        <v>0</v>
      </c>
      <c r="DE55">
        <v>1.3162651429969998</v>
      </c>
      <c r="DF55">
        <v>1.3162651429969998</v>
      </c>
      <c r="DG55">
        <v>0</v>
      </c>
      <c r="DH55">
        <v>0</v>
      </c>
      <c r="DI55">
        <v>2.0327197782974711E-2</v>
      </c>
      <c r="DJ55">
        <v>2.0327197782974711E-2</v>
      </c>
      <c r="DK55">
        <v>0</v>
      </c>
      <c r="DL55">
        <v>1.3700000000000002E-2</v>
      </c>
      <c r="DM55">
        <v>1.3700000000000002E-2</v>
      </c>
      <c r="DN55">
        <v>10.361476311008202</v>
      </c>
      <c r="DO55">
        <v>25.003805182612119</v>
      </c>
      <c r="DP55">
        <v>26.285777687897159</v>
      </c>
      <c r="DQ55">
        <v>0</v>
      </c>
      <c r="DR55">
        <v>0</v>
      </c>
      <c r="DS55">
        <v>0</v>
      </c>
      <c r="DT55">
        <v>0</v>
      </c>
      <c r="DU55">
        <v>3.4027197782974715E-2</v>
      </c>
      <c r="DV55">
        <v>3.1726748921563006E-2</v>
      </c>
      <c r="DW55">
        <v>3.1726748921563006E-2</v>
      </c>
      <c r="DX55">
        <v>0</v>
      </c>
      <c r="DY55">
        <v>61.685086379300451</v>
      </c>
      <c r="DZ55">
        <v>57.514793320424324</v>
      </c>
      <c r="EA55">
        <v>57.514793320424324</v>
      </c>
      <c r="EB55">
        <v>0</v>
      </c>
      <c r="EC55">
        <v>0</v>
      </c>
      <c r="ED55">
        <v>0</v>
      </c>
      <c r="EE55">
        <v>0</v>
      </c>
      <c r="EF55">
        <v>0</v>
      </c>
      <c r="EG55">
        <v>0</v>
      </c>
      <c r="EH55">
        <v>0</v>
      </c>
      <c r="EI55">
        <v>0.6131943551702338</v>
      </c>
      <c r="EJ55">
        <v>57.198900217333403</v>
      </c>
      <c r="EK55">
        <v>0</v>
      </c>
      <c r="EL55">
        <v>0.24962300740396812</v>
      </c>
      <c r="EM55">
        <v>45.881495253325575</v>
      </c>
      <c r="EN55">
        <v>0</v>
      </c>
      <c r="EO55">
        <v>0</v>
      </c>
      <c r="EP55">
        <v>0</v>
      </c>
      <c r="EQ55">
        <v>1.0598121888933634</v>
      </c>
      <c r="ER55">
        <v>0</v>
      </c>
      <c r="ES55">
        <v>0.64987085177002002</v>
      </c>
      <c r="ET55">
        <v>60.620091641625194</v>
      </c>
      <c r="EU55">
        <v>0</v>
      </c>
      <c r="EV55">
        <v>0.2645535058749437</v>
      </c>
      <c r="EW55">
        <v>48.625767914127437</v>
      </c>
      <c r="EX55">
        <v>0</v>
      </c>
      <c r="EY55">
        <v>0</v>
      </c>
      <c r="EZ55">
        <v>0</v>
      </c>
      <c r="FA55">
        <v>86.495120646471776</v>
      </c>
      <c r="FB55">
        <v>69.018717779103312</v>
      </c>
      <c r="FC55">
        <v>0</v>
      </c>
      <c r="FD55">
        <v>0</v>
      </c>
      <c r="FE55">
        <v>54.357325089421991</v>
      </c>
      <c r="FF55">
        <v>10.981218889336334</v>
      </c>
      <c r="FG55">
        <v>4.3086023952885501E-2</v>
      </c>
      <c r="FH55">
        <v>2.903885397567816E-2</v>
      </c>
      <c r="FI55">
        <v>0</v>
      </c>
      <c r="FJ55">
        <v>65.410668856686883</v>
      </c>
      <c r="FK55">
        <v>0</v>
      </c>
      <c r="FL55">
        <v>0</v>
      </c>
      <c r="FM55">
        <v>18.549524860086699</v>
      </c>
      <c r="FN55">
        <v>3.1742629047247992</v>
      </c>
      <c r="FO55">
        <v>0</v>
      </c>
      <c r="FP55">
        <v>0</v>
      </c>
      <c r="FQ55">
        <v>0</v>
      </c>
      <c r="FR55">
        <v>0</v>
      </c>
      <c r="FS55">
        <v>0.67938840226598607</v>
      </c>
      <c r="FT55">
        <v>17.678114049009608</v>
      </c>
      <c r="FU55">
        <v>0</v>
      </c>
      <c r="FV55">
        <v>0.20083211020881034</v>
      </c>
      <c r="FW55">
        <v>2.7814083857048839</v>
      </c>
      <c r="FX55">
        <v>0</v>
      </c>
      <c r="FY55">
        <v>0</v>
      </c>
      <c r="FZ55">
        <v>0</v>
      </c>
      <c r="GA55">
        <v>0</v>
      </c>
      <c r="GB55">
        <v>20.093956379587823</v>
      </c>
      <c r="GC55">
        <v>3.1615079878560266</v>
      </c>
      <c r="GD55">
        <v>0</v>
      </c>
      <c r="GE55" t="str">
        <v/>
      </c>
      <c r="GF55" t="str">
        <v/>
      </c>
      <c r="GG55">
        <v>0</v>
      </c>
      <c r="GH55">
        <v>0</v>
      </c>
      <c r="GI55">
        <v>0</v>
      </c>
      <c r="GJ55">
        <v>0</v>
      </c>
      <c r="GK55">
        <v>153.03020100401338</v>
      </c>
      <c r="GL55">
        <v>76.515100502006689</v>
      </c>
      <c r="GM55">
        <v>0</v>
      </c>
      <c r="GN55">
        <v>0</v>
      </c>
      <c r="GO55">
        <v>7481.6957140537852</v>
      </c>
      <c r="GP55">
        <v>4865.4981687856434</v>
      </c>
      <c r="GQ55">
        <v>3649.1236265892326</v>
      </c>
      <c r="GR55">
        <v>0</v>
      </c>
      <c r="GS55">
        <v>1059.8121888933633</v>
      </c>
      <c r="GT55">
        <v>0</v>
      </c>
      <c r="GU55">
        <v>12163.745421964109</v>
      </c>
      <c r="GV55">
        <v>0</v>
      </c>
      <c r="GW55">
        <v>5473.6854398838495</v>
      </c>
      <c r="GX55">
        <v>1377.7558455613723</v>
      </c>
      <c r="GY55">
        <v>0</v>
      </c>
      <c r="GZ55">
        <v>-57.541478773900216</v>
      </c>
      <c r="HA55">
        <v>1.645111690401911</v>
      </c>
      <c r="HB55" t="e">
        <v>#N/A</v>
      </c>
      <c r="HC55" t="e">
        <v>#N/A</v>
      </c>
      <c r="HD55" t="e">
        <v>#N/A</v>
      </c>
      <c r="HE55" t="e">
        <v>#N/A</v>
      </c>
      <c r="HF55" t="e">
        <v>#N/A</v>
      </c>
      <c r="HG55" t="e">
        <v>#N/A</v>
      </c>
      <c r="HH55" t="e">
        <v>#N/A</v>
      </c>
      <c r="HI55" t="e">
        <v>#N/A</v>
      </c>
      <c r="HJ55" t="e">
        <v>#N/A</v>
      </c>
      <c r="HK55" t="e">
        <v>#N/A</v>
      </c>
      <c r="HL55" t="e">
        <v>#N/A</v>
      </c>
      <c r="HM55" t="e">
        <v>#N/A</v>
      </c>
      <c r="HN55" t="e">
        <v>#N/A</v>
      </c>
      <c r="HO55" t="e">
        <v>#N/A</v>
      </c>
      <c r="HP55" t="e">
        <v>#N/A</v>
      </c>
      <c r="HQ55" t="e">
        <v>#N/A</v>
      </c>
      <c r="HR55" t="e">
        <v>#N/A</v>
      </c>
      <c r="HS55" t="e">
        <v>#N/A</v>
      </c>
      <c r="HT55" t="e">
        <v>#N/A</v>
      </c>
      <c r="HU55" t="e">
        <v>#N/A</v>
      </c>
      <c r="HV55" t="e">
        <v>#N/A</v>
      </c>
      <c r="HW55" t="e">
        <v>#N/A</v>
      </c>
      <c r="HX55" t="e">
        <v>#N/A</v>
      </c>
      <c r="HY55" t="e">
        <v>#N/A</v>
      </c>
      <c r="HZ55" t="e">
        <v>#N/A</v>
      </c>
      <c r="IA55" t="e">
        <v>#N/A</v>
      </c>
      <c r="IB55" t="e">
        <v>#N/A</v>
      </c>
      <c r="IC55" t="e">
        <v>#N/A</v>
      </c>
      <c r="ID55" t="e">
        <v>#N/A</v>
      </c>
      <c r="IE55" t="e">
        <v>#N/A</v>
      </c>
      <c r="IF55" t="e">
        <v>#N/A</v>
      </c>
      <c r="IG55" t="e">
        <v>#N/A</v>
      </c>
      <c r="IH55" t="e">
        <v>#N/A</v>
      </c>
      <c r="II55" t="e">
        <v>#N/A</v>
      </c>
      <c r="IJ55" t="e">
        <v>#N/A</v>
      </c>
      <c r="IK55" t="e">
        <v>#N/A</v>
      </c>
      <c r="IL55" t="e">
        <v>#N/A</v>
      </c>
      <c r="IM55" t="e">
        <v>#N/A</v>
      </c>
      <c r="IN55" t="e">
        <v>#N/A</v>
      </c>
      <c r="IO55" t="e">
        <v>#N/A</v>
      </c>
      <c r="IP55" t="e">
        <v>#N/A</v>
      </c>
      <c r="IQ55" t="e">
        <v>#N/A</v>
      </c>
      <c r="IR55" t="e">
        <v>#N/A</v>
      </c>
      <c r="IS55" t="e">
        <v>#N/A</v>
      </c>
      <c r="IT55" t="e">
        <v>#N/A</v>
      </c>
      <c r="IU55" t="e">
        <v>#N/A</v>
      </c>
      <c r="IV55" t="e">
        <v>#N/A</v>
      </c>
      <c r="IW55" t="e">
        <v>#N/A</v>
      </c>
      <c r="IX55" t="e">
        <v>#N/A</v>
      </c>
      <c r="IY55" t="e">
        <v>#N/A</v>
      </c>
      <c r="IZ55" t="e">
        <v>#N/A</v>
      </c>
      <c r="JA55" t="e">
        <v>#N/A</v>
      </c>
      <c r="JB55" t="e">
        <v>#N/A</v>
      </c>
      <c r="JC55" t="e">
        <v>#N/A</v>
      </c>
      <c r="JD55" t="e">
        <v>#N/A</v>
      </c>
      <c r="JE55" t="e">
        <v>#N/A</v>
      </c>
      <c r="JF55" t="e">
        <v>#N/A</v>
      </c>
      <c r="JG55" t="e">
        <v>#N/A</v>
      </c>
      <c r="JH55" t="e">
        <v>#N/A</v>
      </c>
      <c r="JI55" t="e">
        <v>#N/A</v>
      </c>
      <c r="JJ55" t="e">
        <v>#N/A</v>
      </c>
      <c r="JK55" t="e">
        <v>#N/A</v>
      </c>
      <c r="JL55" t="e">
        <v>#N/A</v>
      </c>
      <c r="JM55" t="e">
        <v>#N/A</v>
      </c>
      <c r="JN55" t="e">
        <v>#N/A</v>
      </c>
      <c r="JO55" t="e">
        <v>#N/A</v>
      </c>
      <c r="JP55" t="e">
        <v>#N/A</v>
      </c>
      <c r="JQ55" t="e">
        <v>#N/A</v>
      </c>
      <c r="JR55" t="e">
        <v>#N/A</v>
      </c>
      <c r="JS55" t="e">
        <v>#N/A</v>
      </c>
      <c r="JT55" t="e">
        <v>#N/A</v>
      </c>
      <c r="JU55" t="e">
        <v>#N/A</v>
      </c>
      <c r="JV55" t="e">
        <v>#N/A</v>
      </c>
      <c r="JW55" t="e">
        <v>#N/A</v>
      </c>
      <c r="JX55" t="e">
        <v>#N/A</v>
      </c>
      <c r="JY55" t="e">
        <v>#N/A</v>
      </c>
      <c r="JZ55" t="e">
        <v>#N/A</v>
      </c>
      <c r="KA55" t="e">
        <v>#N/A</v>
      </c>
      <c r="KB55" t="e">
        <v>#N/A</v>
      </c>
      <c r="KC55" t="e">
        <v>#N/A</v>
      </c>
      <c r="KD55" t="e">
        <v>#N/A</v>
      </c>
      <c r="KE55" t="e">
        <v>#N/A</v>
      </c>
      <c r="KF55" t="e">
        <v>#N/A</v>
      </c>
      <c r="KG55" t="e">
        <v>#N/A</v>
      </c>
      <c r="KH55" t="e">
        <v>#N/A</v>
      </c>
      <c r="KI55" t="e">
        <v>#N/A</v>
      </c>
      <c r="KJ55" t="e">
        <v>#N/A</v>
      </c>
      <c r="KK55" t="e">
        <v>#N/A</v>
      </c>
      <c r="KL55" t="e">
        <v>#N/A</v>
      </c>
      <c r="KM55" t="e">
        <v>#N/A</v>
      </c>
      <c r="KN55" t="e">
        <v>#N/A</v>
      </c>
    </row>
    <row r="56" spans="1:300" x14ac:dyDescent="0.15">
      <c r="A56">
        <v>2</v>
      </c>
      <c r="B56">
        <v>0</v>
      </c>
      <c r="C56">
        <v>6.4816775092882944E-2</v>
      </c>
      <c r="D56">
        <v>113.07809353159843</v>
      </c>
      <c r="E56">
        <v>0.88434458768139823</v>
      </c>
      <c r="F56">
        <v>0</v>
      </c>
      <c r="G56">
        <v>110.51709180756478</v>
      </c>
      <c r="H56">
        <v>117.68045329117521</v>
      </c>
      <c r="I56">
        <v>0</v>
      </c>
      <c r="J56">
        <v>0.86935823539880586</v>
      </c>
      <c r="K56">
        <v>0</v>
      </c>
      <c r="L56">
        <v>0</v>
      </c>
      <c r="M56">
        <v>0</v>
      </c>
      <c r="N56">
        <v>50000</v>
      </c>
      <c r="O56">
        <v>0.51465611537567812</v>
      </c>
      <c r="P56">
        <v>25732</v>
      </c>
      <c r="Q56">
        <v>458</v>
      </c>
      <c r="R56">
        <v>0</v>
      </c>
      <c r="S56">
        <v>156.12161612885822</v>
      </c>
      <c r="T56">
        <v>1.4663223205731397</v>
      </c>
      <c r="U56">
        <v>0</v>
      </c>
      <c r="V56">
        <v>1.2384058440442351E-2</v>
      </c>
      <c r="W56">
        <v>1</v>
      </c>
      <c r="X56">
        <v>0</v>
      </c>
      <c r="Y56">
        <v>0</v>
      </c>
      <c r="Z56">
        <v>0</v>
      </c>
      <c r="AA56">
        <v>0</v>
      </c>
      <c r="AB56">
        <v>0</v>
      </c>
      <c r="AC56">
        <v>10.618365465453598</v>
      </c>
      <c r="AD56">
        <v>0.106183654654536</v>
      </c>
      <c r="AE56">
        <v>0</v>
      </c>
      <c r="AF56">
        <v>10.618365465453598</v>
      </c>
      <c r="AG56">
        <v>0.106183654654536</v>
      </c>
      <c r="AH56">
        <v>0</v>
      </c>
      <c r="AI56">
        <v>1000000</v>
      </c>
      <c r="AJ56">
        <v>0</v>
      </c>
      <c r="AK56">
        <v>1.0357953367494417</v>
      </c>
      <c r="AL56">
        <v>0.51789766837472084</v>
      </c>
      <c r="AM56">
        <v>0</v>
      </c>
      <c r="AN56">
        <v>0</v>
      </c>
      <c r="AO56">
        <v>1.38113061777223E-4</v>
      </c>
      <c r="AP56">
        <v>2.3430659452951301E-4</v>
      </c>
      <c r="AQ56">
        <v>0</v>
      </c>
      <c r="AR56">
        <v>0</v>
      </c>
      <c r="AS56">
        <v>0</v>
      </c>
      <c r="AT56">
        <v>0</v>
      </c>
      <c r="AU56">
        <v>0</v>
      </c>
      <c r="AV56">
        <v>0</v>
      </c>
      <c r="AW56">
        <v>0</v>
      </c>
      <c r="AX56">
        <v>0</v>
      </c>
      <c r="AY56">
        <v>0</v>
      </c>
      <c r="AZ56">
        <v>0</v>
      </c>
      <c r="BA56">
        <v>0</v>
      </c>
      <c r="BB56">
        <v>0</v>
      </c>
      <c r="BC56">
        <v>0</v>
      </c>
      <c r="BD56">
        <v>0</v>
      </c>
      <c r="BE56">
        <v>0</v>
      </c>
      <c r="BF56">
        <v>0</v>
      </c>
      <c r="BG56">
        <v>0</v>
      </c>
      <c r="BH56">
        <v>0</v>
      </c>
      <c r="BI56">
        <v>0</v>
      </c>
      <c r="BJ56">
        <v>0</v>
      </c>
      <c r="BK56">
        <v>0</v>
      </c>
      <c r="BL56">
        <v>0</v>
      </c>
      <c r="BM56">
        <v>0</v>
      </c>
      <c r="BN56">
        <v>0</v>
      </c>
      <c r="BO56">
        <v>0</v>
      </c>
      <c r="BP56">
        <v>0</v>
      </c>
      <c r="BQ56">
        <v>0</v>
      </c>
      <c r="BR56">
        <v>0</v>
      </c>
      <c r="BS56">
        <v>0</v>
      </c>
      <c r="BT56">
        <v>0</v>
      </c>
      <c r="BU56">
        <v>0</v>
      </c>
      <c r="BV56">
        <v>0</v>
      </c>
      <c r="BW56">
        <v>0</v>
      </c>
      <c r="BX56">
        <v>0</v>
      </c>
      <c r="BY56">
        <v>0</v>
      </c>
      <c r="BZ56">
        <v>0</v>
      </c>
      <c r="CA56">
        <v>0</v>
      </c>
      <c r="CB56">
        <v>0</v>
      </c>
      <c r="CC56">
        <v>3.7241965630673598E-4</v>
      </c>
      <c r="CD56">
        <v>0</v>
      </c>
      <c r="CE56">
        <v>7.3102800643574974E-3</v>
      </c>
      <c r="CF56">
        <v>3.7241965630673598E-4</v>
      </c>
      <c r="CG56">
        <v>3.6551400321787491E-4</v>
      </c>
      <c r="CH56">
        <v>4.68613189059026E-3</v>
      </c>
      <c r="CI56">
        <v>0</v>
      </c>
      <c r="CJ56">
        <v>0</v>
      </c>
      <c r="CK56">
        <v>0</v>
      </c>
      <c r="CL56">
        <v>0</v>
      </c>
      <c r="CM56">
        <v>0</v>
      </c>
      <c r="CN56">
        <v>0</v>
      </c>
      <c r="CO56">
        <v>0</v>
      </c>
      <c r="CP56">
        <v>0</v>
      </c>
      <c r="CQ56">
        <v>0</v>
      </c>
      <c r="CR56">
        <v>0</v>
      </c>
      <c r="CS56">
        <v>0</v>
      </c>
      <c r="CT56">
        <v>0</v>
      </c>
      <c r="CU56">
        <v>105.98121888933633</v>
      </c>
      <c r="CV56">
        <v>5.2990609444668166</v>
      </c>
      <c r="CW56">
        <v>12.39593558672891</v>
      </c>
      <c r="CX56">
        <v>113.07809353159843</v>
      </c>
      <c r="CY56">
        <v>0</v>
      </c>
      <c r="CZ56">
        <v>0.55173822553788499</v>
      </c>
      <c r="DA56">
        <v>1.0357953367494417</v>
      </c>
      <c r="DB56">
        <v>7.9376678114366328E-2</v>
      </c>
      <c r="DC56">
        <v>1.5081568841729602</v>
      </c>
      <c r="DD56">
        <v>0</v>
      </c>
      <c r="DE56">
        <v>1.2747593851393468</v>
      </c>
      <c r="DF56">
        <v>2.5910245281363466</v>
      </c>
      <c r="DG56">
        <v>0</v>
      </c>
      <c r="DH56">
        <v>0</v>
      </c>
      <c r="DI56">
        <v>5.5563674680056435E-2</v>
      </c>
      <c r="DJ56">
        <v>5.5563674680056435E-2</v>
      </c>
      <c r="DK56">
        <v>0</v>
      </c>
      <c r="DL56">
        <v>3.5098167839284176E-2</v>
      </c>
      <c r="DM56">
        <v>3.5098167839284176E-2</v>
      </c>
      <c r="DN56">
        <v>10.96227854537095</v>
      </c>
      <c r="DO56">
        <v>26.383548706026744</v>
      </c>
      <c r="DP56">
        <v>29.158330745533153</v>
      </c>
      <c r="DQ56">
        <v>0</v>
      </c>
      <c r="DR56">
        <v>0</v>
      </c>
      <c r="DS56">
        <v>0</v>
      </c>
      <c r="DT56">
        <v>0</v>
      </c>
      <c r="DU56">
        <v>9.0661842519340619E-2</v>
      </c>
      <c r="DV56">
        <v>7.8817619430618394E-2</v>
      </c>
      <c r="DW56">
        <v>0.1105443683521814</v>
      </c>
      <c r="DX56">
        <v>0</v>
      </c>
      <c r="DY56">
        <v>66.594819839450182</v>
      </c>
      <c r="DZ56">
        <v>57.8947550623258</v>
      </c>
      <c r="EA56">
        <v>115.40954838275013</v>
      </c>
      <c r="EB56">
        <v>0</v>
      </c>
      <c r="EC56">
        <v>0</v>
      </c>
      <c r="ED56">
        <v>0</v>
      </c>
      <c r="EE56">
        <v>0</v>
      </c>
      <c r="EF56">
        <v>0</v>
      </c>
      <c r="EG56">
        <v>0</v>
      </c>
      <c r="EH56">
        <v>0</v>
      </c>
      <c r="EI56">
        <v>0.6131943551702338</v>
      </c>
      <c r="EJ56">
        <v>57.198900217333403</v>
      </c>
      <c r="EK56">
        <v>0</v>
      </c>
      <c r="EL56">
        <v>0.24962300740396812</v>
      </c>
      <c r="EM56">
        <v>45.881495253325575</v>
      </c>
      <c r="EN56">
        <v>0</v>
      </c>
      <c r="EO56">
        <v>0</v>
      </c>
      <c r="EP56">
        <v>0</v>
      </c>
      <c r="EQ56">
        <v>1.1307809353159843</v>
      </c>
      <c r="ER56">
        <v>0</v>
      </c>
      <c r="ES56">
        <v>0.69338848646987883</v>
      </c>
      <c r="ET56">
        <v>64.679425886801923</v>
      </c>
      <c r="EU56">
        <v>0</v>
      </c>
      <c r="EV56">
        <v>0.28226893778864798</v>
      </c>
      <c r="EW56">
        <v>51.881920116251386</v>
      </c>
      <c r="EX56">
        <v>0</v>
      </c>
      <c r="EY56">
        <v>0</v>
      </c>
      <c r="EZ56">
        <v>0</v>
      </c>
      <c r="FA56">
        <v>95.857616874213022</v>
      </c>
      <c r="FB56">
        <v>76.489514744535967</v>
      </c>
      <c r="FC56">
        <v>0</v>
      </c>
      <c r="FD56">
        <v>0</v>
      </c>
      <c r="FE56">
        <v>62.805698395442548</v>
      </c>
      <c r="FF56">
        <v>12.39593558672891</v>
      </c>
      <c r="FG56">
        <v>0.12566068804861458</v>
      </c>
      <c r="FH56">
        <v>7.9376678114366328E-2</v>
      </c>
      <c r="FI56">
        <v>0</v>
      </c>
      <c r="FJ56">
        <v>75.406671348334442</v>
      </c>
      <c r="FK56">
        <v>0</v>
      </c>
      <c r="FL56">
        <v>0</v>
      </c>
      <c r="FM56">
        <v>15.722937449106094</v>
      </c>
      <c r="FN56">
        <v>0.83250326808167319</v>
      </c>
      <c r="FO56">
        <v>0</v>
      </c>
      <c r="FP56">
        <v>0</v>
      </c>
      <c r="FQ56">
        <v>0</v>
      </c>
      <c r="FR56">
        <v>0</v>
      </c>
      <c r="FS56">
        <v>0.58259222326139892</v>
      </c>
      <c r="FT56">
        <v>14.899814392893273</v>
      </c>
      <c r="FU56">
        <v>0</v>
      </c>
      <c r="FV56">
        <v>0.11912623552859053</v>
      </c>
      <c r="FW56">
        <v>0.47284619960165375</v>
      </c>
      <c r="FX56">
        <v>0</v>
      </c>
      <c r="FY56">
        <v>0</v>
      </c>
      <c r="FZ56">
        <v>0</v>
      </c>
      <c r="GA56">
        <v>0</v>
      </c>
      <c r="GB56">
        <v>19.380303043314981</v>
      </c>
      <c r="GC56">
        <v>0.61503468429316399</v>
      </c>
      <c r="GD56">
        <v>0</v>
      </c>
      <c r="GE56" t="str">
        <v/>
      </c>
      <c r="GF56" t="str">
        <v/>
      </c>
      <c r="GG56">
        <v>0</v>
      </c>
      <c r="GH56">
        <v>0</v>
      </c>
      <c r="GI56">
        <v>30</v>
      </c>
      <c r="GJ56">
        <v>0</v>
      </c>
      <c r="GK56">
        <v>156.12161612885822</v>
      </c>
      <c r="GL56">
        <v>78.060808064429111</v>
      </c>
      <c r="GM56">
        <v>0</v>
      </c>
      <c r="GN56">
        <v>0</v>
      </c>
      <c r="GO56">
        <v>8143.9574991680265</v>
      </c>
      <c r="GP56">
        <v>5296.1804132770012</v>
      </c>
      <c r="GQ56">
        <v>3972.1353099577505</v>
      </c>
      <c r="GR56">
        <v>0</v>
      </c>
      <c r="GS56">
        <v>1130.7809353159844</v>
      </c>
      <c r="GT56">
        <v>0</v>
      </c>
      <c r="GU56">
        <v>13240.451033192503</v>
      </c>
      <c r="GV56">
        <v>0</v>
      </c>
      <c r="GW56">
        <v>5958.2029649366259</v>
      </c>
      <c r="GX56">
        <v>1470.0152159107797</v>
      </c>
      <c r="GY56">
        <v>0</v>
      </c>
      <c r="GZ56">
        <v>-54.73514773901713</v>
      </c>
      <c r="HA56">
        <v>4.2584447026896237</v>
      </c>
      <c r="HB56" t="e">
        <v>#N/A</v>
      </c>
      <c r="HC56" t="e">
        <v>#N/A</v>
      </c>
      <c r="HD56" t="e">
        <v>#N/A</v>
      </c>
      <c r="HE56" t="e">
        <v>#N/A</v>
      </c>
      <c r="HF56" t="e">
        <v>#N/A</v>
      </c>
      <c r="HG56" t="e">
        <v>#N/A</v>
      </c>
      <c r="HH56" t="e">
        <v>#N/A</v>
      </c>
      <c r="HI56" t="e">
        <v>#N/A</v>
      </c>
      <c r="HJ56" t="e">
        <v>#N/A</v>
      </c>
      <c r="HK56" t="e">
        <v>#N/A</v>
      </c>
      <c r="HL56" t="e">
        <v>#N/A</v>
      </c>
      <c r="HM56" t="e">
        <v>#N/A</v>
      </c>
      <c r="HN56" t="e">
        <v>#N/A</v>
      </c>
      <c r="HO56" t="e">
        <v>#N/A</v>
      </c>
      <c r="HP56" t="e">
        <v>#N/A</v>
      </c>
      <c r="HQ56" t="e">
        <v>#N/A</v>
      </c>
      <c r="HR56" t="e">
        <v>#N/A</v>
      </c>
      <c r="HS56" t="e">
        <v>#N/A</v>
      </c>
      <c r="HT56" t="e">
        <v>#N/A</v>
      </c>
      <c r="HU56" t="e">
        <v>#N/A</v>
      </c>
      <c r="HV56" t="e">
        <v>#N/A</v>
      </c>
      <c r="HW56" t="e">
        <v>#N/A</v>
      </c>
      <c r="HX56" t="e">
        <v>#N/A</v>
      </c>
      <c r="HY56" t="e">
        <v>#N/A</v>
      </c>
      <c r="HZ56" t="e">
        <v>#N/A</v>
      </c>
      <c r="IA56" t="e">
        <v>#N/A</v>
      </c>
      <c r="IB56" t="e">
        <v>#N/A</v>
      </c>
      <c r="IC56" t="e">
        <v>#N/A</v>
      </c>
      <c r="ID56" t="e">
        <v>#N/A</v>
      </c>
      <c r="IE56" t="e">
        <v>#N/A</v>
      </c>
      <c r="IF56" t="e">
        <v>#N/A</v>
      </c>
      <c r="IG56" t="e">
        <v>#N/A</v>
      </c>
      <c r="IH56" t="e">
        <v>#N/A</v>
      </c>
      <c r="II56" t="e">
        <v>#N/A</v>
      </c>
      <c r="IJ56" t="e">
        <v>#N/A</v>
      </c>
      <c r="IK56" t="e">
        <v>#N/A</v>
      </c>
      <c r="IL56" t="e">
        <v>#N/A</v>
      </c>
      <c r="IM56" t="e">
        <v>#N/A</v>
      </c>
      <c r="IN56" t="e">
        <v>#N/A</v>
      </c>
      <c r="IO56" t="e">
        <v>#N/A</v>
      </c>
      <c r="IP56" t="e">
        <v>#N/A</v>
      </c>
      <c r="IQ56" t="e">
        <v>#N/A</v>
      </c>
      <c r="IR56" t="e">
        <v>#N/A</v>
      </c>
      <c r="IS56" t="e">
        <v>#N/A</v>
      </c>
      <c r="IT56" t="e">
        <v>#N/A</v>
      </c>
      <c r="IU56" t="e">
        <v>#N/A</v>
      </c>
      <c r="IV56" t="e">
        <v>#N/A</v>
      </c>
      <c r="IW56" t="e">
        <v>#N/A</v>
      </c>
      <c r="IX56" t="e">
        <v>#N/A</v>
      </c>
      <c r="IY56" t="e">
        <v>#N/A</v>
      </c>
      <c r="IZ56" t="e">
        <v>#N/A</v>
      </c>
      <c r="JA56" t="e">
        <v>#N/A</v>
      </c>
      <c r="JB56" t="e">
        <v>#N/A</v>
      </c>
      <c r="JC56" t="e">
        <v>#N/A</v>
      </c>
      <c r="JD56" t="e">
        <v>#N/A</v>
      </c>
      <c r="JE56" t="e">
        <v>#N/A</v>
      </c>
      <c r="JF56" t="e">
        <v>#N/A</v>
      </c>
      <c r="JG56" t="e">
        <v>#N/A</v>
      </c>
      <c r="JH56" t="e">
        <v>#N/A</v>
      </c>
      <c r="JI56" t="e">
        <v>#N/A</v>
      </c>
      <c r="JJ56" t="e">
        <v>#N/A</v>
      </c>
      <c r="JK56" t="e">
        <v>#N/A</v>
      </c>
      <c r="JL56" t="e">
        <v>#N/A</v>
      </c>
      <c r="JM56" t="e">
        <v>#N/A</v>
      </c>
      <c r="JN56" t="e">
        <v>#N/A</v>
      </c>
      <c r="JO56" t="e">
        <v>#N/A</v>
      </c>
      <c r="JP56" t="e">
        <v>#N/A</v>
      </c>
      <c r="JQ56" t="e">
        <v>#N/A</v>
      </c>
      <c r="JR56" t="e">
        <v>#N/A</v>
      </c>
      <c r="JS56" t="e">
        <v>#N/A</v>
      </c>
      <c r="JT56" t="e">
        <v>#N/A</v>
      </c>
      <c r="JU56" t="e">
        <v>#N/A</v>
      </c>
      <c r="JV56" t="e">
        <v>#N/A</v>
      </c>
      <c r="JW56" t="e">
        <v>#N/A</v>
      </c>
      <c r="JX56" t="e">
        <v>#N/A</v>
      </c>
      <c r="JY56" t="e">
        <v>#N/A</v>
      </c>
      <c r="JZ56" t="e">
        <v>#N/A</v>
      </c>
      <c r="KA56" t="e">
        <v>#N/A</v>
      </c>
      <c r="KB56" t="e">
        <v>#N/A</v>
      </c>
      <c r="KC56" t="e">
        <v>#N/A</v>
      </c>
      <c r="KD56" t="e">
        <v>#N/A</v>
      </c>
      <c r="KE56" t="e">
        <v>#N/A</v>
      </c>
      <c r="KF56" t="e">
        <v>#N/A</v>
      </c>
      <c r="KG56" t="e">
        <v>#N/A</v>
      </c>
      <c r="KH56" t="e">
        <v>#N/A</v>
      </c>
      <c r="KI56" t="e">
        <v>#N/A</v>
      </c>
      <c r="KJ56" t="e">
        <v>#N/A</v>
      </c>
      <c r="KK56" t="e">
        <v>#N/A</v>
      </c>
      <c r="KL56" t="e">
        <v>#N/A</v>
      </c>
      <c r="KM56" t="e">
        <v>#N/A</v>
      </c>
      <c r="KN56" t="e">
        <v>#N/A</v>
      </c>
    </row>
    <row r="57" spans="1:300" x14ac:dyDescent="0.15">
      <c r="A57">
        <v>3</v>
      </c>
      <c r="B57">
        <v>0</v>
      </c>
      <c r="C57">
        <v>6.9929008928705308E-2</v>
      </c>
      <c r="D57">
        <v>121.26857114190128</v>
      </c>
      <c r="E57">
        <v>0.82461596651440661</v>
      </c>
      <c r="F57">
        <v>0</v>
      </c>
      <c r="G57">
        <v>116.18342427282835</v>
      </c>
      <c r="H57">
        <v>124.3080159861705</v>
      </c>
      <c r="I57">
        <v>0</v>
      </c>
      <c r="J57">
        <v>0.81058424597018719</v>
      </c>
      <c r="K57">
        <v>0</v>
      </c>
      <c r="L57">
        <v>0</v>
      </c>
      <c r="M57">
        <v>0</v>
      </c>
      <c r="N57">
        <v>50000</v>
      </c>
      <c r="O57">
        <v>0.53792909001062172</v>
      </c>
      <c r="P57">
        <v>26896</v>
      </c>
      <c r="Q57">
        <v>1164</v>
      </c>
      <c r="R57">
        <v>0</v>
      </c>
      <c r="S57">
        <v>159.27548198180392</v>
      </c>
      <c r="T57">
        <v>1.5636137776346484</v>
      </c>
      <c r="U57">
        <v>0</v>
      </c>
      <c r="V57">
        <v>1.9999999999999997E-2</v>
      </c>
      <c r="W57">
        <v>1</v>
      </c>
      <c r="X57">
        <v>0</v>
      </c>
      <c r="Y57">
        <v>0</v>
      </c>
      <c r="Z57">
        <v>0</v>
      </c>
      <c r="AA57">
        <v>0</v>
      </c>
      <c r="AB57">
        <v>0</v>
      </c>
      <c r="AC57">
        <v>10.941742837052107</v>
      </c>
      <c r="AD57">
        <v>0.10941742837052108</v>
      </c>
      <c r="AE57">
        <v>0</v>
      </c>
      <c r="AF57">
        <v>10.941742837052107</v>
      </c>
      <c r="AG57">
        <v>0.10941742837052108</v>
      </c>
      <c r="AH57">
        <v>0</v>
      </c>
      <c r="AI57">
        <v>0</v>
      </c>
      <c r="AJ57">
        <v>0</v>
      </c>
      <c r="AK57">
        <v>2.8231323361834617</v>
      </c>
      <c r="AL57">
        <v>1.4115661680917309</v>
      </c>
      <c r="AM57">
        <v>0</v>
      </c>
      <c r="AN57">
        <v>0</v>
      </c>
      <c r="AO57">
        <v>1.38113061777223E-4</v>
      </c>
      <c r="AP57">
        <v>2.3430659452951301E-4</v>
      </c>
      <c r="AQ57">
        <v>6.0747313006415311E-4</v>
      </c>
      <c r="AR57">
        <v>0</v>
      </c>
      <c r="AS57">
        <v>0</v>
      </c>
      <c r="AT57">
        <v>0</v>
      </c>
      <c r="AU57">
        <v>0</v>
      </c>
      <c r="AV57">
        <v>0</v>
      </c>
      <c r="AW57">
        <v>0</v>
      </c>
      <c r="AX57">
        <v>0</v>
      </c>
      <c r="AY57">
        <v>0</v>
      </c>
      <c r="AZ57">
        <v>0</v>
      </c>
      <c r="BA57">
        <v>0</v>
      </c>
      <c r="BB57">
        <v>0</v>
      </c>
      <c r="BC57">
        <v>0</v>
      </c>
      <c r="BD57">
        <v>0</v>
      </c>
      <c r="BE57">
        <v>0</v>
      </c>
      <c r="BF57">
        <v>0</v>
      </c>
      <c r="BG57">
        <v>0</v>
      </c>
      <c r="BH57">
        <v>0</v>
      </c>
      <c r="BI57">
        <v>0</v>
      </c>
      <c r="BJ57">
        <v>0</v>
      </c>
      <c r="BK57">
        <v>0</v>
      </c>
      <c r="BL57">
        <v>0</v>
      </c>
      <c r="BM57">
        <v>0</v>
      </c>
      <c r="BN57">
        <v>0</v>
      </c>
      <c r="BO57">
        <v>0</v>
      </c>
      <c r="BP57">
        <v>0</v>
      </c>
      <c r="BQ57">
        <v>0</v>
      </c>
      <c r="BR57">
        <v>0</v>
      </c>
      <c r="BS57">
        <v>0</v>
      </c>
      <c r="BT57">
        <v>0</v>
      </c>
      <c r="BU57">
        <v>0</v>
      </c>
      <c r="BV57">
        <v>0</v>
      </c>
      <c r="BW57">
        <v>0</v>
      </c>
      <c r="BX57">
        <v>0</v>
      </c>
      <c r="BY57">
        <v>0</v>
      </c>
      <c r="BZ57">
        <v>0</v>
      </c>
      <c r="CA57">
        <v>0</v>
      </c>
      <c r="CB57">
        <v>0</v>
      </c>
      <c r="CC57">
        <v>9.7989278637088898E-4</v>
      </c>
      <c r="CD57">
        <v>0</v>
      </c>
      <c r="CE57">
        <v>1.9087323009333825E-2</v>
      </c>
      <c r="CF57">
        <v>9.7989278637088898E-4</v>
      </c>
      <c r="CG57">
        <v>9.543661504666913E-4</v>
      </c>
      <c r="CH57">
        <v>0</v>
      </c>
      <c r="CI57">
        <v>0</v>
      </c>
      <c r="CJ57">
        <v>0</v>
      </c>
      <c r="CK57">
        <v>0</v>
      </c>
      <c r="CL57">
        <v>0</v>
      </c>
      <c r="CM57">
        <v>0</v>
      </c>
      <c r="CN57">
        <v>0</v>
      </c>
      <c r="CO57">
        <v>0</v>
      </c>
      <c r="CP57">
        <v>0</v>
      </c>
      <c r="CQ57">
        <v>0</v>
      </c>
      <c r="CR57">
        <v>0</v>
      </c>
      <c r="CS57">
        <v>0</v>
      </c>
      <c r="CT57">
        <v>0</v>
      </c>
      <c r="CU57">
        <v>113.07809353159843</v>
      </c>
      <c r="CV57">
        <v>5.6539046765799217</v>
      </c>
      <c r="CW57">
        <v>13.844382286882771</v>
      </c>
      <c r="CX57">
        <v>121.26857114190128</v>
      </c>
      <c r="CY57">
        <v>0</v>
      </c>
      <c r="CZ57">
        <v>1.5081568841729602</v>
      </c>
      <c r="DA57">
        <v>2.8231323361834617</v>
      </c>
      <c r="DB57">
        <v>0.21656446101782112</v>
      </c>
      <c r="DC57">
        <v>4.1147247593386007</v>
      </c>
      <c r="DD57">
        <v>0</v>
      </c>
      <c r="DE57">
        <v>1.2674406949325774</v>
      </c>
      <c r="DF57">
        <v>3.858465223068924</v>
      </c>
      <c r="DG57">
        <v>0</v>
      </c>
      <c r="DH57">
        <v>0</v>
      </c>
      <c r="DI57">
        <v>0.15159512271247477</v>
      </c>
      <c r="DJ57">
        <v>0.15159512271247477</v>
      </c>
      <c r="DK57">
        <v>0</v>
      </c>
      <c r="DL57">
        <v>8.9291256167441047E-2</v>
      </c>
      <c r="DM57">
        <v>8.9291256167441047E-2</v>
      </c>
      <c r="DN57">
        <v>11.416298680292767</v>
      </c>
      <c r="DO57">
        <v>28.399559011898948</v>
      </c>
      <c r="DP57">
        <v>32.995580138406815</v>
      </c>
      <c r="DQ57">
        <v>0</v>
      </c>
      <c r="DR57">
        <v>0</v>
      </c>
      <c r="DS57">
        <v>0</v>
      </c>
      <c r="DT57">
        <v>0</v>
      </c>
      <c r="DU57">
        <v>0.24088637887991582</v>
      </c>
      <c r="DV57">
        <v>0.1952587037888654</v>
      </c>
      <c r="DW57">
        <v>0.30580307214104679</v>
      </c>
      <c r="DX57">
        <v>0</v>
      </c>
      <c r="DY57">
        <v>73.052324209478456</v>
      </c>
      <c r="DZ57">
        <v>59.215063135709748</v>
      </c>
      <c r="EA57">
        <v>174.62461151845989</v>
      </c>
      <c r="EB57">
        <v>0</v>
      </c>
      <c r="EC57">
        <v>0</v>
      </c>
      <c r="ED57">
        <v>0</v>
      </c>
      <c r="EE57">
        <v>0</v>
      </c>
      <c r="EF57">
        <v>0</v>
      </c>
      <c r="EG57">
        <v>0</v>
      </c>
      <c r="EH57">
        <v>0</v>
      </c>
      <c r="EI57">
        <v>0.6131943551702338</v>
      </c>
      <c r="EJ57">
        <v>57.198900217333403</v>
      </c>
      <c r="EK57">
        <v>0</v>
      </c>
      <c r="EL57">
        <v>0.24962300740396812</v>
      </c>
      <c r="EM57">
        <v>45.881495253325575</v>
      </c>
      <c r="EN57">
        <v>0</v>
      </c>
      <c r="EO57">
        <v>0</v>
      </c>
      <c r="EP57">
        <v>0</v>
      </c>
      <c r="EQ57">
        <v>1.2126857114190128</v>
      </c>
      <c r="ER57">
        <v>0</v>
      </c>
      <c r="ES57">
        <v>0.7436120328377378</v>
      </c>
      <c r="ET57">
        <v>69.364289002442078</v>
      </c>
      <c r="EU57">
        <v>0</v>
      </c>
      <c r="EV57">
        <v>0.30271425432023458</v>
      </c>
      <c r="EW57">
        <v>55.639833712247182</v>
      </c>
      <c r="EX57">
        <v>0</v>
      </c>
      <c r="EY57">
        <v>0</v>
      </c>
      <c r="EZ57">
        <v>0</v>
      </c>
      <c r="FA57">
        <v>109.62167997980994</v>
      </c>
      <c r="FB57">
        <v>87.472538756511995</v>
      </c>
      <c r="FC57">
        <v>0</v>
      </c>
      <c r="FD57">
        <v>0</v>
      </c>
      <c r="FE57">
        <v>74.45300799815783</v>
      </c>
      <c r="FF57">
        <v>13.844382286882771</v>
      </c>
      <c r="FG57">
        <v>0.36767447846846002</v>
      </c>
      <c r="FH57">
        <v>0.21656446101782112</v>
      </c>
      <c r="FI57">
        <v>0</v>
      </c>
      <c r="FJ57">
        <v>88.88162922452689</v>
      </c>
      <c r="FK57">
        <v>0</v>
      </c>
      <c r="FL57">
        <v>0</v>
      </c>
      <c r="FM57">
        <v>13.863079480983275</v>
      </c>
      <c r="FN57">
        <v>-0.94186525310264702</v>
      </c>
      <c r="FO57">
        <v>0</v>
      </c>
      <c r="FP57">
        <v>0</v>
      </c>
      <c r="FQ57">
        <v>0</v>
      </c>
      <c r="FR57">
        <v>0</v>
      </c>
      <c r="FS57">
        <v>0.30542744849104597</v>
      </c>
      <c r="FT57">
        <v>13.004649377760677</v>
      </c>
      <c r="FU57">
        <v>0</v>
      </c>
      <c r="FV57">
        <v>-0.15537767317940368</v>
      </c>
      <c r="FW57">
        <v>-1.3394902346548021</v>
      </c>
      <c r="FX57">
        <v>0</v>
      </c>
      <c r="FY57">
        <v>0</v>
      </c>
      <c r="FZ57">
        <v>0</v>
      </c>
      <c r="GA57">
        <v>0</v>
      </c>
      <c r="GB57">
        <v>19.455784590963489</v>
      </c>
      <c r="GC57">
        <v>-2.0039627913159848</v>
      </c>
      <c r="GD57">
        <v>0</v>
      </c>
      <c r="GE57" t="str">
        <v/>
      </c>
      <c r="GF57" t="str">
        <v/>
      </c>
      <c r="GG57">
        <v>0</v>
      </c>
      <c r="GH57">
        <v>0</v>
      </c>
      <c r="GI57">
        <v>0</v>
      </c>
      <c r="GJ57">
        <v>0</v>
      </c>
      <c r="GK57">
        <v>159.27548198180392</v>
      </c>
      <c r="GL57">
        <v>79.63774099090196</v>
      </c>
      <c r="GM57">
        <v>0</v>
      </c>
      <c r="GN57">
        <v>0</v>
      </c>
      <c r="GO57">
        <v>8910.2762906652097</v>
      </c>
      <c r="GP57">
        <v>5794.5330353613017</v>
      </c>
      <c r="GQ57">
        <v>4345.899776520976</v>
      </c>
      <c r="GR57">
        <v>0</v>
      </c>
      <c r="GS57">
        <v>1212.6857114190127</v>
      </c>
      <c r="GT57">
        <v>0</v>
      </c>
      <c r="GU57">
        <v>14486.332588403253</v>
      </c>
      <c r="GV57">
        <v>0</v>
      </c>
      <c r="GW57">
        <v>6518.8496647814636</v>
      </c>
      <c r="GX57">
        <v>1576.4914248447167</v>
      </c>
      <c r="GY57">
        <v>0</v>
      </c>
      <c r="GZ57">
        <v>-52.065683083746819</v>
      </c>
      <c r="HA57">
        <v>10.57055073046776</v>
      </c>
      <c r="HB57" t="e">
        <v>#N/A</v>
      </c>
      <c r="HC57" t="e">
        <v>#N/A</v>
      </c>
      <c r="HD57" t="e">
        <v>#N/A</v>
      </c>
      <c r="HE57" t="e">
        <v>#N/A</v>
      </c>
      <c r="HF57" t="e">
        <v>#N/A</v>
      </c>
      <c r="HG57" t="e">
        <v>#N/A</v>
      </c>
      <c r="HH57" t="e">
        <v>#N/A</v>
      </c>
      <c r="HI57" t="e">
        <v>#N/A</v>
      </c>
      <c r="HJ57" t="e">
        <v>#N/A</v>
      </c>
      <c r="HK57" t="e">
        <v>#N/A</v>
      </c>
      <c r="HL57" t="e">
        <v>#N/A</v>
      </c>
      <c r="HM57" t="e">
        <v>#N/A</v>
      </c>
      <c r="HN57" t="e">
        <v>#N/A</v>
      </c>
      <c r="HO57" t="e">
        <v>#N/A</v>
      </c>
      <c r="HP57" t="e">
        <v>#N/A</v>
      </c>
      <c r="HQ57" t="e">
        <v>#N/A</v>
      </c>
      <c r="HR57" t="e">
        <v>#N/A</v>
      </c>
      <c r="HS57" t="e">
        <v>#N/A</v>
      </c>
      <c r="HT57" t="e">
        <v>#N/A</v>
      </c>
      <c r="HU57" t="e">
        <v>#N/A</v>
      </c>
      <c r="HV57" t="e">
        <v>#N/A</v>
      </c>
      <c r="HW57" t="e">
        <v>#N/A</v>
      </c>
      <c r="HX57" t="e">
        <v>#N/A</v>
      </c>
      <c r="HY57" t="e">
        <v>#N/A</v>
      </c>
      <c r="HZ57" t="e">
        <v>#N/A</v>
      </c>
      <c r="IA57" t="e">
        <v>#N/A</v>
      </c>
      <c r="IB57" t="e">
        <v>#N/A</v>
      </c>
      <c r="IC57" t="e">
        <v>#N/A</v>
      </c>
      <c r="ID57" t="e">
        <v>#N/A</v>
      </c>
      <c r="IE57" t="e">
        <v>#N/A</v>
      </c>
      <c r="IF57" t="e">
        <v>#N/A</v>
      </c>
      <c r="IG57" t="e">
        <v>#N/A</v>
      </c>
      <c r="IH57" t="e">
        <v>#N/A</v>
      </c>
      <c r="II57" t="e">
        <v>#N/A</v>
      </c>
      <c r="IJ57" t="e">
        <v>#N/A</v>
      </c>
      <c r="IK57" t="e">
        <v>#N/A</v>
      </c>
      <c r="IL57" t="e">
        <v>#N/A</v>
      </c>
      <c r="IM57" t="e">
        <v>#N/A</v>
      </c>
      <c r="IN57" t="e">
        <v>#N/A</v>
      </c>
      <c r="IO57" t="e">
        <v>#N/A</v>
      </c>
      <c r="IP57" t="e">
        <v>#N/A</v>
      </c>
      <c r="IQ57" t="e">
        <v>#N/A</v>
      </c>
      <c r="IR57" t="e">
        <v>#N/A</v>
      </c>
      <c r="IS57" t="e">
        <v>#N/A</v>
      </c>
      <c r="IT57" t="e">
        <v>#N/A</v>
      </c>
      <c r="IU57" t="e">
        <v>#N/A</v>
      </c>
      <c r="IV57" t="e">
        <v>#N/A</v>
      </c>
      <c r="IW57" t="e">
        <v>#N/A</v>
      </c>
      <c r="IX57" t="e">
        <v>#N/A</v>
      </c>
      <c r="IY57" t="e">
        <v>#N/A</v>
      </c>
      <c r="IZ57" t="e">
        <v>#N/A</v>
      </c>
      <c r="JA57" t="e">
        <v>#N/A</v>
      </c>
      <c r="JB57" t="e">
        <v>#N/A</v>
      </c>
      <c r="JC57" t="e">
        <v>#N/A</v>
      </c>
      <c r="JD57" t="e">
        <v>#N/A</v>
      </c>
      <c r="JE57" t="e">
        <v>#N/A</v>
      </c>
      <c r="JF57" t="e">
        <v>#N/A</v>
      </c>
      <c r="JG57" t="e">
        <v>#N/A</v>
      </c>
      <c r="JH57" t="e">
        <v>#N/A</v>
      </c>
      <c r="JI57" t="e">
        <v>#N/A</v>
      </c>
      <c r="JJ57" t="e">
        <v>#N/A</v>
      </c>
      <c r="JK57" t="e">
        <v>#N/A</v>
      </c>
      <c r="JL57" t="e">
        <v>#N/A</v>
      </c>
      <c r="JM57" t="e">
        <v>#N/A</v>
      </c>
      <c r="JN57" t="e">
        <v>#N/A</v>
      </c>
      <c r="JO57" t="e">
        <v>#N/A</v>
      </c>
      <c r="JP57" t="e">
        <v>#N/A</v>
      </c>
      <c r="JQ57" t="e">
        <v>#N/A</v>
      </c>
      <c r="JR57" t="e">
        <v>#N/A</v>
      </c>
      <c r="JS57" t="e">
        <v>#N/A</v>
      </c>
      <c r="JT57" t="e">
        <v>#N/A</v>
      </c>
      <c r="JU57" t="e">
        <v>#N/A</v>
      </c>
      <c r="JV57" t="e">
        <v>#N/A</v>
      </c>
      <c r="JW57" t="e">
        <v>#N/A</v>
      </c>
      <c r="JX57" t="e">
        <v>#N/A</v>
      </c>
      <c r="JY57" t="e">
        <v>#N/A</v>
      </c>
      <c r="JZ57" t="e">
        <v>#N/A</v>
      </c>
      <c r="KA57" t="e">
        <v>#N/A</v>
      </c>
      <c r="KB57" t="e">
        <v>#N/A</v>
      </c>
      <c r="KC57" t="e">
        <v>#N/A</v>
      </c>
      <c r="KD57" t="e">
        <v>#N/A</v>
      </c>
      <c r="KE57" t="e">
        <v>#N/A</v>
      </c>
      <c r="KF57" t="e">
        <v>#N/A</v>
      </c>
      <c r="KG57" t="e">
        <v>#N/A</v>
      </c>
      <c r="KH57" t="e">
        <v>#N/A</v>
      </c>
      <c r="KI57" t="e">
        <v>#N/A</v>
      </c>
      <c r="KJ57" t="e">
        <v>#N/A</v>
      </c>
      <c r="KK57" t="e">
        <v>#N/A</v>
      </c>
      <c r="KL57" t="e">
        <v>#N/A</v>
      </c>
      <c r="KM57" t="e">
        <v>#N/A</v>
      </c>
      <c r="KN57" t="e">
        <v>#N/A</v>
      </c>
    </row>
    <row r="58" spans="1:300" x14ac:dyDescent="0.15">
      <c r="A58">
        <v>4</v>
      </c>
      <c r="B58">
        <v>0</v>
      </c>
      <c r="C58">
        <v>7.3540444827524018E-2</v>
      </c>
      <c r="D58">
        <v>130.52282647363782</v>
      </c>
      <c r="E58">
        <v>0.76614951347377813</v>
      </c>
      <c r="F58">
        <v>0</v>
      </c>
      <c r="G58">
        <v>122.14027581601702</v>
      </c>
      <c r="H58">
        <v>131.12252603088339</v>
      </c>
      <c r="I58">
        <v>0</v>
      </c>
      <c r="J58">
        <v>0.75578374145572558</v>
      </c>
      <c r="K58">
        <v>0</v>
      </c>
      <c r="L58">
        <v>0</v>
      </c>
      <c r="M58">
        <v>0</v>
      </c>
      <c r="N58">
        <v>50000</v>
      </c>
      <c r="O58">
        <v>0.59121276190317817</v>
      </c>
      <c r="P58">
        <v>29560</v>
      </c>
      <c r="Q58">
        <v>2664</v>
      </c>
      <c r="R58">
        <v>0</v>
      </c>
      <c r="S58">
        <v>162.49306015124375</v>
      </c>
      <c r="T58">
        <v>1.7532026231958293</v>
      </c>
      <c r="U58">
        <v>0</v>
      </c>
      <c r="V58">
        <v>2.7615941559557641E-2</v>
      </c>
      <c r="W58">
        <v>1</v>
      </c>
      <c r="X58">
        <v>0</v>
      </c>
      <c r="Y58">
        <v>0</v>
      </c>
      <c r="Z58">
        <v>0</v>
      </c>
      <c r="AA58">
        <v>0</v>
      </c>
      <c r="AB58">
        <v>0</v>
      </c>
      <c r="AC58">
        <v>11.274968515793761</v>
      </c>
      <c r="AD58">
        <v>0.11274968515793762</v>
      </c>
      <c r="AE58">
        <v>0</v>
      </c>
      <c r="AF58">
        <v>11.274968515793761</v>
      </c>
      <c r="AG58">
        <v>0.11274968515793762</v>
      </c>
      <c r="AH58">
        <v>0</v>
      </c>
      <c r="AI58">
        <v>0</v>
      </c>
      <c r="AJ58">
        <v>0</v>
      </c>
      <c r="AK58">
        <v>6.9542561945154242</v>
      </c>
      <c r="AL58">
        <v>3.4771280972577121</v>
      </c>
      <c r="AM58">
        <v>0</v>
      </c>
      <c r="AN58">
        <v>0</v>
      </c>
      <c r="AO58">
        <v>1.38113061777223E-4</v>
      </c>
      <c r="AP58">
        <v>2.3430659452951301E-4</v>
      </c>
      <c r="AQ58">
        <v>6.0747313006415311E-4</v>
      </c>
      <c r="AR58">
        <v>1.4234158528082081E-3</v>
      </c>
      <c r="AS58">
        <v>0</v>
      </c>
      <c r="AT58">
        <v>0</v>
      </c>
      <c r="AU58">
        <v>0</v>
      </c>
      <c r="AV58">
        <v>0</v>
      </c>
      <c r="AW58">
        <v>0</v>
      </c>
      <c r="AX58">
        <v>0</v>
      </c>
      <c r="AY58">
        <v>0</v>
      </c>
      <c r="AZ58">
        <v>0</v>
      </c>
      <c r="BA58">
        <v>0</v>
      </c>
      <c r="BB58">
        <v>0</v>
      </c>
      <c r="BC58">
        <v>0</v>
      </c>
      <c r="BD58">
        <v>0</v>
      </c>
      <c r="BE58">
        <v>0</v>
      </c>
      <c r="BF58">
        <v>0</v>
      </c>
      <c r="BG58">
        <v>0</v>
      </c>
      <c r="BH58">
        <v>0</v>
      </c>
      <c r="BI58">
        <v>0</v>
      </c>
      <c r="BJ58">
        <v>0</v>
      </c>
      <c r="BK58">
        <v>0</v>
      </c>
      <c r="BL58">
        <v>0</v>
      </c>
      <c r="BM58">
        <v>0</v>
      </c>
      <c r="BN58">
        <v>0</v>
      </c>
      <c r="BO58">
        <v>0</v>
      </c>
      <c r="BP58">
        <v>0</v>
      </c>
      <c r="BQ58">
        <v>0</v>
      </c>
      <c r="BR58">
        <v>0</v>
      </c>
      <c r="BS58">
        <v>0</v>
      </c>
      <c r="BT58">
        <v>0</v>
      </c>
      <c r="BU58">
        <v>0</v>
      </c>
      <c r="BV58">
        <v>0</v>
      </c>
      <c r="BW58">
        <v>0</v>
      </c>
      <c r="BX58">
        <v>0</v>
      </c>
      <c r="BY58">
        <v>0</v>
      </c>
      <c r="BZ58">
        <v>0</v>
      </c>
      <c r="CA58">
        <v>0</v>
      </c>
      <c r="CB58">
        <v>0</v>
      </c>
      <c r="CC58">
        <v>2.4033086391790971E-3</v>
      </c>
      <c r="CD58">
        <v>0</v>
      </c>
      <c r="CE58">
        <v>4.6575747279127097E-2</v>
      </c>
      <c r="CF58">
        <v>2.4033086391790971E-3</v>
      </c>
      <c r="CG58">
        <v>2.3287873639563548E-3</v>
      </c>
      <c r="CH58">
        <v>0</v>
      </c>
      <c r="CI58">
        <v>0</v>
      </c>
      <c r="CJ58">
        <v>0</v>
      </c>
      <c r="CK58">
        <v>0</v>
      </c>
      <c r="CL58">
        <v>0</v>
      </c>
      <c r="CM58">
        <v>0</v>
      </c>
      <c r="CN58">
        <v>0</v>
      </c>
      <c r="CO58">
        <v>0</v>
      </c>
      <c r="CP58">
        <v>0</v>
      </c>
      <c r="CQ58">
        <v>0</v>
      </c>
      <c r="CR58">
        <v>0</v>
      </c>
      <c r="CS58">
        <v>0</v>
      </c>
      <c r="CT58">
        <v>0</v>
      </c>
      <c r="CU58">
        <v>121.26857114190128</v>
      </c>
      <c r="CV58">
        <v>6.0634285570950643</v>
      </c>
      <c r="CW58">
        <v>15.31768388883161</v>
      </c>
      <c r="CX58">
        <v>130.52282647363782</v>
      </c>
      <c r="CY58">
        <v>0</v>
      </c>
      <c r="CZ58">
        <v>4.1147247593386007</v>
      </c>
      <c r="DA58">
        <v>6.9542561945154242</v>
      </c>
      <c r="DB58">
        <v>0.55344904769270131</v>
      </c>
      <c r="DC58">
        <v>10.515531906161323</v>
      </c>
      <c r="DD58">
        <v>0</v>
      </c>
      <c r="DE58">
        <v>1.3250420380889365</v>
      </c>
      <c r="DF58">
        <v>5.1835072611578603</v>
      </c>
      <c r="DG58">
        <v>0</v>
      </c>
      <c r="DH58">
        <v>0</v>
      </c>
      <c r="DI58">
        <v>0.3874143333848909</v>
      </c>
      <c r="DJ58">
        <v>0.3874143333848909</v>
      </c>
      <c r="DK58">
        <v>0</v>
      </c>
      <c r="DL58">
        <v>0.21201235931114448</v>
      </c>
      <c r="DM58">
        <v>0.21201235931114448</v>
      </c>
      <c r="DN58">
        <v>11.735636058973467</v>
      </c>
      <c r="DO58">
        <v>31.603669101490105</v>
      </c>
      <c r="DP58">
        <v>38.600808608541364</v>
      </c>
      <c r="DQ58">
        <v>0</v>
      </c>
      <c r="DR58">
        <v>0</v>
      </c>
      <c r="DS58">
        <v>0</v>
      </c>
      <c r="DT58">
        <v>0</v>
      </c>
      <c r="DU58">
        <v>0.59942669269603543</v>
      </c>
      <c r="DV58">
        <v>0.45303694853424109</v>
      </c>
      <c r="DW58">
        <v>0.75884002067528789</v>
      </c>
      <c r="DX58">
        <v>0</v>
      </c>
      <c r="DY58">
        <v>82.539540461700966</v>
      </c>
      <c r="DZ58">
        <v>62.382042708180606</v>
      </c>
      <c r="EA58">
        <v>237.00665422664048</v>
      </c>
      <c r="EB58">
        <v>0</v>
      </c>
      <c r="EC58">
        <v>0</v>
      </c>
      <c r="ED58">
        <v>0</v>
      </c>
      <c r="EE58">
        <v>0</v>
      </c>
      <c r="EF58">
        <v>0</v>
      </c>
      <c r="EG58">
        <v>0</v>
      </c>
      <c r="EH58">
        <v>0</v>
      </c>
      <c r="EI58">
        <v>0.6131943551702338</v>
      </c>
      <c r="EJ58">
        <v>57.198900217333403</v>
      </c>
      <c r="EK58">
        <v>0</v>
      </c>
      <c r="EL58">
        <v>0.24962300740396812</v>
      </c>
      <c r="EM58">
        <v>45.881495253325575</v>
      </c>
      <c r="EN58">
        <v>0</v>
      </c>
      <c r="EO58">
        <v>0</v>
      </c>
      <c r="EP58">
        <v>0</v>
      </c>
      <c r="EQ58">
        <v>1.3052282647363784</v>
      </c>
      <c r="ER58">
        <v>0</v>
      </c>
      <c r="ES58">
        <v>0.80035860414498683</v>
      </c>
      <c r="ET58">
        <v>74.657621275499338</v>
      </c>
      <c r="EU58">
        <v>0</v>
      </c>
      <c r="EV58">
        <v>0.32581500479215747</v>
      </c>
      <c r="EW58">
        <v>59.885824433008523</v>
      </c>
      <c r="EX58">
        <v>0</v>
      </c>
      <c r="EY58">
        <v>0</v>
      </c>
      <c r="EZ58">
        <v>0</v>
      </c>
      <c r="FA58">
        <v>132.29312826605053</v>
      </c>
      <c r="FB58">
        <v>105.56320420927359</v>
      </c>
      <c r="FC58">
        <v>0</v>
      </c>
      <c r="FD58">
        <v>0</v>
      </c>
      <c r="FE58">
        <v>91.632868618188127</v>
      </c>
      <c r="FF58">
        <v>15.31768388883161</v>
      </c>
      <c r="FG58">
        <v>1.0113282761959239</v>
      </c>
      <c r="FH58">
        <v>0.55344904769270131</v>
      </c>
      <c r="FI58">
        <v>0</v>
      </c>
      <c r="FJ58">
        <v>108.51532983090836</v>
      </c>
      <c r="FK58">
        <v>0</v>
      </c>
      <c r="FL58">
        <v>0</v>
      </c>
      <c r="FM58">
        <v>13.76837596182572</v>
      </c>
      <c r="FN58">
        <v>-1.7094086971960176</v>
      </c>
      <c r="FO58">
        <v>0</v>
      </c>
      <c r="FP58">
        <v>0</v>
      </c>
      <c r="FQ58">
        <v>0</v>
      </c>
      <c r="FR58">
        <v>0</v>
      </c>
      <c r="FS58">
        <v>-0.19419564549962859</v>
      </c>
      <c r="FT58">
        <v>12.855237617155785</v>
      </c>
      <c r="FU58">
        <v>0</v>
      </c>
      <c r="FV58">
        <v>-0.67594296513458285</v>
      </c>
      <c r="FW58">
        <v>-2.1407997222310065</v>
      </c>
      <c r="FX58">
        <v>0</v>
      </c>
      <c r="FY58">
        <v>0</v>
      </c>
      <c r="FZ58">
        <v>0</v>
      </c>
      <c r="GA58">
        <v>0</v>
      </c>
      <c r="GB58">
        <v>22.200820906117613</v>
      </c>
      <c r="GC58">
        <v>-3.6971320674531682</v>
      </c>
      <c r="GD58">
        <v>0</v>
      </c>
      <c r="GE58" t="str">
        <v/>
      </c>
      <c r="GF58" t="str">
        <v/>
      </c>
      <c r="GG58" t="str">
        <v>WTP_Connection</v>
      </c>
      <c r="GH58">
        <v>0</v>
      </c>
      <c r="GI58">
        <v>0</v>
      </c>
      <c r="GJ58">
        <v>0</v>
      </c>
      <c r="GK58">
        <v>162.49306015124375</v>
      </c>
      <c r="GL58">
        <v>81.246530075621877</v>
      </c>
      <c r="GM58">
        <v>0</v>
      </c>
      <c r="GN58">
        <v>0</v>
      </c>
      <c r="GO58">
        <v>9783.9735489715458</v>
      </c>
      <c r="GP58">
        <v>6362.7160479873555</v>
      </c>
      <c r="GQ58">
        <v>4772.0370359905164</v>
      </c>
      <c r="GR58">
        <v>0</v>
      </c>
      <c r="GS58">
        <v>1305.2282647363784</v>
      </c>
      <c r="GT58">
        <v>0</v>
      </c>
      <c r="GU58">
        <v>15906.790119968387</v>
      </c>
      <c r="GV58">
        <v>0</v>
      </c>
      <c r="GW58">
        <v>7158.0555539857751</v>
      </c>
      <c r="GX58">
        <v>1696.7967441572919</v>
      </c>
      <c r="GY58">
        <v>0</v>
      </c>
      <c r="GZ58">
        <v>-49.526409755989043</v>
      </c>
      <c r="HA58">
        <v>24.300059375351317</v>
      </c>
      <c r="HB58" t="e">
        <v>#N/A</v>
      </c>
      <c r="HC58" t="e">
        <v>#N/A</v>
      </c>
      <c r="HD58" t="e">
        <v>#N/A</v>
      </c>
      <c r="HE58" t="e">
        <v>#N/A</v>
      </c>
      <c r="HF58" t="e">
        <v>#N/A</v>
      </c>
      <c r="HG58" t="e">
        <v>#N/A</v>
      </c>
      <c r="HH58" t="e">
        <v>#N/A</v>
      </c>
      <c r="HI58" t="e">
        <v>#N/A</v>
      </c>
      <c r="HJ58" t="e">
        <v>#N/A</v>
      </c>
      <c r="HK58" t="e">
        <v>#N/A</v>
      </c>
      <c r="HL58" t="e">
        <v>#N/A</v>
      </c>
      <c r="HM58" t="e">
        <v>#N/A</v>
      </c>
      <c r="HN58" t="e">
        <v>#N/A</v>
      </c>
      <c r="HO58" t="e">
        <v>#N/A</v>
      </c>
      <c r="HP58" t="e">
        <v>#N/A</v>
      </c>
      <c r="HQ58" t="e">
        <v>#N/A</v>
      </c>
      <c r="HR58" t="e">
        <v>#N/A</v>
      </c>
      <c r="HS58" t="e">
        <v>#N/A</v>
      </c>
      <c r="HT58" t="e">
        <v>#N/A</v>
      </c>
      <c r="HU58" t="e">
        <v>#N/A</v>
      </c>
      <c r="HV58" t="e">
        <v>#N/A</v>
      </c>
      <c r="HW58" t="e">
        <v>#N/A</v>
      </c>
      <c r="HX58" t="e">
        <v>#N/A</v>
      </c>
      <c r="HY58" t="e">
        <v>#N/A</v>
      </c>
      <c r="HZ58" t="e">
        <v>#N/A</v>
      </c>
      <c r="IA58" t="e">
        <v>#N/A</v>
      </c>
      <c r="IB58" t="e">
        <v>#N/A</v>
      </c>
      <c r="IC58" t="e">
        <v>#N/A</v>
      </c>
      <c r="ID58" t="e">
        <v>#N/A</v>
      </c>
      <c r="IE58" t="e">
        <v>#N/A</v>
      </c>
      <c r="IF58" t="e">
        <v>#N/A</v>
      </c>
      <c r="IG58" t="e">
        <v>#N/A</v>
      </c>
      <c r="IH58" t="e">
        <v>#N/A</v>
      </c>
      <c r="II58" t="e">
        <v>#N/A</v>
      </c>
      <c r="IJ58" t="e">
        <v>#N/A</v>
      </c>
      <c r="IK58" t="e">
        <v>#N/A</v>
      </c>
      <c r="IL58" t="e">
        <v>#N/A</v>
      </c>
      <c r="IM58" t="e">
        <v>#N/A</v>
      </c>
      <c r="IN58" t="e">
        <v>#N/A</v>
      </c>
      <c r="IO58" t="e">
        <v>#N/A</v>
      </c>
      <c r="IP58" t="e">
        <v>#N/A</v>
      </c>
      <c r="IQ58" t="e">
        <v>#N/A</v>
      </c>
      <c r="IR58" t="e">
        <v>#N/A</v>
      </c>
      <c r="IS58" t="e">
        <v>#N/A</v>
      </c>
      <c r="IT58" t="e">
        <v>#N/A</v>
      </c>
      <c r="IU58" t="e">
        <v>#N/A</v>
      </c>
      <c r="IV58" t="e">
        <v>#N/A</v>
      </c>
      <c r="IW58" t="e">
        <v>#N/A</v>
      </c>
      <c r="IX58" t="e">
        <v>#N/A</v>
      </c>
      <c r="IY58" t="e">
        <v>#N/A</v>
      </c>
      <c r="IZ58" t="e">
        <v>#N/A</v>
      </c>
      <c r="JA58" t="e">
        <v>#N/A</v>
      </c>
      <c r="JB58" t="e">
        <v>#N/A</v>
      </c>
      <c r="JC58" t="e">
        <v>#N/A</v>
      </c>
      <c r="JD58" t="e">
        <v>#N/A</v>
      </c>
      <c r="JE58" t="e">
        <v>#N/A</v>
      </c>
      <c r="JF58" t="e">
        <v>#N/A</v>
      </c>
      <c r="JG58" t="e">
        <v>#N/A</v>
      </c>
      <c r="JH58" t="e">
        <v>#N/A</v>
      </c>
      <c r="JI58" t="e">
        <v>#N/A</v>
      </c>
      <c r="JJ58" t="e">
        <v>#N/A</v>
      </c>
      <c r="JK58" t="e">
        <v>#N/A</v>
      </c>
      <c r="JL58" t="e">
        <v>#N/A</v>
      </c>
      <c r="JM58" t="e">
        <v>#N/A</v>
      </c>
      <c r="JN58" t="e">
        <v>#N/A</v>
      </c>
      <c r="JO58" t="e">
        <v>#N/A</v>
      </c>
      <c r="JP58" t="e">
        <v>#N/A</v>
      </c>
      <c r="JQ58" t="e">
        <v>#N/A</v>
      </c>
      <c r="JR58" t="e">
        <v>#N/A</v>
      </c>
      <c r="JS58" t="e">
        <v>#N/A</v>
      </c>
      <c r="JT58" t="e">
        <v>#N/A</v>
      </c>
      <c r="JU58" t="e">
        <v>#N/A</v>
      </c>
      <c r="JV58" t="e">
        <v>#N/A</v>
      </c>
      <c r="JW58" t="e">
        <v>#N/A</v>
      </c>
      <c r="JX58" t="e">
        <v>#N/A</v>
      </c>
      <c r="JY58" t="e">
        <v>#N/A</v>
      </c>
      <c r="JZ58" t="e">
        <v>#N/A</v>
      </c>
      <c r="KA58" t="e">
        <v>#N/A</v>
      </c>
      <c r="KB58" t="e">
        <v>#N/A</v>
      </c>
      <c r="KC58" t="e">
        <v>#N/A</v>
      </c>
      <c r="KD58" t="e">
        <v>#N/A</v>
      </c>
      <c r="KE58" t="e">
        <v>#N/A</v>
      </c>
      <c r="KF58" t="e">
        <v>#N/A</v>
      </c>
      <c r="KG58" t="e">
        <v>#N/A</v>
      </c>
      <c r="KH58" t="e">
        <v>#N/A</v>
      </c>
      <c r="KI58" t="e">
        <v>#N/A</v>
      </c>
      <c r="KJ58" t="e">
        <v>#N/A</v>
      </c>
      <c r="KK58" t="e">
        <v>#N/A</v>
      </c>
      <c r="KL58" t="e">
        <v>#N/A</v>
      </c>
      <c r="KM58" t="e">
        <v>#N/A</v>
      </c>
      <c r="KN58" t="e">
        <v>#N/A</v>
      </c>
    </row>
    <row r="59" spans="1:300" x14ac:dyDescent="0.15">
      <c r="A59">
        <v>5</v>
      </c>
      <c r="B59">
        <v>0</v>
      </c>
      <c r="C59">
        <v>7.5954410655356047E-2</v>
      </c>
      <c r="D59">
        <v>140.82282467164859</v>
      </c>
      <c r="E59">
        <v>0.71011215854508192</v>
      </c>
      <c r="F59">
        <v>0</v>
      </c>
      <c r="G59">
        <v>128.40254166877421</v>
      </c>
      <c r="H59">
        <v>138.15528104787575</v>
      </c>
      <c r="I59">
        <v>0</v>
      </c>
      <c r="J59">
        <v>0.70468808971871355</v>
      </c>
      <c r="K59">
        <v>0</v>
      </c>
      <c r="L59">
        <v>0</v>
      </c>
      <c r="M59">
        <v>0</v>
      </c>
      <c r="N59">
        <v>50000</v>
      </c>
      <c r="O59">
        <v>0.68877033439907276</v>
      </c>
      <c r="P59">
        <v>34438</v>
      </c>
      <c r="Q59">
        <v>4878</v>
      </c>
      <c r="R59">
        <v>0</v>
      </c>
      <c r="S59">
        <v>165.77563771134712</v>
      </c>
      <c r="T59">
        <v>2.083778215198731</v>
      </c>
      <c r="U59">
        <v>0</v>
      </c>
      <c r="V59">
        <v>0.03</v>
      </c>
      <c r="W59">
        <v>1</v>
      </c>
      <c r="X59">
        <v>0</v>
      </c>
      <c r="Y59">
        <v>0</v>
      </c>
      <c r="Z59">
        <v>0</v>
      </c>
      <c r="AA59">
        <v>0</v>
      </c>
      <c r="AB59">
        <v>0</v>
      </c>
      <c r="AC59">
        <v>11.618342427282837</v>
      </c>
      <c r="AD59">
        <v>0.11618342427282838</v>
      </c>
      <c r="AE59">
        <v>0</v>
      </c>
      <c r="AF59">
        <v>11.618342427282837</v>
      </c>
      <c r="AG59">
        <v>0.11618342427282838</v>
      </c>
      <c r="AH59">
        <v>0</v>
      </c>
      <c r="AI59">
        <v>0</v>
      </c>
      <c r="AJ59">
        <v>0</v>
      </c>
      <c r="AK59">
        <v>13.738674774966036</v>
      </c>
      <c r="AL59">
        <v>6.8693373874830179</v>
      </c>
      <c r="AM59">
        <v>0</v>
      </c>
      <c r="AN59">
        <v>0</v>
      </c>
      <c r="AO59">
        <v>1.38113061777223E-4</v>
      </c>
      <c r="AP59">
        <v>2.3430659452951301E-4</v>
      </c>
      <c r="AQ59">
        <v>6.0747313006415311E-4</v>
      </c>
      <c r="AR59">
        <v>1.4234158528082081E-3</v>
      </c>
      <c r="AS59">
        <v>2.6749226682767253E-3</v>
      </c>
      <c r="AT59">
        <v>0</v>
      </c>
      <c r="AU59">
        <v>0</v>
      </c>
      <c r="AV59">
        <v>0</v>
      </c>
      <c r="AW59">
        <v>0</v>
      </c>
      <c r="AX59">
        <v>0</v>
      </c>
      <c r="AY59">
        <v>0</v>
      </c>
      <c r="AZ59">
        <v>0</v>
      </c>
      <c r="BA59">
        <v>0</v>
      </c>
      <c r="BB59">
        <v>0</v>
      </c>
      <c r="BC59">
        <v>0</v>
      </c>
      <c r="BD59">
        <v>0</v>
      </c>
      <c r="BE59">
        <v>0</v>
      </c>
      <c r="BF59">
        <v>0</v>
      </c>
      <c r="BG59">
        <v>0</v>
      </c>
      <c r="BH59">
        <v>0</v>
      </c>
      <c r="BI59">
        <v>0</v>
      </c>
      <c r="BJ59">
        <v>0</v>
      </c>
      <c r="BK59">
        <v>0</v>
      </c>
      <c r="BL59">
        <v>0</v>
      </c>
      <c r="BM59">
        <v>0</v>
      </c>
      <c r="BN59">
        <v>0</v>
      </c>
      <c r="BO59">
        <v>0</v>
      </c>
      <c r="BP59">
        <v>0</v>
      </c>
      <c r="BQ59">
        <v>0</v>
      </c>
      <c r="BR59">
        <v>0</v>
      </c>
      <c r="BS59">
        <v>0</v>
      </c>
      <c r="BT59">
        <v>0</v>
      </c>
      <c r="BU59">
        <v>0</v>
      </c>
      <c r="BV59">
        <v>0</v>
      </c>
      <c r="BW59">
        <v>0</v>
      </c>
      <c r="BX59">
        <v>0</v>
      </c>
      <c r="BY59">
        <v>0</v>
      </c>
      <c r="BZ59">
        <v>0</v>
      </c>
      <c r="CA59">
        <v>0</v>
      </c>
      <c r="CB59">
        <v>0</v>
      </c>
      <c r="CC59">
        <v>5.078231307455822E-3</v>
      </c>
      <c r="CD59">
        <v>0</v>
      </c>
      <c r="CE59">
        <v>9.7670892005482512E-2</v>
      </c>
      <c r="CF59">
        <v>5.078231307455822E-3</v>
      </c>
      <c r="CG59">
        <v>4.8835446002741256E-3</v>
      </c>
      <c r="CH59">
        <v>0</v>
      </c>
      <c r="CI59">
        <v>0</v>
      </c>
      <c r="CJ59">
        <v>0</v>
      </c>
      <c r="CK59">
        <v>0</v>
      </c>
      <c r="CL59">
        <v>0</v>
      </c>
      <c r="CM59">
        <v>0</v>
      </c>
      <c r="CN59">
        <v>0</v>
      </c>
      <c r="CO59">
        <v>0</v>
      </c>
      <c r="CP59">
        <v>0</v>
      </c>
      <c r="CQ59">
        <v>0</v>
      </c>
      <c r="CR59">
        <v>0</v>
      </c>
      <c r="CS59">
        <v>0</v>
      </c>
      <c r="CT59">
        <v>0</v>
      </c>
      <c r="CU59">
        <v>130.52282647363782</v>
      </c>
      <c r="CV59">
        <v>6.526141323681891</v>
      </c>
      <c r="CW59">
        <v>16.82613952169266</v>
      </c>
      <c r="CX59">
        <v>140.82282467164859</v>
      </c>
      <c r="CY59">
        <v>0</v>
      </c>
      <c r="CZ59">
        <v>10.515531906161323</v>
      </c>
      <c r="DA59">
        <v>13.738674774966036</v>
      </c>
      <c r="DB59">
        <v>1.2127103340563679</v>
      </c>
      <c r="DC59">
        <v>23.041496347070989</v>
      </c>
      <c r="DD59">
        <v>0</v>
      </c>
      <c r="DE59">
        <v>1.4684136898658642</v>
      </c>
      <c r="DF59">
        <v>6.6519209510237243</v>
      </c>
      <c r="DG59">
        <v>8.5439353809448964</v>
      </c>
      <c r="DH59">
        <v>0</v>
      </c>
      <c r="DI59">
        <v>0.84889723383945759</v>
      </c>
      <c r="DJ59">
        <v>0.84889723383945759</v>
      </c>
      <c r="DK59">
        <v>0</v>
      </c>
      <c r="DL59">
        <v>0.4305801765033474</v>
      </c>
      <c r="DM59">
        <v>0.4305801765033474</v>
      </c>
      <c r="DN59">
        <v>11.948446255729888</v>
      </c>
      <c r="DO59">
        <v>36.577155671294307</v>
      </c>
      <c r="DP59">
        <v>46.965997552086073</v>
      </c>
      <c r="DQ59">
        <v>0</v>
      </c>
      <c r="DR59">
        <v>0</v>
      </c>
      <c r="DS59">
        <v>0</v>
      </c>
      <c r="DT59">
        <v>0</v>
      </c>
      <c r="DU59">
        <v>1.279477410342805</v>
      </c>
      <c r="DV59">
        <v>0.9016324921327179</v>
      </c>
      <c r="DW59">
        <v>1.6604725128080058</v>
      </c>
      <c r="DX59">
        <v>0</v>
      </c>
      <c r="DY59">
        <v>96.77107688945307</v>
      </c>
      <c r="DZ59">
        <v>68.193425313251439</v>
      </c>
      <c r="EA59">
        <v>305.20007953989193</v>
      </c>
      <c r="EB59">
        <v>0</v>
      </c>
      <c r="EC59">
        <v>0</v>
      </c>
      <c r="ED59">
        <v>7.9775327019986984</v>
      </c>
      <c r="EE59">
        <v>413.67255842775188</v>
      </c>
      <c r="EF59">
        <v>0</v>
      </c>
      <c r="EG59">
        <v>0</v>
      </c>
      <c r="EH59">
        <v>0</v>
      </c>
      <c r="EI59">
        <v>0.6131943551702338</v>
      </c>
      <c r="EJ59">
        <v>57.198900217333403</v>
      </c>
      <c r="EK59">
        <v>0</v>
      </c>
      <c r="EL59">
        <v>0.24962300740396812</v>
      </c>
      <c r="EM59">
        <v>45.881495253325575</v>
      </c>
      <c r="EN59">
        <v>0</v>
      </c>
      <c r="EO59">
        <v>0</v>
      </c>
      <c r="EP59">
        <v>0</v>
      </c>
      <c r="EQ59">
        <v>1.4082282467164859</v>
      </c>
      <c r="ER59">
        <v>0</v>
      </c>
      <c r="ES59">
        <v>0.86351761167782448</v>
      </c>
      <c r="ET59">
        <v>80.549106967166651</v>
      </c>
      <c r="EU59">
        <v>0</v>
      </c>
      <c r="EV59">
        <v>0.35152617005658643</v>
      </c>
      <c r="EW59">
        <v>64.611617617321443</v>
      </c>
      <c r="EX59">
        <v>0</v>
      </c>
      <c r="EY59">
        <v>0</v>
      </c>
      <c r="EZ59">
        <v>0</v>
      </c>
      <c r="FA59">
        <v>169.64585353954888</v>
      </c>
      <c r="FB59">
        <v>135.36878381496112</v>
      </c>
      <c r="FC59">
        <v>0</v>
      </c>
      <c r="FD59">
        <v>0</v>
      </c>
      <c r="FE59">
        <v>117.6478281889277</v>
      </c>
      <c r="FF59">
        <v>16.82613952169266</v>
      </c>
      <c r="FG59">
        <v>2.3908821265044282</v>
      </c>
      <c r="FH59">
        <v>1.2127103340563679</v>
      </c>
      <c r="FI59">
        <v>0</v>
      </c>
      <c r="FJ59">
        <v>138.07756017118118</v>
      </c>
      <c r="FK59">
        <v>0</v>
      </c>
      <c r="FL59">
        <v>0</v>
      </c>
      <c r="FM59">
        <v>15.797013304700206</v>
      </c>
      <c r="FN59">
        <v>-1.3554922225077553</v>
      </c>
      <c r="FO59">
        <v>0</v>
      </c>
      <c r="FP59">
        <v>0</v>
      </c>
      <c r="FQ59">
        <v>0</v>
      </c>
      <c r="FR59">
        <v>0</v>
      </c>
      <c r="FS59">
        <v>-0.81831126514350006</v>
      </c>
      <c r="FT59">
        <v>14.981121052461255</v>
      </c>
      <c r="FU59">
        <v>0</v>
      </c>
      <c r="FV59">
        <v>-1.3521844094464675</v>
      </c>
      <c r="FW59">
        <v>-1.6375113304437396</v>
      </c>
      <c r="FX59">
        <v>0</v>
      </c>
      <c r="FY59">
        <v>0</v>
      </c>
      <c r="FZ59">
        <v>0</v>
      </c>
      <c r="GA59">
        <v>0</v>
      </c>
      <c r="GB59">
        <v>29.937837947532302</v>
      </c>
      <c r="GC59">
        <v>-3.2723551646369344</v>
      </c>
      <c r="GD59">
        <v>0</v>
      </c>
      <c r="GE59" t="str">
        <v/>
      </c>
      <c r="GF59" t="str">
        <v/>
      </c>
      <c r="GG59">
        <v>0</v>
      </c>
      <c r="GH59">
        <v>0</v>
      </c>
      <c r="GI59">
        <v>0</v>
      </c>
      <c r="GJ59">
        <v>0</v>
      </c>
      <c r="GK59">
        <v>165.77563771134712</v>
      </c>
      <c r="GL59">
        <v>82.887818855673558</v>
      </c>
      <c r="GM59">
        <v>0</v>
      </c>
      <c r="GN59">
        <v>0</v>
      </c>
      <c r="GO59">
        <v>10769.306589086531</v>
      </c>
      <c r="GP59">
        <v>7003.4980692767313</v>
      </c>
      <c r="GQ59">
        <v>5252.6235519575484</v>
      </c>
      <c r="GR59">
        <v>0</v>
      </c>
      <c r="GS59">
        <v>1408.228246716486</v>
      </c>
      <c r="GT59">
        <v>0</v>
      </c>
      <c r="GU59">
        <v>17508.745173191826</v>
      </c>
      <c r="GV59">
        <v>0</v>
      </c>
      <c r="GW59">
        <v>7878.935327936324</v>
      </c>
      <c r="GX59">
        <v>1830.6967207314317</v>
      </c>
      <c r="GY59">
        <v>0</v>
      </c>
      <c r="GZ59">
        <v>-47.110978249776025</v>
      </c>
      <c r="HA59">
        <v>48.192985829500145</v>
      </c>
      <c r="HB59" t="e">
        <v>#N/A</v>
      </c>
      <c r="HC59" t="e">
        <v>#N/A</v>
      </c>
      <c r="HD59" t="e">
        <v>#N/A</v>
      </c>
      <c r="HE59" t="e">
        <v>#N/A</v>
      </c>
      <c r="HF59" t="e">
        <v>#N/A</v>
      </c>
      <c r="HG59" t="e">
        <v>#N/A</v>
      </c>
      <c r="HH59" t="e">
        <v>#N/A</v>
      </c>
      <c r="HI59" t="e">
        <v>#N/A</v>
      </c>
      <c r="HJ59" t="e">
        <v>#N/A</v>
      </c>
      <c r="HK59" t="e">
        <v>#N/A</v>
      </c>
      <c r="HL59" t="e">
        <v>#N/A</v>
      </c>
      <c r="HM59" t="e">
        <v>#N/A</v>
      </c>
      <c r="HN59" t="e">
        <v>#N/A</v>
      </c>
      <c r="HO59" t="e">
        <v>#N/A</v>
      </c>
      <c r="HP59" t="e">
        <v>#N/A</v>
      </c>
      <c r="HQ59" t="e">
        <v>#N/A</v>
      </c>
      <c r="HR59" t="e">
        <v>#N/A</v>
      </c>
      <c r="HS59" t="e">
        <v>#N/A</v>
      </c>
      <c r="HT59" t="e">
        <v>#N/A</v>
      </c>
      <c r="HU59" t="e">
        <v>#N/A</v>
      </c>
      <c r="HV59" t="e">
        <v>#N/A</v>
      </c>
      <c r="HW59" t="e">
        <v>#N/A</v>
      </c>
      <c r="HX59" t="e">
        <v>#N/A</v>
      </c>
      <c r="HY59" t="e">
        <v>#N/A</v>
      </c>
      <c r="HZ59" t="e">
        <v>#N/A</v>
      </c>
      <c r="IA59" t="e">
        <v>#N/A</v>
      </c>
      <c r="IB59" t="e">
        <v>#N/A</v>
      </c>
      <c r="IC59" t="e">
        <v>#N/A</v>
      </c>
      <c r="ID59" t="e">
        <v>#N/A</v>
      </c>
      <c r="IE59" t="e">
        <v>#N/A</v>
      </c>
      <c r="IF59" t="e">
        <v>#N/A</v>
      </c>
      <c r="IG59" t="e">
        <v>#N/A</v>
      </c>
      <c r="IH59" t="e">
        <v>#N/A</v>
      </c>
      <c r="II59" t="e">
        <v>#N/A</v>
      </c>
      <c r="IJ59" t="e">
        <v>#N/A</v>
      </c>
      <c r="IK59" t="e">
        <v>#N/A</v>
      </c>
      <c r="IL59" t="e">
        <v>#N/A</v>
      </c>
      <c r="IM59" t="e">
        <v>#N/A</v>
      </c>
      <c r="IN59" t="e">
        <v>#N/A</v>
      </c>
      <c r="IO59" t="e">
        <v>#N/A</v>
      </c>
      <c r="IP59" t="e">
        <v>#N/A</v>
      </c>
      <c r="IQ59" t="e">
        <v>#N/A</v>
      </c>
      <c r="IR59" t="e">
        <v>#N/A</v>
      </c>
      <c r="IS59" t="e">
        <v>#N/A</v>
      </c>
      <c r="IT59" t="e">
        <v>#N/A</v>
      </c>
      <c r="IU59" t="e">
        <v>#N/A</v>
      </c>
      <c r="IV59" t="e">
        <v>#N/A</v>
      </c>
      <c r="IW59" t="e">
        <v>#N/A</v>
      </c>
      <c r="IX59" t="e">
        <v>#N/A</v>
      </c>
      <c r="IY59" t="e">
        <v>#N/A</v>
      </c>
      <c r="IZ59" t="e">
        <v>#N/A</v>
      </c>
      <c r="JA59" t="e">
        <v>#N/A</v>
      </c>
      <c r="JB59" t="e">
        <v>#N/A</v>
      </c>
      <c r="JC59" t="e">
        <v>#N/A</v>
      </c>
      <c r="JD59" t="e">
        <v>#N/A</v>
      </c>
      <c r="JE59" t="e">
        <v>#N/A</v>
      </c>
      <c r="JF59" t="e">
        <v>#N/A</v>
      </c>
      <c r="JG59" t="e">
        <v>#N/A</v>
      </c>
      <c r="JH59" t="e">
        <v>#N/A</v>
      </c>
      <c r="JI59" t="e">
        <v>#N/A</v>
      </c>
      <c r="JJ59" t="e">
        <v>#N/A</v>
      </c>
      <c r="JK59" t="e">
        <v>#N/A</v>
      </c>
      <c r="JL59" t="e">
        <v>#N/A</v>
      </c>
      <c r="JM59" t="e">
        <v>#N/A</v>
      </c>
      <c r="JN59" t="e">
        <v>#N/A</v>
      </c>
      <c r="JO59" t="e">
        <v>#N/A</v>
      </c>
      <c r="JP59" t="e">
        <v>#N/A</v>
      </c>
      <c r="JQ59" t="e">
        <v>#N/A</v>
      </c>
      <c r="JR59" t="e">
        <v>#N/A</v>
      </c>
      <c r="JS59" t="e">
        <v>#N/A</v>
      </c>
      <c r="JT59" t="e">
        <v>#N/A</v>
      </c>
      <c r="JU59" t="e">
        <v>#N/A</v>
      </c>
      <c r="JV59" t="e">
        <v>#N/A</v>
      </c>
      <c r="JW59" t="e">
        <v>#N/A</v>
      </c>
      <c r="JX59" t="e">
        <v>#N/A</v>
      </c>
      <c r="JY59" t="e">
        <v>#N/A</v>
      </c>
      <c r="JZ59" t="e">
        <v>#N/A</v>
      </c>
      <c r="KA59" t="e">
        <v>#N/A</v>
      </c>
      <c r="KB59" t="e">
        <v>#N/A</v>
      </c>
      <c r="KC59" t="e">
        <v>#N/A</v>
      </c>
      <c r="KD59" t="e">
        <v>#N/A</v>
      </c>
      <c r="KE59" t="e">
        <v>#N/A</v>
      </c>
      <c r="KF59" t="e">
        <v>#N/A</v>
      </c>
      <c r="KG59" t="e">
        <v>#N/A</v>
      </c>
      <c r="KH59" t="e">
        <v>#N/A</v>
      </c>
      <c r="KI59" t="e">
        <v>#N/A</v>
      </c>
      <c r="KJ59" t="e">
        <v>#N/A</v>
      </c>
      <c r="KK59" t="e">
        <v>#N/A</v>
      </c>
      <c r="KL59" t="e">
        <v>#N/A</v>
      </c>
      <c r="KM59" t="e">
        <v>#N/A</v>
      </c>
      <c r="KN59" t="e">
        <v>#N/A</v>
      </c>
    </row>
    <row r="60" spans="1:300" x14ac:dyDescent="0.15">
      <c r="A60">
        <v>6</v>
      </c>
      <c r="B60">
        <v>0</v>
      </c>
      <c r="C60">
        <v>7.7506456860953088E-2</v>
      </c>
      <c r="D60">
        <v>152.17162481266072</v>
      </c>
      <c r="E60">
        <v>0.65715273871269042</v>
      </c>
      <c r="F60">
        <v>0</v>
      </c>
      <c r="G60">
        <v>134.98588075760037</v>
      </c>
      <c r="H60">
        <v>145.44815810137709</v>
      </c>
      <c r="I60">
        <v>0</v>
      </c>
      <c r="J60">
        <v>0.65704681981505697</v>
      </c>
      <c r="K60">
        <v>0</v>
      </c>
      <c r="L60">
        <v>0</v>
      </c>
      <c r="M60">
        <v>0</v>
      </c>
      <c r="N60">
        <v>50000</v>
      </c>
      <c r="O60">
        <v>0.81122966560092724</v>
      </c>
      <c r="P60">
        <v>40561</v>
      </c>
      <c r="Q60">
        <v>6123</v>
      </c>
      <c r="R60">
        <v>0</v>
      </c>
      <c r="S60">
        <v>169.12452773690632</v>
      </c>
      <c r="T60">
        <v>2.5038488888808801</v>
      </c>
      <c r="U60">
        <v>0</v>
      </c>
      <c r="V60">
        <v>0.03</v>
      </c>
      <c r="W60">
        <v>1</v>
      </c>
      <c r="X60">
        <v>0</v>
      </c>
      <c r="Y60">
        <v>0</v>
      </c>
      <c r="Z60">
        <v>0</v>
      </c>
      <c r="AA60">
        <v>0</v>
      </c>
      <c r="AB60">
        <v>0</v>
      </c>
      <c r="AC60">
        <v>11.972173631218109</v>
      </c>
      <c r="AD60">
        <v>0.1197217363121811</v>
      </c>
      <c r="AE60">
        <v>0</v>
      </c>
      <c r="AF60">
        <v>11.972173631218109</v>
      </c>
      <c r="AG60">
        <v>0.1197217363121811</v>
      </c>
      <c r="AH60">
        <v>0</v>
      </c>
      <c r="AI60">
        <v>0</v>
      </c>
      <c r="AJ60">
        <v>0</v>
      </c>
      <c r="AK60">
        <v>18.634937174558434</v>
      </c>
      <c r="AL60">
        <v>9.3174685872792171</v>
      </c>
      <c r="AM60">
        <v>0</v>
      </c>
      <c r="AN60">
        <v>0</v>
      </c>
      <c r="AO60">
        <v>1.38113061777223E-4</v>
      </c>
      <c r="AP60">
        <v>2.3430659452951301E-4</v>
      </c>
      <c r="AQ60">
        <v>6.0747313006415311E-4</v>
      </c>
      <c r="AR60">
        <v>1.4234158528082081E-3</v>
      </c>
      <c r="AS60">
        <v>2.6749226682767253E-3</v>
      </c>
      <c r="AT60">
        <v>3.4512752500429926E-3</v>
      </c>
      <c r="AU60">
        <v>0</v>
      </c>
      <c r="AV60">
        <v>0</v>
      </c>
      <c r="AW60">
        <v>0</v>
      </c>
      <c r="AX60">
        <v>0</v>
      </c>
      <c r="AY60">
        <v>0</v>
      </c>
      <c r="AZ60">
        <v>0</v>
      </c>
      <c r="BA60">
        <v>0</v>
      </c>
      <c r="BB60">
        <v>0</v>
      </c>
      <c r="BC60">
        <v>0</v>
      </c>
      <c r="BD60">
        <v>0</v>
      </c>
      <c r="BE60">
        <v>0</v>
      </c>
      <c r="BF60">
        <v>0</v>
      </c>
      <c r="BG60">
        <v>0</v>
      </c>
      <c r="BH60">
        <v>0</v>
      </c>
      <c r="BI60">
        <v>0</v>
      </c>
      <c r="BJ60">
        <v>0</v>
      </c>
      <c r="BK60">
        <v>0</v>
      </c>
      <c r="BL60">
        <v>0</v>
      </c>
      <c r="BM60">
        <v>0</v>
      </c>
      <c r="BN60">
        <v>0</v>
      </c>
      <c r="BO60">
        <v>0</v>
      </c>
      <c r="BP60">
        <v>0</v>
      </c>
      <c r="BQ60">
        <v>0</v>
      </c>
      <c r="BR60">
        <v>0</v>
      </c>
      <c r="BS60">
        <v>0</v>
      </c>
      <c r="BT60">
        <v>0</v>
      </c>
      <c r="BU60">
        <v>0</v>
      </c>
      <c r="BV60">
        <v>0</v>
      </c>
      <c r="BW60">
        <v>0</v>
      </c>
      <c r="BX60">
        <v>0</v>
      </c>
      <c r="BY60">
        <v>0</v>
      </c>
      <c r="BZ60">
        <v>0</v>
      </c>
      <c r="CA60">
        <v>0</v>
      </c>
      <c r="CB60">
        <v>0</v>
      </c>
      <c r="CC60">
        <v>8.5295065574988137E-3</v>
      </c>
      <c r="CD60">
        <v>0</v>
      </c>
      <c r="CE60">
        <v>0.16161816569888654</v>
      </c>
      <c r="CF60">
        <v>8.5295065574988137E-3</v>
      </c>
      <c r="CG60">
        <v>8.080908284944328E-3</v>
      </c>
      <c r="CH60">
        <v>0</v>
      </c>
      <c r="CI60">
        <v>134.98588075760037</v>
      </c>
      <c r="CJ60">
        <v>2.76226123554446E-3</v>
      </c>
      <c r="CK60">
        <v>0.18643313288127317</v>
      </c>
      <c r="CL60">
        <v>9.3216566440636577E-3</v>
      </c>
      <c r="CM60">
        <v>9.3216566440636577E-3</v>
      </c>
      <c r="CN60">
        <v>0</v>
      </c>
      <c r="CO60">
        <v>0.18643313288127317</v>
      </c>
      <c r="CP60">
        <v>9.3216566440636577E-3</v>
      </c>
      <c r="CQ60">
        <v>9.3216566440636577E-3</v>
      </c>
      <c r="CR60">
        <v>0</v>
      </c>
      <c r="CS60">
        <v>0</v>
      </c>
      <c r="CT60">
        <v>0</v>
      </c>
      <c r="CU60">
        <v>140.82282467164859</v>
      </c>
      <c r="CV60">
        <v>7.0411412335824295</v>
      </c>
      <c r="CW60">
        <v>18.389941374594564</v>
      </c>
      <c r="CX60">
        <v>152.17162481266072</v>
      </c>
      <c r="CY60">
        <v>0</v>
      </c>
      <c r="CZ60">
        <v>23.041496347070989</v>
      </c>
      <c r="DA60">
        <v>18.634937174558434</v>
      </c>
      <c r="DB60">
        <v>2.0838216760814712</v>
      </c>
      <c r="DC60">
        <v>39.59261184554795</v>
      </c>
      <c r="DD60">
        <v>0</v>
      </c>
      <c r="DE60">
        <v>1.6451459497366463</v>
      </c>
      <c r="DF60">
        <v>1.6451459497366463</v>
      </c>
      <c r="DG60">
        <v>0</v>
      </c>
      <c r="DH60">
        <v>0</v>
      </c>
      <c r="DI60">
        <v>1.4586751732570298</v>
      </c>
      <c r="DJ60">
        <v>1.4586751732570298</v>
      </c>
      <c r="DK60">
        <v>0</v>
      </c>
      <c r="DL60">
        <v>0.6846945607129038</v>
      </c>
      <c r="DM60">
        <v>0.6846945607129038</v>
      </c>
      <c r="DN60">
        <v>12.085000339080636</v>
      </c>
      <c r="DO60">
        <v>42.875795944635051</v>
      </c>
      <c r="DP60">
        <v>57.876270787697131</v>
      </c>
      <c r="DQ60">
        <v>0</v>
      </c>
      <c r="DR60">
        <v>0</v>
      </c>
      <c r="DS60">
        <v>0</v>
      </c>
      <c r="DT60">
        <v>0</v>
      </c>
      <c r="DU60">
        <v>2.1433697339699336</v>
      </c>
      <c r="DV60">
        <v>1.4082942673927896</v>
      </c>
      <c r="DW60">
        <v>1.4082942673927896</v>
      </c>
      <c r="DX60">
        <v>0</v>
      </c>
      <c r="DY60">
        <v>114.98043680538275</v>
      </c>
      <c r="DZ60">
        <v>75.547530343922872</v>
      </c>
      <c r="EA60">
        <v>75.547530343922872</v>
      </c>
      <c r="EB60">
        <v>0</v>
      </c>
      <c r="EC60">
        <v>0</v>
      </c>
      <c r="ED60">
        <v>0</v>
      </c>
      <c r="EE60">
        <v>0</v>
      </c>
      <c r="EF60">
        <v>0</v>
      </c>
      <c r="EG60">
        <v>0</v>
      </c>
      <c r="EH60">
        <v>0</v>
      </c>
      <c r="EI60">
        <v>0.6131943551702338</v>
      </c>
      <c r="EJ60">
        <v>57.198900217333403</v>
      </c>
      <c r="EK60">
        <v>0</v>
      </c>
      <c r="EL60">
        <v>0.93370705024181044</v>
      </c>
      <c r="EM60">
        <v>48.417098208671462</v>
      </c>
      <c r="EN60">
        <v>0</v>
      </c>
      <c r="EO60">
        <v>0</v>
      </c>
      <c r="EP60">
        <v>0</v>
      </c>
      <c r="EQ60">
        <v>1.5217162481266073</v>
      </c>
      <c r="ER60">
        <v>0</v>
      </c>
      <c r="ES60">
        <v>0.93310781352206251</v>
      </c>
      <c r="ET60">
        <v>87.040495835688773</v>
      </c>
      <c r="EU60">
        <v>0</v>
      </c>
      <c r="EV60">
        <v>1.4208371893433294</v>
      </c>
      <c r="EW60">
        <v>73.677085031277016</v>
      </c>
      <c r="EX60">
        <v>0</v>
      </c>
      <c r="EY60">
        <v>0</v>
      </c>
      <c r="EZ60">
        <v>0</v>
      </c>
      <c r="FA60">
        <v>220.27260974792347</v>
      </c>
      <c r="FB60">
        <v>188.03384910936302</v>
      </c>
      <c r="FC60">
        <v>0</v>
      </c>
      <c r="FD60">
        <v>0</v>
      </c>
      <c r="FE60">
        <v>153.3160569789261</v>
      </c>
      <c r="FF60">
        <v>18.389941374594564</v>
      </c>
      <c r="FG60">
        <v>4.4393794237682327</v>
      </c>
      <c r="FH60">
        <v>2.0838216760814712</v>
      </c>
      <c r="FI60">
        <v>0</v>
      </c>
      <c r="FJ60">
        <v>178.22919945337037</v>
      </c>
      <c r="FK60">
        <v>0</v>
      </c>
      <c r="FL60">
        <v>0</v>
      </c>
      <c r="FM60">
        <v>18.153508620430642</v>
      </c>
      <c r="FN60">
        <v>4.2334527766274963</v>
      </c>
      <c r="FO60">
        <v>0</v>
      </c>
      <c r="FP60">
        <v>0</v>
      </c>
      <c r="FQ60">
        <v>0</v>
      </c>
      <c r="FR60">
        <v>0</v>
      </c>
      <c r="FS60">
        <v>-1.010804441048865</v>
      </c>
      <c r="FT60">
        <v>17.941704294547993</v>
      </c>
      <c r="FU60">
        <v>0</v>
      </c>
      <c r="FV60">
        <v>-0.48351427891268417</v>
      </c>
      <c r="FW60">
        <v>3.4943582886086606</v>
      </c>
      <c r="FX60">
        <v>0</v>
      </c>
      <c r="FY60">
        <v>0</v>
      </c>
      <c r="FZ60">
        <v>0</v>
      </c>
      <c r="GA60">
        <v>0</v>
      </c>
      <c r="GB60">
        <v>41.562194482025859</v>
      </c>
      <c r="GC60">
        <v>8.102233187740751</v>
      </c>
      <c r="GD60">
        <v>0</v>
      </c>
      <c r="GE60">
        <v>4458.6703918658122</v>
      </c>
      <c r="GF60">
        <v>869.18382612821551</v>
      </c>
      <c r="GG60">
        <v>0</v>
      </c>
      <c r="GH60">
        <v>0</v>
      </c>
      <c r="GI60">
        <v>0</v>
      </c>
      <c r="GJ60">
        <v>0</v>
      </c>
      <c r="GK60">
        <v>169.12452773690632</v>
      </c>
      <c r="GL60">
        <v>84.562263868453158</v>
      </c>
      <c r="GM60">
        <v>0</v>
      </c>
      <c r="GN60">
        <v>0</v>
      </c>
      <c r="GO60">
        <v>12700.90062958534</v>
      </c>
      <c r="GP60">
        <v>7720.7862544196823</v>
      </c>
      <c r="GQ60">
        <v>5790.5896908147624</v>
      </c>
      <c r="GR60">
        <v>0</v>
      </c>
      <c r="GS60">
        <v>1521.7162481266073</v>
      </c>
      <c r="GT60">
        <v>0</v>
      </c>
      <c r="GU60">
        <v>19301.965636049204</v>
      </c>
      <c r="GV60">
        <v>0</v>
      </c>
      <c r="GW60">
        <v>8685.8845362221437</v>
      </c>
      <c r="GX60">
        <v>1978.2311225645897</v>
      </c>
      <c r="GY60">
        <v>0</v>
      </c>
      <c r="GZ60">
        <v>-53.757859202499603</v>
      </c>
      <c r="HA60">
        <v>74.506293088605432</v>
      </c>
      <c r="HB60" t="e">
        <v>#N/A</v>
      </c>
      <c r="HC60" t="e">
        <v>#N/A</v>
      </c>
      <c r="HD60" t="e">
        <v>#N/A</v>
      </c>
      <c r="HE60" t="e">
        <v>#N/A</v>
      </c>
      <c r="HF60" t="e">
        <v>#N/A</v>
      </c>
      <c r="HG60" t="e">
        <v>#N/A</v>
      </c>
      <c r="HH60" t="e">
        <v>#N/A</v>
      </c>
      <c r="HI60" t="e">
        <v>#N/A</v>
      </c>
      <c r="HJ60" t="e">
        <v>#N/A</v>
      </c>
      <c r="HK60" t="e">
        <v>#N/A</v>
      </c>
      <c r="HL60" t="e">
        <v>#N/A</v>
      </c>
      <c r="HM60" t="e">
        <v>#N/A</v>
      </c>
      <c r="HN60" t="e">
        <v>#N/A</v>
      </c>
      <c r="HO60" t="e">
        <v>#N/A</v>
      </c>
      <c r="HP60" t="e">
        <v>#N/A</v>
      </c>
      <c r="HQ60" t="e">
        <v>#N/A</v>
      </c>
      <c r="HR60" t="e">
        <v>#N/A</v>
      </c>
      <c r="HS60" t="e">
        <v>#N/A</v>
      </c>
      <c r="HT60" t="e">
        <v>#N/A</v>
      </c>
      <c r="HU60" t="e">
        <v>#N/A</v>
      </c>
      <c r="HV60" t="e">
        <v>#N/A</v>
      </c>
      <c r="HW60" t="e">
        <v>#N/A</v>
      </c>
      <c r="HX60" t="e">
        <v>#N/A</v>
      </c>
      <c r="HY60" t="e">
        <v>#N/A</v>
      </c>
      <c r="HZ60" t="e">
        <v>#N/A</v>
      </c>
      <c r="IA60" t="e">
        <v>#N/A</v>
      </c>
      <c r="IB60" t="e">
        <v>#N/A</v>
      </c>
      <c r="IC60" t="e">
        <v>#N/A</v>
      </c>
      <c r="ID60" t="e">
        <v>#N/A</v>
      </c>
      <c r="IE60" t="e">
        <v>#N/A</v>
      </c>
      <c r="IF60" t="e">
        <v>#N/A</v>
      </c>
      <c r="IG60" t="e">
        <v>#N/A</v>
      </c>
      <c r="IH60" t="e">
        <v>#N/A</v>
      </c>
      <c r="II60" t="e">
        <v>#N/A</v>
      </c>
      <c r="IJ60" t="e">
        <v>#N/A</v>
      </c>
      <c r="IK60" t="e">
        <v>#N/A</v>
      </c>
      <c r="IL60" t="e">
        <v>#N/A</v>
      </c>
      <c r="IM60" t="e">
        <v>#N/A</v>
      </c>
      <c r="IN60" t="e">
        <v>#N/A</v>
      </c>
      <c r="IO60" t="e">
        <v>#N/A</v>
      </c>
      <c r="IP60" t="e">
        <v>#N/A</v>
      </c>
      <c r="IQ60" t="e">
        <v>#N/A</v>
      </c>
      <c r="IR60" t="e">
        <v>#N/A</v>
      </c>
      <c r="IS60" t="e">
        <v>#N/A</v>
      </c>
      <c r="IT60" t="e">
        <v>#N/A</v>
      </c>
      <c r="IU60" t="e">
        <v>#N/A</v>
      </c>
      <c r="IV60" t="e">
        <v>#N/A</v>
      </c>
      <c r="IW60" t="e">
        <v>#N/A</v>
      </c>
      <c r="IX60" t="e">
        <v>#N/A</v>
      </c>
      <c r="IY60" t="e">
        <v>#N/A</v>
      </c>
      <c r="IZ60" t="e">
        <v>#N/A</v>
      </c>
      <c r="JA60" t="e">
        <v>#N/A</v>
      </c>
      <c r="JB60" t="e">
        <v>#N/A</v>
      </c>
      <c r="JC60" t="e">
        <v>#N/A</v>
      </c>
      <c r="JD60" t="e">
        <v>#N/A</v>
      </c>
      <c r="JE60" t="e">
        <v>#N/A</v>
      </c>
      <c r="JF60" t="e">
        <v>#N/A</v>
      </c>
      <c r="JG60" t="e">
        <v>#N/A</v>
      </c>
      <c r="JH60" t="e">
        <v>#N/A</v>
      </c>
      <c r="JI60" t="e">
        <v>#N/A</v>
      </c>
      <c r="JJ60" t="e">
        <v>#N/A</v>
      </c>
      <c r="JK60" t="e">
        <v>#N/A</v>
      </c>
      <c r="JL60" t="e">
        <v>#N/A</v>
      </c>
      <c r="JM60" t="e">
        <v>#N/A</v>
      </c>
      <c r="JN60" t="e">
        <v>#N/A</v>
      </c>
      <c r="JO60" t="e">
        <v>#N/A</v>
      </c>
      <c r="JP60" t="e">
        <v>#N/A</v>
      </c>
      <c r="JQ60" t="e">
        <v>#N/A</v>
      </c>
      <c r="JR60" t="e">
        <v>#N/A</v>
      </c>
      <c r="JS60" t="e">
        <v>#N/A</v>
      </c>
      <c r="JT60" t="e">
        <v>#N/A</v>
      </c>
      <c r="JU60" t="e">
        <v>#N/A</v>
      </c>
      <c r="JV60" t="e">
        <v>#N/A</v>
      </c>
      <c r="JW60" t="e">
        <v>#N/A</v>
      </c>
      <c r="JX60" t="e">
        <v>#N/A</v>
      </c>
      <c r="JY60" t="e">
        <v>#N/A</v>
      </c>
      <c r="JZ60" t="e">
        <v>#N/A</v>
      </c>
      <c r="KA60" t="e">
        <v>#N/A</v>
      </c>
      <c r="KB60" t="e">
        <v>#N/A</v>
      </c>
      <c r="KC60" t="e">
        <v>#N/A</v>
      </c>
      <c r="KD60" t="e">
        <v>#N/A</v>
      </c>
      <c r="KE60" t="e">
        <v>#N/A</v>
      </c>
      <c r="KF60" t="e">
        <v>#N/A</v>
      </c>
      <c r="KG60" t="e">
        <v>#N/A</v>
      </c>
      <c r="KH60" t="e">
        <v>#N/A</v>
      </c>
      <c r="KI60" t="e">
        <v>#N/A</v>
      </c>
      <c r="KJ60" t="e">
        <v>#N/A</v>
      </c>
      <c r="KK60" t="e">
        <v>#N/A</v>
      </c>
      <c r="KL60" t="e">
        <v>#N/A</v>
      </c>
      <c r="KM60" t="e">
        <v>#N/A</v>
      </c>
      <c r="KN60" t="e">
        <v>#N/A</v>
      </c>
    </row>
    <row r="61" spans="1:300" x14ac:dyDescent="0.15">
      <c r="A61">
        <v>7</v>
      </c>
      <c r="B61">
        <v>0</v>
      </c>
      <c r="C61">
        <v>7.8478834397158789E-2</v>
      </c>
      <c r="D61">
        <v>164.59498646637644</v>
      </c>
      <c r="E61">
        <v>0.60755191969609623</v>
      </c>
      <c r="F61">
        <v>0</v>
      </c>
      <c r="G61">
        <v>141.90675485932579</v>
      </c>
      <c r="H61">
        <v>153.04343157376903</v>
      </c>
      <c r="I61">
        <v>0</v>
      </c>
      <c r="J61">
        <v>0.61262639418441622</v>
      </c>
      <c r="K61">
        <v>0</v>
      </c>
      <c r="L61">
        <v>0</v>
      </c>
      <c r="M61">
        <v>0</v>
      </c>
      <c r="N61">
        <v>50000</v>
      </c>
      <c r="O61">
        <v>0.90878723809682183</v>
      </c>
      <c r="P61">
        <v>45439</v>
      </c>
      <c r="Q61">
        <v>4878</v>
      </c>
      <c r="R61">
        <v>0</v>
      </c>
      <c r="S61">
        <v>172.54106982858406</v>
      </c>
      <c r="T61">
        <v>2.8616341902584765</v>
      </c>
      <c r="U61">
        <v>0</v>
      </c>
      <c r="V61">
        <v>0.03</v>
      </c>
      <c r="W61">
        <v>1</v>
      </c>
      <c r="X61">
        <v>0</v>
      </c>
      <c r="Y61">
        <v>0</v>
      </c>
      <c r="Z61">
        <v>0</v>
      </c>
      <c r="AA61">
        <v>0</v>
      </c>
      <c r="AB61">
        <v>0</v>
      </c>
      <c r="AC61">
        <v>12.33678059956744</v>
      </c>
      <c r="AD61">
        <v>0.12336780599567441</v>
      </c>
      <c r="AE61">
        <v>0</v>
      </c>
      <c r="AF61">
        <v>12.33678059956744</v>
      </c>
      <c r="AG61">
        <v>0.12336780599567441</v>
      </c>
      <c r="AH61">
        <v>0</v>
      </c>
      <c r="AI61">
        <v>0</v>
      </c>
      <c r="AJ61">
        <v>0</v>
      </c>
      <c r="AK61">
        <v>16.057886879659687</v>
      </c>
      <c r="AL61">
        <v>8.0289434398298436</v>
      </c>
      <c r="AM61">
        <v>0</v>
      </c>
      <c r="AN61">
        <v>0</v>
      </c>
      <c r="AO61">
        <v>1.38113061777223E-4</v>
      </c>
      <c r="AP61">
        <v>2.3430659452951301E-4</v>
      </c>
      <c r="AQ61">
        <v>6.0747313006415311E-4</v>
      </c>
      <c r="AR61">
        <v>1.4234158528082081E-3</v>
      </c>
      <c r="AS61">
        <v>2.6749226682767253E-3</v>
      </c>
      <c r="AT61">
        <v>3.4512752500429926E-3</v>
      </c>
      <c r="AU61">
        <v>2.8289504075366427E-3</v>
      </c>
      <c r="AV61">
        <v>0</v>
      </c>
      <c r="AW61">
        <v>0</v>
      </c>
      <c r="AX61">
        <v>0</v>
      </c>
      <c r="AY61">
        <v>0</v>
      </c>
      <c r="AZ61">
        <v>0</v>
      </c>
      <c r="BA61">
        <v>0</v>
      </c>
      <c r="BB61">
        <v>0</v>
      </c>
      <c r="BC61">
        <v>0</v>
      </c>
      <c r="BD61">
        <v>0</v>
      </c>
      <c r="BE61">
        <v>0</v>
      </c>
      <c r="BF61">
        <v>0</v>
      </c>
      <c r="BG61">
        <v>0</v>
      </c>
      <c r="BH61">
        <v>0</v>
      </c>
      <c r="BI61">
        <v>0</v>
      </c>
      <c r="BJ61">
        <v>0</v>
      </c>
      <c r="BK61">
        <v>0</v>
      </c>
      <c r="BL61">
        <v>0</v>
      </c>
      <c r="BM61">
        <v>0</v>
      </c>
      <c r="BN61">
        <v>0</v>
      </c>
      <c r="BO61">
        <v>0</v>
      </c>
      <c r="BP61">
        <v>0</v>
      </c>
      <c r="BQ61">
        <v>0</v>
      </c>
      <c r="BR61">
        <v>0</v>
      </c>
      <c r="BS61">
        <v>0</v>
      </c>
      <c r="BT61">
        <v>0</v>
      </c>
      <c r="BU61">
        <v>0</v>
      </c>
      <c r="BV61">
        <v>0</v>
      </c>
      <c r="BW61">
        <v>0</v>
      </c>
      <c r="BX61">
        <v>0</v>
      </c>
      <c r="BY61">
        <v>0</v>
      </c>
      <c r="BZ61">
        <v>0</v>
      </c>
      <c r="CA61">
        <v>0</v>
      </c>
      <c r="CB61">
        <v>0</v>
      </c>
      <c r="CC61">
        <v>1.1358456965035457E-2</v>
      </c>
      <c r="CD61">
        <v>0</v>
      </c>
      <c r="CE61">
        <v>0.20966766729212058</v>
      </c>
      <c r="CF61">
        <v>1.1358456965035457E-2</v>
      </c>
      <c r="CG61">
        <v>1.048338336460603E-2</v>
      </c>
      <c r="CH61">
        <v>0</v>
      </c>
      <c r="CI61">
        <v>0.18643313288127317</v>
      </c>
      <c r="CJ61">
        <v>0</v>
      </c>
      <c r="CK61">
        <v>0.51868906052289787</v>
      </c>
      <c r="CL61">
        <v>2.6424432436157174E-2</v>
      </c>
      <c r="CM61">
        <v>2.5934453026144895E-2</v>
      </c>
      <c r="CN61">
        <v>0</v>
      </c>
      <c r="CO61">
        <v>0.51868906052289787</v>
      </c>
      <c r="CP61">
        <v>2.6424432436157174E-2</v>
      </c>
      <c r="CQ61">
        <v>2.5934453026144895E-2</v>
      </c>
      <c r="CR61">
        <v>0</v>
      </c>
      <c r="CS61">
        <v>0</v>
      </c>
      <c r="CT61">
        <v>0</v>
      </c>
      <c r="CU61">
        <v>152.17162481266072</v>
      </c>
      <c r="CV61">
        <v>7.6085812406330362</v>
      </c>
      <c r="CW61">
        <v>20.031942894348752</v>
      </c>
      <c r="CX61">
        <v>164.59498646637644</v>
      </c>
      <c r="CY61">
        <v>0</v>
      </c>
      <c r="CZ61">
        <v>39.59261184554795</v>
      </c>
      <c r="DA61">
        <v>16.057886879659687</v>
      </c>
      <c r="DB61">
        <v>2.7825249362603821</v>
      </c>
      <c r="DC61">
        <v>52.867973788947261</v>
      </c>
      <c r="DD61">
        <v>0</v>
      </c>
      <c r="DE61">
        <v>1.7531126354528921</v>
      </c>
      <c r="DF61">
        <v>3.3982585851895384</v>
      </c>
      <c r="DG61">
        <v>0</v>
      </c>
      <c r="DH61">
        <v>0</v>
      </c>
      <c r="DI61">
        <v>1.9477674553822677</v>
      </c>
      <c r="DJ61">
        <v>1.9477674553822677</v>
      </c>
      <c r="DK61">
        <v>0</v>
      </c>
      <c r="DL61">
        <v>0.84526418331362652</v>
      </c>
      <c r="DM61">
        <v>0.84526418331362652</v>
      </c>
      <c r="DN61">
        <v>12.170445360704159</v>
      </c>
      <c r="DO61">
        <v>48.731990044350589</v>
      </c>
      <c r="DP61">
        <v>69.153985650307646</v>
      </c>
      <c r="DQ61">
        <v>0</v>
      </c>
      <c r="DR61">
        <v>0</v>
      </c>
      <c r="DS61">
        <v>0</v>
      </c>
      <c r="DT61">
        <v>0</v>
      </c>
      <c r="DU61">
        <v>2.7930316386958944</v>
      </c>
      <c r="DV61">
        <v>1.7110849016572569</v>
      </c>
      <c r="DW61">
        <v>3.1193791690500463</v>
      </c>
      <c r="DX61">
        <v>0</v>
      </c>
      <c r="DY61">
        <v>132.8494526940583</v>
      </c>
      <c r="DZ61">
        <v>81.38708117333411</v>
      </c>
      <c r="EA61">
        <v>156.934611517257</v>
      </c>
      <c r="EB61">
        <v>0</v>
      </c>
      <c r="EC61">
        <v>0</v>
      </c>
      <c r="ED61">
        <v>0</v>
      </c>
      <c r="EE61">
        <v>0</v>
      </c>
      <c r="EF61">
        <v>0</v>
      </c>
      <c r="EG61">
        <v>0</v>
      </c>
      <c r="EH61">
        <v>0</v>
      </c>
      <c r="EI61">
        <v>0.6131943551702338</v>
      </c>
      <c r="EJ61">
        <v>57.198900217333403</v>
      </c>
      <c r="EK61">
        <v>0</v>
      </c>
      <c r="EL61">
        <v>0.93370705024181044</v>
      </c>
      <c r="EM61">
        <v>48.417098208671462</v>
      </c>
      <c r="EN61">
        <v>0</v>
      </c>
      <c r="EO61">
        <v>0</v>
      </c>
      <c r="EP61">
        <v>0</v>
      </c>
      <c r="EQ61">
        <v>1.6459498646637647</v>
      </c>
      <c r="ER61">
        <v>0</v>
      </c>
      <c r="ES61">
        <v>1.0092871659050309</v>
      </c>
      <c r="ET61">
        <v>94.146522071636099</v>
      </c>
      <c r="EU61">
        <v>0</v>
      </c>
      <c r="EV61">
        <v>1.5368349929811109</v>
      </c>
      <c r="EW61">
        <v>79.692116243974993</v>
      </c>
      <c r="EX61">
        <v>0</v>
      </c>
      <c r="EY61">
        <v>0</v>
      </c>
      <c r="EZ61">
        <v>0</v>
      </c>
      <c r="FA61">
        <v>272.30111711586108</v>
      </c>
      <c r="FB61">
        <v>232.44754409851217</v>
      </c>
      <c r="FC61">
        <v>0</v>
      </c>
      <c r="FD61">
        <v>0</v>
      </c>
      <c r="FE61">
        <v>194.03440574037859</v>
      </c>
      <c r="FF61">
        <v>20.031942894348752</v>
      </c>
      <c r="FG61">
        <v>6.4118551591658575</v>
      </c>
      <c r="FH61">
        <v>2.7825249362603821</v>
      </c>
      <c r="FI61">
        <v>0</v>
      </c>
      <c r="FJ61">
        <v>223.2607287301536</v>
      </c>
      <c r="FK61">
        <v>0</v>
      </c>
      <c r="FL61">
        <v>0</v>
      </c>
      <c r="FM61">
        <v>18.252947402062322</v>
      </c>
      <c r="FN61">
        <v>3.4193541941845207</v>
      </c>
      <c r="FO61">
        <v>0</v>
      </c>
      <c r="FP61">
        <v>0</v>
      </c>
      <c r="FQ61">
        <v>0</v>
      </c>
      <c r="FR61">
        <v>0</v>
      </c>
      <c r="FS61">
        <v>-0.43868510316383641</v>
      </c>
      <c r="FT61">
        <v>19.086434558138361</v>
      </c>
      <c r="FU61">
        <v>0</v>
      </c>
      <c r="FV61">
        <v>0.12320975238920454</v>
      </c>
      <c r="FW61">
        <v>3.6909464947075117</v>
      </c>
      <c r="FX61">
        <v>0</v>
      </c>
      <c r="FY61">
        <v>0</v>
      </c>
      <c r="FZ61">
        <v>0</v>
      </c>
      <c r="GA61">
        <v>0</v>
      </c>
      <c r="GB61">
        <v>51.305661667039743</v>
      </c>
      <c r="GC61">
        <v>9.9424397507333424</v>
      </c>
      <c r="GD61">
        <v>0</v>
      </c>
      <c r="GE61">
        <v>1978.2820025283652</v>
      </c>
      <c r="GF61">
        <v>383.36801399706508</v>
      </c>
      <c r="GG61">
        <v>0</v>
      </c>
      <c r="GH61">
        <v>0</v>
      </c>
      <c r="GI61">
        <v>0</v>
      </c>
      <c r="GJ61">
        <v>0</v>
      </c>
      <c r="GK61">
        <v>172.54106982858406</v>
      </c>
      <c r="GL61">
        <v>86.270534914292028</v>
      </c>
      <c r="GM61">
        <v>0</v>
      </c>
      <c r="GN61">
        <v>0</v>
      </c>
      <c r="GO61">
        <v>14015.330147478293</v>
      </c>
      <c r="GP61">
        <v>8519.8185159989716</v>
      </c>
      <c r="GQ61">
        <v>6389.8638869992292</v>
      </c>
      <c r="GR61">
        <v>0</v>
      </c>
      <c r="GS61">
        <v>1645.9498646637646</v>
      </c>
      <c r="GT61">
        <v>0</v>
      </c>
      <c r="GU61">
        <v>21299.54628999743</v>
      </c>
      <c r="GV61">
        <v>0</v>
      </c>
      <c r="GW61">
        <v>9584.7958304988442</v>
      </c>
      <c r="GX61">
        <v>2139.7348240628939</v>
      </c>
      <c r="GY61">
        <v>0</v>
      </c>
      <c r="GZ61">
        <v>-51.136057471584124</v>
      </c>
      <c r="HA61">
        <v>94.428783502653431</v>
      </c>
      <c r="HB61" t="e">
        <v>#N/A</v>
      </c>
      <c r="HC61" t="e">
        <v>#N/A</v>
      </c>
      <c r="HD61" t="e">
        <v>#N/A</v>
      </c>
      <c r="HE61" t="e">
        <v>#N/A</v>
      </c>
      <c r="HF61" t="e">
        <v>#N/A</v>
      </c>
      <c r="HG61" t="e">
        <v>#N/A</v>
      </c>
      <c r="HH61" t="e">
        <v>#N/A</v>
      </c>
      <c r="HI61" t="e">
        <v>#N/A</v>
      </c>
      <c r="HJ61" t="e">
        <v>#N/A</v>
      </c>
      <c r="HK61" t="e">
        <v>#N/A</v>
      </c>
      <c r="HL61" t="e">
        <v>#N/A</v>
      </c>
      <c r="HM61" t="e">
        <v>#N/A</v>
      </c>
      <c r="HN61" t="e">
        <v>#N/A</v>
      </c>
      <c r="HO61" t="e">
        <v>#N/A</v>
      </c>
      <c r="HP61" t="e">
        <v>#N/A</v>
      </c>
      <c r="HQ61" t="e">
        <v>#N/A</v>
      </c>
      <c r="HR61" t="e">
        <v>#N/A</v>
      </c>
      <c r="HS61" t="e">
        <v>#N/A</v>
      </c>
      <c r="HT61" t="e">
        <v>#N/A</v>
      </c>
      <c r="HU61" t="e">
        <v>#N/A</v>
      </c>
      <c r="HV61" t="e">
        <v>#N/A</v>
      </c>
      <c r="HW61" t="e">
        <v>#N/A</v>
      </c>
      <c r="HX61" t="e">
        <v>#N/A</v>
      </c>
      <c r="HY61" t="e">
        <v>#N/A</v>
      </c>
      <c r="HZ61" t="e">
        <v>#N/A</v>
      </c>
      <c r="IA61" t="e">
        <v>#N/A</v>
      </c>
      <c r="IB61" t="e">
        <v>#N/A</v>
      </c>
      <c r="IC61" t="e">
        <v>#N/A</v>
      </c>
      <c r="ID61" t="e">
        <v>#N/A</v>
      </c>
      <c r="IE61" t="e">
        <v>#N/A</v>
      </c>
      <c r="IF61" t="e">
        <v>#N/A</v>
      </c>
      <c r="IG61" t="e">
        <v>#N/A</v>
      </c>
      <c r="IH61" t="e">
        <v>#N/A</v>
      </c>
      <c r="II61" t="e">
        <v>#N/A</v>
      </c>
      <c r="IJ61" t="e">
        <v>#N/A</v>
      </c>
      <c r="IK61" t="e">
        <v>#N/A</v>
      </c>
      <c r="IL61" t="e">
        <v>#N/A</v>
      </c>
      <c r="IM61" t="e">
        <v>#N/A</v>
      </c>
      <c r="IN61" t="e">
        <v>#N/A</v>
      </c>
      <c r="IO61" t="e">
        <v>#N/A</v>
      </c>
      <c r="IP61" t="e">
        <v>#N/A</v>
      </c>
      <c r="IQ61" t="e">
        <v>#N/A</v>
      </c>
      <c r="IR61" t="e">
        <v>#N/A</v>
      </c>
      <c r="IS61" t="e">
        <v>#N/A</v>
      </c>
      <c r="IT61" t="e">
        <v>#N/A</v>
      </c>
      <c r="IU61" t="e">
        <v>#N/A</v>
      </c>
      <c r="IV61" t="e">
        <v>#N/A</v>
      </c>
      <c r="IW61" t="e">
        <v>#N/A</v>
      </c>
      <c r="IX61" t="e">
        <v>#N/A</v>
      </c>
      <c r="IY61" t="e">
        <v>#N/A</v>
      </c>
      <c r="IZ61" t="e">
        <v>#N/A</v>
      </c>
      <c r="JA61" t="e">
        <v>#N/A</v>
      </c>
      <c r="JB61" t="e">
        <v>#N/A</v>
      </c>
      <c r="JC61" t="e">
        <v>#N/A</v>
      </c>
      <c r="JD61" t="e">
        <v>#N/A</v>
      </c>
      <c r="JE61" t="e">
        <v>#N/A</v>
      </c>
      <c r="JF61" t="e">
        <v>#N/A</v>
      </c>
      <c r="JG61" t="e">
        <v>#N/A</v>
      </c>
      <c r="JH61" t="e">
        <v>#N/A</v>
      </c>
      <c r="JI61" t="e">
        <v>#N/A</v>
      </c>
      <c r="JJ61" t="e">
        <v>#N/A</v>
      </c>
      <c r="JK61" t="e">
        <v>#N/A</v>
      </c>
      <c r="JL61" t="e">
        <v>#N/A</v>
      </c>
      <c r="JM61" t="e">
        <v>#N/A</v>
      </c>
      <c r="JN61" t="e">
        <v>#N/A</v>
      </c>
      <c r="JO61" t="e">
        <v>#N/A</v>
      </c>
      <c r="JP61" t="e">
        <v>#N/A</v>
      </c>
      <c r="JQ61" t="e">
        <v>#N/A</v>
      </c>
      <c r="JR61" t="e">
        <v>#N/A</v>
      </c>
      <c r="JS61" t="e">
        <v>#N/A</v>
      </c>
      <c r="JT61" t="e">
        <v>#N/A</v>
      </c>
      <c r="JU61" t="e">
        <v>#N/A</v>
      </c>
      <c r="JV61" t="e">
        <v>#N/A</v>
      </c>
      <c r="JW61" t="e">
        <v>#N/A</v>
      </c>
      <c r="JX61" t="e">
        <v>#N/A</v>
      </c>
      <c r="JY61" t="e">
        <v>#N/A</v>
      </c>
      <c r="JZ61" t="e">
        <v>#N/A</v>
      </c>
      <c r="KA61" t="e">
        <v>#N/A</v>
      </c>
      <c r="KB61" t="e">
        <v>#N/A</v>
      </c>
      <c r="KC61" t="e">
        <v>#N/A</v>
      </c>
      <c r="KD61" t="e">
        <v>#N/A</v>
      </c>
      <c r="KE61" t="e">
        <v>#N/A</v>
      </c>
      <c r="KF61" t="e">
        <v>#N/A</v>
      </c>
      <c r="KG61" t="e">
        <v>#N/A</v>
      </c>
      <c r="KH61" t="e">
        <v>#N/A</v>
      </c>
      <c r="KI61" t="e">
        <v>#N/A</v>
      </c>
      <c r="KJ61" t="e">
        <v>#N/A</v>
      </c>
      <c r="KK61" t="e">
        <v>#N/A</v>
      </c>
      <c r="KL61" t="e">
        <v>#N/A</v>
      </c>
      <c r="KM61" t="e">
        <v>#N/A</v>
      </c>
      <c r="KN61" t="e">
        <v>#N/A</v>
      </c>
    </row>
    <row r="62" spans="1:300" x14ac:dyDescent="0.15">
      <c r="A62">
        <v>8</v>
      </c>
      <c r="B62">
        <v>0</v>
      </c>
      <c r="C62">
        <v>7.9078006626364286E-2</v>
      </c>
      <c r="D62">
        <v>178.13930124895313</v>
      </c>
      <c r="E62">
        <v>0.56135843858648604</v>
      </c>
      <c r="F62">
        <v>0</v>
      </c>
      <c r="G62">
        <v>149.18246976412712</v>
      </c>
      <c r="H62">
        <v>160.97952209667216</v>
      </c>
      <c r="I62">
        <v>0</v>
      </c>
      <c r="J62">
        <v>0.57120906384881509</v>
      </c>
      <c r="K62">
        <v>0</v>
      </c>
      <c r="L62">
        <v>0</v>
      </c>
      <c r="M62">
        <v>0</v>
      </c>
      <c r="N62">
        <v>50000</v>
      </c>
      <c r="O62">
        <v>0.96207090998937828</v>
      </c>
      <c r="P62">
        <v>48103</v>
      </c>
      <c r="Q62">
        <v>2664</v>
      </c>
      <c r="R62">
        <v>0</v>
      </c>
      <c r="S62">
        <v>176.02663064877149</v>
      </c>
      <c r="T62">
        <v>3.0906042901457167</v>
      </c>
      <c r="U62">
        <v>0</v>
      </c>
      <c r="V62">
        <v>0.03</v>
      </c>
      <c r="W62">
        <v>1</v>
      </c>
      <c r="X62">
        <v>0</v>
      </c>
      <c r="Y62">
        <v>0</v>
      </c>
      <c r="Z62">
        <v>0</v>
      </c>
      <c r="AA62">
        <v>0</v>
      </c>
      <c r="AB62">
        <v>0</v>
      </c>
      <c r="AC62">
        <v>12.712491503214055</v>
      </c>
      <c r="AD62">
        <v>0.12712491503214057</v>
      </c>
      <c r="AE62">
        <v>0</v>
      </c>
      <c r="AF62">
        <v>12.712491503214055</v>
      </c>
      <c r="AG62">
        <v>0.12712491503214057</v>
      </c>
      <c r="AH62">
        <v>0</v>
      </c>
      <c r="AI62">
        <v>0</v>
      </c>
      <c r="AJ62">
        <v>0</v>
      </c>
      <c r="AK62">
        <v>9.4912619705442243</v>
      </c>
      <c r="AL62">
        <v>4.7456309852721121</v>
      </c>
      <c r="AM62">
        <v>0</v>
      </c>
      <c r="AN62">
        <v>0</v>
      </c>
      <c r="AO62">
        <v>1.38113061777223E-4</v>
      </c>
      <c r="AP62">
        <v>2.3430659452951301E-4</v>
      </c>
      <c r="AQ62">
        <v>6.0747313006415311E-4</v>
      </c>
      <c r="AR62">
        <v>1.4234158528082081E-3</v>
      </c>
      <c r="AS62">
        <v>2.6749226682767253E-3</v>
      </c>
      <c r="AT62">
        <v>3.4512752500429926E-3</v>
      </c>
      <c r="AU62">
        <v>2.8289504075366427E-3</v>
      </c>
      <c r="AV62">
        <v>1.5905457902578783E-3</v>
      </c>
      <c r="AW62">
        <v>0</v>
      </c>
      <c r="AX62">
        <v>0</v>
      </c>
      <c r="AY62">
        <v>0</v>
      </c>
      <c r="AZ62">
        <v>0</v>
      </c>
      <c r="BA62">
        <v>0</v>
      </c>
      <c r="BB62">
        <v>0</v>
      </c>
      <c r="BC62">
        <v>0</v>
      </c>
      <c r="BD62">
        <v>0</v>
      </c>
      <c r="BE62">
        <v>0</v>
      </c>
      <c r="BF62">
        <v>0</v>
      </c>
      <c r="BG62">
        <v>0</v>
      </c>
      <c r="BH62">
        <v>0</v>
      </c>
      <c r="BI62">
        <v>0</v>
      </c>
      <c r="BJ62">
        <v>0</v>
      </c>
      <c r="BK62">
        <v>0</v>
      </c>
      <c r="BL62">
        <v>0</v>
      </c>
      <c r="BM62">
        <v>0</v>
      </c>
      <c r="BN62">
        <v>0</v>
      </c>
      <c r="BO62">
        <v>0</v>
      </c>
      <c r="BP62">
        <v>0</v>
      </c>
      <c r="BQ62">
        <v>0</v>
      </c>
      <c r="BR62">
        <v>0</v>
      </c>
      <c r="BS62">
        <v>0</v>
      </c>
      <c r="BT62">
        <v>0</v>
      </c>
      <c r="BU62">
        <v>0</v>
      </c>
      <c r="BV62">
        <v>0</v>
      </c>
      <c r="BW62">
        <v>0</v>
      </c>
      <c r="BX62">
        <v>0</v>
      </c>
      <c r="BY62">
        <v>0</v>
      </c>
      <c r="BZ62">
        <v>0</v>
      </c>
      <c r="CA62">
        <v>0</v>
      </c>
      <c r="CB62">
        <v>0</v>
      </c>
      <c r="CC62">
        <v>1.2949002755293336E-2</v>
      </c>
      <c r="CD62">
        <v>0</v>
      </c>
      <c r="CE62">
        <v>0.2301201261322427</v>
      </c>
      <c r="CF62">
        <v>1.2949002755293336E-2</v>
      </c>
      <c r="CG62">
        <v>1.1506006306612136E-2</v>
      </c>
      <c r="CH62">
        <v>0</v>
      </c>
      <c r="CI62">
        <v>0</v>
      </c>
      <c r="CJ62">
        <v>0</v>
      </c>
      <c r="CK62">
        <v>1.4237469938590357</v>
      </c>
      <c r="CL62">
        <v>7.3091412987430715E-2</v>
      </c>
      <c r="CM62">
        <v>7.118734969295179E-2</v>
      </c>
      <c r="CN62">
        <v>0</v>
      </c>
      <c r="CO62">
        <v>1.4237469938590357</v>
      </c>
      <c r="CP62">
        <v>7.3091412987430715E-2</v>
      </c>
      <c r="CQ62">
        <v>7.118734969295179E-2</v>
      </c>
      <c r="CR62">
        <v>0</v>
      </c>
      <c r="CS62">
        <v>0</v>
      </c>
      <c r="CT62">
        <v>0</v>
      </c>
      <c r="CU62">
        <v>164.59498646637644</v>
      </c>
      <c r="CV62">
        <v>8.2297493233188224</v>
      </c>
      <c r="CW62">
        <v>21.774064105895512</v>
      </c>
      <c r="CX62">
        <v>178.13930124895313</v>
      </c>
      <c r="CY62">
        <v>0</v>
      </c>
      <c r="CZ62">
        <v>52.867973788947261</v>
      </c>
      <c r="DA62">
        <v>9.4912619705442243</v>
      </c>
      <c r="DB62">
        <v>3.1179617879745742</v>
      </c>
      <c r="DC62">
        <v>59.241273971516911</v>
      </c>
      <c r="DD62">
        <v>0</v>
      </c>
      <c r="DE62">
        <v>1.7653811833012665</v>
      </c>
      <c r="DF62">
        <v>5.1636397684908051</v>
      </c>
      <c r="DG62">
        <v>0</v>
      </c>
      <c r="DH62">
        <v>0</v>
      </c>
      <c r="DI62">
        <v>2.1825732515822023</v>
      </c>
      <c r="DJ62">
        <v>2.1825732515822023</v>
      </c>
      <c r="DK62">
        <v>0</v>
      </c>
      <c r="DL62">
        <v>0.87514708043486766</v>
      </c>
      <c r="DM62">
        <v>0.87514708043486766</v>
      </c>
      <c r="DN62">
        <v>12.223054628167557</v>
      </c>
      <c r="DO62">
        <v>53.216904676692749</v>
      </c>
      <c r="DP62">
        <v>79.390292728711515</v>
      </c>
      <c r="DQ62">
        <v>0</v>
      </c>
      <c r="DR62">
        <v>0</v>
      </c>
      <c r="DS62">
        <v>0</v>
      </c>
      <c r="DT62">
        <v>0</v>
      </c>
      <c r="DU62">
        <v>3.0577203320170701</v>
      </c>
      <c r="DV62">
        <v>1.7465975683629587</v>
      </c>
      <c r="DW62">
        <v>4.8659767374130052</v>
      </c>
      <c r="DX62">
        <v>0</v>
      </c>
      <c r="DY62">
        <v>147.88797236558889</v>
      </c>
      <c r="DZ62">
        <v>84.474950249447474</v>
      </c>
      <c r="EA62">
        <v>241.40956176670448</v>
      </c>
      <c r="EB62">
        <v>0</v>
      </c>
      <c r="EC62">
        <v>0</v>
      </c>
      <c r="ED62">
        <v>0</v>
      </c>
      <c r="EE62">
        <v>0</v>
      </c>
      <c r="EF62">
        <v>0</v>
      </c>
      <c r="EG62">
        <v>0</v>
      </c>
      <c r="EH62">
        <v>0</v>
      </c>
      <c r="EI62">
        <v>0.6131943551702338</v>
      </c>
      <c r="EJ62">
        <v>57.198900217333403</v>
      </c>
      <c r="EK62">
        <v>0</v>
      </c>
      <c r="EL62">
        <v>0.93370705024181044</v>
      </c>
      <c r="EM62">
        <v>48.417098208671462</v>
      </c>
      <c r="EN62">
        <v>0</v>
      </c>
      <c r="EO62">
        <v>0</v>
      </c>
      <c r="EP62">
        <v>0</v>
      </c>
      <c r="EQ62">
        <v>1.7813930124895314</v>
      </c>
      <c r="ER62">
        <v>0</v>
      </c>
      <c r="ES62">
        <v>1.0923401395982784</v>
      </c>
      <c r="ET62">
        <v>101.89372116924366</v>
      </c>
      <c r="EU62">
        <v>0</v>
      </c>
      <c r="EV62">
        <v>1.6632992150129731</v>
      </c>
      <c r="EW62">
        <v>86.249880433946757</v>
      </c>
      <c r="EX62">
        <v>0</v>
      </c>
      <c r="EY62">
        <v>0</v>
      </c>
      <c r="EZ62">
        <v>0</v>
      </c>
      <c r="FA62">
        <v>318.28916290631668</v>
      </c>
      <c r="FB62">
        <v>271.70485018342606</v>
      </c>
      <c r="FC62">
        <v>0</v>
      </c>
      <c r="FD62">
        <v>0</v>
      </c>
      <c r="FE62">
        <v>236.22553486380707</v>
      </c>
      <c r="FF62">
        <v>21.774064105895512</v>
      </c>
      <c r="FG62">
        <v>7.7760414792301829</v>
      </c>
      <c r="FH62">
        <v>3.1179617879745742</v>
      </c>
      <c r="FI62">
        <v>0</v>
      </c>
      <c r="FJ62">
        <v>268.89360223690733</v>
      </c>
      <c r="FK62">
        <v>0</v>
      </c>
      <c r="FL62">
        <v>0</v>
      </c>
      <c r="FM62">
        <v>15.838836107720768</v>
      </c>
      <c r="FN62">
        <v>0.90143516704026938</v>
      </c>
      <c r="FO62">
        <v>0</v>
      </c>
      <c r="FP62">
        <v>0</v>
      </c>
      <c r="FQ62">
        <v>0</v>
      </c>
      <c r="FR62">
        <v>0</v>
      </c>
      <c r="FS62">
        <v>0.27540788112069087</v>
      </c>
      <c r="FT62">
        <v>17.442395572919221</v>
      </c>
      <c r="FU62">
        <v>0</v>
      </c>
      <c r="FV62">
        <v>0.84123496200922887</v>
      </c>
      <c r="FW62">
        <v>1.939167551350186</v>
      </c>
      <c r="FX62">
        <v>0</v>
      </c>
      <c r="FY62">
        <v>0</v>
      </c>
      <c r="FZ62">
        <v>0</v>
      </c>
      <c r="GA62">
        <v>0</v>
      </c>
      <c r="GB62">
        <v>54.467665909249831</v>
      </c>
      <c r="GC62">
        <v>6.1187446183849374</v>
      </c>
      <c r="GD62">
        <v>0</v>
      </c>
      <c r="GE62">
        <v>765.13125076550841</v>
      </c>
      <c r="GF62">
        <v>85.952695876115058</v>
      </c>
      <c r="GG62">
        <v>0</v>
      </c>
      <c r="GH62">
        <v>0</v>
      </c>
      <c r="GI62">
        <v>0</v>
      </c>
      <c r="GJ62">
        <v>0</v>
      </c>
      <c r="GK62">
        <v>176.02663064877149</v>
      </c>
      <c r="GL62">
        <v>88.013315324385744</v>
      </c>
      <c r="GM62">
        <v>0</v>
      </c>
      <c r="GN62">
        <v>0</v>
      </c>
      <c r="GO62">
        <v>15475.060803226528</v>
      </c>
      <c r="GP62">
        <v>9407.1782954939135</v>
      </c>
      <c r="GQ62">
        <v>7055.3837216204356</v>
      </c>
      <c r="GR62">
        <v>0</v>
      </c>
      <c r="GS62">
        <v>1781.3930124895314</v>
      </c>
      <c r="GT62">
        <v>0</v>
      </c>
      <c r="GU62">
        <v>23517.945738734783</v>
      </c>
      <c r="GV62">
        <v>0</v>
      </c>
      <c r="GW62">
        <v>10583.075582430653</v>
      </c>
      <c r="GX62">
        <v>2315.8109162363908</v>
      </c>
      <c r="GY62">
        <v>0</v>
      </c>
      <c r="GZ62">
        <v>-48.642122519930382</v>
      </c>
      <c r="HA62">
        <v>104.76910804552371</v>
      </c>
      <c r="HB62" t="e">
        <v>#N/A</v>
      </c>
      <c r="HC62" t="e">
        <v>#N/A</v>
      </c>
      <c r="HD62" t="e">
        <v>#N/A</v>
      </c>
      <c r="HE62" t="e">
        <v>#N/A</v>
      </c>
      <c r="HF62" t="e">
        <v>#N/A</v>
      </c>
      <c r="HG62" t="e">
        <v>#N/A</v>
      </c>
      <c r="HH62" t="e">
        <v>#N/A</v>
      </c>
      <c r="HI62" t="e">
        <v>#N/A</v>
      </c>
      <c r="HJ62" t="e">
        <v>#N/A</v>
      </c>
      <c r="HK62" t="e">
        <v>#N/A</v>
      </c>
      <c r="HL62" t="e">
        <v>#N/A</v>
      </c>
      <c r="HM62" t="e">
        <v>#N/A</v>
      </c>
      <c r="HN62" t="e">
        <v>#N/A</v>
      </c>
      <c r="HO62" t="e">
        <v>#N/A</v>
      </c>
      <c r="HP62" t="e">
        <v>#N/A</v>
      </c>
      <c r="HQ62" t="e">
        <v>#N/A</v>
      </c>
      <c r="HR62" t="e">
        <v>#N/A</v>
      </c>
      <c r="HS62" t="e">
        <v>#N/A</v>
      </c>
      <c r="HT62" t="e">
        <v>#N/A</v>
      </c>
      <c r="HU62" t="e">
        <v>#N/A</v>
      </c>
      <c r="HV62" t="e">
        <v>#N/A</v>
      </c>
      <c r="HW62" t="e">
        <v>#N/A</v>
      </c>
      <c r="HX62" t="e">
        <v>#N/A</v>
      </c>
      <c r="HY62" t="e">
        <v>#N/A</v>
      </c>
      <c r="HZ62" t="e">
        <v>#N/A</v>
      </c>
      <c r="IA62" t="e">
        <v>#N/A</v>
      </c>
      <c r="IB62" t="e">
        <v>#N/A</v>
      </c>
      <c r="IC62" t="e">
        <v>#N/A</v>
      </c>
      <c r="ID62" t="e">
        <v>#N/A</v>
      </c>
      <c r="IE62" t="e">
        <v>#N/A</v>
      </c>
      <c r="IF62" t="e">
        <v>#N/A</v>
      </c>
      <c r="IG62" t="e">
        <v>#N/A</v>
      </c>
      <c r="IH62" t="e">
        <v>#N/A</v>
      </c>
      <c r="II62" t="e">
        <v>#N/A</v>
      </c>
      <c r="IJ62" t="e">
        <v>#N/A</v>
      </c>
      <c r="IK62" t="e">
        <v>#N/A</v>
      </c>
      <c r="IL62" t="e">
        <v>#N/A</v>
      </c>
      <c r="IM62" t="e">
        <v>#N/A</v>
      </c>
      <c r="IN62" t="e">
        <v>#N/A</v>
      </c>
      <c r="IO62" t="e">
        <v>#N/A</v>
      </c>
      <c r="IP62" t="e">
        <v>#N/A</v>
      </c>
      <c r="IQ62" t="e">
        <v>#N/A</v>
      </c>
      <c r="IR62" t="e">
        <v>#N/A</v>
      </c>
      <c r="IS62" t="e">
        <v>#N/A</v>
      </c>
      <c r="IT62" t="e">
        <v>#N/A</v>
      </c>
      <c r="IU62" t="e">
        <v>#N/A</v>
      </c>
      <c r="IV62" t="e">
        <v>#N/A</v>
      </c>
      <c r="IW62" t="e">
        <v>#N/A</v>
      </c>
      <c r="IX62" t="e">
        <v>#N/A</v>
      </c>
      <c r="IY62" t="e">
        <v>#N/A</v>
      </c>
      <c r="IZ62" t="e">
        <v>#N/A</v>
      </c>
      <c r="JA62" t="e">
        <v>#N/A</v>
      </c>
      <c r="JB62" t="e">
        <v>#N/A</v>
      </c>
      <c r="JC62" t="e">
        <v>#N/A</v>
      </c>
      <c r="JD62" t="e">
        <v>#N/A</v>
      </c>
      <c r="JE62" t="e">
        <v>#N/A</v>
      </c>
      <c r="JF62" t="e">
        <v>#N/A</v>
      </c>
      <c r="JG62" t="e">
        <v>#N/A</v>
      </c>
      <c r="JH62" t="e">
        <v>#N/A</v>
      </c>
      <c r="JI62" t="e">
        <v>#N/A</v>
      </c>
      <c r="JJ62" t="e">
        <v>#N/A</v>
      </c>
      <c r="JK62" t="e">
        <v>#N/A</v>
      </c>
      <c r="JL62" t="e">
        <v>#N/A</v>
      </c>
      <c r="JM62" t="e">
        <v>#N/A</v>
      </c>
      <c r="JN62" t="e">
        <v>#N/A</v>
      </c>
      <c r="JO62" t="e">
        <v>#N/A</v>
      </c>
      <c r="JP62" t="e">
        <v>#N/A</v>
      </c>
      <c r="JQ62" t="e">
        <v>#N/A</v>
      </c>
      <c r="JR62" t="e">
        <v>#N/A</v>
      </c>
      <c r="JS62" t="e">
        <v>#N/A</v>
      </c>
      <c r="JT62" t="e">
        <v>#N/A</v>
      </c>
      <c r="JU62" t="e">
        <v>#N/A</v>
      </c>
      <c r="JV62" t="e">
        <v>#N/A</v>
      </c>
      <c r="JW62" t="e">
        <v>#N/A</v>
      </c>
      <c r="JX62" t="e">
        <v>#N/A</v>
      </c>
      <c r="JY62" t="e">
        <v>#N/A</v>
      </c>
      <c r="JZ62" t="e">
        <v>#N/A</v>
      </c>
      <c r="KA62" t="e">
        <v>#N/A</v>
      </c>
      <c r="KB62" t="e">
        <v>#N/A</v>
      </c>
      <c r="KC62" t="e">
        <v>#N/A</v>
      </c>
      <c r="KD62" t="e">
        <v>#N/A</v>
      </c>
      <c r="KE62" t="e">
        <v>#N/A</v>
      </c>
      <c r="KF62" t="e">
        <v>#N/A</v>
      </c>
      <c r="KG62" t="e">
        <v>#N/A</v>
      </c>
      <c r="KH62" t="e">
        <v>#N/A</v>
      </c>
      <c r="KI62" t="e">
        <v>#N/A</v>
      </c>
      <c r="KJ62" t="e">
        <v>#N/A</v>
      </c>
      <c r="KK62" t="e">
        <v>#N/A</v>
      </c>
      <c r="KL62" t="e">
        <v>#N/A</v>
      </c>
      <c r="KM62" t="e">
        <v>#N/A</v>
      </c>
      <c r="KN62" t="e">
        <v>#N/A</v>
      </c>
    </row>
    <row r="63" spans="1:300" x14ac:dyDescent="0.15">
      <c r="A63">
        <v>9</v>
      </c>
      <c r="B63">
        <v>0</v>
      </c>
      <c r="C63">
        <v>7.9443395184390031E-2</v>
      </c>
      <c r="D63">
        <v>192.86861980332861</v>
      </c>
      <c r="E63">
        <v>0.51848766327032192</v>
      </c>
      <c r="F63">
        <v>0</v>
      </c>
      <c r="G63">
        <v>156.831218549017</v>
      </c>
      <c r="H63">
        <v>169.29042302145598</v>
      </c>
      <c r="I63">
        <v>0</v>
      </c>
      <c r="J63">
        <v>0.5325918010068974</v>
      </c>
      <c r="K63">
        <v>0</v>
      </c>
      <c r="L63">
        <v>0</v>
      </c>
      <c r="M63">
        <v>0</v>
      </c>
      <c r="N63">
        <v>50000</v>
      </c>
      <c r="O63">
        <v>0.98534388462432188</v>
      </c>
      <c r="P63">
        <v>49267</v>
      </c>
      <c r="Q63">
        <v>1164</v>
      </c>
      <c r="R63">
        <v>0</v>
      </c>
      <c r="S63">
        <v>179.58260446827148</v>
      </c>
      <c r="T63">
        <v>3.2293361036334907</v>
      </c>
      <c r="U63">
        <v>0</v>
      </c>
      <c r="V63">
        <v>0.03</v>
      </c>
      <c r="W63">
        <v>1</v>
      </c>
      <c r="X63">
        <v>0</v>
      </c>
      <c r="Y63">
        <v>0</v>
      </c>
      <c r="Z63">
        <v>0</v>
      </c>
      <c r="AA63">
        <v>0</v>
      </c>
      <c r="AB63">
        <v>0</v>
      </c>
      <c r="AC63">
        <v>13.099644507332483</v>
      </c>
      <c r="AD63">
        <v>0.13099644507332486</v>
      </c>
      <c r="AE63">
        <v>0</v>
      </c>
      <c r="AF63">
        <v>13.099644507332483</v>
      </c>
      <c r="AG63">
        <v>0.13099644507332486</v>
      </c>
      <c r="AH63">
        <v>0</v>
      </c>
      <c r="AI63">
        <v>0</v>
      </c>
      <c r="AJ63">
        <v>0</v>
      </c>
      <c r="AK63">
        <v>4.4899814690214912</v>
      </c>
      <c r="AL63">
        <v>2.2449907345107456</v>
      </c>
      <c r="AM63">
        <v>0</v>
      </c>
      <c r="AN63">
        <v>0</v>
      </c>
      <c r="AO63">
        <v>1.38113061777223E-4</v>
      </c>
      <c r="AP63">
        <v>2.3430659452951301E-4</v>
      </c>
      <c r="AQ63">
        <v>6.0747313006415311E-4</v>
      </c>
      <c r="AR63">
        <v>1.4234158528082081E-3</v>
      </c>
      <c r="AS63">
        <v>2.6749226682767253E-3</v>
      </c>
      <c r="AT63">
        <v>3.4512752500429926E-3</v>
      </c>
      <c r="AU63">
        <v>2.8289504075366427E-3</v>
      </c>
      <c r="AV63">
        <v>1.5905457902578783E-3</v>
      </c>
      <c r="AW63">
        <v>7.1573464622704647E-4</v>
      </c>
      <c r="AX63">
        <v>0</v>
      </c>
      <c r="AY63">
        <v>0</v>
      </c>
      <c r="AZ63">
        <v>0</v>
      </c>
      <c r="BA63">
        <v>0</v>
      </c>
      <c r="BB63">
        <v>0</v>
      </c>
      <c r="BC63">
        <v>0</v>
      </c>
      <c r="BD63">
        <v>0</v>
      </c>
      <c r="BE63">
        <v>0</v>
      </c>
      <c r="BF63">
        <v>0</v>
      </c>
      <c r="BG63">
        <v>0</v>
      </c>
      <c r="BH63">
        <v>0</v>
      </c>
      <c r="BI63">
        <v>0</v>
      </c>
      <c r="BJ63">
        <v>0</v>
      </c>
      <c r="BK63">
        <v>0</v>
      </c>
      <c r="BL63">
        <v>0</v>
      </c>
      <c r="BM63">
        <v>0</v>
      </c>
      <c r="BN63">
        <v>0</v>
      </c>
      <c r="BO63">
        <v>0</v>
      </c>
      <c r="BP63">
        <v>0</v>
      </c>
      <c r="BQ63">
        <v>0</v>
      </c>
      <c r="BR63">
        <v>0</v>
      </c>
      <c r="BS63">
        <v>0</v>
      </c>
      <c r="BT63">
        <v>0</v>
      </c>
      <c r="BU63">
        <v>0</v>
      </c>
      <c r="BV63">
        <v>0</v>
      </c>
      <c r="BW63">
        <v>0</v>
      </c>
      <c r="BX63">
        <v>0</v>
      </c>
      <c r="BY63">
        <v>0</v>
      </c>
      <c r="BZ63">
        <v>0</v>
      </c>
      <c r="CA63">
        <v>0</v>
      </c>
      <c r="CB63">
        <v>0</v>
      </c>
      <c r="CC63">
        <v>1.3664737401520383E-2</v>
      </c>
      <c r="CD63">
        <v>0</v>
      </c>
      <c r="CE63">
        <v>0.23148581630149029</v>
      </c>
      <c r="CF63">
        <v>1.3664737401520383E-2</v>
      </c>
      <c r="CG63">
        <v>1.1574290815074516E-2</v>
      </c>
      <c r="CH63">
        <v>0</v>
      </c>
      <c r="CI63">
        <v>0</v>
      </c>
      <c r="CJ63">
        <v>0</v>
      </c>
      <c r="CK63">
        <v>3.6522656003082825</v>
      </c>
      <c r="CL63">
        <v>0.18845691121591879</v>
      </c>
      <c r="CM63">
        <v>0.18261328001541413</v>
      </c>
      <c r="CN63">
        <v>0</v>
      </c>
      <c r="CO63">
        <v>3.6522656003082825</v>
      </c>
      <c r="CP63">
        <v>0.18845691121591879</v>
      </c>
      <c r="CQ63">
        <v>0.18261328001541413</v>
      </c>
      <c r="CR63">
        <v>0</v>
      </c>
      <c r="CS63">
        <v>0</v>
      </c>
      <c r="CT63">
        <v>0</v>
      </c>
      <c r="CU63">
        <v>178.13930124895313</v>
      </c>
      <c r="CV63">
        <v>8.9069650624476573</v>
      </c>
      <c r="CW63">
        <v>23.636283616823139</v>
      </c>
      <c r="CX63">
        <v>192.86861980332861</v>
      </c>
      <c r="CY63">
        <v>0</v>
      </c>
      <c r="CZ63">
        <v>59.241273971516911</v>
      </c>
      <c r="DA63">
        <v>4.4899814690214912</v>
      </c>
      <c r="DB63">
        <v>3.1865627720269205</v>
      </c>
      <c r="DC63">
        <v>60.544692668511487</v>
      </c>
      <c r="DD63">
        <v>0</v>
      </c>
      <c r="DE63">
        <v>1.7199179314907576</v>
      </c>
      <c r="DF63">
        <v>6.8835576999815622</v>
      </c>
      <c r="DG63">
        <v>0</v>
      </c>
      <c r="DH63">
        <v>0</v>
      </c>
      <c r="DI63">
        <v>2.2305939404188444</v>
      </c>
      <c r="DJ63">
        <v>2.2305939404188444</v>
      </c>
      <c r="DK63">
        <v>0</v>
      </c>
      <c r="DL63">
        <v>0.82609674276621881</v>
      </c>
      <c r="DM63">
        <v>0.82609674276621881</v>
      </c>
      <c r="DN63">
        <v>12.255121460881222</v>
      </c>
      <c r="DO63">
        <v>56.711144458149946</v>
      </c>
      <c r="DP63">
        <v>88.940778906809896</v>
      </c>
      <c r="DQ63">
        <v>0</v>
      </c>
      <c r="DR63">
        <v>0</v>
      </c>
      <c r="DS63">
        <v>0</v>
      </c>
      <c r="DT63">
        <v>0</v>
      </c>
      <c r="DU63">
        <v>3.0566906831850633</v>
      </c>
      <c r="DV63">
        <v>1.6279683960785365</v>
      </c>
      <c r="DW63">
        <v>6.4939451334915415</v>
      </c>
      <c r="DX63">
        <v>0</v>
      </c>
      <c r="DY63">
        <v>160.96373550902612</v>
      </c>
      <c r="DZ63">
        <v>85.727965791550105</v>
      </c>
      <c r="EA63">
        <v>327.13752755825459</v>
      </c>
      <c r="EB63">
        <v>0</v>
      </c>
      <c r="EC63">
        <v>0</v>
      </c>
      <c r="ED63">
        <v>0</v>
      </c>
      <c r="EE63">
        <v>0</v>
      </c>
      <c r="EF63">
        <v>0</v>
      </c>
      <c r="EG63">
        <v>0</v>
      </c>
      <c r="EH63">
        <v>0</v>
      </c>
      <c r="EI63">
        <v>0.6131943551702338</v>
      </c>
      <c r="EJ63">
        <v>57.198900217333403</v>
      </c>
      <c r="EK63">
        <v>0</v>
      </c>
      <c r="EL63">
        <v>0.93370705024181044</v>
      </c>
      <c r="EM63">
        <v>48.417098208671462</v>
      </c>
      <c r="EN63">
        <v>0</v>
      </c>
      <c r="EO63">
        <v>0</v>
      </c>
      <c r="EP63">
        <v>0</v>
      </c>
      <c r="EQ63">
        <v>1.9286861980332863</v>
      </c>
      <c r="ER63">
        <v>0</v>
      </c>
      <c r="ES63">
        <v>1.1826594895287508</v>
      </c>
      <c r="ET63">
        <v>110.31872939185408</v>
      </c>
      <c r="EU63">
        <v>0</v>
      </c>
      <c r="EV63">
        <v>1.8008279008077521</v>
      </c>
      <c r="EW63">
        <v>93.3813890638868</v>
      </c>
      <c r="EX63">
        <v>0</v>
      </c>
      <c r="EY63">
        <v>0</v>
      </c>
      <c r="EZ63">
        <v>0</v>
      </c>
      <c r="FA63">
        <v>360.07546071992743</v>
      </c>
      <c r="FB63">
        <v>307.37536966796421</v>
      </c>
      <c r="FC63">
        <v>0</v>
      </c>
      <c r="FD63">
        <v>0</v>
      </c>
      <c r="FE63">
        <v>280.91685431099995</v>
      </c>
      <c r="FF63">
        <v>23.636283616823139</v>
      </c>
      <c r="FG63">
        <v>8.604231492605015</v>
      </c>
      <c r="FH63">
        <v>3.1865627720269205</v>
      </c>
      <c r="FI63">
        <v>0</v>
      </c>
      <c r="FJ63">
        <v>316.3439321924551</v>
      </c>
      <c r="FK63">
        <v>0</v>
      </c>
      <c r="FL63">
        <v>0</v>
      </c>
      <c r="FM63">
        <v>12.076123924659843</v>
      </c>
      <c r="FN63">
        <v>-2.4765992893153546</v>
      </c>
      <c r="FO63">
        <v>0</v>
      </c>
      <c r="FP63">
        <v>0</v>
      </c>
      <c r="FQ63">
        <v>0</v>
      </c>
      <c r="FR63">
        <v>0</v>
      </c>
      <c r="FS63">
        <v>0.64220737071428979</v>
      </c>
      <c r="FT63">
        <v>13.864980153638827</v>
      </c>
      <c r="FU63">
        <v>0</v>
      </c>
      <c r="FV63">
        <v>1.1934629022383239</v>
      </c>
      <c r="FW63">
        <v>-1.2389985918603907</v>
      </c>
      <c r="FX63">
        <v>0</v>
      </c>
      <c r="FY63">
        <v>0</v>
      </c>
      <c r="FZ63">
        <v>0</v>
      </c>
      <c r="GA63">
        <v>0</v>
      </c>
      <c r="GB63">
        <v>50.392165525793075</v>
      </c>
      <c r="GC63">
        <v>-4.3041990948391344</v>
      </c>
      <c r="GD63">
        <v>0</v>
      </c>
      <c r="GE63">
        <v>275.95016924037259</v>
      </c>
      <c r="GF63">
        <v>-23.570022368996511</v>
      </c>
      <c r="GG63">
        <v>0</v>
      </c>
      <c r="GH63">
        <v>0</v>
      </c>
      <c r="GI63">
        <v>0</v>
      </c>
      <c r="GJ63">
        <v>0</v>
      </c>
      <c r="GK63">
        <v>179.58260446827148</v>
      </c>
      <c r="GL63">
        <v>89.791302234135742</v>
      </c>
      <c r="GM63">
        <v>0</v>
      </c>
      <c r="GN63">
        <v>0</v>
      </c>
      <c r="GO63">
        <v>17093.07042158394</v>
      </c>
      <c r="GP63">
        <v>10390.754719344779</v>
      </c>
      <c r="GQ63">
        <v>7793.0660395085852</v>
      </c>
      <c r="GR63">
        <v>0</v>
      </c>
      <c r="GS63">
        <v>1928.6861980332865</v>
      </c>
      <c r="GT63">
        <v>0</v>
      </c>
      <c r="GU63">
        <v>25976.886798361949</v>
      </c>
      <c r="GV63">
        <v>0</v>
      </c>
      <c r="GW63">
        <v>11689.599059262877</v>
      </c>
      <c r="GX63">
        <v>2507.2920574432724</v>
      </c>
      <c r="GY63">
        <v>0</v>
      </c>
      <c r="GZ63">
        <v>-46.269818211126598</v>
      </c>
      <c r="HA63">
        <v>109.0630718506406</v>
      </c>
      <c r="HB63" t="e">
        <v>#N/A</v>
      </c>
      <c r="HC63" t="e">
        <v>#N/A</v>
      </c>
      <c r="HD63" t="e">
        <v>#N/A</v>
      </c>
      <c r="HE63" t="e">
        <v>#N/A</v>
      </c>
      <c r="HF63" t="e">
        <v>#N/A</v>
      </c>
      <c r="HG63" t="e">
        <v>#N/A</v>
      </c>
      <c r="HH63" t="e">
        <v>#N/A</v>
      </c>
      <c r="HI63" t="e">
        <v>#N/A</v>
      </c>
      <c r="HJ63" t="e">
        <v>#N/A</v>
      </c>
      <c r="HK63" t="e">
        <v>#N/A</v>
      </c>
      <c r="HL63" t="e">
        <v>#N/A</v>
      </c>
      <c r="HM63" t="e">
        <v>#N/A</v>
      </c>
      <c r="HN63" t="e">
        <v>#N/A</v>
      </c>
      <c r="HO63" t="e">
        <v>#N/A</v>
      </c>
      <c r="HP63" t="e">
        <v>#N/A</v>
      </c>
      <c r="HQ63" t="e">
        <v>#N/A</v>
      </c>
      <c r="HR63" t="e">
        <v>#N/A</v>
      </c>
      <c r="HS63" t="e">
        <v>#N/A</v>
      </c>
      <c r="HT63" t="e">
        <v>#N/A</v>
      </c>
      <c r="HU63" t="e">
        <v>#N/A</v>
      </c>
      <c r="HV63" t="e">
        <v>#N/A</v>
      </c>
      <c r="HW63" t="e">
        <v>#N/A</v>
      </c>
      <c r="HX63" t="e">
        <v>#N/A</v>
      </c>
      <c r="HY63" t="e">
        <v>#N/A</v>
      </c>
      <c r="HZ63" t="e">
        <v>#N/A</v>
      </c>
      <c r="IA63" t="e">
        <v>#N/A</v>
      </c>
      <c r="IB63" t="e">
        <v>#N/A</v>
      </c>
      <c r="IC63" t="e">
        <v>#N/A</v>
      </c>
      <c r="ID63" t="e">
        <v>#N/A</v>
      </c>
      <c r="IE63" t="e">
        <v>#N/A</v>
      </c>
      <c r="IF63" t="e">
        <v>#N/A</v>
      </c>
      <c r="IG63" t="e">
        <v>#N/A</v>
      </c>
      <c r="IH63" t="e">
        <v>#N/A</v>
      </c>
      <c r="II63" t="e">
        <v>#N/A</v>
      </c>
      <c r="IJ63" t="e">
        <v>#N/A</v>
      </c>
      <c r="IK63" t="e">
        <v>#N/A</v>
      </c>
      <c r="IL63" t="e">
        <v>#N/A</v>
      </c>
      <c r="IM63" t="e">
        <v>#N/A</v>
      </c>
      <c r="IN63" t="e">
        <v>#N/A</v>
      </c>
      <c r="IO63" t="e">
        <v>#N/A</v>
      </c>
      <c r="IP63" t="e">
        <v>#N/A</v>
      </c>
      <c r="IQ63" t="e">
        <v>#N/A</v>
      </c>
      <c r="IR63" t="e">
        <v>#N/A</v>
      </c>
      <c r="IS63" t="e">
        <v>#N/A</v>
      </c>
      <c r="IT63" t="e">
        <v>#N/A</v>
      </c>
      <c r="IU63" t="e">
        <v>#N/A</v>
      </c>
      <c r="IV63" t="e">
        <v>#N/A</v>
      </c>
      <c r="IW63" t="e">
        <v>#N/A</v>
      </c>
      <c r="IX63" t="e">
        <v>#N/A</v>
      </c>
      <c r="IY63" t="e">
        <v>#N/A</v>
      </c>
      <c r="IZ63" t="e">
        <v>#N/A</v>
      </c>
      <c r="JA63" t="e">
        <v>#N/A</v>
      </c>
      <c r="JB63" t="e">
        <v>#N/A</v>
      </c>
      <c r="JC63" t="e">
        <v>#N/A</v>
      </c>
      <c r="JD63" t="e">
        <v>#N/A</v>
      </c>
      <c r="JE63" t="e">
        <v>#N/A</v>
      </c>
      <c r="JF63" t="e">
        <v>#N/A</v>
      </c>
      <c r="JG63" t="e">
        <v>#N/A</v>
      </c>
      <c r="JH63" t="e">
        <v>#N/A</v>
      </c>
      <c r="JI63" t="e">
        <v>#N/A</v>
      </c>
      <c r="JJ63" t="e">
        <v>#N/A</v>
      </c>
      <c r="JK63" t="e">
        <v>#N/A</v>
      </c>
      <c r="JL63" t="e">
        <v>#N/A</v>
      </c>
      <c r="JM63" t="e">
        <v>#N/A</v>
      </c>
      <c r="JN63" t="e">
        <v>#N/A</v>
      </c>
      <c r="JO63" t="e">
        <v>#N/A</v>
      </c>
      <c r="JP63" t="e">
        <v>#N/A</v>
      </c>
      <c r="JQ63" t="e">
        <v>#N/A</v>
      </c>
      <c r="JR63" t="e">
        <v>#N/A</v>
      </c>
      <c r="JS63" t="e">
        <v>#N/A</v>
      </c>
      <c r="JT63" t="e">
        <v>#N/A</v>
      </c>
      <c r="JU63" t="e">
        <v>#N/A</v>
      </c>
      <c r="JV63" t="e">
        <v>#N/A</v>
      </c>
      <c r="JW63" t="e">
        <v>#N/A</v>
      </c>
      <c r="JX63" t="e">
        <v>#N/A</v>
      </c>
      <c r="JY63" t="e">
        <v>#N/A</v>
      </c>
      <c r="JZ63" t="e">
        <v>#N/A</v>
      </c>
      <c r="KA63" t="e">
        <v>#N/A</v>
      </c>
      <c r="KB63" t="e">
        <v>#N/A</v>
      </c>
      <c r="KC63" t="e">
        <v>#N/A</v>
      </c>
      <c r="KD63" t="e">
        <v>#N/A</v>
      </c>
      <c r="KE63" t="e">
        <v>#N/A</v>
      </c>
      <c r="KF63" t="e">
        <v>#N/A</v>
      </c>
      <c r="KG63" t="e">
        <v>#N/A</v>
      </c>
      <c r="KH63" t="e">
        <v>#N/A</v>
      </c>
      <c r="KI63" t="e">
        <v>#N/A</v>
      </c>
      <c r="KJ63" t="e">
        <v>#N/A</v>
      </c>
      <c r="KK63" t="e">
        <v>#N/A</v>
      </c>
      <c r="KL63" t="e">
        <v>#N/A</v>
      </c>
      <c r="KM63" t="e">
        <v>#N/A</v>
      </c>
      <c r="KN63" t="e">
        <v>#N/A</v>
      </c>
    </row>
    <row r="64" spans="1:300" x14ac:dyDescent="0.15">
      <c r="A64">
        <v>10</v>
      </c>
      <c r="B64">
        <v>0</v>
      </c>
      <c r="C64">
        <v>7.9664796005037716E-2</v>
      </c>
      <c r="D64">
        <v>208.86205846151088</v>
      </c>
      <c r="E64">
        <v>0.4787849010806719</v>
      </c>
      <c r="F64">
        <v>0</v>
      </c>
      <c r="G64">
        <v>164.87212707001294</v>
      </c>
      <c r="H64">
        <v>178.00663143996215</v>
      </c>
      <c r="I64">
        <v>0</v>
      </c>
      <c r="J64">
        <v>0.49658530379140975</v>
      </c>
      <c r="K64">
        <v>0</v>
      </c>
      <c r="L64">
        <v>0</v>
      </c>
      <c r="M64">
        <v>0</v>
      </c>
      <c r="N64">
        <v>50000</v>
      </c>
      <c r="O64">
        <v>1</v>
      </c>
      <c r="P64">
        <v>50000</v>
      </c>
      <c r="Q64">
        <v>733</v>
      </c>
      <c r="R64">
        <v>0</v>
      </c>
      <c r="S64">
        <v>183.21041372402541</v>
      </c>
      <c r="T64">
        <v>3.3435900504634635</v>
      </c>
      <c r="U64">
        <v>0</v>
      </c>
      <c r="V64">
        <v>0.03</v>
      </c>
      <c r="W64">
        <v>1</v>
      </c>
      <c r="X64">
        <v>0</v>
      </c>
      <c r="Y64">
        <v>0</v>
      </c>
      <c r="Z64">
        <v>0</v>
      </c>
      <c r="AA64">
        <v>0</v>
      </c>
      <c r="AB64">
        <v>0</v>
      </c>
      <c r="AC64">
        <v>13.498588075760042</v>
      </c>
      <c r="AD64">
        <v>0.13498588075760046</v>
      </c>
      <c r="AE64">
        <v>0</v>
      </c>
      <c r="AF64">
        <v>13.498588075760042</v>
      </c>
      <c r="AG64">
        <v>0.13498588075760046</v>
      </c>
      <c r="AH64">
        <v>0</v>
      </c>
      <c r="AI64">
        <v>0</v>
      </c>
      <c r="AJ64">
        <v>0</v>
      </c>
      <c r="AK64">
        <v>3.0619177770457497</v>
      </c>
      <c r="AL64">
        <v>1.5309588885228749</v>
      </c>
      <c r="AM64">
        <v>0</v>
      </c>
      <c r="AN64">
        <v>0</v>
      </c>
      <c r="AO64">
        <v>1.38113061777223E-4</v>
      </c>
      <c r="AP64">
        <v>2.3430659452951301E-4</v>
      </c>
      <c r="AQ64">
        <v>6.0747313006415311E-4</v>
      </c>
      <c r="AR64">
        <v>1.4234158528082081E-3</v>
      </c>
      <c r="AS64">
        <v>2.6749226682767253E-3</v>
      </c>
      <c r="AT64">
        <v>3.4512752500429926E-3</v>
      </c>
      <c r="AU64">
        <v>2.8289504075366427E-3</v>
      </c>
      <c r="AV64">
        <v>1.5905457902578783E-3</v>
      </c>
      <c r="AW64">
        <v>7.1573464622704647E-4</v>
      </c>
      <c r="AX64">
        <v>4.6428675232434931E-4</v>
      </c>
      <c r="AY64">
        <v>0</v>
      </c>
      <c r="AZ64">
        <v>0</v>
      </c>
      <c r="BA64">
        <v>0</v>
      </c>
      <c r="BB64">
        <v>0</v>
      </c>
      <c r="BC64">
        <v>0</v>
      </c>
      <c r="BD64">
        <v>0</v>
      </c>
      <c r="BE64">
        <v>0</v>
      </c>
      <c r="BF64">
        <v>0</v>
      </c>
      <c r="BG64">
        <v>0</v>
      </c>
      <c r="BH64">
        <v>0</v>
      </c>
      <c r="BI64">
        <v>0</v>
      </c>
      <c r="BJ64">
        <v>0</v>
      </c>
      <c r="BK64">
        <v>0</v>
      </c>
      <c r="BL64">
        <v>0</v>
      </c>
      <c r="BM64">
        <v>0</v>
      </c>
      <c r="BN64">
        <v>0</v>
      </c>
      <c r="BO64">
        <v>0</v>
      </c>
      <c r="BP64">
        <v>0</v>
      </c>
      <c r="BQ64">
        <v>0</v>
      </c>
      <c r="BR64">
        <v>0</v>
      </c>
      <c r="BS64">
        <v>0</v>
      </c>
      <c r="BT64">
        <v>0</v>
      </c>
      <c r="BU64">
        <v>0</v>
      </c>
      <c r="BV64">
        <v>0</v>
      </c>
      <c r="BW64">
        <v>0</v>
      </c>
      <c r="BX64">
        <v>0</v>
      </c>
      <c r="BY64">
        <v>0</v>
      </c>
      <c r="BZ64">
        <v>0</v>
      </c>
      <c r="CA64">
        <v>0</v>
      </c>
      <c r="CB64">
        <v>0</v>
      </c>
      <c r="CC64">
        <v>1.4129024153844733E-2</v>
      </c>
      <c r="CD64">
        <v>0</v>
      </c>
      <c r="CE64">
        <v>0.2271068139464569</v>
      </c>
      <c r="CF64">
        <v>1.4129024153844733E-2</v>
      </c>
      <c r="CG64">
        <v>1.1355340697322846E-2</v>
      </c>
      <c r="CH64">
        <v>0</v>
      </c>
      <c r="CI64">
        <v>0</v>
      </c>
      <c r="CJ64">
        <v>0</v>
      </c>
      <c r="CK64">
        <v>8.051603858884711</v>
      </c>
      <c r="CL64">
        <v>0.41862939870688709</v>
      </c>
      <c r="CM64">
        <v>0.40258019294423558</v>
      </c>
      <c r="CN64">
        <v>0</v>
      </c>
      <c r="CO64">
        <v>8.051603858884711</v>
      </c>
      <c r="CP64">
        <v>0.41862939870688709</v>
      </c>
      <c r="CQ64">
        <v>0.40258019294423558</v>
      </c>
      <c r="CR64">
        <v>0</v>
      </c>
      <c r="CS64">
        <v>0</v>
      </c>
      <c r="CT64">
        <v>0</v>
      </c>
      <c r="CU64">
        <v>192.86861980332861</v>
      </c>
      <c r="CV64">
        <v>9.643430990166431</v>
      </c>
      <c r="CW64">
        <v>25.6368696483487</v>
      </c>
      <c r="CX64">
        <v>208.86205846151088</v>
      </c>
      <c r="CY64">
        <v>0</v>
      </c>
      <c r="CZ64">
        <v>60.544692668511487</v>
      </c>
      <c r="DA64">
        <v>3.0619177770457497</v>
      </c>
      <c r="DB64">
        <v>3.1803305222778619</v>
      </c>
      <c r="DC64">
        <v>60.426279923279374</v>
      </c>
      <c r="DD64">
        <v>0</v>
      </c>
      <c r="DE64">
        <v>1.6603776809633342</v>
      </c>
      <c r="DF64">
        <v>8.5439353809448964</v>
      </c>
      <c r="DG64">
        <v>7.163377980864774</v>
      </c>
      <c r="DH64">
        <v>0</v>
      </c>
      <c r="DI64">
        <v>2.2262313655945034</v>
      </c>
      <c r="DJ64">
        <v>2.2262313655945034</v>
      </c>
      <c r="DK64">
        <v>0</v>
      </c>
      <c r="DL64">
        <v>0.76134711725632387</v>
      </c>
      <c r="DM64">
        <v>0.76134711725632387</v>
      </c>
      <c r="DN64">
        <v>12.274546098602713</v>
      </c>
      <c r="DO64">
        <v>60.028221875158003</v>
      </c>
      <c r="DP64">
        <v>98.969806247879831</v>
      </c>
      <c r="DQ64">
        <v>0</v>
      </c>
      <c r="DR64">
        <v>0</v>
      </c>
      <c r="DS64">
        <v>0</v>
      </c>
      <c r="DT64">
        <v>0</v>
      </c>
      <c r="DU64">
        <v>2.9875784828508274</v>
      </c>
      <c r="DV64">
        <v>1.4835875685071571</v>
      </c>
      <c r="DW64">
        <v>7.9775327019986984</v>
      </c>
      <c r="DX64">
        <v>0</v>
      </c>
      <c r="DY64">
        <v>174.26015270449136</v>
      </c>
      <c r="DZ64">
        <v>86.535030869497291</v>
      </c>
      <c r="EA64">
        <v>413.67255842775188</v>
      </c>
      <c r="EB64">
        <v>0</v>
      </c>
      <c r="EC64">
        <v>0</v>
      </c>
      <c r="ED64">
        <v>4.9744334295753507</v>
      </c>
      <c r="EE64">
        <v>434.00932603464236</v>
      </c>
      <c r="EF64">
        <v>0</v>
      </c>
      <c r="EG64">
        <v>0</v>
      </c>
      <c r="EH64">
        <v>0</v>
      </c>
      <c r="EI64">
        <v>0.6131943551702338</v>
      </c>
      <c r="EJ64">
        <v>57.198900217333403</v>
      </c>
      <c r="EK64">
        <v>0</v>
      </c>
      <c r="EL64">
        <v>0.93370705024181044</v>
      </c>
      <c r="EM64">
        <v>48.417098208671462</v>
      </c>
      <c r="EN64">
        <v>0</v>
      </c>
      <c r="EO64">
        <v>0</v>
      </c>
      <c r="EP64">
        <v>0</v>
      </c>
      <c r="EQ64">
        <v>2.0886205846151089</v>
      </c>
      <c r="ER64">
        <v>0</v>
      </c>
      <c r="ES64">
        <v>1.2807303525783384</v>
      </c>
      <c r="ET64">
        <v>119.46680041126817</v>
      </c>
      <c r="EU64">
        <v>0</v>
      </c>
      <c r="EV64">
        <v>1.9501597651352991</v>
      </c>
      <c r="EW64">
        <v>101.12494796596253</v>
      </c>
      <c r="EX64">
        <v>0</v>
      </c>
      <c r="EY64">
        <v>0</v>
      </c>
      <c r="EZ64">
        <v>0</v>
      </c>
      <c r="FA64">
        <v>403.73024248002815</v>
      </c>
      <c r="FB64">
        <v>344.64090466014835</v>
      </c>
      <c r="FC64">
        <v>0</v>
      </c>
      <c r="FD64">
        <v>0</v>
      </c>
      <c r="FE64">
        <v>332.08655445098879</v>
      </c>
      <c r="FF64">
        <v>25.6368696483487</v>
      </c>
      <c r="FG64">
        <v>9.2995053125929683</v>
      </c>
      <c r="FH64">
        <v>3.1803305222778619</v>
      </c>
      <c r="FI64">
        <v>0</v>
      </c>
      <c r="FJ64">
        <v>370.20325993420829</v>
      </c>
      <c r="FK64">
        <v>0</v>
      </c>
      <c r="FL64">
        <v>0</v>
      </c>
      <c r="FM64">
        <v>7.9712930799220914</v>
      </c>
      <c r="FN64">
        <v>-6.0776428485369118</v>
      </c>
      <c r="FO64">
        <v>0</v>
      </c>
      <c r="FP64">
        <v>0</v>
      </c>
      <c r="FQ64">
        <v>0</v>
      </c>
      <c r="FR64">
        <v>0</v>
      </c>
      <c r="FS64">
        <v>0.64088693068152858</v>
      </c>
      <c r="FT64">
        <v>9.5430867047832102</v>
      </c>
      <c r="FU64">
        <v>0</v>
      </c>
      <c r="FV64">
        <v>1.1730590560437815</v>
      </c>
      <c r="FW64">
        <v>-5.038021349038047</v>
      </c>
      <c r="FX64">
        <v>0</v>
      </c>
      <c r="FY64">
        <v>0</v>
      </c>
      <c r="FZ64">
        <v>0</v>
      </c>
      <c r="GA64">
        <v>0</v>
      </c>
      <c r="GB64">
        <v>40.540472273514865</v>
      </c>
      <c r="GC64">
        <v>-20.787163069678002</v>
      </c>
      <c r="GD64">
        <v>0</v>
      </c>
      <c r="GE64">
        <v>100.70160674579047</v>
      </c>
      <c r="GF64">
        <v>-51.634838062083666</v>
      </c>
      <c r="GG64">
        <v>0</v>
      </c>
      <c r="GH64">
        <v>0</v>
      </c>
      <c r="GI64">
        <v>0</v>
      </c>
      <c r="GJ64">
        <v>0</v>
      </c>
      <c r="GK64">
        <v>183.21041372402541</v>
      </c>
      <c r="GL64">
        <v>91.605206862012707</v>
      </c>
      <c r="GM64">
        <v>0</v>
      </c>
      <c r="GN64">
        <v>0</v>
      </c>
      <c r="GO64">
        <v>18884.433132062924</v>
      </c>
      <c r="GP64">
        <v>11479.711242595498</v>
      </c>
      <c r="GQ64">
        <v>8609.7834319466238</v>
      </c>
      <c r="GR64">
        <v>0</v>
      </c>
      <c r="GS64">
        <v>2088.6205846151088</v>
      </c>
      <c r="GT64">
        <v>0</v>
      </c>
      <c r="GU64">
        <v>28699.278106488746</v>
      </c>
      <c r="GV64">
        <v>0</v>
      </c>
      <c r="GW64">
        <v>12914.675147919936</v>
      </c>
      <c r="GX64">
        <v>2715.2067599996417</v>
      </c>
      <c r="GY64">
        <v>0</v>
      </c>
      <c r="GZ64">
        <v>-44.013212548722628</v>
      </c>
      <c r="HA64">
        <v>111.63300615650726</v>
      </c>
      <c r="HB64" t="e">
        <v>#N/A</v>
      </c>
      <c r="HC64" t="e">
        <v>#N/A</v>
      </c>
      <c r="HD64" t="e">
        <v>#N/A</v>
      </c>
      <c r="HE64" t="e">
        <v>#N/A</v>
      </c>
      <c r="HF64" t="e">
        <v>#N/A</v>
      </c>
      <c r="HG64" t="e">
        <v>#N/A</v>
      </c>
      <c r="HH64" t="e">
        <v>#N/A</v>
      </c>
      <c r="HI64" t="e">
        <v>#N/A</v>
      </c>
      <c r="HJ64" t="e">
        <v>#N/A</v>
      </c>
      <c r="HK64" t="e">
        <v>#N/A</v>
      </c>
      <c r="HL64" t="e">
        <v>#N/A</v>
      </c>
      <c r="HM64" t="e">
        <v>#N/A</v>
      </c>
      <c r="HN64" t="e">
        <v>#N/A</v>
      </c>
      <c r="HO64" t="e">
        <v>#N/A</v>
      </c>
      <c r="HP64" t="e">
        <v>#N/A</v>
      </c>
      <c r="HQ64" t="e">
        <v>#N/A</v>
      </c>
      <c r="HR64" t="e">
        <v>#N/A</v>
      </c>
      <c r="HS64" t="e">
        <v>#N/A</v>
      </c>
      <c r="HT64" t="e">
        <v>#N/A</v>
      </c>
      <c r="HU64" t="e">
        <v>#N/A</v>
      </c>
      <c r="HV64" t="e">
        <v>#N/A</v>
      </c>
      <c r="HW64" t="e">
        <v>#N/A</v>
      </c>
      <c r="HX64" t="e">
        <v>#N/A</v>
      </c>
      <c r="HY64" t="e">
        <v>#N/A</v>
      </c>
      <c r="HZ64" t="e">
        <v>#N/A</v>
      </c>
      <c r="IA64" t="e">
        <v>#N/A</v>
      </c>
      <c r="IB64" t="e">
        <v>#N/A</v>
      </c>
      <c r="IC64" t="e">
        <v>#N/A</v>
      </c>
      <c r="ID64" t="e">
        <v>#N/A</v>
      </c>
      <c r="IE64" t="e">
        <v>#N/A</v>
      </c>
      <c r="IF64" t="e">
        <v>#N/A</v>
      </c>
      <c r="IG64" t="e">
        <v>#N/A</v>
      </c>
      <c r="IH64" t="e">
        <v>#N/A</v>
      </c>
      <c r="II64" t="e">
        <v>#N/A</v>
      </c>
      <c r="IJ64" t="e">
        <v>#N/A</v>
      </c>
      <c r="IK64" t="e">
        <v>#N/A</v>
      </c>
      <c r="IL64" t="e">
        <v>#N/A</v>
      </c>
      <c r="IM64" t="e">
        <v>#N/A</v>
      </c>
      <c r="IN64" t="e">
        <v>#N/A</v>
      </c>
      <c r="IO64" t="e">
        <v>#N/A</v>
      </c>
      <c r="IP64" t="e">
        <v>#N/A</v>
      </c>
      <c r="IQ64" t="e">
        <v>#N/A</v>
      </c>
      <c r="IR64" t="e">
        <v>#N/A</v>
      </c>
      <c r="IS64" t="e">
        <v>#N/A</v>
      </c>
      <c r="IT64" t="e">
        <v>#N/A</v>
      </c>
      <c r="IU64" t="e">
        <v>#N/A</v>
      </c>
      <c r="IV64" t="e">
        <v>#N/A</v>
      </c>
      <c r="IW64" t="e">
        <v>#N/A</v>
      </c>
      <c r="IX64" t="e">
        <v>#N/A</v>
      </c>
      <c r="IY64" t="e">
        <v>#N/A</v>
      </c>
      <c r="IZ64" t="e">
        <v>#N/A</v>
      </c>
      <c r="JA64" t="e">
        <v>#N/A</v>
      </c>
      <c r="JB64" t="e">
        <v>#N/A</v>
      </c>
      <c r="JC64" t="e">
        <v>#N/A</v>
      </c>
      <c r="JD64" t="e">
        <v>#N/A</v>
      </c>
      <c r="JE64" t="e">
        <v>#N/A</v>
      </c>
      <c r="JF64" t="e">
        <v>#N/A</v>
      </c>
      <c r="JG64" t="e">
        <v>#N/A</v>
      </c>
      <c r="JH64" t="e">
        <v>#N/A</v>
      </c>
      <c r="JI64" t="e">
        <v>#N/A</v>
      </c>
      <c r="JJ64" t="e">
        <v>#N/A</v>
      </c>
      <c r="JK64" t="e">
        <v>#N/A</v>
      </c>
      <c r="JL64" t="e">
        <v>#N/A</v>
      </c>
      <c r="JM64" t="e">
        <v>#N/A</v>
      </c>
      <c r="JN64" t="e">
        <v>#N/A</v>
      </c>
      <c r="JO64" t="e">
        <v>#N/A</v>
      </c>
      <c r="JP64" t="e">
        <v>#N/A</v>
      </c>
      <c r="JQ64" t="e">
        <v>#N/A</v>
      </c>
      <c r="JR64" t="e">
        <v>#N/A</v>
      </c>
      <c r="JS64" t="e">
        <v>#N/A</v>
      </c>
      <c r="JT64" t="e">
        <v>#N/A</v>
      </c>
      <c r="JU64" t="e">
        <v>#N/A</v>
      </c>
      <c r="JV64" t="e">
        <v>#N/A</v>
      </c>
      <c r="JW64" t="e">
        <v>#N/A</v>
      </c>
      <c r="JX64" t="e">
        <v>#N/A</v>
      </c>
      <c r="JY64" t="e">
        <v>#N/A</v>
      </c>
      <c r="JZ64" t="e">
        <v>#N/A</v>
      </c>
      <c r="KA64" t="e">
        <v>#N/A</v>
      </c>
      <c r="KB64" t="e">
        <v>#N/A</v>
      </c>
      <c r="KC64" t="e">
        <v>#N/A</v>
      </c>
      <c r="KD64" t="e">
        <v>#N/A</v>
      </c>
      <c r="KE64" t="e">
        <v>#N/A</v>
      </c>
      <c r="KF64" t="e">
        <v>#N/A</v>
      </c>
      <c r="KG64" t="e">
        <v>#N/A</v>
      </c>
      <c r="KH64" t="e">
        <v>#N/A</v>
      </c>
      <c r="KI64" t="e">
        <v>#N/A</v>
      </c>
      <c r="KJ64" t="e">
        <v>#N/A</v>
      </c>
      <c r="KK64" t="e">
        <v>#N/A</v>
      </c>
      <c r="KL64" t="e">
        <v>#N/A</v>
      </c>
      <c r="KM64" t="e">
        <v>#N/A</v>
      </c>
      <c r="KN64" t="e">
        <v>#N/A</v>
      </c>
    </row>
    <row r="65" spans="1:300" x14ac:dyDescent="0.15">
      <c r="A65">
        <v>11</v>
      </c>
      <c r="B65">
        <v>0</v>
      </c>
      <c r="C65">
        <v>7.9798427747885134E-2</v>
      </c>
      <c r="D65">
        <v>226.21196420828494</v>
      </c>
      <c r="E65">
        <v>0.44206326729882806</v>
      </c>
      <c r="F65">
        <v>0</v>
      </c>
      <c r="G65">
        <v>173.32530178673966</v>
      </c>
      <c r="H65">
        <v>187.15638835824919</v>
      </c>
      <c r="I65">
        <v>0</v>
      </c>
      <c r="J65">
        <v>0.46301306831122829</v>
      </c>
      <c r="K65">
        <v>0</v>
      </c>
      <c r="L65">
        <v>0</v>
      </c>
      <c r="M65">
        <v>0</v>
      </c>
      <c r="N65">
        <v>50000</v>
      </c>
      <c r="O65">
        <v>1</v>
      </c>
      <c r="P65">
        <v>50000</v>
      </c>
      <c r="Q65">
        <v>0</v>
      </c>
      <c r="R65">
        <v>0</v>
      </c>
      <c r="S65">
        <v>186.91150958810707</v>
      </c>
      <c r="T65">
        <v>3.411135049982954</v>
      </c>
      <c r="U65">
        <v>0</v>
      </c>
      <c r="V65">
        <v>0.03</v>
      </c>
      <c r="W65">
        <v>1</v>
      </c>
      <c r="X65">
        <v>0</v>
      </c>
      <c r="Y65">
        <v>0</v>
      </c>
      <c r="Z65">
        <v>0</v>
      </c>
      <c r="AA65">
        <v>0</v>
      </c>
      <c r="AB65">
        <v>0</v>
      </c>
      <c r="AC65">
        <v>13.909681284637815</v>
      </c>
      <c r="AD65">
        <v>0.13909681284637818</v>
      </c>
      <c r="AE65">
        <v>0</v>
      </c>
      <c r="AF65">
        <v>13.909681284637815</v>
      </c>
      <c r="AG65">
        <v>0.13909681284637818</v>
      </c>
      <c r="AH65">
        <v>0</v>
      </c>
      <c r="AI65">
        <v>0</v>
      </c>
      <c r="AJ65">
        <v>0</v>
      </c>
      <c r="AK65">
        <v>0</v>
      </c>
      <c r="AL65">
        <v>0</v>
      </c>
      <c r="AM65">
        <v>0</v>
      </c>
      <c r="AN65">
        <v>0</v>
      </c>
      <c r="AO65">
        <v>1.38113061777223E-4</v>
      </c>
      <c r="AP65">
        <v>2.3430659452951301E-4</v>
      </c>
      <c r="AQ65">
        <v>6.0747313006415311E-4</v>
      </c>
      <c r="AR65">
        <v>1.4234158528082081E-3</v>
      </c>
      <c r="AS65">
        <v>2.6749226682767253E-3</v>
      </c>
      <c r="AT65">
        <v>3.4512752500429926E-3</v>
      </c>
      <c r="AU65">
        <v>2.8289504075366427E-3</v>
      </c>
      <c r="AV65">
        <v>1.5905457902578783E-3</v>
      </c>
      <c r="AW65">
        <v>7.1573464622704647E-4</v>
      </c>
      <c r="AX65">
        <v>4.6428675232434931E-4</v>
      </c>
      <c r="AY65">
        <v>0</v>
      </c>
      <c r="AZ65">
        <v>0</v>
      </c>
      <c r="BA65">
        <v>0</v>
      </c>
      <c r="BB65">
        <v>0</v>
      </c>
      <c r="BC65">
        <v>0</v>
      </c>
      <c r="BD65">
        <v>0</v>
      </c>
      <c r="BE65">
        <v>0</v>
      </c>
      <c r="BF65">
        <v>0</v>
      </c>
      <c r="BG65">
        <v>0</v>
      </c>
      <c r="BH65">
        <v>0</v>
      </c>
      <c r="BI65">
        <v>0</v>
      </c>
      <c r="BJ65">
        <v>0</v>
      </c>
      <c r="BK65">
        <v>0</v>
      </c>
      <c r="BL65">
        <v>0</v>
      </c>
      <c r="BM65">
        <v>0</v>
      </c>
      <c r="BN65">
        <v>0</v>
      </c>
      <c r="BO65">
        <v>0</v>
      </c>
      <c r="BP65">
        <v>0</v>
      </c>
      <c r="BQ65">
        <v>0</v>
      </c>
      <c r="BR65">
        <v>0</v>
      </c>
      <c r="BS65">
        <v>0</v>
      </c>
      <c r="BT65">
        <v>0</v>
      </c>
      <c r="BU65">
        <v>0</v>
      </c>
      <c r="BV65">
        <v>0</v>
      </c>
      <c r="BW65">
        <v>0</v>
      </c>
      <c r="BX65">
        <v>0</v>
      </c>
      <c r="BY65">
        <v>0</v>
      </c>
      <c r="BZ65">
        <v>0</v>
      </c>
      <c r="CA65">
        <v>0</v>
      </c>
      <c r="CB65">
        <v>0</v>
      </c>
      <c r="CC65">
        <v>1.4129024153844733E-2</v>
      </c>
      <c r="CD65">
        <v>0</v>
      </c>
      <c r="CE65">
        <v>0.21297778979261217</v>
      </c>
      <c r="CF65">
        <v>1.4129024153844733E-2</v>
      </c>
      <c r="CG65">
        <v>1.0648889489630609E-2</v>
      </c>
      <c r="CH65">
        <v>0</v>
      </c>
      <c r="CI65">
        <v>0</v>
      </c>
      <c r="CJ65">
        <v>0</v>
      </c>
      <c r="CK65">
        <v>14.006258671989402</v>
      </c>
      <c r="CL65">
        <v>0.73918964908522833</v>
      </c>
      <c r="CM65">
        <v>0.70031293359947022</v>
      </c>
      <c r="CN65">
        <v>0</v>
      </c>
      <c r="CO65">
        <v>14.006258671989402</v>
      </c>
      <c r="CP65">
        <v>0.73918964908522833</v>
      </c>
      <c r="CQ65">
        <v>0.70031293359947022</v>
      </c>
      <c r="CR65">
        <v>0</v>
      </c>
      <c r="CS65">
        <v>0</v>
      </c>
      <c r="CT65">
        <v>0</v>
      </c>
      <c r="CU65">
        <v>208.86205846151088</v>
      </c>
      <c r="CV65">
        <v>10.443102923075545</v>
      </c>
      <c r="CW65">
        <v>27.793008669849598</v>
      </c>
      <c r="CX65">
        <v>226.21196420828494</v>
      </c>
      <c r="CY65">
        <v>0</v>
      </c>
      <c r="CZ65">
        <v>60.426279923279374</v>
      </c>
      <c r="DA65">
        <v>0</v>
      </c>
      <c r="DB65">
        <v>3.0213139961639688</v>
      </c>
      <c r="DC65">
        <v>57.404965927115406</v>
      </c>
      <c r="DD65">
        <v>0</v>
      </c>
      <c r="DE65">
        <v>1.5794001059165825</v>
      </c>
      <c r="DF65">
        <v>1.5794001059165825</v>
      </c>
      <c r="DG65">
        <v>0</v>
      </c>
      <c r="DH65">
        <v>0</v>
      </c>
      <c r="DI65">
        <v>2.1149197973147782</v>
      </c>
      <c r="DJ65">
        <v>2.1149197973147782</v>
      </c>
      <c r="DK65">
        <v>0</v>
      </c>
      <c r="DL65">
        <v>0.66780596833996142</v>
      </c>
      <c r="DM65">
        <v>0.66780596833996142</v>
      </c>
      <c r="DN65">
        <v>12.286268220658368</v>
      </c>
      <c r="DO65">
        <v>62.824940422905833</v>
      </c>
      <c r="DP65">
        <v>108.89151758534094</v>
      </c>
      <c r="DQ65">
        <v>0</v>
      </c>
      <c r="DR65">
        <v>0</v>
      </c>
      <c r="DS65">
        <v>0</v>
      </c>
      <c r="DT65">
        <v>0</v>
      </c>
      <c r="DU65">
        <v>2.7827257656547397</v>
      </c>
      <c r="DV65">
        <v>1.2884383950245131</v>
      </c>
      <c r="DW65">
        <v>1.2884383950245131</v>
      </c>
      <c r="DX65">
        <v>0</v>
      </c>
      <c r="DY65">
        <v>186.78545199455988</v>
      </c>
      <c r="DZ65">
        <v>86.4841052439008</v>
      </c>
      <c r="EA65">
        <v>86.4841052439008</v>
      </c>
      <c r="EB65">
        <v>0</v>
      </c>
      <c r="EC65">
        <v>0</v>
      </c>
      <c r="ED65">
        <v>0</v>
      </c>
      <c r="EE65">
        <v>0</v>
      </c>
      <c r="EF65">
        <v>0</v>
      </c>
      <c r="EG65">
        <v>0</v>
      </c>
      <c r="EH65">
        <v>0</v>
      </c>
      <c r="EI65">
        <v>0.6131943551702338</v>
      </c>
      <c r="EJ65">
        <v>57.198900217333403</v>
      </c>
      <c r="EK65">
        <v>0</v>
      </c>
      <c r="EL65">
        <v>0.6944256526548428</v>
      </c>
      <c r="EM65">
        <v>60.587243503552784</v>
      </c>
      <c r="EN65">
        <v>0</v>
      </c>
      <c r="EO65">
        <v>0</v>
      </c>
      <c r="EP65">
        <v>0</v>
      </c>
      <c r="EQ65">
        <v>2.2621196420828498</v>
      </c>
      <c r="ER65">
        <v>0</v>
      </c>
      <c r="ES65">
        <v>1.3871189952449132</v>
      </c>
      <c r="ET65">
        <v>129.39075568716689</v>
      </c>
      <c r="EU65">
        <v>0</v>
      </c>
      <c r="EV65">
        <v>1.5708739088367223</v>
      </c>
      <c r="EW65">
        <v>137.0555935890433</v>
      </c>
      <c r="EX65">
        <v>0</v>
      </c>
      <c r="EY65">
        <v>0</v>
      </c>
      <c r="EZ65">
        <v>0</v>
      </c>
      <c r="FA65">
        <v>446.10099209145329</v>
      </c>
      <c r="FB65">
        <v>472.87360213734132</v>
      </c>
      <c r="FC65">
        <v>0</v>
      </c>
      <c r="FD65">
        <v>0</v>
      </c>
      <c r="FE65">
        <v>388.44317252934985</v>
      </c>
      <c r="FF65">
        <v>27.793008669849595</v>
      </c>
      <c r="FG65">
        <v>9.5684032298712776</v>
      </c>
      <c r="FH65">
        <v>3.0213139961639688</v>
      </c>
      <c r="FI65">
        <v>0</v>
      </c>
      <c r="FJ65">
        <v>428.8258984252347</v>
      </c>
      <c r="FK65">
        <v>0</v>
      </c>
      <c r="FL65">
        <v>0</v>
      </c>
      <c r="FM65">
        <v>3.5358846521464362</v>
      </c>
      <c r="FN65">
        <v>9.0157311171339973</v>
      </c>
      <c r="FO65">
        <v>0</v>
      </c>
      <c r="FP65">
        <v>0</v>
      </c>
      <c r="FQ65">
        <v>0</v>
      </c>
      <c r="FR65">
        <v>0</v>
      </c>
      <c r="FS65">
        <v>0.67384030092874814</v>
      </c>
      <c r="FT65">
        <v>4.8496432841175627</v>
      </c>
      <c r="FU65">
        <v>0</v>
      </c>
      <c r="FV65">
        <v>0.80213702077968108</v>
      </c>
      <c r="FW65">
        <v>10.201193029254195</v>
      </c>
      <c r="FX65">
        <v>0</v>
      </c>
      <c r="FY65">
        <v>0</v>
      </c>
      <c r="FZ65">
        <v>0</v>
      </c>
      <c r="GA65">
        <v>0</v>
      </c>
      <c r="GB65">
        <v>24.393971019991511</v>
      </c>
      <c r="GC65">
        <v>50.539768239519958</v>
      </c>
      <c r="GD65">
        <v>0</v>
      </c>
      <c r="GE65">
        <v>34.832958024366789</v>
      </c>
      <c r="GF65">
        <v>72.167406618860412</v>
      </c>
      <c r="GG65">
        <v>0</v>
      </c>
      <c r="GH65">
        <v>0</v>
      </c>
      <c r="GI65">
        <v>0</v>
      </c>
      <c r="GJ65">
        <v>0</v>
      </c>
      <c r="GK65">
        <v>186.91150958810707</v>
      </c>
      <c r="GL65">
        <v>93.455754794053533</v>
      </c>
      <c r="GM65">
        <v>0</v>
      </c>
      <c r="GN65">
        <v>0</v>
      </c>
      <c r="GO65">
        <v>25910.882308895412</v>
      </c>
      <c r="GP65">
        <v>12684.485915118417</v>
      </c>
      <c r="GQ65">
        <v>9513.3644363388121</v>
      </c>
      <c r="GR65">
        <v>0</v>
      </c>
      <c r="GS65">
        <v>2262.1196420828496</v>
      </c>
      <c r="GT65">
        <v>0</v>
      </c>
      <c r="GU65">
        <v>31711.214787796041</v>
      </c>
      <c r="GV65">
        <v>0</v>
      </c>
      <c r="GW65">
        <v>14270.046654508218</v>
      </c>
      <c r="GX65">
        <v>2940.7555347077046</v>
      </c>
      <c r="GY65">
        <v>0</v>
      </c>
      <c r="GZ65">
        <v>-67.679824080221678</v>
      </c>
      <c r="HA65">
        <v>111.63300615650726</v>
      </c>
      <c r="HB65" t="e">
        <v>#N/A</v>
      </c>
      <c r="HC65" t="e">
        <v>#N/A</v>
      </c>
      <c r="HD65" t="e">
        <v>#N/A</v>
      </c>
      <c r="HE65" t="e">
        <v>#N/A</v>
      </c>
      <c r="HF65" t="e">
        <v>#N/A</v>
      </c>
      <c r="HG65" t="e">
        <v>#N/A</v>
      </c>
      <c r="HH65" t="e">
        <v>#N/A</v>
      </c>
      <c r="HI65" t="e">
        <v>#N/A</v>
      </c>
      <c r="HJ65" t="e">
        <v>#N/A</v>
      </c>
      <c r="HK65" t="e">
        <v>#N/A</v>
      </c>
      <c r="HL65" t="e">
        <v>#N/A</v>
      </c>
      <c r="HM65" t="e">
        <v>#N/A</v>
      </c>
      <c r="HN65" t="e">
        <v>#N/A</v>
      </c>
      <c r="HO65" t="e">
        <v>#N/A</v>
      </c>
      <c r="HP65" t="e">
        <v>#N/A</v>
      </c>
      <c r="HQ65" t="e">
        <v>#N/A</v>
      </c>
      <c r="HR65" t="e">
        <v>#N/A</v>
      </c>
      <c r="HS65" t="e">
        <v>#N/A</v>
      </c>
      <c r="HT65" t="e">
        <v>#N/A</v>
      </c>
      <c r="HU65" t="e">
        <v>#N/A</v>
      </c>
      <c r="HV65" t="e">
        <v>#N/A</v>
      </c>
      <c r="HW65" t="e">
        <v>#N/A</v>
      </c>
      <c r="HX65" t="e">
        <v>#N/A</v>
      </c>
      <c r="HY65" t="e">
        <v>#N/A</v>
      </c>
      <c r="HZ65" t="e">
        <v>#N/A</v>
      </c>
      <c r="IA65" t="e">
        <v>#N/A</v>
      </c>
      <c r="IB65" t="e">
        <v>#N/A</v>
      </c>
      <c r="IC65" t="e">
        <v>#N/A</v>
      </c>
      <c r="ID65" t="e">
        <v>#N/A</v>
      </c>
      <c r="IE65" t="e">
        <v>#N/A</v>
      </c>
      <c r="IF65" t="e">
        <v>#N/A</v>
      </c>
      <c r="IG65" t="e">
        <v>#N/A</v>
      </c>
      <c r="IH65" t="e">
        <v>#N/A</v>
      </c>
      <c r="II65" t="e">
        <v>#N/A</v>
      </c>
      <c r="IJ65" t="e">
        <v>#N/A</v>
      </c>
      <c r="IK65" t="e">
        <v>#N/A</v>
      </c>
      <c r="IL65" t="e">
        <v>#N/A</v>
      </c>
      <c r="IM65" t="e">
        <v>#N/A</v>
      </c>
      <c r="IN65" t="e">
        <v>#N/A</v>
      </c>
      <c r="IO65" t="e">
        <v>#N/A</v>
      </c>
      <c r="IP65" t="e">
        <v>#N/A</v>
      </c>
      <c r="IQ65" t="e">
        <v>#N/A</v>
      </c>
      <c r="IR65" t="e">
        <v>#N/A</v>
      </c>
      <c r="IS65" t="e">
        <v>#N/A</v>
      </c>
      <c r="IT65" t="e">
        <v>#N/A</v>
      </c>
      <c r="IU65" t="e">
        <v>#N/A</v>
      </c>
      <c r="IV65" t="e">
        <v>#N/A</v>
      </c>
      <c r="IW65" t="e">
        <v>#N/A</v>
      </c>
      <c r="IX65" t="e">
        <v>#N/A</v>
      </c>
      <c r="IY65" t="e">
        <v>#N/A</v>
      </c>
      <c r="IZ65" t="e">
        <v>#N/A</v>
      </c>
      <c r="JA65" t="e">
        <v>#N/A</v>
      </c>
      <c r="JB65" t="e">
        <v>#N/A</v>
      </c>
      <c r="JC65" t="e">
        <v>#N/A</v>
      </c>
      <c r="JD65" t="e">
        <v>#N/A</v>
      </c>
      <c r="JE65" t="e">
        <v>#N/A</v>
      </c>
      <c r="JF65" t="e">
        <v>#N/A</v>
      </c>
      <c r="JG65" t="e">
        <v>#N/A</v>
      </c>
      <c r="JH65" t="e">
        <v>#N/A</v>
      </c>
      <c r="JI65" t="e">
        <v>#N/A</v>
      </c>
      <c r="JJ65" t="e">
        <v>#N/A</v>
      </c>
      <c r="JK65" t="e">
        <v>#N/A</v>
      </c>
      <c r="JL65" t="e">
        <v>#N/A</v>
      </c>
      <c r="JM65" t="e">
        <v>#N/A</v>
      </c>
      <c r="JN65" t="e">
        <v>#N/A</v>
      </c>
      <c r="JO65" t="e">
        <v>#N/A</v>
      </c>
      <c r="JP65" t="e">
        <v>#N/A</v>
      </c>
      <c r="JQ65" t="e">
        <v>#N/A</v>
      </c>
      <c r="JR65" t="e">
        <v>#N/A</v>
      </c>
      <c r="JS65" t="e">
        <v>#N/A</v>
      </c>
      <c r="JT65" t="e">
        <v>#N/A</v>
      </c>
      <c r="JU65" t="e">
        <v>#N/A</v>
      </c>
      <c r="JV65" t="e">
        <v>#N/A</v>
      </c>
      <c r="JW65" t="e">
        <v>#N/A</v>
      </c>
      <c r="JX65" t="e">
        <v>#N/A</v>
      </c>
      <c r="JY65" t="e">
        <v>#N/A</v>
      </c>
      <c r="JZ65" t="e">
        <v>#N/A</v>
      </c>
      <c r="KA65" t="e">
        <v>#N/A</v>
      </c>
      <c r="KB65" t="e">
        <v>#N/A</v>
      </c>
      <c r="KC65" t="e">
        <v>#N/A</v>
      </c>
      <c r="KD65" t="e">
        <v>#N/A</v>
      </c>
      <c r="KE65" t="e">
        <v>#N/A</v>
      </c>
      <c r="KF65" t="e">
        <v>#N/A</v>
      </c>
      <c r="KG65" t="e">
        <v>#N/A</v>
      </c>
      <c r="KH65" t="e">
        <v>#N/A</v>
      </c>
      <c r="KI65" t="e">
        <v>#N/A</v>
      </c>
      <c r="KJ65" t="e">
        <v>#N/A</v>
      </c>
      <c r="KK65" t="e">
        <v>#N/A</v>
      </c>
      <c r="KL65" t="e">
        <v>#N/A</v>
      </c>
      <c r="KM65" t="e">
        <v>#N/A</v>
      </c>
      <c r="KN65" t="e">
        <v>#N/A</v>
      </c>
    </row>
    <row r="66" spans="1:300" x14ac:dyDescent="0.15">
      <c r="A66">
        <v>12</v>
      </c>
      <c r="B66">
        <v>0</v>
      </c>
      <c r="C66">
        <v>7.9878894034482131E-2</v>
      </c>
      <c r="D66">
        <v>245.02281985810771</v>
      </c>
      <c r="E66">
        <v>0.40812525159048374</v>
      </c>
      <c r="F66">
        <v>0</v>
      </c>
      <c r="G66">
        <v>182.21188003905104</v>
      </c>
      <c r="H66">
        <v>196.76676349651416</v>
      </c>
      <c r="I66">
        <v>0</v>
      </c>
      <c r="J66">
        <v>0.4317105234290799</v>
      </c>
      <c r="K66">
        <v>0</v>
      </c>
      <c r="L66">
        <v>0</v>
      </c>
      <c r="M66">
        <v>0</v>
      </c>
      <c r="N66">
        <v>50000</v>
      </c>
      <c r="O66">
        <v>1</v>
      </c>
      <c r="P66">
        <v>50000</v>
      </c>
      <c r="Q66">
        <v>0</v>
      </c>
      <c r="R66">
        <v>0</v>
      </c>
      <c r="S66">
        <v>190.68737254821065</v>
      </c>
      <c r="T66">
        <v>3.4800445490048451</v>
      </c>
      <c r="U66">
        <v>0</v>
      </c>
      <c r="V66">
        <v>0.03</v>
      </c>
      <c r="W66">
        <v>1</v>
      </c>
      <c r="X66">
        <v>0</v>
      </c>
      <c r="Y66">
        <v>0</v>
      </c>
      <c r="Z66">
        <v>0</v>
      </c>
      <c r="AA66">
        <v>0</v>
      </c>
      <c r="AB66">
        <v>0</v>
      </c>
      <c r="AC66">
        <v>14.333294145603416</v>
      </c>
      <c r="AD66">
        <v>0.1433329414560342</v>
      </c>
      <c r="AE66">
        <v>0</v>
      </c>
      <c r="AF66">
        <v>14.333294145603416</v>
      </c>
      <c r="AG66">
        <v>0.1433329414560342</v>
      </c>
      <c r="AH66">
        <v>0</v>
      </c>
      <c r="AI66">
        <v>0</v>
      </c>
      <c r="AJ66">
        <v>0</v>
      </c>
      <c r="AK66">
        <v>0</v>
      </c>
      <c r="AL66">
        <v>0</v>
      </c>
      <c r="AM66">
        <v>0</v>
      </c>
      <c r="AN66">
        <v>0</v>
      </c>
      <c r="AO66">
        <v>1.38113061777223E-4</v>
      </c>
      <c r="AP66">
        <v>2.3430659452951301E-4</v>
      </c>
      <c r="AQ66">
        <v>6.0747313006415311E-4</v>
      </c>
      <c r="AR66">
        <v>1.4234158528082081E-3</v>
      </c>
      <c r="AS66">
        <v>2.6749226682767253E-3</v>
      </c>
      <c r="AT66">
        <v>3.4512752500429926E-3</v>
      </c>
      <c r="AU66">
        <v>2.8289504075366427E-3</v>
      </c>
      <c r="AV66">
        <v>1.5905457902578783E-3</v>
      </c>
      <c r="AW66">
        <v>7.1573464622704647E-4</v>
      </c>
      <c r="AX66">
        <v>4.6428675232434931E-4</v>
      </c>
      <c r="AY66">
        <v>0</v>
      </c>
      <c r="AZ66">
        <v>0</v>
      </c>
      <c r="BA66">
        <v>0</v>
      </c>
      <c r="BB66">
        <v>0</v>
      </c>
      <c r="BC66">
        <v>0</v>
      </c>
      <c r="BD66">
        <v>0</v>
      </c>
      <c r="BE66">
        <v>0</v>
      </c>
      <c r="BF66">
        <v>0</v>
      </c>
      <c r="BG66">
        <v>0</v>
      </c>
      <c r="BH66">
        <v>0</v>
      </c>
      <c r="BI66">
        <v>0</v>
      </c>
      <c r="BJ66">
        <v>0</v>
      </c>
      <c r="BK66">
        <v>0</v>
      </c>
      <c r="BL66">
        <v>0</v>
      </c>
      <c r="BM66">
        <v>0</v>
      </c>
      <c r="BN66">
        <v>0</v>
      </c>
      <c r="BO66">
        <v>0</v>
      </c>
      <c r="BP66">
        <v>0</v>
      </c>
      <c r="BQ66">
        <v>0</v>
      </c>
      <c r="BR66">
        <v>0</v>
      </c>
      <c r="BS66">
        <v>0</v>
      </c>
      <c r="BT66">
        <v>0</v>
      </c>
      <c r="BU66">
        <v>0</v>
      </c>
      <c r="BV66">
        <v>0</v>
      </c>
      <c r="BW66">
        <v>0</v>
      </c>
      <c r="BX66">
        <v>0</v>
      </c>
      <c r="BY66">
        <v>0</v>
      </c>
      <c r="BZ66">
        <v>0</v>
      </c>
      <c r="CA66">
        <v>0</v>
      </c>
      <c r="CB66">
        <v>0</v>
      </c>
      <c r="CC66">
        <v>1.4129024153844733E-2</v>
      </c>
      <c r="CD66">
        <v>0</v>
      </c>
      <c r="CE66">
        <v>0.19884876563876744</v>
      </c>
      <c r="CF66">
        <v>1.4129024153844733E-2</v>
      </c>
      <c r="CG66">
        <v>9.9424382819383733E-3</v>
      </c>
      <c r="CH66">
        <v>0</v>
      </c>
      <c r="CI66">
        <v>0</v>
      </c>
      <c r="CJ66">
        <v>0</v>
      </c>
      <c r="CK66">
        <v>19.10196992034977</v>
      </c>
      <c r="CL66">
        <v>1.0348228989708823</v>
      </c>
      <c r="CM66">
        <v>0.95509849601748864</v>
      </c>
      <c r="CN66">
        <v>0</v>
      </c>
      <c r="CO66">
        <v>19.10196992034977</v>
      </c>
      <c r="CP66">
        <v>1.0348228989708823</v>
      </c>
      <c r="CQ66">
        <v>0.95509849601748864</v>
      </c>
      <c r="CR66">
        <v>0</v>
      </c>
      <c r="CS66">
        <v>0</v>
      </c>
      <c r="CT66">
        <v>0</v>
      </c>
      <c r="CU66">
        <v>226.21196420828494</v>
      </c>
      <c r="CV66">
        <v>11.310598210414248</v>
      </c>
      <c r="CW66">
        <v>30.121453860237018</v>
      </c>
      <c r="CX66">
        <v>245.02281985810771</v>
      </c>
      <c r="CY66">
        <v>0</v>
      </c>
      <c r="CZ66">
        <v>57.404965927115406</v>
      </c>
      <c r="DA66">
        <v>0</v>
      </c>
      <c r="DB66">
        <v>2.8702482963557703</v>
      </c>
      <c r="DC66">
        <v>54.534717630759637</v>
      </c>
      <c r="DD66">
        <v>0</v>
      </c>
      <c r="DE66">
        <v>1.502371853807398</v>
      </c>
      <c r="DF66">
        <v>3.0817719597239805</v>
      </c>
      <c r="DG66">
        <v>0</v>
      </c>
      <c r="DH66">
        <v>0</v>
      </c>
      <c r="DI66">
        <v>2.0091738074490393</v>
      </c>
      <c r="DJ66">
        <v>2.0091738074490393</v>
      </c>
      <c r="DK66">
        <v>0</v>
      </c>
      <c r="DL66">
        <v>0.58571040403867802</v>
      </c>
      <c r="DM66">
        <v>0.58571040403867802</v>
      </c>
      <c r="DN66">
        <v>12.293325934980381</v>
      </c>
      <c r="DO66">
        <v>65.756492249407771</v>
      </c>
      <c r="DP66">
        <v>119.8161407753788</v>
      </c>
      <c r="DQ66">
        <v>0</v>
      </c>
      <c r="DR66">
        <v>0</v>
      </c>
      <c r="DS66">
        <v>0</v>
      </c>
      <c r="DT66">
        <v>0</v>
      </c>
      <c r="DU66">
        <v>2.5948842114877175</v>
      </c>
      <c r="DV66">
        <v>1.1202388211792178</v>
      </c>
      <c r="DW66">
        <v>2.4086772162037309</v>
      </c>
      <c r="DX66">
        <v>0</v>
      </c>
      <c r="DY66">
        <v>200.46084317125468</v>
      </c>
      <c r="DZ66">
        <v>86.541055532497055</v>
      </c>
      <c r="EA66">
        <v>173.02516077639785</v>
      </c>
      <c r="EB66">
        <v>0</v>
      </c>
      <c r="EC66">
        <v>0</v>
      </c>
      <c r="ED66">
        <v>0</v>
      </c>
      <c r="EE66">
        <v>0</v>
      </c>
      <c r="EF66">
        <v>0</v>
      </c>
      <c r="EG66">
        <v>0</v>
      </c>
      <c r="EH66">
        <v>0</v>
      </c>
      <c r="EI66">
        <v>0.6131943551702338</v>
      </c>
      <c r="EJ66">
        <v>57.198900217333403</v>
      </c>
      <c r="EK66">
        <v>0</v>
      </c>
      <c r="EL66">
        <v>0.6944256526548428</v>
      </c>
      <c r="EM66">
        <v>60.587243503552784</v>
      </c>
      <c r="EN66">
        <v>0</v>
      </c>
      <c r="EO66">
        <v>0</v>
      </c>
      <c r="EP66">
        <v>0</v>
      </c>
      <c r="EQ66">
        <v>2.4502281985810774</v>
      </c>
      <c r="ER66">
        <v>0</v>
      </c>
      <c r="ES66">
        <v>1.5024661002488473</v>
      </c>
      <c r="ET66">
        <v>140.15035824033563</v>
      </c>
      <c r="EU66">
        <v>0</v>
      </c>
      <c r="EV66">
        <v>1.7015013159529644</v>
      </c>
      <c r="EW66">
        <v>148.45257250670323</v>
      </c>
      <c r="EX66">
        <v>0</v>
      </c>
      <c r="EY66">
        <v>0</v>
      </c>
      <c r="EZ66">
        <v>0</v>
      </c>
      <c r="FA66">
        <v>492.95813919759189</v>
      </c>
      <c r="FB66">
        <v>522.54286611740577</v>
      </c>
      <c r="FC66">
        <v>0</v>
      </c>
      <c r="FD66">
        <v>0</v>
      </c>
      <c r="FE66">
        <v>454.69529832227016</v>
      </c>
      <c r="FF66">
        <v>30.121453860237018</v>
      </c>
      <c r="FG66">
        <v>9.8458686377242888</v>
      </c>
      <c r="FH66">
        <v>2.8702482963557703</v>
      </c>
      <c r="FI66">
        <v>0</v>
      </c>
      <c r="FJ66">
        <v>497.53286911658722</v>
      </c>
      <c r="FK66">
        <v>0</v>
      </c>
      <c r="FL66">
        <v>0</v>
      </c>
      <c r="FM66">
        <v>-0.80603065829535459</v>
      </c>
      <c r="FN66">
        <v>4.4065605409470265</v>
      </c>
      <c r="FO66">
        <v>0</v>
      </c>
      <c r="FP66">
        <v>0</v>
      </c>
      <c r="FQ66">
        <v>0</v>
      </c>
      <c r="FR66">
        <v>0</v>
      </c>
      <c r="FS66">
        <v>0.57063777737525367</v>
      </c>
      <c r="FT66">
        <v>0.16259288119565063</v>
      </c>
      <c r="FU66">
        <v>0</v>
      </c>
      <c r="FV66">
        <v>0.69267739236438608</v>
      </c>
      <c r="FW66">
        <v>5.253144465448913</v>
      </c>
      <c r="FX66">
        <v>0</v>
      </c>
      <c r="FY66">
        <v>0</v>
      </c>
      <c r="FZ66">
        <v>0</v>
      </c>
      <c r="GA66">
        <v>0</v>
      </c>
      <c r="GB66">
        <v>1.8779151538782344</v>
      </c>
      <c r="GC66">
        <v>30.769990656221069</v>
      </c>
      <c r="GD66">
        <v>0</v>
      </c>
      <c r="GE66">
        <v>1.9662005140921595</v>
      </c>
      <c r="GF66">
        <v>32.216562778104979</v>
      </c>
      <c r="GG66">
        <v>0</v>
      </c>
      <c r="GH66">
        <v>0</v>
      </c>
      <c r="GI66">
        <v>0</v>
      </c>
      <c r="GJ66">
        <v>0</v>
      </c>
      <c r="GK66">
        <v>190.68737254821065</v>
      </c>
      <c r="GL66">
        <v>95.343686274105323</v>
      </c>
      <c r="GM66">
        <v>0</v>
      </c>
      <c r="GN66">
        <v>0</v>
      </c>
      <c r="GO66">
        <v>28632.485814652366</v>
      </c>
      <c r="GP66">
        <v>14016.827319928829</v>
      </c>
      <c r="GQ66">
        <v>10512.620489946623</v>
      </c>
      <c r="GR66">
        <v>0</v>
      </c>
      <c r="GS66">
        <v>2450.2281985810773</v>
      </c>
      <c r="GT66">
        <v>0</v>
      </c>
      <c r="GU66">
        <v>35042.068299822073</v>
      </c>
      <c r="GV66">
        <v>0</v>
      </c>
      <c r="GW66">
        <v>15768.930734919932</v>
      </c>
      <c r="GX66">
        <v>3185.2966581554006</v>
      </c>
      <c r="GY66">
        <v>0</v>
      </c>
      <c r="GZ66">
        <v>-64.379040110138831</v>
      </c>
      <c r="HA66">
        <v>111.63300615650726</v>
      </c>
      <c r="HB66" t="e">
        <v>#N/A</v>
      </c>
      <c r="HC66" t="e">
        <v>#N/A</v>
      </c>
      <c r="HD66" t="e">
        <v>#N/A</v>
      </c>
      <c r="HE66" t="e">
        <v>#N/A</v>
      </c>
      <c r="HF66" t="e">
        <v>#N/A</v>
      </c>
      <c r="HG66" t="e">
        <v>#N/A</v>
      </c>
      <c r="HH66" t="e">
        <v>#N/A</v>
      </c>
      <c r="HI66" t="e">
        <v>#N/A</v>
      </c>
      <c r="HJ66" t="e">
        <v>#N/A</v>
      </c>
      <c r="HK66" t="e">
        <v>#N/A</v>
      </c>
      <c r="HL66" t="e">
        <v>#N/A</v>
      </c>
      <c r="HM66" t="e">
        <v>#N/A</v>
      </c>
      <c r="HN66" t="e">
        <v>#N/A</v>
      </c>
      <c r="HO66" t="e">
        <v>#N/A</v>
      </c>
      <c r="HP66" t="e">
        <v>#N/A</v>
      </c>
      <c r="HQ66" t="e">
        <v>#N/A</v>
      </c>
      <c r="HR66" t="e">
        <v>#N/A</v>
      </c>
      <c r="HS66" t="e">
        <v>#N/A</v>
      </c>
      <c r="HT66" t="e">
        <v>#N/A</v>
      </c>
      <c r="HU66" t="e">
        <v>#N/A</v>
      </c>
      <c r="HV66" t="e">
        <v>#N/A</v>
      </c>
      <c r="HW66" t="e">
        <v>#N/A</v>
      </c>
      <c r="HX66" t="e">
        <v>#N/A</v>
      </c>
      <c r="HY66" t="e">
        <v>#N/A</v>
      </c>
      <c r="HZ66" t="e">
        <v>#N/A</v>
      </c>
      <c r="IA66" t="e">
        <v>#N/A</v>
      </c>
      <c r="IB66" t="e">
        <v>#N/A</v>
      </c>
      <c r="IC66" t="e">
        <v>#N/A</v>
      </c>
      <c r="ID66" t="e">
        <v>#N/A</v>
      </c>
      <c r="IE66" t="e">
        <v>#N/A</v>
      </c>
      <c r="IF66" t="e">
        <v>#N/A</v>
      </c>
      <c r="IG66" t="e">
        <v>#N/A</v>
      </c>
      <c r="IH66" t="e">
        <v>#N/A</v>
      </c>
      <c r="II66" t="e">
        <v>#N/A</v>
      </c>
      <c r="IJ66" t="e">
        <v>#N/A</v>
      </c>
      <c r="IK66" t="e">
        <v>#N/A</v>
      </c>
      <c r="IL66" t="e">
        <v>#N/A</v>
      </c>
      <c r="IM66" t="e">
        <v>#N/A</v>
      </c>
      <c r="IN66" t="e">
        <v>#N/A</v>
      </c>
      <c r="IO66" t="e">
        <v>#N/A</v>
      </c>
      <c r="IP66" t="e">
        <v>#N/A</v>
      </c>
      <c r="IQ66" t="e">
        <v>#N/A</v>
      </c>
      <c r="IR66" t="e">
        <v>#N/A</v>
      </c>
      <c r="IS66" t="e">
        <v>#N/A</v>
      </c>
      <c r="IT66" t="e">
        <v>#N/A</v>
      </c>
      <c r="IU66" t="e">
        <v>#N/A</v>
      </c>
      <c r="IV66" t="e">
        <v>#N/A</v>
      </c>
      <c r="IW66" t="e">
        <v>#N/A</v>
      </c>
      <c r="IX66" t="e">
        <v>#N/A</v>
      </c>
      <c r="IY66" t="e">
        <v>#N/A</v>
      </c>
      <c r="IZ66" t="e">
        <v>#N/A</v>
      </c>
      <c r="JA66" t="e">
        <v>#N/A</v>
      </c>
      <c r="JB66" t="e">
        <v>#N/A</v>
      </c>
      <c r="JC66" t="e">
        <v>#N/A</v>
      </c>
      <c r="JD66" t="e">
        <v>#N/A</v>
      </c>
      <c r="JE66" t="e">
        <v>#N/A</v>
      </c>
      <c r="JF66" t="e">
        <v>#N/A</v>
      </c>
      <c r="JG66" t="e">
        <v>#N/A</v>
      </c>
      <c r="JH66" t="e">
        <v>#N/A</v>
      </c>
      <c r="JI66" t="e">
        <v>#N/A</v>
      </c>
      <c r="JJ66" t="e">
        <v>#N/A</v>
      </c>
      <c r="JK66" t="e">
        <v>#N/A</v>
      </c>
      <c r="JL66" t="e">
        <v>#N/A</v>
      </c>
      <c r="JM66" t="e">
        <v>#N/A</v>
      </c>
      <c r="JN66" t="e">
        <v>#N/A</v>
      </c>
      <c r="JO66" t="e">
        <v>#N/A</v>
      </c>
      <c r="JP66" t="e">
        <v>#N/A</v>
      </c>
      <c r="JQ66" t="e">
        <v>#N/A</v>
      </c>
      <c r="JR66" t="e">
        <v>#N/A</v>
      </c>
      <c r="JS66" t="e">
        <v>#N/A</v>
      </c>
      <c r="JT66" t="e">
        <v>#N/A</v>
      </c>
      <c r="JU66" t="e">
        <v>#N/A</v>
      </c>
      <c r="JV66" t="e">
        <v>#N/A</v>
      </c>
      <c r="JW66" t="e">
        <v>#N/A</v>
      </c>
      <c r="JX66" t="e">
        <v>#N/A</v>
      </c>
      <c r="JY66" t="e">
        <v>#N/A</v>
      </c>
      <c r="JZ66" t="e">
        <v>#N/A</v>
      </c>
      <c r="KA66" t="e">
        <v>#N/A</v>
      </c>
      <c r="KB66" t="e">
        <v>#N/A</v>
      </c>
      <c r="KC66" t="e">
        <v>#N/A</v>
      </c>
      <c r="KD66" t="e">
        <v>#N/A</v>
      </c>
      <c r="KE66" t="e">
        <v>#N/A</v>
      </c>
      <c r="KF66" t="e">
        <v>#N/A</v>
      </c>
      <c r="KG66" t="e">
        <v>#N/A</v>
      </c>
      <c r="KH66" t="e">
        <v>#N/A</v>
      </c>
      <c r="KI66" t="e">
        <v>#N/A</v>
      </c>
      <c r="KJ66" t="e">
        <v>#N/A</v>
      </c>
      <c r="KK66" t="e">
        <v>#N/A</v>
      </c>
      <c r="KL66" t="e">
        <v>#N/A</v>
      </c>
      <c r="KM66" t="e">
        <v>#N/A</v>
      </c>
      <c r="KN66" t="e">
        <v>#N/A</v>
      </c>
    </row>
    <row r="67" spans="1:300" x14ac:dyDescent="0.15">
      <c r="A67">
        <v>13</v>
      </c>
      <c r="B67">
        <v>0</v>
      </c>
      <c r="C67">
        <v>7.9927277734823346E-2</v>
      </c>
      <c r="D67">
        <v>265.41075006475904</v>
      </c>
      <c r="E67">
        <v>0.37677449001444147</v>
      </c>
      <c r="F67">
        <v>0</v>
      </c>
      <c r="G67">
        <v>191.55408290138976</v>
      </c>
      <c r="H67">
        <v>206.86447928668855</v>
      </c>
      <c r="I67">
        <v>0</v>
      </c>
      <c r="J67">
        <v>0.40252422403363619</v>
      </c>
      <c r="K67">
        <v>0</v>
      </c>
      <c r="L67">
        <v>0</v>
      </c>
      <c r="M67">
        <v>0</v>
      </c>
      <c r="N67">
        <v>50000</v>
      </c>
      <c r="O67">
        <v>1</v>
      </c>
      <c r="P67">
        <v>50000</v>
      </c>
      <c r="Q67">
        <v>0</v>
      </c>
      <c r="R67">
        <v>0</v>
      </c>
      <c r="S67">
        <v>194.53951299986571</v>
      </c>
      <c r="T67">
        <v>3.5503461122475488</v>
      </c>
      <c r="U67">
        <v>0</v>
      </c>
      <c r="V67">
        <v>0.03</v>
      </c>
      <c r="W67">
        <v>1</v>
      </c>
      <c r="X67">
        <v>0</v>
      </c>
      <c r="Y67">
        <v>0</v>
      </c>
      <c r="Z67">
        <v>0</v>
      </c>
      <c r="AA67">
        <v>0</v>
      </c>
      <c r="AB67">
        <v>0</v>
      </c>
      <c r="AC67">
        <v>14.769807938826441</v>
      </c>
      <c r="AD67">
        <v>0.14769807938826446</v>
      </c>
      <c r="AE67">
        <v>0</v>
      </c>
      <c r="AF67">
        <v>14.769807938826441</v>
      </c>
      <c r="AG67">
        <v>0.14769807938826446</v>
      </c>
      <c r="AH67">
        <v>0</v>
      </c>
      <c r="AI67">
        <v>0</v>
      </c>
      <c r="AJ67">
        <v>0</v>
      </c>
      <c r="AK67">
        <v>0</v>
      </c>
      <c r="AL67">
        <v>0</v>
      </c>
      <c r="AM67">
        <v>0</v>
      </c>
      <c r="AN67">
        <v>0</v>
      </c>
      <c r="AO67">
        <v>1.38113061777223E-4</v>
      </c>
      <c r="AP67">
        <v>2.3430659452951301E-4</v>
      </c>
      <c r="AQ67">
        <v>6.0747313006415311E-4</v>
      </c>
      <c r="AR67">
        <v>1.4234158528082081E-3</v>
      </c>
      <c r="AS67">
        <v>2.6749226682767253E-3</v>
      </c>
      <c r="AT67">
        <v>3.4512752500429926E-3</v>
      </c>
      <c r="AU67">
        <v>2.8289504075366427E-3</v>
      </c>
      <c r="AV67">
        <v>1.5905457902578783E-3</v>
      </c>
      <c r="AW67">
        <v>7.1573464622704647E-4</v>
      </c>
      <c r="AX67">
        <v>4.6428675232434931E-4</v>
      </c>
      <c r="AY67">
        <v>0</v>
      </c>
      <c r="AZ67">
        <v>0</v>
      </c>
      <c r="BA67">
        <v>0</v>
      </c>
      <c r="BB67">
        <v>0</v>
      </c>
      <c r="BC67">
        <v>0</v>
      </c>
      <c r="BD67">
        <v>0</v>
      </c>
      <c r="BE67">
        <v>0</v>
      </c>
      <c r="BF67">
        <v>0</v>
      </c>
      <c r="BG67">
        <v>0</v>
      </c>
      <c r="BH67">
        <v>0</v>
      </c>
      <c r="BI67">
        <v>0</v>
      </c>
      <c r="BJ67">
        <v>0</v>
      </c>
      <c r="BK67">
        <v>0</v>
      </c>
      <c r="BL67">
        <v>0</v>
      </c>
      <c r="BM67">
        <v>0</v>
      </c>
      <c r="BN67">
        <v>0</v>
      </c>
      <c r="BO67">
        <v>0</v>
      </c>
      <c r="BP67">
        <v>0</v>
      </c>
      <c r="BQ67">
        <v>0</v>
      </c>
      <c r="BR67">
        <v>0</v>
      </c>
      <c r="BS67">
        <v>0</v>
      </c>
      <c r="BT67">
        <v>0</v>
      </c>
      <c r="BU67">
        <v>0</v>
      </c>
      <c r="BV67">
        <v>0</v>
      </c>
      <c r="BW67">
        <v>0</v>
      </c>
      <c r="BX67">
        <v>0</v>
      </c>
      <c r="BY67">
        <v>0</v>
      </c>
      <c r="BZ67">
        <v>0</v>
      </c>
      <c r="CA67">
        <v>0</v>
      </c>
      <c r="CB67">
        <v>0</v>
      </c>
      <c r="CC67">
        <v>1.4129024153844733E-2</v>
      </c>
      <c r="CD67">
        <v>0</v>
      </c>
      <c r="CE67">
        <v>0.18471974148492271</v>
      </c>
      <c r="CF67">
        <v>1.4129024153844733E-2</v>
      </c>
      <c r="CG67">
        <v>9.2359870742461363E-3</v>
      </c>
      <c r="CH67">
        <v>0</v>
      </c>
      <c r="CI67">
        <v>0</v>
      </c>
      <c r="CJ67">
        <v>0</v>
      </c>
      <c r="CK67">
        <v>22.040224859206944</v>
      </c>
      <c r="CL67">
        <v>1.2402171736388921</v>
      </c>
      <c r="CM67">
        <v>1.1020112429603472</v>
      </c>
      <c r="CN67">
        <v>0</v>
      </c>
      <c r="CO67">
        <v>22.040224859206944</v>
      </c>
      <c r="CP67">
        <v>1.2402171736388921</v>
      </c>
      <c r="CQ67">
        <v>1.1020112429603472</v>
      </c>
      <c r="CR67">
        <v>0</v>
      </c>
      <c r="CS67">
        <v>0</v>
      </c>
      <c r="CT67">
        <v>0</v>
      </c>
      <c r="CU67">
        <v>245.02281985810771</v>
      </c>
      <c r="CV67">
        <v>12.251140992905386</v>
      </c>
      <c r="CW67">
        <v>32.639071199556717</v>
      </c>
      <c r="CX67">
        <v>265.41075006475904</v>
      </c>
      <c r="CY67">
        <v>0</v>
      </c>
      <c r="CZ67">
        <v>54.534717630759637</v>
      </c>
      <c r="DA67">
        <v>0</v>
      </c>
      <c r="DB67">
        <v>2.7267358815379819</v>
      </c>
      <c r="DC67">
        <v>51.807981749221653</v>
      </c>
      <c r="DD67">
        <v>0</v>
      </c>
      <c r="DE67">
        <v>1.4291003138832816</v>
      </c>
      <c r="DF67">
        <v>4.5108722736072622</v>
      </c>
      <c r="DG67">
        <v>0</v>
      </c>
      <c r="DH67">
        <v>0</v>
      </c>
      <c r="DI67">
        <v>1.9087151170765875</v>
      </c>
      <c r="DJ67">
        <v>1.9087151170765875</v>
      </c>
      <c r="DK67">
        <v>0</v>
      </c>
      <c r="DL67">
        <v>0.51368226058527577</v>
      </c>
      <c r="DM67">
        <v>0.51368226058527577</v>
      </c>
      <c r="DN67">
        <v>12.297569405758026</v>
      </c>
      <c r="DO67">
        <v>68.82952978857432</v>
      </c>
      <c r="DP67">
        <v>131.84577455184242</v>
      </c>
      <c r="DQ67">
        <v>0</v>
      </c>
      <c r="DR67">
        <v>0</v>
      </c>
      <c r="DS67">
        <v>0</v>
      </c>
      <c r="DT67">
        <v>0</v>
      </c>
      <c r="DU67">
        <v>2.4223973776618632</v>
      </c>
      <c r="DV67">
        <v>0.97507362474445669</v>
      </c>
      <c r="DW67">
        <v>3.3837508409481876</v>
      </c>
      <c r="DX67">
        <v>0</v>
      </c>
      <c r="DY67">
        <v>215.39527112383664</v>
      </c>
      <c r="DZ67">
        <v>86.70181436963702</v>
      </c>
      <c r="EA67">
        <v>259.72697514603487</v>
      </c>
      <c r="EB67">
        <v>0</v>
      </c>
      <c r="EC67">
        <v>0</v>
      </c>
      <c r="ED67">
        <v>0</v>
      </c>
      <c r="EE67">
        <v>0</v>
      </c>
      <c r="EF67">
        <v>0</v>
      </c>
      <c r="EG67">
        <v>0</v>
      </c>
      <c r="EH67">
        <v>0</v>
      </c>
      <c r="EI67">
        <v>0.6131943551702338</v>
      </c>
      <c r="EJ67">
        <v>57.198900217333403</v>
      </c>
      <c r="EK67">
        <v>0</v>
      </c>
      <c r="EL67">
        <v>0.6944256526548428</v>
      </c>
      <c r="EM67">
        <v>60.587243503552784</v>
      </c>
      <c r="EN67">
        <v>0</v>
      </c>
      <c r="EO67">
        <v>0</v>
      </c>
      <c r="EP67">
        <v>0</v>
      </c>
      <c r="EQ67">
        <v>2.6541075006475912</v>
      </c>
      <c r="ER67">
        <v>0</v>
      </c>
      <c r="ES67">
        <v>1.6274837374120805</v>
      </c>
      <c r="ET67">
        <v>151.81203009561773</v>
      </c>
      <c r="EU67">
        <v>0</v>
      </c>
      <c r="EV67">
        <v>1.843080333353317</v>
      </c>
      <c r="EW67">
        <v>160.80505742634148</v>
      </c>
      <c r="EX67">
        <v>0</v>
      </c>
      <c r="EY67">
        <v>0</v>
      </c>
      <c r="EZ67">
        <v>0</v>
      </c>
      <c r="FA67">
        <v>544.76338140225141</v>
      </c>
      <c r="FB67">
        <v>577.4571835594362</v>
      </c>
      <c r="FC67">
        <v>0</v>
      </c>
      <c r="FD67">
        <v>0</v>
      </c>
      <c r="FE67">
        <v>532.61383044463821</v>
      </c>
      <c r="FF67">
        <v>32.639071199556717</v>
      </c>
      <c r="FG67">
        <v>10.131870217664831</v>
      </c>
      <c r="FH67">
        <v>2.7267358815379819</v>
      </c>
      <c r="FI67">
        <v>0</v>
      </c>
      <c r="FJ67">
        <v>578.11150774339774</v>
      </c>
      <c r="FK67">
        <v>0</v>
      </c>
      <c r="FL67">
        <v>0</v>
      </c>
      <c r="FM67">
        <v>-5.0576054945665643</v>
      </c>
      <c r="FN67">
        <v>-9.923536795374531E-2</v>
      </c>
      <c r="FO67">
        <v>0</v>
      </c>
      <c r="FP67">
        <v>0</v>
      </c>
      <c r="FQ67">
        <v>0</v>
      </c>
      <c r="FR67">
        <v>0</v>
      </c>
      <c r="FS67">
        <v>0.52109187127384438</v>
      </c>
      <c r="FT67">
        <v>-4.3389988646942905</v>
      </c>
      <c r="FU67">
        <v>0</v>
      </c>
      <c r="FV67">
        <v>0.63717954400624532</v>
      </c>
      <c r="FW67">
        <v>0.50328358918613048</v>
      </c>
      <c r="FX67">
        <v>0</v>
      </c>
      <c r="FY67">
        <v>0</v>
      </c>
      <c r="FZ67">
        <v>0</v>
      </c>
      <c r="GA67">
        <v>0</v>
      </c>
      <c r="GB67">
        <v>-27.507867975449585</v>
      </c>
      <c r="GC67">
        <v>4.4204916455214516</v>
      </c>
      <c r="GD67">
        <v>0</v>
      </c>
      <c r="GE67">
        <v>-24.961513007394405</v>
      </c>
      <c r="GF67">
        <v>4.011294506984</v>
      </c>
      <c r="GG67">
        <v>0</v>
      </c>
      <c r="GH67">
        <v>0</v>
      </c>
      <c r="GI67">
        <v>0</v>
      </c>
      <c r="GJ67">
        <v>0</v>
      </c>
      <c r="GK67">
        <v>194.53951299986571</v>
      </c>
      <c r="GL67">
        <v>97.269756499932853</v>
      </c>
      <c r="GM67">
        <v>0</v>
      </c>
      <c r="GN67">
        <v>0</v>
      </c>
      <c r="GO67">
        <v>31641.489510106097</v>
      </c>
      <c r="GP67">
        <v>15489.863418758194</v>
      </c>
      <c r="GQ67">
        <v>11617.397564068646</v>
      </c>
      <c r="GR67">
        <v>0</v>
      </c>
      <c r="GS67">
        <v>2654.1075006475912</v>
      </c>
      <c r="GT67">
        <v>0</v>
      </c>
      <c r="GU67">
        <v>38724.658546895487</v>
      </c>
      <c r="GV67">
        <v>0</v>
      </c>
      <c r="GW67">
        <v>17426.096346102968</v>
      </c>
      <c r="GX67">
        <v>3450.3397508418684</v>
      </c>
      <c r="GY67">
        <v>0</v>
      </c>
      <c r="GZ67">
        <v>-61.239237273875759</v>
      </c>
      <c r="HA67">
        <v>111.63300615650726</v>
      </c>
      <c r="HB67" t="e">
        <v>#N/A</v>
      </c>
      <c r="HC67" t="e">
        <v>#N/A</v>
      </c>
      <c r="HD67" t="e">
        <v>#N/A</v>
      </c>
      <c r="HE67" t="e">
        <v>#N/A</v>
      </c>
      <c r="HF67" t="e">
        <v>#N/A</v>
      </c>
      <c r="HG67" t="e">
        <v>#N/A</v>
      </c>
      <c r="HH67" t="e">
        <v>#N/A</v>
      </c>
      <c r="HI67" t="e">
        <v>#N/A</v>
      </c>
      <c r="HJ67" t="e">
        <v>#N/A</v>
      </c>
      <c r="HK67" t="e">
        <v>#N/A</v>
      </c>
      <c r="HL67" t="e">
        <v>#N/A</v>
      </c>
      <c r="HM67" t="e">
        <v>#N/A</v>
      </c>
      <c r="HN67" t="e">
        <v>#N/A</v>
      </c>
      <c r="HO67" t="e">
        <v>#N/A</v>
      </c>
      <c r="HP67" t="e">
        <v>#N/A</v>
      </c>
      <c r="HQ67" t="e">
        <v>#N/A</v>
      </c>
      <c r="HR67" t="e">
        <v>#N/A</v>
      </c>
      <c r="HS67" t="e">
        <v>#N/A</v>
      </c>
      <c r="HT67" t="e">
        <v>#N/A</v>
      </c>
      <c r="HU67" t="e">
        <v>#N/A</v>
      </c>
      <c r="HV67" t="e">
        <v>#N/A</v>
      </c>
      <c r="HW67" t="e">
        <v>#N/A</v>
      </c>
      <c r="HX67" t="e">
        <v>#N/A</v>
      </c>
      <c r="HY67" t="e">
        <v>#N/A</v>
      </c>
      <c r="HZ67" t="e">
        <v>#N/A</v>
      </c>
      <c r="IA67" t="e">
        <v>#N/A</v>
      </c>
      <c r="IB67" t="e">
        <v>#N/A</v>
      </c>
      <c r="IC67" t="e">
        <v>#N/A</v>
      </c>
      <c r="ID67" t="e">
        <v>#N/A</v>
      </c>
      <c r="IE67" t="e">
        <v>#N/A</v>
      </c>
      <c r="IF67" t="e">
        <v>#N/A</v>
      </c>
      <c r="IG67" t="e">
        <v>#N/A</v>
      </c>
      <c r="IH67" t="e">
        <v>#N/A</v>
      </c>
      <c r="II67" t="e">
        <v>#N/A</v>
      </c>
      <c r="IJ67" t="e">
        <v>#N/A</v>
      </c>
      <c r="IK67" t="e">
        <v>#N/A</v>
      </c>
      <c r="IL67" t="e">
        <v>#N/A</v>
      </c>
      <c r="IM67" t="e">
        <v>#N/A</v>
      </c>
      <c r="IN67" t="e">
        <v>#N/A</v>
      </c>
      <c r="IO67" t="e">
        <v>#N/A</v>
      </c>
      <c r="IP67" t="e">
        <v>#N/A</v>
      </c>
      <c r="IQ67" t="e">
        <v>#N/A</v>
      </c>
      <c r="IR67" t="e">
        <v>#N/A</v>
      </c>
      <c r="IS67" t="e">
        <v>#N/A</v>
      </c>
      <c r="IT67" t="e">
        <v>#N/A</v>
      </c>
      <c r="IU67" t="e">
        <v>#N/A</v>
      </c>
      <c r="IV67" t="e">
        <v>#N/A</v>
      </c>
      <c r="IW67" t="e">
        <v>#N/A</v>
      </c>
      <c r="IX67" t="e">
        <v>#N/A</v>
      </c>
      <c r="IY67" t="e">
        <v>#N/A</v>
      </c>
      <c r="IZ67" t="e">
        <v>#N/A</v>
      </c>
      <c r="JA67" t="e">
        <v>#N/A</v>
      </c>
      <c r="JB67" t="e">
        <v>#N/A</v>
      </c>
      <c r="JC67" t="e">
        <v>#N/A</v>
      </c>
      <c r="JD67" t="e">
        <v>#N/A</v>
      </c>
      <c r="JE67" t="e">
        <v>#N/A</v>
      </c>
      <c r="JF67" t="e">
        <v>#N/A</v>
      </c>
      <c r="JG67" t="e">
        <v>#N/A</v>
      </c>
      <c r="JH67" t="e">
        <v>#N/A</v>
      </c>
      <c r="JI67" t="e">
        <v>#N/A</v>
      </c>
      <c r="JJ67" t="e">
        <v>#N/A</v>
      </c>
      <c r="JK67" t="e">
        <v>#N/A</v>
      </c>
      <c r="JL67" t="e">
        <v>#N/A</v>
      </c>
      <c r="JM67" t="e">
        <v>#N/A</v>
      </c>
      <c r="JN67" t="e">
        <v>#N/A</v>
      </c>
      <c r="JO67" t="e">
        <v>#N/A</v>
      </c>
      <c r="JP67" t="e">
        <v>#N/A</v>
      </c>
      <c r="JQ67" t="e">
        <v>#N/A</v>
      </c>
      <c r="JR67" t="e">
        <v>#N/A</v>
      </c>
      <c r="JS67" t="e">
        <v>#N/A</v>
      </c>
      <c r="JT67" t="e">
        <v>#N/A</v>
      </c>
      <c r="JU67" t="e">
        <v>#N/A</v>
      </c>
      <c r="JV67" t="e">
        <v>#N/A</v>
      </c>
      <c r="JW67" t="e">
        <v>#N/A</v>
      </c>
      <c r="JX67" t="e">
        <v>#N/A</v>
      </c>
      <c r="JY67" t="e">
        <v>#N/A</v>
      </c>
      <c r="JZ67" t="e">
        <v>#N/A</v>
      </c>
      <c r="KA67" t="e">
        <v>#N/A</v>
      </c>
      <c r="KB67" t="e">
        <v>#N/A</v>
      </c>
      <c r="KC67" t="e">
        <v>#N/A</v>
      </c>
      <c r="KD67" t="e">
        <v>#N/A</v>
      </c>
      <c r="KE67" t="e">
        <v>#N/A</v>
      </c>
      <c r="KF67" t="e">
        <v>#N/A</v>
      </c>
      <c r="KG67" t="e">
        <v>#N/A</v>
      </c>
      <c r="KH67" t="e">
        <v>#N/A</v>
      </c>
      <c r="KI67" t="e">
        <v>#N/A</v>
      </c>
      <c r="KJ67" t="e">
        <v>#N/A</v>
      </c>
      <c r="KK67" t="e">
        <v>#N/A</v>
      </c>
      <c r="KL67" t="e">
        <v>#N/A</v>
      </c>
      <c r="KM67" t="e">
        <v>#N/A</v>
      </c>
      <c r="KN67" t="e">
        <v>#N/A</v>
      </c>
    </row>
    <row r="68" spans="1:300" x14ac:dyDescent="0.15">
      <c r="A68">
        <v>14</v>
      </c>
      <c r="B68">
        <v>0</v>
      </c>
      <c r="C68">
        <v>7.995634548261564E-2</v>
      </c>
      <c r="D68">
        <v>287.50348206735407</v>
      </c>
      <c r="E68">
        <v>0.34782187429845723</v>
      </c>
      <c r="F68">
        <v>0</v>
      </c>
      <c r="G68">
        <v>201.37527074704784</v>
      </c>
      <c r="H68">
        <v>217.47650146655403</v>
      </c>
      <c r="I68">
        <v>0</v>
      </c>
      <c r="J68">
        <v>0.37531109885139974</v>
      </c>
      <c r="K68">
        <v>0</v>
      </c>
      <c r="L68">
        <v>0</v>
      </c>
      <c r="M68">
        <v>0</v>
      </c>
      <c r="N68">
        <v>50000</v>
      </c>
      <c r="O68">
        <v>1</v>
      </c>
      <c r="P68">
        <v>50000</v>
      </c>
      <c r="Q68">
        <v>0</v>
      </c>
      <c r="R68">
        <v>0</v>
      </c>
      <c r="S68">
        <v>198.46947185061546</v>
      </c>
      <c r="T68">
        <v>3.6220678612737327</v>
      </c>
      <c r="U68">
        <v>0</v>
      </c>
      <c r="V68">
        <v>0.03</v>
      </c>
      <c r="W68">
        <v>1</v>
      </c>
      <c r="X68">
        <v>0</v>
      </c>
      <c r="Y68">
        <v>0</v>
      </c>
      <c r="Z68">
        <v>0</v>
      </c>
      <c r="AA68">
        <v>0</v>
      </c>
      <c r="AB68">
        <v>0</v>
      </c>
      <c r="AC68">
        <v>15.219615556186355</v>
      </c>
      <c r="AD68">
        <v>0.15219615556186361</v>
      </c>
      <c r="AE68">
        <v>0</v>
      </c>
      <c r="AF68">
        <v>15.219615556186355</v>
      </c>
      <c r="AG68">
        <v>0.15219615556186361</v>
      </c>
      <c r="AH68">
        <v>0</v>
      </c>
      <c r="AI68">
        <v>0</v>
      </c>
      <c r="AJ68">
        <v>0</v>
      </c>
      <c r="AK68">
        <v>0</v>
      </c>
      <c r="AL68">
        <v>0</v>
      </c>
      <c r="AM68">
        <v>0</v>
      </c>
      <c r="AN68">
        <v>0</v>
      </c>
      <c r="AO68">
        <v>1.38113061777223E-4</v>
      </c>
      <c r="AP68">
        <v>2.3430659452951301E-4</v>
      </c>
      <c r="AQ68">
        <v>6.0747313006415311E-4</v>
      </c>
      <c r="AR68">
        <v>1.4234158528082081E-3</v>
      </c>
      <c r="AS68">
        <v>2.6749226682767253E-3</v>
      </c>
      <c r="AT68">
        <v>3.4512752500429926E-3</v>
      </c>
      <c r="AU68">
        <v>2.8289504075366427E-3</v>
      </c>
      <c r="AV68">
        <v>1.5905457902578783E-3</v>
      </c>
      <c r="AW68">
        <v>7.1573464622704647E-4</v>
      </c>
      <c r="AX68">
        <v>4.6428675232434931E-4</v>
      </c>
      <c r="AY68">
        <v>0</v>
      </c>
      <c r="AZ68">
        <v>0</v>
      </c>
      <c r="BA68">
        <v>0</v>
      </c>
      <c r="BB68">
        <v>0</v>
      </c>
      <c r="BC68">
        <v>0</v>
      </c>
      <c r="BD68">
        <v>0</v>
      </c>
      <c r="BE68">
        <v>0</v>
      </c>
      <c r="BF68">
        <v>0</v>
      </c>
      <c r="BG68">
        <v>0</v>
      </c>
      <c r="BH68">
        <v>0</v>
      </c>
      <c r="BI68">
        <v>0</v>
      </c>
      <c r="BJ68">
        <v>0</v>
      </c>
      <c r="BK68">
        <v>0</v>
      </c>
      <c r="BL68">
        <v>0</v>
      </c>
      <c r="BM68">
        <v>0</v>
      </c>
      <c r="BN68">
        <v>0</v>
      </c>
      <c r="BO68">
        <v>0</v>
      </c>
      <c r="BP68">
        <v>0</v>
      </c>
      <c r="BQ68">
        <v>0</v>
      </c>
      <c r="BR68">
        <v>0</v>
      </c>
      <c r="BS68">
        <v>0</v>
      </c>
      <c r="BT68">
        <v>0</v>
      </c>
      <c r="BU68">
        <v>0</v>
      </c>
      <c r="BV68">
        <v>0</v>
      </c>
      <c r="BW68">
        <v>0</v>
      </c>
      <c r="BX68">
        <v>0</v>
      </c>
      <c r="BY68">
        <v>0</v>
      </c>
      <c r="BZ68">
        <v>0</v>
      </c>
      <c r="CA68">
        <v>0</v>
      </c>
      <c r="CB68">
        <v>0</v>
      </c>
      <c r="CC68">
        <v>1.4129024153844733E-2</v>
      </c>
      <c r="CD68">
        <v>0</v>
      </c>
      <c r="CE68">
        <v>0.17059071733107797</v>
      </c>
      <c r="CF68">
        <v>1.4129024153844733E-2</v>
      </c>
      <c r="CG68">
        <v>8.5295358665538994E-3</v>
      </c>
      <c r="CH68">
        <v>0</v>
      </c>
      <c r="CI68">
        <v>0</v>
      </c>
      <c r="CJ68">
        <v>0</v>
      </c>
      <c r="CK68">
        <v>23.307759465906994</v>
      </c>
      <c r="CL68">
        <v>1.375870096959239</v>
      </c>
      <c r="CM68">
        <v>1.1653879732953498</v>
      </c>
      <c r="CN68">
        <v>0</v>
      </c>
      <c r="CO68">
        <v>23.307759465906994</v>
      </c>
      <c r="CP68">
        <v>1.375870096959239</v>
      </c>
      <c r="CQ68">
        <v>1.1653879732953498</v>
      </c>
      <c r="CR68">
        <v>0</v>
      </c>
      <c r="CS68">
        <v>0</v>
      </c>
      <c r="CT68">
        <v>0</v>
      </c>
      <c r="CU68">
        <v>265.41075006475904</v>
      </c>
      <c r="CV68">
        <v>13.270537503237954</v>
      </c>
      <c r="CW68">
        <v>35.363269505832982</v>
      </c>
      <c r="CX68">
        <v>287.50348206735407</v>
      </c>
      <c r="CY68">
        <v>0</v>
      </c>
      <c r="CZ68">
        <v>51.807981749221653</v>
      </c>
      <c r="DA68">
        <v>0</v>
      </c>
      <c r="DB68">
        <v>2.5903990874610829</v>
      </c>
      <c r="DC68">
        <v>49.217582661760574</v>
      </c>
      <c r="DD68">
        <v>0</v>
      </c>
      <c r="DE68">
        <v>1.359402269128984</v>
      </c>
      <c r="DF68">
        <v>5.8702745427362464</v>
      </c>
      <c r="DG68">
        <v>0</v>
      </c>
      <c r="DH68">
        <v>0</v>
      </c>
      <c r="DI68">
        <v>1.813279361222758</v>
      </c>
      <c r="DJ68">
        <v>1.813279361222758</v>
      </c>
      <c r="DK68">
        <v>0</v>
      </c>
      <c r="DL68">
        <v>0.45049873289086356</v>
      </c>
      <c r="DM68">
        <v>0.45049873289086356</v>
      </c>
      <c r="DN68">
        <v>12.300118680840304</v>
      </c>
      <c r="DO68">
        <v>72.051038614953711</v>
      </c>
      <c r="DP68">
        <v>145.09297408692308</v>
      </c>
      <c r="DQ68">
        <v>0</v>
      </c>
      <c r="DR68">
        <v>0</v>
      </c>
      <c r="DS68">
        <v>0</v>
      </c>
      <c r="DT68">
        <v>0</v>
      </c>
      <c r="DU68">
        <v>2.2637780941136216</v>
      </c>
      <c r="DV68">
        <v>0.84962104405751071</v>
      </c>
      <c r="DW68">
        <v>4.2333718850056981</v>
      </c>
      <c r="DX68">
        <v>0</v>
      </c>
      <c r="DY68">
        <v>231.70790947683071</v>
      </c>
      <c r="DZ68">
        <v>86.962550118309991</v>
      </c>
      <c r="EA68">
        <v>346.68952526434487</v>
      </c>
      <c r="EB68">
        <v>0</v>
      </c>
      <c r="EC68">
        <v>0</v>
      </c>
      <c r="ED68">
        <v>0</v>
      </c>
      <c r="EE68">
        <v>0</v>
      </c>
      <c r="EF68">
        <v>0</v>
      </c>
      <c r="EG68">
        <v>0</v>
      </c>
      <c r="EH68">
        <v>0</v>
      </c>
      <c r="EI68">
        <v>0.6131943551702338</v>
      </c>
      <c r="EJ68">
        <v>57.198900217333403</v>
      </c>
      <c r="EK68">
        <v>0</v>
      </c>
      <c r="EL68">
        <v>0.6944256526548428</v>
      </c>
      <c r="EM68">
        <v>60.587243503552784</v>
      </c>
      <c r="EN68">
        <v>0</v>
      </c>
      <c r="EO68">
        <v>0</v>
      </c>
      <c r="EP68">
        <v>0</v>
      </c>
      <c r="EQ68">
        <v>2.8750348206735414</v>
      </c>
      <c r="ER68">
        <v>0</v>
      </c>
      <c r="ES68">
        <v>1.762955122954881</v>
      </c>
      <c r="ET68">
        <v>164.44882982906492</v>
      </c>
      <c r="EU68">
        <v>0</v>
      </c>
      <c r="EV68">
        <v>1.9964979317516229</v>
      </c>
      <c r="EW68">
        <v>174.19043476134107</v>
      </c>
      <c r="EX68">
        <v>0</v>
      </c>
      <c r="EY68">
        <v>0</v>
      </c>
      <c r="EZ68">
        <v>0</v>
      </c>
      <c r="FA68">
        <v>602.03036443965198</v>
      </c>
      <c r="FB68">
        <v>638.16102648404933</v>
      </c>
      <c r="FC68">
        <v>0</v>
      </c>
      <c r="FD68">
        <v>0</v>
      </c>
      <c r="FE68">
        <v>624.29659761867345</v>
      </c>
      <c r="FF68">
        <v>35.363269505832982</v>
      </c>
      <c r="FG68">
        <v>10.426482606248211</v>
      </c>
      <c r="FH68">
        <v>2.5903990874610829</v>
      </c>
      <c r="FI68">
        <v>0</v>
      </c>
      <c r="FJ68">
        <v>672.67674881821563</v>
      </c>
      <c r="FK68">
        <v>0</v>
      </c>
      <c r="FL68">
        <v>0</v>
      </c>
      <c r="FM68">
        <v>-9.2222786174066229</v>
      </c>
      <c r="FN68">
        <v>-4.5057310554071686</v>
      </c>
      <c r="FO68">
        <v>0</v>
      </c>
      <c r="FP68">
        <v>0</v>
      </c>
      <c r="FQ68">
        <v>0</v>
      </c>
      <c r="FR68">
        <v>0</v>
      </c>
      <c r="FS68">
        <v>0.50183838655810997</v>
      </c>
      <c r="FT68">
        <v>-8.6883537384044942</v>
      </c>
      <c r="FU68">
        <v>0</v>
      </c>
      <c r="FV68">
        <v>0.61226439668297894</v>
      </c>
      <c r="FW68">
        <v>-4.0822321865299154</v>
      </c>
      <c r="FX68">
        <v>0</v>
      </c>
      <c r="FY68">
        <v>0</v>
      </c>
      <c r="FZ68">
        <v>0</v>
      </c>
      <c r="GA68">
        <v>0</v>
      </c>
      <c r="GB68">
        <v>-65.390915873536414</v>
      </c>
      <c r="GC68">
        <v>-30.106161731113389</v>
      </c>
      <c r="GD68">
        <v>0</v>
      </c>
      <c r="GE68">
        <v>-56.110855244740101</v>
      </c>
      <c r="GF68">
        <v>-25.833595696017571</v>
      </c>
      <c r="GG68">
        <v>0</v>
      </c>
      <c r="GH68">
        <v>0</v>
      </c>
      <c r="GI68">
        <v>0</v>
      </c>
      <c r="GJ68">
        <v>0</v>
      </c>
      <c r="GK68">
        <v>198.46947185061546</v>
      </c>
      <c r="GL68">
        <v>99.234735925307731</v>
      </c>
      <c r="GM68">
        <v>0</v>
      </c>
      <c r="GN68">
        <v>0</v>
      </c>
      <c r="GO68">
        <v>34967.727478578046</v>
      </c>
      <c r="GP68">
        <v>17118.199272336202</v>
      </c>
      <c r="GQ68">
        <v>12838.649454252149</v>
      </c>
      <c r="GR68">
        <v>0</v>
      </c>
      <c r="GS68">
        <v>2875.0348206735412</v>
      </c>
      <c r="GT68">
        <v>0</v>
      </c>
      <c r="GU68">
        <v>42795.498180840499</v>
      </c>
      <c r="GV68">
        <v>0</v>
      </c>
      <c r="GW68">
        <v>19257.974181378224</v>
      </c>
      <c r="GX68">
        <v>3737.5452668756038</v>
      </c>
      <c r="GY68">
        <v>0</v>
      </c>
      <c r="GZ68">
        <v>-58.25256442889151</v>
      </c>
      <c r="HA68">
        <v>111.63300615650726</v>
      </c>
      <c r="HB68" t="e">
        <v>#N/A</v>
      </c>
      <c r="HC68" t="e">
        <v>#N/A</v>
      </c>
      <c r="HD68" t="e">
        <v>#N/A</v>
      </c>
      <c r="HE68" t="e">
        <v>#N/A</v>
      </c>
      <c r="HF68" t="e">
        <v>#N/A</v>
      </c>
      <c r="HG68" t="e">
        <v>#N/A</v>
      </c>
      <c r="HH68" t="e">
        <v>#N/A</v>
      </c>
      <c r="HI68" t="e">
        <v>#N/A</v>
      </c>
      <c r="HJ68" t="e">
        <v>#N/A</v>
      </c>
      <c r="HK68" t="e">
        <v>#N/A</v>
      </c>
      <c r="HL68" t="e">
        <v>#N/A</v>
      </c>
      <c r="HM68" t="e">
        <v>#N/A</v>
      </c>
      <c r="HN68" t="e">
        <v>#N/A</v>
      </c>
      <c r="HO68" t="e">
        <v>#N/A</v>
      </c>
      <c r="HP68" t="e">
        <v>#N/A</v>
      </c>
      <c r="HQ68" t="e">
        <v>#N/A</v>
      </c>
      <c r="HR68" t="e">
        <v>#N/A</v>
      </c>
      <c r="HS68" t="e">
        <v>#N/A</v>
      </c>
      <c r="HT68" t="e">
        <v>#N/A</v>
      </c>
      <c r="HU68" t="e">
        <v>#N/A</v>
      </c>
      <c r="HV68" t="e">
        <v>#N/A</v>
      </c>
      <c r="HW68" t="e">
        <v>#N/A</v>
      </c>
      <c r="HX68" t="e">
        <v>#N/A</v>
      </c>
      <c r="HY68" t="e">
        <v>#N/A</v>
      </c>
      <c r="HZ68" t="e">
        <v>#N/A</v>
      </c>
      <c r="IA68" t="e">
        <v>#N/A</v>
      </c>
      <c r="IB68" t="e">
        <v>#N/A</v>
      </c>
      <c r="IC68" t="e">
        <v>#N/A</v>
      </c>
      <c r="ID68" t="e">
        <v>#N/A</v>
      </c>
      <c r="IE68" t="e">
        <v>#N/A</v>
      </c>
      <c r="IF68" t="e">
        <v>#N/A</v>
      </c>
      <c r="IG68" t="e">
        <v>#N/A</v>
      </c>
      <c r="IH68" t="e">
        <v>#N/A</v>
      </c>
      <c r="II68" t="e">
        <v>#N/A</v>
      </c>
      <c r="IJ68" t="e">
        <v>#N/A</v>
      </c>
      <c r="IK68" t="e">
        <v>#N/A</v>
      </c>
      <c r="IL68" t="e">
        <v>#N/A</v>
      </c>
      <c r="IM68" t="e">
        <v>#N/A</v>
      </c>
      <c r="IN68" t="e">
        <v>#N/A</v>
      </c>
      <c r="IO68" t="e">
        <v>#N/A</v>
      </c>
      <c r="IP68" t="e">
        <v>#N/A</v>
      </c>
      <c r="IQ68" t="e">
        <v>#N/A</v>
      </c>
      <c r="IR68" t="e">
        <v>#N/A</v>
      </c>
      <c r="IS68" t="e">
        <v>#N/A</v>
      </c>
      <c r="IT68" t="e">
        <v>#N/A</v>
      </c>
      <c r="IU68" t="e">
        <v>#N/A</v>
      </c>
      <c r="IV68" t="e">
        <v>#N/A</v>
      </c>
      <c r="IW68" t="e">
        <v>#N/A</v>
      </c>
      <c r="IX68" t="e">
        <v>#N/A</v>
      </c>
      <c r="IY68" t="e">
        <v>#N/A</v>
      </c>
      <c r="IZ68" t="e">
        <v>#N/A</v>
      </c>
      <c r="JA68" t="e">
        <v>#N/A</v>
      </c>
      <c r="JB68" t="e">
        <v>#N/A</v>
      </c>
      <c r="JC68" t="e">
        <v>#N/A</v>
      </c>
      <c r="JD68" t="e">
        <v>#N/A</v>
      </c>
      <c r="JE68" t="e">
        <v>#N/A</v>
      </c>
      <c r="JF68" t="e">
        <v>#N/A</v>
      </c>
      <c r="JG68" t="e">
        <v>#N/A</v>
      </c>
      <c r="JH68" t="e">
        <v>#N/A</v>
      </c>
      <c r="JI68" t="e">
        <v>#N/A</v>
      </c>
      <c r="JJ68" t="e">
        <v>#N/A</v>
      </c>
      <c r="JK68" t="e">
        <v>#N/A</v>
      </c>
      <c r="JL68" t="e">
        <v>#N/A</v>
      </c>
      <c r="JM68" t="e">
        <v>#N/A</v>
      </c>
      <c r="JN68" t="e">
        <v>#N/A</v>
      </c>
      <c r="JO68" t="e">
        <v>#N/A</v>
      </c>
      <c r="JP68" t="e">
        <v>#N/A</v>
      </c>
      <c r="JQ68" t="e">
        <v>#N/A</v>
      </c>
      <c r="JR68" t="e">
        <v>#N/A</v>
      </c>
      <c r="JS68" t="e">
        <v>#N/A</v>
      </c>
      <c r="JT68" t="e">
        <v>#N/A</v>
      </c>
      <c r="JU68" t="e">
        <v>#N/A</v>
      </c>
      <c r="JV68" t="e">
        <v>#N/A</v>
      </c>
      <c r="JW68" t="e">
        <v>#N/A</v>
      </c>
      <c r="JX68" t="e">
        <v>#N/A</v>
      </c>
      <c r="JY68" t="e">
        <v>#N/A</v>
      </c>
      <c r="JZ68" t="e">
        <v>#N/A</v>
      </c>
      <c r="KA68" t="e">
        <v>#N/A</v>
      </c>
      <c r="KB68" t="e">
        <v>#N/A</v>
      </c>
      <c r="KC68" t="e">
        <v>#N/A</v>
      </c>
      <c r="KD68" t="e">
        <v>#N/A</v>
      </c>
      <c r="KE68" t="e">
        <v>#N/A</v>
      </c>
      <c r="KF68" t="e">
        <v>#N/A</v>
      </c>
      <c r="KG68" t="e">
        <v>#N/A</v>
      </c>
      <c r="KH68" t="e">
        <v>#N/A</v>
      </c>
      <c r="KI68" t="e">
        <v>#N/A</v>
      </c>
      <c r="KJ68" t="e">
        <v>#N/A</v>
      </c>
      <c r="KK68" t="e">
        <v>#N/A</v>
      </c>
      <c r="KL68" t="e">
        <v>#N/A</v>
      </c>
      <c r="KM68" t="e">
        <v>#N/A</v>
      </c>
      <c r="KN68" t="e">
        <v>#N/A</v>
      </c>
    </row>
    <row r="69" spans="1:300" x14ac:dyDescent="0.15">
      <c r="A69">
        <v>15</v>
      </c>
      <c r="B69">
        <v>0</v>
      </c>
      <c r="C69">
        <v>7.997379966580051E-2</v>
      </c>
      <c r="D69">
        <v>311.44064407922951</v>
      </c>
      <c r="E69">
        <v>0.32108847031076743</v>
      </c>
      <c r="F69">
        <v>0</v>
      </c>
      <c r="G69">
        <v>211.70000166126766</v>
      </c>
      <c r="H69">
        <v>228.63045518337552</v>
      </c>
      <c r="I69">
        <v>0</v>
      </c>
      <c r="J69">
        <v>0.34993774911115555</v>
      </c>
      <c r="K69">
        <v>0</v>
      </c>
      <c r="L69">
        <v>0</v>
      </c>
      <c r="M69">
        <v>0</v>
      </c>
      <c r="N69">
        <v>50000</v>
      </c>
      <c r="O69">
        <v>1</v>
      </c>
      <c r="P69">
        <v>50000</v>
      </c>
      <c r="Q69">
        <v>0</v>
      </c>
      <c r="R69">
        <v>0</v>
      </c>
      <c r="S69">
        <v>202.47882113640037</v>
      </c>
      <c r="T69">
        <v>3.6952384857393064</v>
      </c>
      <c r="U69">
        <v>0</v>
      </c>
      <c r="V69">
        <v>0.03</v>
      </c>
      <c r="W69">
        <v>1</v>
      </c>
      <c r="X69">
        <v>0</v>
      </c>
      <c r="Y69">
        <v>0</v>
      </c>
      <c r="Z69">
        <v>0</v>
      </c>
      <c r="AA69">
        <v>0</v>
      </c>
      <c r="AB69">
        <v>0</v>
      </c>
      <c r="AC69">
        <v>15.683121854901707</v>
      </c>
      <c r="AD69">
        <v>0.15683121854901713</v>
      </c>
      <c r="AE69">
        <v>0</v>
      </c>
      <c r="AF69">
        <v>15.683121854901707</v>
      </c>
      <c r="AG69">
        <v>0.15683121854901713</v>
      </c>
      <c r="AH69">
        <v>0</v>
      </c>
      <c r="AI69">
        <v>0</v>
      </c>
      <c r="AJ69">
        <v>0</v>
      </c>
      <c r="AK69">
        <v>0</v>
      </c>
      <c r="AL69">
        <v>0</v>
      </c>
      <c r="AM69">
        <v>0</v>
      </c>
      <c r="AN69">
        <v>0</v>
      </c>
      <c r="AO69">
        <v>1.38113061777223E-4</v>
      </c>
      <c r="AP69">
        <v>2.3430659452951301E-4</v>
      </c>
      <c r="AQ69">
        <v>6.0747313006415311E-4</v>
      </c>
      <c r="AR69">
        <v>1.4234158528082081E-3</v>
      </c>
      <c r="AS69">
        <v>2.6749226682767253E-3</v>
      </c>
      <c r="AT69">
        <v>3.4512752500429926E-3</v>
      </c>
      <c r="AU69">
        <v>2.8289504075366427E-3</v>
      </c>
      <c r="AV69">
        <v>1.5905457902578783E-3</v>
      </c>
      <c r="AW69">
        <v>7.1573464622704647E-4</v>
      </c>
      <c r="AX69">
        <v>4.6428675232434931E-4</v>
      </c>
      <c r="AY69">
        <v>0</v>
      </c>
      <c r="AZ69">
        <v>0</v>
      </c>
      <c r="BA69">
        <v>0</v>
      </c>
      <c r="BB69">
        <v>0</v>
      </c>
      <c r="BC69">
        <v>0</v>
      </c>
      <c r="BD69">
        <v>0</v>
      </c>
      <c r="BE69">
        <v>0</v>
      </c>
      <c r="BF69">
        <v>0</v>
      </c>
      <c r="BG69">
        <v>0</v>
      </c>
      <c r="BH69">
        <v>0</v>
      </c>
      <c r="BI69">
        <v>0</v>
      </c>
      <c r="BJ69">
        <v>0</v>
      </c>
      <c r="BK69">
        <v>0</v>
      </c>
      <c r="BL69">
        <v>0</v>
      </c>
      <c r="BM69">
        <v>0</v>
      </c>
      <c r="BN69">
        <v>0</v>
      </c>
      <c r="BO69">
        <v>0</v>
      </c>
      <c r="BP69">
        <v>0</v>
      </c>
      <c r="BQ69">
        <v>0</v>
      </c>
      <c r="BR69">
        <v>0</v>
      </c>
      <c r="BS69">
        <v>0</v>
      </c>
      <c r="BT69">
        <v>0</v>
      </c>
      <c r="BU69">
        <v>0</v>
      </c>
      <c r="BV69">
        <v>0</v>
      </c>
      <c r="BW69">
        <v>0</v>
      </c>
      <c r="BX69">
        <v>0</v>
      </c>
      <c r="BY69">
        <v>0</v>
      </c>
      <c r="BZ69">
        <v>0</v>
      </c>
      <c r="CA69">
        <v>0</v>
      </c>
      <c r="CB69">
        <v>0</v>
      </c>
      <c r="CC69">
        <v>1.4129024153844733E-2</v>
      </c>
      <c r="CD69">
        <v>0</v>
      </c>
      <c r="CE69">
        <v>0.15646169317723324</v>
      </c>
      <c r="CF69">
        <v>1.4129024153844733E-2</v>
      </c>
      <c r="CG69">
        <v>7.8230846588616624E-3</v>
      </c>
      <c r="CH69">
        <v>0</v>
      </c>
      <c r="CI69">
        <v>0</v>
      </c>
      <c r="CJ69">
        <v>0</v>
      </c>
      <c r="CK69">
        <v>24.039256444875065</v>
      </c>
      <c r="CL69">
        <v>1.4955572184205104</v>
      </c>
      <c r="CM69">
        <v>1.2019628222437533</v>
      </c>
      <c r="CN69">
        <v>0</v>
      </c>
      <c r="CO69">
        <v>24.039256444875065</v>
      </c>
      <c r="CP69">
        <v>1.4955572184205104</v>
      </c>
      <c r="CQ69">
        <v>1.2019628222437533</v>
      </c>
      <c r="CR69">
        <v>0</v>
      </c>
      <c r="CS69">
        <v>0</v>
      </c>
      <c r="CT69">
        <v>0</v>
      </c>
      <c r="CU69">
        <v>287.50348206735407</v>
      </c>
      <c r="CV69">
        <v>14.375174103367705</v>
      </c>
      <c r="CW69">
        <v>38.312336115243149</v>
      </c>
      <c r="CX69">
        <v>311.44064407922951</v>
      </c>
      <c r="CY69">
        <v>0</v>
      </c>
      <c r="CZ69">
        <v>49.217582661760574</v>
      </c>
      <c r="DA69">
        <v>0</v>
      </c>
      <c r="DB69">
        <v>2.4608791330880289</v>
      </c>
      <c r="DC69">
        <v>46.756703528672546</v>
      </c>
      <c r="DD69">
        <v>0</v>
      </c>
      <c r="DE69">
        <v>1.2931034381285278</v>
      </c>
      <c r="DF69">
        <v>7.163377980864774</v>
      </c>
      <c r="DG69">
        <v>5.5788443809339432</v>
      </c>
      <c r="DH69">
        <v>0</v>
      </c>
      <c r="DI69">
        <v>1.7226153931616202</v>
      </c>
      <c r="DJ69">
        <v>1.7226153931616202</v>
      </c>
      <c r="DK69">
        <v>0</v>
      </c>
      <c r="DL69">
        <v>0.3950799582314613</v>
      </c>
      <c r="DM69">
        <v>0.3950799582314613</v>
      </c>
      <c r="DN69">
        <v>12.301649397275392</v>
      </c>
      <c r="DO69">
        <v>75.428354282501715</v>
      </c>
      <c r="DP69">
        <v>159.68182726912303</v>
      </c>
      <c r="DQ69">
        <v>0</v>
      </c>
      <c r="DR69">
        <v>0</v>
      </c>
      <c r="DS69">
        <v>0</v>
      </c>
      <c r="DT69">
        <v>0</v>
      </c>
      <c r="DU69">
        <v>2.1176953513930816</v>
      </c>
      <c r="DV69">
        <v>0.74106154456965256</v>
      </c>
      <c r="DW69">
        <v>4.9744334295753507</v>
      </c>
      <c r="DX69">
        <v>0</v>
      </c>
      <c r="DY69">
        <v>249.52952630029324</v>
      </c>
      <c r="DZ69">
        <v>87.319800770297505</v>
      </c>
      <c r="EA69">
        <v>434.00932603464236</v>
      </c>
      <c r="EB69">
        <v>0</v>
      </c>
      <c r="EC69">
        <v>0</v>
      </c>
      <c r="ED69">
        <v>2.5190335049378554</v>
      </c>
      <c r="EE69">
        <v>445.1454114665205</v>
      </c>
      <c r="EF69">
        <v>0</v>
      </c>
      <c r="EG69">
        <v>0</v>
      </c>
      <c r="EH69">
        <v>0</v>
      </c>
      <c r="EI69">
        <v>0.6131943551702338</v>
      </c>
      <c r="EJ69">
        <v>57.198900217333403</v>
      </c>
      <c r="EK69">
        <v>0</v>
      </c>
      <c r="EL69">
        <v>0.6944256526548428</v>
      </c>
      <c r="EM69">
        <v>60.587243503552784</v>
      </c>
      <c r="EN69">
        <v>0</v>
      </c>
      <c r="EO69">
        <v>0</v>
      </c>
      <c r="EP69">
        <v>0</v>
      </c>
      <c r="EQ69">
        <v>3.1144064407922962</v>
      </c>
      <c r="ER69">
        <v>0</v>
      </c>
      <c r="ES69">
        <v>1.9097364491996549</v>
      </c>
      <c r="ET69">
        <v>178.14062324309901</v>
      </c>
      <c r="EU69">
        <v>0</v>
      </c>
      <c r="EV69">
        <v>2.1627237252796365</v>
      </c>
      <c r="EW69">
        <v>188.69330139731599</v>
      </c>
      <c r="EX69">
        <v>0</v>
      </c>
      <c r="EY69">
        <v>0</v>
      </c>
      <c r="EZ69">
        <v>0</v>
      </c>
      <c r="FA69">
        <v>665.32901850618714</v>
      </c>
      <c r="FB69">
        <v>705.25852926824336</v>
      </c>
      <c r="FC69">
        <v>0</v>
      </c>
      <c r="FD69">
        <v>0</v>
      </c>
      <c r="FE69">
        <v>732.22866372022622</v>
      </c>
      <c r="FF69">
        <v>38.312336115243149</v>
      </c>
      <c r="FG69">
        <v>10.729848950941006</v>
      </c>
      <c r="FH69">
        <v>2.4608791330880289</v>
      </c>
      <c r="FI69">
        <v>0</v>
      </c>
      <c r="FJ69">
        <v>783.73172791949844</v>
      </c>
      <c r="FK69">
        <v>0</v>
      </c>
      <c r="FL69">
        <v>0</v>
      </c>
      <c r="FM69">
        <v>-13.303844057751116</v>
      </c>
      <c r="FN69">
        <v>-8.8173252347201156</v>
      </c>
      <c r="FO69">
        <v>0</v>
      </c>
      <c r="FP69">
        <v>0</v>
      </c>
      <c r="FQ69">
        <v>0</v>
      </c>
      <c r="FR69">
        <v>0</v>
      </c>
      <c r="FS69">
        <v>0.48982774283598851</v>
      </c>
      <c r="FT69">
        <v>-12.91774068359908</v>
      </c>
      <c r="FU69">
        <v>0</v>
      </c>
      <c r="FV69">
        <v>0.59486821289697767</v>
      </c>
      <c r="FW69">
        <v>-8.5362623306290804</v>
      </c>
      <c r="FX69">
        <v>0</v>
      </c>
      <c r="FY69">
        <v>0</v>
      </c>
      <c r="FZ69">
        <v>0</v>
      </c>
      <c r="GA69">
        <v>0</v>
      </c>
      <c r="GB69">
        <v>-113.76447017240434</v>
      </c>
      <c r="GC69">
        <v>-74.769807729321315</v>
      </c>
      <c r="GD69">
        <v>0</v>
      </c>
      <c r="GE69">
        <v>-94.648909323198154</v>
      </c>
      <c r="GF69">
        <v>-62.206422982156347</v>
      </c>
      <c r="GG69">
        <v>0</v>
      </c>
      <c r="GH69">
        <v>0</v>
      </c>
      <c r="GI69">
        <v>0</v>
      </c>
      <c r="GJ69">
        <v>0</v>
      </c>
      <c r="GK69">
        <v>202.47882113640037</v>
      </c>
      <c r="GL69">
        <v>101.23941056820019</v>
      </c>
      <c r="GM69">
        <v>0</v>
      </c>
      <c r="GN69">
        <v>0</v>
      </c>
      <c r="GO69">
        <v>38644.302973602375</v>
      </c>
      <c r="GP69">
        <v>18918.0403401371</v>
      </c>
      <c r="GQ69">
        <v>14188.530255102824</v>
      </c>
      <c r="GR69">
        <v>0</v>
      </c>
      <c r="GS69">
        <v>3114.4064407922961</v>
      </c>
      <c r="GT69">
        <v>0</v>
      </c>
      <c r="GU69">
        <v>47295.100850342744</v>
      </c>
      <c r="GV69">
        <v>0</v>
      </c>
      <c r="GW69">
        <v>21282.795382654236</v>
      </c>
      <c r="GX69">
        <v>4048.7283730299851</v>
      </c>
      <c r="GY69">
        <v>0</v>
      </c>
      <c r="GZ69">
        <v>-55.4115533373852</v>
      </c>
      <c r="HA69">
        <v>111.63300615650726</v>
      </c>
      <c r="HB69" t="e">
        <v>#N/A</v>
      </c>
      <c r="HC69" t="e">
        <v>#N/A</v>
      </c>
      <c r="HD69" t="e">
        <v>#N/A</v>
      </c>
      <c r="HE69" t="e">
        <v>#N/A</v>
      </c>
      <c r="HF69" t="e">
        <v>#N/A</v>
      </c>
      <c r="HG69" t="e">
        <v>#N/A</v>
      </c>
      <c r="HH69" t="e">
        <v>#N/A</v>
      </c>
      <c r="HI69" t="e">
        <v>#N/A</v>
      </c>
      <c r="HJ69" t="e">
        <v>#N/A</v>
      </c>
      <c r="HK69" t="e">
        <v>#N/A</v>
      </c>
      <c r="HL69" t="e">
        <v>#N/A</v>
      </c>
      <c r="HM69" t="e">
        <v>#N/A</v>
      </c>
      <c r="HN69" t="e">
        <v>#N/A</v>
      </c>
      <c r="HO69" t="e">
        <v>#N/A</v>
      </c>
      <c r="HP69" t="e">
        <v>#N/A</v>
      </c>
      <c r="HQ69" t="e">
        <v>#N/A</v>
      </c>
      <c r="HR69" t="e">
        <v>#N/A</v>
      </c>
      <c r="HS69" t="e">
        <v>#N/A</v>
      </c>
      <c r="HT69" t="e">
        <v>#N/A</v>
      </c>
      <c r="HU69" t="e">
        <v>#N/A</v>
      </c>
      <c r="HV69" t="e">
        <v>#N/A</v>
      </c>
      <c r="HW69" t="e">
        <v>#N/A</v>
      </c>
      <c r="HX69" t="e">
        <v>#N/A</v>
      </c>
      <c r="HY69" t="e">
        <v>#N/A</v>
      </c>
      <c r="HZ69" t="e">
        <v>#N/A</v>
      </c>
      <c r="IA69" t="e">
        <v>#N/A</v>
      </c>
      <c r="IB69" t="e">
        <v>#N/A</v>
      </c>
      <c r="IC69" t="e">
        <v>#N/A</v>
      </c>
      <c r="ID69" t="e">
        <v>#N/A</v>
      </c>
      <c r="IE69" t="e">
        <v>#N/A</v>
      </c>
      <c r="IF69" t="e">
        <v>#N/A</v>
      </c>
      <c r="IG69" t="e">
        <v>#N/A</v>
      </c>
      <c r="IH69" t="e">
        <v>#N/A</v>
      </c>
      <c r="II69" t="e">
        <v>#N/A</v>
      </c>
      <c r="IJ69" t="e">
        <v>#N/A</v>
      </c>
      <c r="IK69" t="e">
        <v>#N/A</v>
      </c>
      <c r="IL69" t="e">
        <v>#N/A</v>
      </c>
      <c r="IM69" t="e">
        <v>#N/A</v>
      </c>
      <c r="IN69" t="e">
        <v>#N/A</v>
      </c>
      <c r="IO69" t="e">
        <v>#N/A</v>
      </c>
      <c r="IP69" t="e">
        <v>#N/A</v>
      </c>
      <c r="IQ69" t="e">
        <v>#N/A</v>
      </c>
      <c r="IR69" t="e">
        <v>#N/A</v>
      </c>
      <c r="IS69" t="e">
        <v>#N/A</v>
      </c>
      <c r="IT69" t="e">
        <v>#N/A</v>
      </c>
      <c r="IU69" t="e">
        <v>#N/A</v>
      </c>
      <c r="IV69" t="e">
        <v>#N/A</v>
      </c>
      <c r="IW69" t="e">
        <v>#N/A</v>
      </c>
      <c r="IX69" t="e">
        <v>#N/A</v>
      </c>
      <c r="IY69" t="e">
        <v>#N/A</v>
      </c>
      <c r="IZ69" t="e">
        <v>#N/A</v>
      </c>
      <c r="JA69" t="e">
        <v>#N/A</v>
      </c>
      <c r="JB69" t="e">
        <v>#N/A</v>
      </c>
      <c r="JC69" t="e">
        <v>#N/A</v>
      </c>
      <c r="JD69" t="e">
        <v>#N/A</v>
      </c>
      <c r="JE69" t="e">
        <v>#N/A</v>
      </c>
      <c r="JF69" t="e">
        <v>#N/A</v>
      </c>
      <c r="JG69" t="e">
        <v>#N/A</v>
      </c>
      <c r="JH69" t="e">
        <v>#N/A</v>
      </c>
      <c r="JI69" t="e">
        <v>#N/A</v>
      </c>
      <c r="JJ69" t="e">
        <v>#N/A</v>
      </c>
      <c r="JK69" t="e">
        <v>#N/A</v>
      </c>
      <c r="JL69" t="e">
        <v>#N/A</v>
      </c>
      <c r="JM69" t="e">
        <v>#N/A</v>
      </c>
      <c r="JN69" t="e">
        <v>#N/A</v>
      </c>
      <c r="JO69" t="e">
        <v>#N/A</v>
      </c>
      <c r="JP69" t="e">
        <v>#N/A</v>
      </c>
      <c r="JQ69" t="e">
        <v>#N/A</v>
      </c>
      <c r="JR69" t="e">
        <v>#N/A</v>
      </c>
      <c r="JS69" t="e">
        <v>#N/A</v>
      </c>
      <c r="JT69" t="e">
        <v>#N/A</v>
      </c>
      <c r="JU69" t="e">
        <v>#N/A</v>
      </c>
      <c r="JV69" t="e">
        <v>#N/A</v>
      </c>
      <c r="JW69" t="e">
        <v>#N/A</v>
      </c>
      <c r="JX69" t="e">
        <v>#N/A</v>
      </c>
      <c r="JY69" t="e">
        <v>#N/A</v>
      </c>
      <c r="JZ69" t="e">
        <v>#N/A</v>
      </c>
      <c r="KA69" t="e">
        <v>#N/A</v>
      </c>
      <c r="KB69" t="e">
        <v>#N/A</v>
      </c>
      <c r="KC69" t="e">
        <v>#N/A</v>
      </c>
      <c r="KD69" t="e">
        <v>#N/A</v>
      </c>
      <c r="KE69" t="e">
        <v>#N/A</v>
      </c>
      <c r="KF69" t="e">
        <v>#N/A</v>
      </c>
      <c r="KG69" t="e">
        <v>#N/A</v>
      </c>
      <c r="KH69" t="e">
        <v>#N/A</v>
      </c>
      <c r="KI69" t="e">
        <v>#N/A</v>
      </c>
      <c r="KJ69" t="e">
        <v>#N/A</v>
      </c>
      <c r="KK69" t="e">
        <v>#N/A</v>
      </c>
      <c r="KL69" t="e">
        <v>#N/A</v>
      </c>
      <c r="KM69" t="e">
        <v>#N/A</v>
      </c>
      <c r="KN69" t="e">
        <v>#N/A</v>
      </c>
    </row>
    <row r="70" spans="1:300" x14ac:dyDescent="0.15">
      <c r="A70">
        <v>16</v>
      </c>
      <c r="B70">
        <v>0</v>
      </c>
      <c r="C70">
        <v>7.9984277053455413E-2</v>
      </c>
      <c r="D70">
        <v>337.37431751932758</v>
      </c>
      <c r="E70">
        <v>0.29640667592983316</v>
      </c>
      <c r="F70">
        <v>0</v>
      </c>
      <c r="G70">
        <v>222.55409284924698</v>
      </c>
      <c r="H70">
        <v>240.35492107108158</v>
      </c>
      <c r="I70">
        <v>0</v>
      </c>
      <c r="J70">
        <v>0.32627979462303969</v>
      </c>
      <c r="K70">
        <v>0</v>
      </c>
      <c r="L70">
        <v>0</v>
      </c>
      <c r="M70">
        <v>0</v>
      </c>
      <c r="N70">
        <v>50000</v>
      </c>
      <c r="O70">
        <v>1</v>
      </c>
      <c r="P70">
        <v>50000</v>
      </c>
      <c r="Q70">
        <v>0</v>
      </c>
      <c r="R70">
        <v>0</v>
      </c>
      <c r="S70">
        <v>206.56916465039345</v>
      </c>
      <c r="T70">
        <v>3.7698872548696807</v>
      </c>
      <c r="U70">
        <v>0</v>
      </c>
      <c r="V70">
        <v>0.03</v>
      </c>
      <c r="W70">
        <v>1</v>
      </c>
      <c r="X70">
        <v>0</v>
      </c>
      <c r="Y70">
        <v>0</v>
      </c>
      <c r="Z70">
        <v>0</v>
      </c>
      <c r="AA70">
        <v>0</v>
      </c>
      <c r="AB70">
        <v>0</v>
      </c>
      <c r="AC70">
        <v>16.160744021928956</v>
      </c>
      <c r="AD70">
        <v>0.16160744021928961</v>
      </c>
      <c r="AE70">
        <v>0</v>
      </c>
      <c r="AF70">
        <v>16.160744021928956</v>
      </c>
      <c r="AG70">
        <v>0.16160744021928961</v>
      </c>
      <c r="AH70">
        <v>0</v>
      </c>
      <c r="AI70">
        <v>0</v>
      </c>
      <c r="AJ70">
        <v>0</v>
      </c>
      <c r="AK70">
        <v>0</v>
      </c>
      <c r="AL70">
        <v>0</v>
      </c>
      <c r="AM70">
        <v>0</v>
      </c>
      <c r="AN70">
        <v>0</v>
      </c>
      <c r="AO70">
        <v>1.38113061777223E-4</v>
      </c>
      <c r="AP70">
        <v>2.3430659452951301E-4</v>
      </c>
      <c r="AQ70">
        <v>6.0747313006415311E-4</v>
      </c>
      <c r="AR70">
        <v>1.4234158528082081E-3</v>
      </c>
      <c r="AS70">
        <v>2.6749226682767253E-3</v>
      </c>
      <c r="AT70">
        <v>3.4512752500429926E-3</v>
      </c>
      <c r="AU70">
        <v>2.8289504075366427E-3</v>
      </c>
      <c r="AV70">
        <v>1.5905457902578783E-3</v>
      </c>
      <c r="AW70">
        <v>7.1573464622704647E-4</v>
      </c>
      <c r="AX70">
        <v>4.6428675232434931E-4</v>
      </c>
      <c r="AY70">
        <v>0</v>
      </c>
      <c r="AZ70">
        <v>0</v>
      </c>
      <c r="BA70">
        <v>0</v>
      </c>
      <c r="BB70">
        <v>0</v>
      </c>
      <c r="BC70">
        <v>0</v>
      </c>
      <c r="BD70">
        <v>0</v>
      </c>
      <c r="BE70">
        <v>0</v>
      </c>
      <c r="BF70">
        <v>0</v>
      </c>
      <c r="BG70">
        <v>0</v>
      </c>
      <c r="BH70">
        <v>0</v>
      </c>
      <c r="BI70">
        <v>0</v>
      </c>
      <c r="BJ70">
        <v>0</v>
      </c>
      <c r="BK70">
        <v>0</v>
      </c>
      <c r="BL70">
        <v>0</v>
      </c>
      <c r="BM70">
        <v>0</v>
      </c>
      <c r="BN70">
        <v>0</v>
      </c>
      <c r="BO70">
        <v>0</v>
      </c>
      <c r="BP70">
        <v>0</v>
      </c>
      <c r="BQ70">
        <v>0</v>
      </c>
      <c r="BR70">
        <v>0</v>
      </c>
      <c r="BS70">
        <v>0</v>
      </c>
      <c r="BT70">
        <v>0</v>
      </c>
      <c r="BU70">
        <v>0</v>
      </c>
      <c r="BV70">
        <v>0</v>
      </c>
      <c r="BW70">
        <v>0</v>
      </c>
      <c r="BX70">
        <v>0</v>
      </c>
      <c r="BY70">
        <v>0</v>
      </c>
      <c r="BZ70">
        <v>0</v>
      </c>
      <c r="CA70">
        <v>0</v>
      </c>
      <c r="CB70">
        <v>0</v>
      </c>
      <c r="CC70">
        <v>1.4129024153844733E-2</v>
      </c>
      <c r="CD70">
        <v>0</v>
      </c>
      <c r="CE70">
        <v>0.14233266902338851</v>
      </c>
      <c r="CF70">
        <v>1.4129024153844733E-2</v>
      </c>
      <c r="CG70">
        <v>7.1166334511694254E-3</v>
      </c>
      <c r="CH70">
        <v>0</v>
      </c>
      <c r="CI70">
        <v>0</v>
      </c>
      <c r="CJ70">
        <v>0</v>
      </c>
      <c r="CK70">
        <v>23.699539402166209</v>
      </c>
      <c r="CL70">
        <v>1.5722360767020069</v>
      </c>
      <c r="CM70">
        <v>1.1849769701083104</v>
      </c>
      <c r="CN70">
        <v>0</v>
      </c>
      <c r="CO70">
        <v>23.699539402166209</v>
      </c>
      <c r="CP70">
        <v>1.5722360767020069</v>
      </c>
      <c r="CQ70">
        <v>1.1849769701083104</v>
      </c>
      <c r="CR70">
        <v>0</v>
      </c>
      <c r="CS70">
        <v>0</v>
      </c>
      <c r="CT70">
        <v>0</v>
      </c>
      <c r="CU70">
        <v>311.44064407922951</v>
      </c>
      <c r="CV70">
        <v>15.572032203961477</v>
      </c>
      <c r="CW70">
        <v>41.505705644059539</v>
      </c>
      <c r="CX70">
        <v>337.37431751932758</v>
      </c>
      <c r="CY70">
        <v>0</v>
      </c>
      <c r="CZ70">
        <v>46.756703528672546</v>
      </c>
      <c r="DA70">
        <v>0</v>
      </c>
      <c r="DB70">
        <v>2.3378351764336274</v>
      </c>
      <c r="DC70">
        <v>44.418868352238917</v>
      </c>
      <c r="DD70">
        <v>0</v>
      </c>
      <c r="DE70">
        <v>1.2300380392708943</v>
      </c>
      <c r="DF70">
        <v>1.2300380392708943</v>
      </c>
      <c r="DG70">
        <v>0</v>
      </c>
      <c r="DH70">
        <v>0</v>
      </c>
      <c r="DI70">
        <v>1.6364846235035393</v>
      </c>
      <c r="DJ70">
        <v>1.6364846235035393</v>
      </c>
      <c r="DK70">
        <v>0</v>
      </c>
      <c r="DL70">
        <v>0.34647497675926325</v>
      </c>
      <c r="DM70">
        <v>0.34647497675926325</v>
      </c>
      <c r="DN70">
        <v>12.302568242077802</v>
      </c>
      <c r="DO70">
        <v>78.969180019332413</v>
      </c>
      <c r="DP70">
        <v>175.74914222251411</v>
      </c>
      <c r="DQ70">
        <v>0</v>
      </c>
      <c r="DR70">
        <v>0</v>
      </c>
      <c r="DS70">
        <v>0</v>
      </c>
      <c r="DT70">
        <v>0</v>
      </c>
      <c r="DU70">
        <v>1.9829596002628025</v>
      </c>
      <c r="DV70">
        <v>0.64699965111953206</v>
      </c>
      <c r="DW70">
        <v>0.64699965111953206</v>
      </c>
      <c r="DX70">
        <v>0</v>
      </c>
      <c r="DY70">
        <v>269.00385008418709</v>
      </c>
      <c r="DZ70">
        <v>87.770520958275526</v>
      </c>
      <c r="EA70">
        <v>87.770520958275526</v>
      </c>
      <c r="EB70">
        <v>0</v>
      </c>
      <c r="EC70">
        <v>0</v>
      </c>
      <c r="ED70">
        <v>0</v>
      </c>
      <c r="EE70">
        <v>0</v>
      </c>
      <c r="EF70">
        <v>0</v>
      </c>
      <c r="EG70">
        <v>0</v>
      </c>
      <c r="EH70">
        <v>0</v>
      </c>
      <c r="EI70">
        <v>0.6131943551702338</v>
      </c>
      <c r="EJ70">
        <v>57.198900217333403</v>
      </c>
      <c r="EK70">
        <v>0</v>
      </c>
      <c r="EL70">
        <v>0.45153320883923798</v>
      </c>
      <c r="EM70">
        <v>79.791688219128929</v>
      </c>
      <c r="EN70">
        <v>0</v>
      </c>
      <c r="EO70">
        <v>0</v>
      </c>
      <c r="EP70">
        <v>0</v>
      </c>
      <c r="EQ70">
        <v>3.3737431751932769</v>
      </c>
      <c r="ER70">
        <v>0</v>
      </c>
      <c r="ES70">
        <v>2.0687602708226187</v>
      </c>
      <c r="ET70">
        <v>192.97439923678982</v>
      </c>
      <c r="EU70">
        <v>0</v>
      </c>
      <c r="EV70">
        <v>1.5233570816944997</v>
      </c>
      <c r="EW70">
        <v>269.19666356643603</v>
      </c>
      <c r="EX70">
        <v>0</v>
      </c>
      <c r="EY70">
        <v>0</v>
      </c>
      <c r="EZ70">
        <v>0</v>
      </c>
      <c r="FA70">
        <v>735.2907211772623</v>
      </c>
      <c r="FB70">
        <v>1020.5839554794441</v>
      </c>
      <c r="FC70">
        <v>0</v>
      </c>
      <c r="FD70">
        <v>0</v>
      </c>
      <c r="FE70">
        <v>859.35420126011161</v>
      </c>
      <c r="FF70">
        <v>41.505705644059539</v>
      </c>
      <c r="FG70">
        <v>11.042157659707611</v>
      </c>
      <c r="FH70">
        <v>2.3378351764336274</v>
      </c>
      <c r="FI70">
        <v>0</v>
      </c>
      <c r="FJ70">
        <v>914.23989974031235</v>
      </c>
      <c r="FK70">
        <v>0</v>
      </c>
      <c r="FL70">
        <v>0</v>
      </c>
      <c r="FM70">
        <v>-17.306445155289179</v>
      </c>
      <c r="FN70">
        <v>10.28469414064311</v>
      </c>
      <c r="FO70">
        <v>0</v>
      </c>
      <c r="FP70">
        <v>0</v>
      </c>
      <c r="FQ70">
        <v>0</v>
      </c>
      <c r="FR70">
        <v>0</v>
      </c>
      <c r="FS70">
        <v>0.48759814697652587</v>
      </c>
      <c r="FT70">
        <v>-17.03335247072474</v>
      </c>
      <c r="FU70">
        <v>0</v>
      </c>
      <c r="FV70">
        <v>0.28874878751726252</v>
      </c>
      <c r="FW70">
        <v>10.756636184666815</v>
      </c>
      <c r="FX70">
        <v>0</v>
      </c>
      <c r="FY70">
        <v>0</v>
      </c>
      <c r="FZ70">
        <v>0</v>
      </c>
      <c r="GA70">
        <v>0</v>
      </c>
      <c r="GB70">
        <v>-174.94041478196573</v>
      </c>
      <c r="GC70">
        <v>112.40892805167539</v>
      </c>
      <c r="GD70">
        <v>0</v>
      </c>
      <c r="GE70">
        <v>-147.63191116362006</v>
      </c>
      <c r="GF70">
        <v>94.861698486343485</v>
      </c>
      <c r="GG70">
        <v>0</v>
      </c>
      <c r="GH70">
        <v>0</v>
      </c>
      <c r="GI70">
        <v>0</v>
      </c>
      <c r="GJ70">
        <v>0</v>
      </c>
      <c r="GK70">
        <v>206.56916465039345</v>
      </c>
      <c r="GL70">
        <v>103.28458232519672</v>
      </c>
      <c r="GM70">
        <v>0</v>
      </c>
      <c r="GN70">
        <v>0</v>
      </c>
      <c r="GO70">
        <v>55922.408519421588</v>
      </c>
      <c r="GP70">
        <v>20907.339283339235</v>
      </c>
      <c r="GQ70">
        <v>15680.504462504428</v>
      </c>
      <c r="GR70">
        <v>0</v>
      </c>
      <c r="GS70">
        <v>3373.7431751932768</v>
      </c>
      <c r="GT70">
        <v>0</v>
      </c>
      <c r="GU70">
        <v>52268.348208348092</v>
      </c>
      <c r="GV70">
        <v>0</v>
      </c>
      <c r="GW70">
        <v>23520.756693756641</v>
      </c>
      <c r="GX70">
        <v>4385.8661277512601</v>
      </c>
      <c r="GY70">
        <v>0</v>
      </c>
      <c r="GZ70">
        <v>-84.659004893029248</v>
      </c>
      <c r="HA70">
        <v>111.63300615650726</v>
      </c>
      <c r="HB70" t="e">
        <v>#N/A</v>
      </c>
      <c r="HC70" t="e">
        <v>#N/A</v>
      </c>
      <c r="HD70" t="e">
        <v>#N/A</v>
      </c>
      <c r="HE70" t="e">
        <v>#N/A</v>
      </c>
      <c r="HF70" t="e">
        <v>#N/A</v>
      </c>
      <c r="HG70" t="e">
        <v>#N/A</v>
      </c>
      <c r="HH70" t="e">
        <v>#N/A</v>
      </c>
      <c r="HI70" t="e">
        <v>#N/A</v>
      </c>
      <c r="HJ70" t="e">
        <v>#N/A</v>
      </c>
      <c r="HK70" t="e">
        <v>#N/A</v>
      </c>
      <c r="HL70" t="e">
        <v>#N/A</v>
      </c>
      <c r="HM70" t="e">
        <v>#N/A</v>
      </c>
      <c r="HN70" t="e">
        <v>#N/A</v>
      </c>
      <c r="HO70" t="e">
        <v>#N/A</v>
      </c>
      <c r="HP70" t="e">
        <v>#N/A</v>
      </c>
      <c r="HQ70" t="e">
        <v>#N/A</v>
      </c>
      <c r="HR70" t="e">
        <v>#N/A</v>
      </c>
      <c r="HS70" t="e">
        <v>#N/A</v>
      </c>
      <c r="HT70" t="e">
        <v>#N/A</v>
      </c>
      <c r="HU70" t="e">
        <v>#N/A</v>
      </c>
      <c r="HV70" t="e">
        <v>#N/A</v>
      </c>
      <c r="HW70" t="e">
        <v>#N/A</v>
      </c>
      <c r="HX70" t="e">
        <v>#N/A</v>
      </c>
      <c r="HY70" t="e">
        <v>#N/A</v>
      </c>
      <c r="HZ70" t="e">
        <v>#N/A</v>
      </c>
      <c r="IA70" t="e">
        <v>#N/A</v>
      </c>
      <c r="IB70" t="e">
        <v>#N/A</v>
      </c>
      <c r="IC70" t="e">
        <v>#N/A</v>
      </c>
      <c r="ID70" t="e">
        <v>#N/A</v>
      </c>
      <c r="IE70" t="e">
        <v>#N/A</v>
      </c>
      <c r="IF70" t="e">
        <v>#N/A</v>
      </c>
      <c r="IG70" t="e">
        <v>#N/A</v>
      </c>
      <c r="IH70" t="e">
        <v>#N/A</v>
      </c>
      <c r="II70" t="e">
        <v>#N/A</v>
      </c>
      <c r="IJ70" t="e">
        <v>#N/A</v>
      </c>
      <c r="IK70" t="e">
        <v>#N/A</v>
      </c>
      <c r="IL70" t="e">
        <v>#N/A</v>
      </c>
      <c r="IM70" t="e">
        <v>#N/A</v>
      </c>
      <c r="IN70" t="e">
        <v>#N/A</v>
      </c>
      <c r="IO70" t="e">
        <v>#N/A</v>
      </c>
      <c r="IP70" t="e">
        <v>#N/A</v>
      </c>
      <c r="IQ70" t="e">
        <v>#N/A</v>
      </c>
      <c r="IR70" t="e">
        <v>#N/A</v>
      </c>
      <c r="IS70" t="e">
        <v>#N/A</v>
      </c>
      <c r="IT70" t="e">
        <v>#N/A</v>
      </c>
      <c r="IU70" t="e">
        <v>#N/A</v>
      </c>
      <c r="IV70" t="e">
        <v>#N/A</v>
      </c>
      <c r="IW70" t="e">
        <v>#N/A</v>
      </c>
      <c r="IX70" t="e">
        <v>#N/A</v>
      </c>
      <c r="IY70" t="e">
        <v>#N/A</v>
      </c>
      <c r="IZ70" t="e">
        <v>#N/A</v>
      </c>
      <c r="JA70" t="e">
        <v>#N/A</v>
      </c>
      <c r="JB70" t="e">
        <v>#N/A</v>
      </c>
      <c r="JC70" t="e">
        <v>#N/A</v>
      </c>
      <c r="JD70" t="e">
        <v>#N/A</v>
      </c>
      <c r="JE70" t="e">
        <v>#N/A</v>
      </c>
      <c r="JF70" t="e">
        <v>#N/A</v>
      </c>
      <c r="JG70" t="e">
        <v>#N/A</v>
      </c>
      <c r="JH70" t="e">
        <v>#N/A</v>
      </c>
      <c r="JI70" t="e">
        <v>#N/A</v>
      </c>
      <c r="JJ70" t="e">
        <v>#N/A</v>
      </c>
      <c r="JK70" t="e">
        <v>#N/A</v>
      </c>
      <c r="JL70" t="e">
        <v>#N/A</v>
      </c>
      <c r="JM70" t="e">
        <v>#N/A</v>
      </c>
      <c r="JN70" t="e">
        <v>#N/A</v>
      </c>
      <c r="JO70" t="e">
        <v>#N/A</v>
      </c>
      <c r="JP70" t="e">
        <v>#N/A</v>
      </c>
      <c r="JQ70" t="e">
        <v>#N/A</v>
      </c>
      <c r="JR70" t="e">
        <v>#N/A</v>
      </c>
      <c r="JS70" t="e">
        <v>#N/A</v>
      </c>
      <c r="JT70" t="e">
        <v>#N/A</v>
      </c>
      <c r="JU70" t="e">
        <v>#N/A</v>
      </c>
      <c r="JV70" t="e">
        <v>#N/A</v>
      </c>
      <c r="JW70" t="e">
        <v>#N/A</v>
      </c>
      <c r="JX70" t="e">
        <v>#N/A</v>
      </c>
      <c r="JY70" t="e">
        <v>#N/A</v>
      </c>
      <c r="JZ70" t="e">
        <v>#N/A</v>
      </c>
      <c r="KA70" t="e">
        <v>#N/A</v>
      </c>
      <c r="KB70" t="e">
        <v>#N/A</v>
      </c>
      <c r="KC70" t="e">
        <v>#N/A</v>
      </c>
      <c r="KD70" t="e">
        <v>#N/A</v>
      </c>
      <c r="KE70" t="e">
        <v>#N/A</v>
      </c>
      <c r="KF70" t="e">
        <v>#N/A</v>
      </c>
      <c r="KG70" t="e">
        <v>#N/A</v>
      </c>
      <c r="KH70" t="e">
        <v>#N/A</v>
      </c>
      <c r="KI70" t="e">
        <v>#N/A</v>
      </c>
      <c r="KJ70" t="e">
        <v>#N/A</v>
      </c>
      <c r="KK70" t="e">
        <v>#N/A</v>
      </c>
      <c r="KL70" t="e">
        <v>#N/A</v>
      </c>
      <c r="KM70" t="e">
        <v>#N/A</v>
      </c>
      <c r="KN70" t="e">
        <v>#N/A</v>
      </c>
    </row>
    <row r="71" spans="1:300" x14ac:dyDescent="0.15">
      <c r="A71">
        <v>17</v>
      </c>
      <c r="B71">
        <v>0</v>
      </c>
      <c r="C71">
        <v>7.9990565243186942E-2</v>
      </c>
      <c r="D71">
        <v>365.46978699952382</v>
      </c>
      <c r="E71">
        <v>0.27362042925898628</v>
      </c>
      <c r="F71">
        <v>0</v>
      </c>
      <c r="G71">
        <v>233.96468519259935</v>
      </c>
      <c r="H71">
        <v>252.67965260809964</v>
      </c>
      <c r="I71">
        <v>0</v>
      </c>
      <c r="J71">
        <v>0.30422126406670424</v>
      </c>
      <c r="K71">
        <v>0</v>
      </c>
      <c r="L71">
        <v>0</v>
      </c>
      <c r="M71">
        <v>0</v>
      </c>
      <c r="N71">
        <v>50000</v>
      </c>
      <c r="O71">
        <v>1</v>
      </c>
      <c r="P71">
        <v>50000</v>
      </c>
      <c r="Q71">
        <v>0</v>
      </c>
      <c r="R71">
        <v>0</v>
      </c>
      <c r="S71">
        <v>210.74213858453894</v>
      </c>
      <c r="T71">
        <v>3.8460440291678353</v>
      </c>
      <c r="U71">
        <v>0</v>
      </c>
      <c r="V71">
        <v>0.03</v>
      </c>
      <c r="W71">
        <v>1</v>
      </c>
      <c r="X71">
        <v>0</v>
      </c>
      <c r="Y71">
        <v>0</v>
      </c>
      <c r="Z71">
        <v>0</v>
      </c>
      <c r="AA71">
        <v>0</v>
      </c>
      <c r="AB71">
        <v>0</v>
      </c>
      <c r="AC71">
        <v>16.652911949458886</v>
      </c>
      <c r="AD71">
        <v>0.16652911949458893</v>
      </c>
      <c r="AE71">
        <v>0</v>
      </c>
      <c r="AF71">
        <v>16.652911949458886</v>
      </c>
      <c r="AG71">
        <v>0.16652911949458893</v>
      </c>
      <c r="AH71">
        <v>0</v>
      </c>
      <c r="AI71">
        <v>0</v>
      </c>
      <c r="AJ71">
        <v>0</v>
      </c>
      <c r="AK71">
        <v>0</v>
      </c>
      <c r="AL71">
        <v>0</v>
      </c>
      <c r="AM71">
        <v>0</v>
      </c>
      <c r="AN71">
        <v>0</v>
      </c>
      <c r="AO71">
        <v>1.38113061777223E-4</v>
      </c>
      <c r="AP71">
        <v>2.3430659452951301E-4</v>
      </c>
      <c r="AQ71">
        <v>6.0747313006415311E-4</v>
      </c>
      <c r="AR71">
        <v>1.4234158528082081E-3</v>
      </c>
      <c r="AS71">
        <v>2.6749226682767253E-3</v>
      </c>
      <c r="AT71">
        <v>3.4512752500429926E-3</v>
      </c>
      <c r="AU71">
        <v>2.8289504075366427E-3</v>
      </c>
      <c r="AV71">
        <v>1.5905457902578783E-3</v>
      </c>
      <c r="AW71">
        <v>7.1573464622704647E-4</v>
      </c>
      <c r="AX71">
        <v>4.6428675232434931E-4</v>
      </c>
      <c r="AY71">
        <v>0</v>
      </c>
      <c r="AZ71">
        <v>0</v>
      </c>
      <c r="BA71">
        <v>0</v>
      </c>
      <c r="BB71">
        <v>0</v>
      </c>
      <c r="BC71">
        <v>0</v>
      </c>
      <c r="BD71">
        <v>0</v>
      </c>
      <c r="BE71">
        <v>0</v>
      </c>
      <c r="BF71">
        <v>0</v>
      </c>
      <c r="BG71">
        <v>0</v>
      </c>
      <c r="BH71">
        <v>0</v>
      </c>
      <c r="BI71">
        <v>0</v>
      </c>
      <c r="BJ71">
        <v>0</v>
      </c>
      <c r="BK71">
        <v>0</v>
      </c>
      <c r="BL71">
        <v>0</v>
      </c>
      <c r="BM71">
        <v>0</v>
      </c>
      <c r="BN71">
        <v>0</v>
      </c>
      <c r="BO71">
        <v>0</v>
      </c>
      <c r="BP71">
        <v>0</v>
      </c>
      <c r="BQ71">
        <v>0</v>
      </c>
      <c r="BR71">
        <v>0</v>
      </c>
      <c r="BS71">
        <v>0</v>
      </c>
      <c r="BT71">
        <v>0</v>
      </c>
      <c r="BU71">
        <v>0</v>
      </c>
      <c r="BV71">
        <v>0</v>
      </c>
      <c r="BW71">
        <v>0</v>
      </c>
      <c r="BX71">
        <v>0</v>
      </c>
      <c r="BY71">
        <v>0</v>
      </c>
      <c r="BZ71">
        <v>0</v>
      </c>
      <c r="CA71">
        <v>0</v>
      </c>
      <c r="CB71">
        <v>0</v>
      </c>
      <c r="CC71">
        <v>1.4129024153844733E-2</v>
      </c>
      <c r="CD71">
        <v>0</v>
      </c>
      <c r="CE71">
        <v>0.12820364486954378</v>
      </c>
      <c r="CF71">
        <v>1.4129024153844733E-2</v>
      </c>
      <c r="CG71">
        <v>6.4101822434771893E-3</v>
      </c>
      <c r="CH71">
        <v>0</v>
      </c>
      <c r="CI71">
        <v>0</v>
      </c>
      <c r="CJ71">
        <v>0</v>
      </c>
      <c r="CK71">
        <v>23.261794426805594</v>
      </c>
      <c r="CL71">
        <v>1.6528463441164576</v>
      </c>
      <c r="CM71">
        <v>1.16308972134028</v>
      </c>
      <c r="CN71">
        <v>0</v>
      </c>
      <c r="CO71">
        <v>23.261794426805594</v>
      </c>
      <c r="CP71">
        <v>1.6528463441164576</v>
      </c>
      <c r="CQ71">
        <v>1.16308972134028</v>
      </c>
      <c r="CR71">
        <v>0</v>
      </c>
      <c r="CS71">
        <v>0</v>
      </c>
      <c r="CT71">
        <v>0</v>
      </c>
      <c r="CU71">
        <v>337.37431751932758</v>
      </c>
      <c r="CV71">
        <v>16.86871587596638</v>
      </c>
      <c r="CW71">
        <v>44.964185356162623</v>
      </c>
      <c r="CX71">
        <v>365.46978699952382</v>
      </c>
      <c r="CY71">
        <v>0</v>
      </c>
      <c r="CZ71">
        <v>44.418868352238917</v>
      </c>
      <c r="DA71">
        <v>0</v>
      </c>
      <c r="DB71">
        <v>2.220943417611946</v>
      </c>
      <c r="DC71">
        <v>42.197924934626968</v>
      </c>
      <c r="DD71">
        <v>0</v>
      </c>
      <c r="DE71">
        <v>1.1700483762096392</v>
      </c>
      <c r="DF71">
        <v>2.4000864154805335</v>
      </c>
      <c r="DG71">
        <v>0</v>
      </c>
      <c r="DH71">
        <v>0</v>
      </c>
      <c r="DI71">
        <v>1.5546603923283622</v>
      </c>
      <c r="DJ71">
        <v>1.5546603923283622</v>
      </c>
      <c r="DK71">
        <v>0</v>
      </c>
      <c r="DL71">
        <v>0.30384774564345035</v>
      </c>
      <c r="DM71">
        <v>0.30384774564345035</v>
      </c>
      <c r="DN71">
        <v>12.303119698433841</v>
      </c>
      <c r="DO71">
        <v>82.681605322112546</v>
      </c>
      <c r="DP71">
        <v>193.44575760406815</v>
      </c>
      <c r="DQ71">
        <v>0</v>
      </c>
      <c r="DR71">
        <v>0</v>
      </c>
      <c r="DS71">
        <v>0</v>
      </c>
      <c r="DT71">
        <v>0</v>
      </c>
      <c r="DU71">
        <v>1.8585081379718125</v>
      </c>
      <c r="DV71">
        <v>0.56539769501204151</v>
      </c>
      <c r="DW71">
        <v>1.2123973461315736</v>
      </c>
      <c r="DX71">
        <v>0</v>
      </c>
      <c r="DY71">
        <v>290.28899076258637</v>
      </c>
      <c r="DZ71">
        <v>88.312083714441854</v>
      </c>
      <c r="EA71">
        <v>176.08260467271737</v>
      </c>
      <c r="EB71">
        <v>0</v>
      </c>
      <c r="EC71">
        <v>0</v>
      </c>
      <c r="ED71">
        <v>0</v>
      </c>
      <c r="EE71">
        <v>0</v>
      </c>
      <c r="EF71">
        <v>0</v>
      </c>
      <c r="EG71">
        <v>0</v>
      </c>
      <c r="EH71">
        <v>0</v>
      </c>
      <c r="EI71">
        <v>0.6131943551702338</v>
      </c>
      <c r="EJ71">
        <v>57.198900217333403</v>
      </c>
      <c r="EK71">
        <v>0</v>
      </c>
      <c r="EL71">
        <v>0.45153320883923798</v>
      </c>
      <c r="EM71">
        <v>79.791688219128929</v>
      </c>
      <c r="EN71">
        <v>0</v>
      </c>
      <c r="EO71">
        <v>0</v>
      </c>
      <c r="EP71">
        <v>0</v>
      </c>
      <c r="EQ71">
        <v>3.6546978699952386</v>
      </c>
      <c r="ER71">
        <v>0</v>
      </c>
      <c r="ES71">
        <v>2.2410401037337571</v>
      </c>
      <c r="ET71">
        <v>209.04469879035858</v>
      </c>
      <c r="EU71">
        <v>0</v>
      </c>
      <c r="EV71">
        <v>1.6502174565768783</v>
      </c>
      <c r="EW71">
        <v>291.61451297777467</v>
      </c>
      <c r="EX71">
        <v>0</v>
      </c>
      <c r="EY71">
        <v>0</v>
      </c>
      <c r="EZ71">
        <v>0</v>
      </c>
      <c r="FA71">
        <v>812.61425452193805</v>
      </c>
      <c r="FB71">
        <v>1127.9090654525523</v>
      </c>
      <c r="FC71">
        <v>0</v>
      </c>
      <c r="FD71">
        <v>0</v>
      </c>
      <c r="FE71">
        <v>1009.1620851337148</v>
      </c>
      <c r="FF71">
        <v>44.964185356162623</v>
      </c>
      <c r="FG71">
        <v>11.363628048816855</v>
      </c>
      <c r="FH71">
        <v>2.220943417611946</v>
      </c>
      <c r="FI71">
        <v>0</v>
      </c>
      <c r="FJ71">
        <v>1067.7108419563065</v>
      </c>
      <c r="FK71">
        <v>0</v>
      </c>
      <c r="FL71">
        <v>0</v>
      </c>
      <c r="FM71">
        <v>-21.234534029617944</v>
      </c>
      <c r="FN71">
        <v>5.0109695241707506</v>
      </c>
      <c r="FO71">
        <v>0</v>
      </c>
      <c r="FP71">
        <v>0</v>
      </c>
      <c r="FQ71">
        <v>0</v>
      </c>
      <c r="FR71">
        <v>0</v>
      </c>
      <c r="FS71">
        <v>0.48306529508891888</v>
      </c>
      <c r="FT71">
        <v>-21.055607463640612</v>
      </c>
      <c r="FU71">
        <v>0</v>
      </c>
      <c r="FV71">
        <v>0.29391393332814852</v>
      </c>
      <c r="FW71">
        <v>5.379047451908848</v>
      </c>
      <c r="FX71">
        <v>0</v>
      </c>
      <c r="FY71">
        <v>0</v>
      </c>
      <c r="FZ71">
        <v>0</v>
      </c>
      <c r="GA71">
        <v>0</v>
      </c>
      <c r="GB71">
        <v>-251.78400122214657</v>
      </c>
      <c r="GC71">
        <v>65.783139622862564</v>
      </c>
      <c r="GD71">
        <v>0</v>
      </c>
      <c r="GE71">
        <v>-216.47857134529971</v>
      </c>
      <c r="GF71">
        <v>56.558955354757778</v>
      </c>
      <c r="GG71">
        <v>0</v>
      </c>
      <c r="GH71">
        <v>0</v>
      </c>
      <c r="GI71">
        <v>0</v>
      </c>
      <c r="GJ71">
        <v>0</v>
      </c>
      <c r="GK71">
        <v>210.74213858453894</v>
      </c>
      <c r="GL71">
        <v>105.37106929226947</v>
      </c>
      <c r="GM71">
        <v>0</v>
      </c>
      <c r="GN71">
        <v>0</v>
      </c>
      <c r="GO71">
        <v>61803.23646315356</v>
      </c>
      <c r="GP71">
        <v>23105.965350094673</v>
      </c>
      <c r="GQ71">
        <v>17329.474012571005</v>
      </c>
      <c r="GR71">
        <v>0</v>
      </c>
      <c r="GS71">
        <v>3654.6978699952388</v>
      </c>
      <c r="GT71">
        <v>0</v>
      </c>
      <c r="GU71">
        <v>57764.913375236691</v>
      </c>
      <c r="GV71">
        <v>0</v>
      </c>
      <c r="GW71">
        <v>25994.211018856509</v>
      </c>
      <c r="GX71">
        <v>4751.1072309938099</v>
      </c>
      <c r="GY71">
        <v>0</v>
      </c>
      <c r="GZ71">
        <v>-80.530136503199316</v>
      </c>
      <c r="HA71">
        <v>111.63300615650726</v>
      </c>
      <c r="HB71" t="e">
        <v>#N/A</v>
      </c>
      <c r="HC71" t="e">
        <v>#N/A</v>
      </c>
      <c r="HD71" t="e">
        <v>#N/A</v>
      </c>
      <c r="HE71" t="e">
        <v>#N/A</v>
      </c>
      <c r="HF71" t="e">
        <v>#N/A</v>
      </c>
      <c r="HG71" t="e">
        <v>#N/A</v>
      </c>
      <c r="HH71" t="e">
        <v>#N/A</v>
      </c>
      <c r="HI71" t="e">
        <v>#N/A</v>
      </c>
      <c r="HJ71" t="e">
        <v>#N/A</v>
      </c>
      <c r="HK71" t="e">
        <v>#N/A</v>
      </c>
      <c r="HL71" t="e">
        <v>#N/A</v>
      </c>
      <c r="HM71" t="e">
        <v>#N/A</v>
      </c>
      <c r="HN71" t="e">
        <v>#N/A</v>
      </c>
      <c r="HO71" t="e">
        <v>#N/A</v>
      </c>
      <c r="HP71" t="e">
        <v>#N/A</v>
      </c>
      <c r="HQ71" t="e">
        <v>#N/A</v>
      </c>
      <c r="HR71" t="e">
        <v>#N/A</v>
      </c>
      <c r="HS71" t="e">
        <v>#N/A</v>
      </c>
      <c r="HT71" t="e">
        <v>#N/A</v>
      </c>
      <c r="HU71" t="e">
        <v>#N/A</v>
      </c>
      <c r="HV71" t="e">
        <v>#N/A</v>
      </c>
      <c r="HW71" t="e">
        <v>#N/A</v>
      </c>
      <c r="HX71" t="e">
        <v>#N/A</v>
      </c>
      <c r="HY71" t="e">
        <v>#N/A</v>
      </c>
      <c r="HZ71" t="e">
        <v>#N/A</v>
      </c>
      <c r="IA71" t="e">
        <v>#N/A</v>
      </c>
      <c r="IB71" t="e">
        <v>#N/A</v>
      </c>
      <c r="IC71" t="e">
        <v>#N/A</v>
      </c>
      <c r="ID71" t="e">
        <v>#N/A</v>
      </c>
      <c r="IE71" t="e">
        <v>#N/A</v>
      </c>
      <c r="IF71" t="e">
        <v>#N/A</v>
      </c>
      <c r="IG71" t="e">
        <v>#N/A</v>
      </c>
      <c r="IH71" t="e">
        <v>#N/A</v>
      </c>
      <c r="II71" t="e">
        <v>#N/A</v>
      </c>
      <c r="IJ71" t="e">
        <v>#N/A</v>
      </c>
      <c r="IK71" t="e">
        <v>#N/A</v>
      </c>
      <c r="IL71" t="e">
        <v>#N/A</v>
      </c>
      <c r="IM71" t="e">
        <v>#N/A</v>
      </c>
      <c r="IN71" t="e">
        <v>#N/A</v>
      </c>
      <c r="IO71" t="e">
        <v>#N/A</v>
      </c>
      <c r="IP71" t="e">
        <v>#N/A</v>
      </c>
      <c r="IQ71" t="e">
        <v>#N/A</v>
      </c>
      <c r="IR71" t="e">
        <v>#N/A</v>
      </c>
      <c r="IS71" t="e">
        <v>#N/A</v>
      </c>
      <c r="IT71" t="e">
        <v>#N/A</v>
      </c>
      <c r="IU71" t="e">
        <v>#N/A</v>
      </c>
      <c r="IV71" t="e">
        <v>#N/A</v>
      </c>
      <c r="IW71" t="e">
        <v>#N/A</v>
      </c>
      <c r="IX71" t="e">
        <v>#N/A</v>
      </c>
      <c r="IY71" t="e">
        <v>#N/A</v>
      </c>
      <c r="IZ71" t="e">
        <v>#N/A</v>
      </c>
      <c r="JA71" t="e">
        <v>#N/A</v>
      </c>
      <c r="JB71" t="e">
        <v>#N/A</v>
      </c>
      <c r="JC71" t="e">
        <v>#N/A</v>
      </c>
      <c r="JD71" t="e">
        <v>#N/A</v>
      </c>
      <c r="JE71" t="e">
        <v>#N/A</v>
      </c>
      <c r="JF71" t="e">
        <v>#N/A</v>
      </c>
      <c r="JG71" t="e">
        <v>#N/A</v>
      </c>
      <c r="JH71" t="e">
        <v>#N/A</v>
      </c>
      <c r="JI71" t="e">
        <v>#N/A</v>
      </c>
      <c r="JJ71" t="e">
        <v>#N/A</v>
      </c>
      <c r="JK71" t="e">
        <v>#N/A</v>
      </c>
      <c r="JL71" t="e">
        <v>#N/A</v>
      </c>
      <c r="JM71" t="e">
        <v>#N/A</v>
      </c>
      <c r="JN71" t="e">
        <v>#N/A</v>
      </c>
      <c r="JO71" t="e">
        <v>#N/A</v>
      </c>
      <c r="JP71" t="e">
        <v>#N/A</v>
      </c>
      <c r="JQ71" t="e">
        <v>#N/A</v>
      </c>
      <c r="JR71" t="e">
        <v>#N/A</v>
      </c>
      <c r="JS71" t="e">
        <v>#N/A</v>
      </c>
      <c r="JT71" t="e">
        <v>#N/A</v>
      </c>
      <c r="JU71" t="e">
        <v>#N/A</v>
      </c>
      <c r="JV71" t="e">
        <v>#N/A</v>
      </c>
      <c r="JW71" t="e">
        <v>#N/A</v>
      </c>
      <c r="JX71" t="e">
        <v>#N/A</v>
      </c>
      <c r="JY71" t="e">
        <v>#N/A</v>
      </c>
      <c r="JZ71" t="e">
        <v>#N/A</v>
      </c>
      <c r="KA71" t="e">
        <v>#N/A</v>
      </c>
      <c r="KB71" t="e">
        <v>#N/A</v>
      </c>
      <c r="KC71" t="e">
        <v>#N/A</v>
      </c>
      <c r="KD71" t="e">
        <v>#N/A</v>
      </c>
      <c r="KE71" t="e">
        <v>#N/A</v>
      </c>
      <c r="KF71" t="e">
        <v>#N/A</v>
      </c>
      <c r="KG71" t="e">
        <v>#N/A</v>
      </c>
      <c r="KH71" t="e">
        <v>#N/A</v>
      </c>
      <c r="KI71" t="e">
        <v>#N/A</v>
      </c>
      <c r="KJ71" t="e">
        <v>#N/A</v>
      </c>
      <c r="KK71" t="e">
        <v>#N/A</v>
      </c>
      <c r="KL71" t="e">
        <v>#N/A</v>
      </c>
      <c r="KM71" t="e">
        <v>#N/A</v>
      </c>
      <c r="KN71" t="e">
        <v>#N/A</v>
      </c>
    </row>
    <row r="72" spans="1:300" x14ac:dyDescent="0.15">
      <c r="A72">
        <v>18</v>
      </c>
      <c r="B72">
        <v>0</v>
      </c>
      <c r="C72">
        <v>7.9994338789844521E-2</v>
      </c>
      <c r="D72">
        <v>395.9064525665317</v>
      </c>
      <c r="E72">
        <v>0.25258492088657003</v>
      </c>
      <c r="F72">
        <v>0</v>
      </c>
      <c r="G72">
        <v>245.96031111569525</v>
      </c>
      <c r="H72">
        <v>265.63574357193971</v>
      </c>
      <c r="I72">
        <v>0</v>
      </c>
      <c r="J72">
        <v>0.28365402649977056</v>
      </c>
      <c r="K72">
        <v>0</v>
      </c>
      <c r="L72">
        <v>0</v>
      </c>
      <c r="M72">
        <v>0</v>
      </c>
      <c r="N72">
        <v>50000</v>
      </c>
      <c r="O72">
        <v>1</v>
      </c>
      <c r="P72">
        <v>50000</v>
      </c>
      <c r="Q72">
        <v>0</v>
      </c>
      <c r="R72">
        <v>0</v>
      </c>
      <c r="S72">
        <v>214.9994121840509</v>
      </c>
      <c r="T72">
        <v>3.9237392723589291</v>
      </c>
      <c r="U72">
        <v>0</v>
      </c>
      <c r="V72">
        <v>0.03</v>
      </c>
      <c r="W72">
        <v>1</v>
      </c>
      <c r="X72">
        <v>0</v>
      </c>
      <c r="Y72">
        <v>0</v>
      </c>
      <c r="Z72">
        <v>0</v>
      </c>
      <c r="AA72">
        <v>0</v>
      </c>
      <c r="AB72">
        <v>0</v>
      </c>
      <c r="AC72">
        <v>17.160068621848609</v>
      </c>
      <c r="AD72">
        <v>0.17160068621848618</v>
      </c>
      <c r="AE72">
        <v>0</v>
      </c>
      <c r="AF72">
        <v>17.160068621848609</v>
      </c>
      <c r="AG72">
        <v>0.17160068621848618</v>
      </c>
      <c r="AH72">
        <v>0</v>
      </c>
      <c r="AI72">
        <v>0</v>
      </c>
      <c r="AJ72">
        <v>0</v>
      </c>
      <c r="AK72">
        <v>0</v>
      </c>
      <c r="AL72">
        <v>0</v>
      </c>
      <c r="AM72">
        <v>0</v>
      </c>
      <c r="AN72">
        <v>0</v>
      </c>
      <c r="AO72">
        <v>1.38113061777223E-4</v>
      </c>
      <c r="AP72">
        <v>2.3430659452951301E-4</v>
      </c>
      <c r="AQ72">
        <v>6.0747313006415311E-4</v>
      </c>
      <c r="AR72">
        <v>1.4234158528082081E-3</v>
      </c>
      <c r="AS72">
        <v>2.6749226682767253E-3</v>
      </c>
      <c r="AT72">
        <v>3.4512752500429926E-3</v>
      </c>
      <c r="AU72">
        <v>2.8289504075366427E-3</v>
      </c>
      <c r="AV72">
        <v>1.5905457902578783E-3</v>
      </c>
      <c r="AW72">
        <v>7.1573464622704647E-4</v>
      </c>
      <c r="AX72">
        <v>4.6428675232434931E-4</v>
      </c>
      <c r="AY72">
        <v>0</v>
      </c>
      <c r="AZ72">
        <v>0</v>
      </c>
      <c r="BA72">
        <v>0</v>
      </c>
      <c r="BB72">
        <v>0</v>
      </c>
      <c r="BC72">
        <v>0</v>
      </c>
      <c r="BD72">
        <v>0</v>
      </c>
      <c r="BE72">
        <v>0</v>
      </c>
      <c r="BF72">
        <v>0</v>
      </c>
      <c r="BG72">
        <v>0</v>
      </c>
      <c r="BH72">
        <v>0</v>
      </c>
      <c r="BI72">
        <v>0</v>
      </c>
      <c r="BJ72">
        <v>0</v>
      </c>
      <c r="BK72">
        <v>0</v>
      </c>
      <c r="BL72">
        <v>0</v>
      </c>
      <c r="BM72">
        <v>0</v>
      </c>
      <c r="BN72">
        <v>0</v>
      </c>
      <c r="BO72">
        <v>0</v>
      </c>
      <c r="BP72">
        <v>0</v>
      </c>
      <c r="BQ72">
        <v>0</v>
      </c>
      <c r="BR72">
        <v>0</v>
      </c>
      <c r="BS72">
        <v>0</v>
      </c>
      <c r="BT72">
        <v>0</v>
      </c>
      <c r="BU72">
        <v>0</v>
      </c>
      <c r="BV72">
        <v>0</v>
      </c>
      <c r="BW72">
        <v>0</v>
      </c>
      <c r="BX72">
        <v>0</v>
      </c>
      <c r="BY72">
        <v>0</v>
      </c>
      <c r="BZ72">
        <v>0</v>
      </c>
      <c r="CA72">
        <v>0</v>
      </c>
      <c r="CB72">
        <v>0</v>
      </c>
      <c r="CC72">
        <v>1.4129024153844733E-2</v>
      </c>
      <c r="CD72">
        <v>0</v>
      </c>
      <c r="CE72">
        <v>0.11407462071569904</v>
      </c>
      <c r="CF72">
        <v>1.4129024153844733E-2</v>
      </c>
      <c r="CG72">
        <v>5.7037310357849523E-3</v>
      </c>
      <c r="CH72">
        <v>0</v>
      </c>
      <c r="CI72">
        <v>0</v>
      </c>
      <c r="CJ72">
        <v>0</v>
      </c>
      <c r="CK72">
        <v>22.716862542421193</v>
      </c>
      <c r="CL72">
        <v>1.7375895883204115</v>
      </c>
      <c r="CM72">
        <v>1.1358431271210598</v>
      </c>
      <c r="CN72">
        <v>0</v>
      </c>
      <c r="CO72">
        <v>22.716862542421193</v>
      </c>
      <c r="CP72">
        <v>1.7375895883204115</v>
      </c>
      <c r="CQ72">
        <v>1.1358431271210598</v>
      </c>
      <c r="CR72">
        <v>0</v>
      </c>
      <c r="CS72">
        <v>0</v>
      </c>
      <c r="CT72">
        <v>0</v>
      </c>
      <c r="CU72">
        <v>365.46978699952382</v>
      </c>
      <c r="CV72">
        <v>18.273489349976192</v>
      </c>
      <c r="CW72">
        <v>48.710154916984067</v>
      </c>
      <c r="CX72">
        <v>395.9064525665317</v>
      </c>
      <c r="CY72">
        <v>0</v>
      </c>
      <c r="CZ72">
        <v>42.197924934626968</v>
      </c>
      <c r="DA72">
        <v>0</v>
      </c>
      <c r="DB72">
        <v>2.1098962467313487</v>
      </c>
      <c r="DC72">
        <v>40.088028687895623</v>
      </c>
      <c r="DD72">
        <v>0</v>
      </c>
      <c r="DE72">
        <v>1.1129844435398901</v>
      </c>
      <c r="DF72">
        <v>3.5130708590204236</v>
      </c>
      <c r="DG72">
        <v>0</v>
      </c>
      <c r="DH72">
        <v>0</v>
      </c>
      <c r="DI72">
        <v>1.4769273727119441</v>
      </c>
      <c r="DJ72">
        <v>1.4769273727119441</v>
      </c>
      <c r="DK72">
        <v>0</v>
      </c>
      <c r="DL72">
        <v>0.26646398827975437</v>
      </c>
      <c r="DM72">
        <v>0.26646398827975437</v>
      </c>
      <c r="DN72">
        <v>12.303450626078991</v>
      </c>
      <c r="DO72">
        <v>86.574125495994537</v>
      </c>
      <c r="DP72">
        <v>212.93798841564075</v>
      </c>
      <c r="DQ72">
        <v>0</v>
      </c>
      <c r="DR72">
        <v>0</v>
      </c>
      <c r="DS72">
        <v>0</v>
      </c>
      <c r="DT72">
        <v>0</v>
      </c>
      <c r="DU72">
        <v>1.7433913609916984</v>
      </c>
      <c r="DV72">
        <v>0.4945199793102103</v>
      </c>
      <c r="DW72">
        <v>1.706917325441784</v>
      </c>
      <c r="DX72">
        <v>0</v>
      </c>
      <c r="DY72">
        <v>313.55895589870596</v>
      </c>
      <c r="DZ72">
        <v>88.942260385731927</v>
      </c>
      <c r="EA72">
        <v>265.02486505844928</v>
      </c>
      <c r="EB72">
        <v>0</v>
      </c>
      <c r="EC72">
        <v>0</v>
      </c>
      <c r="ED72">
        <v>0</v>
      </c>
      <c r="EE72">
        <v>0</v>
      </c>
      <c r="EF72">
        <v>0</v>
      </c>
      <c r="EG72">
        <v>0</v>
      </c>
      <c r="EH72">
        <v>0</v>
      </c>
      <c r="EI72">
        <v>0.6131943551702338</v>
      </c>
      <c r="EJ72">
        <v>57.198900217333403</v>
      </c>
      <c r="EK72">
        <v>0</v>
      </c>
      <c r="EL72">
        <v>0.45153320883923798</v>
      </c>
      <c r="EM72">
        <v>79.791688219128929</v>
      </c>
      <c r="EN72">
        <v>0</v>
      </c>
      <c r="EO72">
        <v>0</v>
      </c>
      <c r="EP72">
        <v>0</v>
      </c>
      <c r="EQ72">
        <v>3.9590645256653172</v>
      </c>
      <c r="ER72">
        <v>0</v>
      </c>
      <c r="ES72">
        <v>2.4276760188926918</v>
      </c>
      <c r="ET72">
        <v>226.45413675751487</v>
      </c>
      <c r="EU72">
        <v>0</v>
      </c>
      <c r="EV72">
        <v>1.7876491092752562</v>
      </c>
      <c r="EW72">
        <v>315.90044227130056</v>
      </c>
      <c r="EX72">
        <v>0</v>
      </c>
      <c r="EY72">
        <v>0</v>
      </c>
      <c r="EZ72">
        <v>0</v>
      </c>
      <c r="FA72">
        <v>898.07255751949413</v>
      </c>
      <c r="FB72">
        <v>1246.5252405107176</v>
      </c>
      <c r="FC72">
        <v>0</v>
      </c>
      <c r="FD72">
        <v>0</v>
      </c>
      <c r="FE72">
        <v>1185.7877851945848</v>
      </c>
      <c r="FF72">
        <v>48.710154916984067</v>
      </c>
      <c r="FG72">
        <v>11.694501536575871</v>
      </c>
      <c r="FH72">
        <v>2.1098962467313487</v>
      </c>
      <c r="FI72">
        <v>0</v>
      </c>
      <c r="FJ72">
        <v>1248.302337894876</v>
      </c>
      <c r="FK72">
        <v>0</v>
      </c>
      <c r="FL72">
        <v>0</v>
      </c>
      <c r="FM72">
        <v>-25.09281845738867</v>
      </c>
      <c r="FN72">
        <v>-0.12732321618679254</v>
      </c>
      <c r="FO72">
        <v>0</v>
      </c>
      <c r="FP72">
        <v>0</v>
      </c>
      <c r="FQ72">
        <v>0</v>
      </c>
      <c r="FR72">
        <v>0</v>
      </c>
      <c r="FS72">
        <v>0.47660372068681617</v>
      </c>
      <c r="FT72">
        <v>-24.992126334423325</v>
      </c>
      <c r="FU72">
        <v>0</v>
      </c>
      <c r="FV72">
        <v>0.29667737969559205</v>
      </c>
      <c r="FW72">
        <v>0.15329524776977821</v>
      </c>
      <c r="FX72">
        <v>0</v>
      </c>
      <c r="FY72">
        <v>0</v>
      </c>
      <c r="FZ72">
        <v>0</v>
      </c>
      <c r="GA72">
        <v>0</v>
      </c>
      <c r="GB72">
        <v>-347.68853991628839</v>
      </c>
      <c r="GC72">
        <v>3.2754417955675308</v>
      </c>
      <c r="GD72">
        <v>0</v>
      </c>
      <c r="GE72">
        <v>-306.10612646620456</v>
      </c>
      <c r="GF72">
        <v>2.8837096579257016</v>
      </c>
      <c r="GG72">
        <v>0</v>
      </c>
      <c r="GH72">
        <v>0</v>
      </c>
      <c r="GI72">
        <v>0</v>
      </c>
      <c r="GJ72">
        <v>0</v>
      </c>
      <c r="GK72">
        <v>214.9994121840509</v>
      </c>
      <c r="GL72">
        <v>107.49970609202545</v>
      </c>
      <c r="GM72">
        <v>0</v>
      </c>
      <c r="GN72">
        <v>0</v>
      </c>
      <c r="GO72">
        <v>68302.752904696856</v>
      </c>
      <c r="GP72">
        <v>25535.896374503143</v>
      </c>
      <c r="GQ72">
        <v>19151.922280877359</v>
      </c>
      <c r="GR72">
        <v>0</v>
      </c>
      <c r="GS72">
        <v>3959.064525665317</v>
      </c>
      <c r="GT72">
        <v>0</v>
      </c>
      <c r="GU72">
        <v>63839.740936257855</v>
      </c>
      <c r="GV72">
        <v>0</v>
      </c>
      <c r="GW72">
        <v>28727.883421316037</v>
      </c>
      <c r="GX72">
        <v>5146.7838833649121</v>
      </c>
      <c r="GY72">
        <v>0</v>
      </c>
      <c r="GZ72">
        <v>-76.602635400902258</v>
      </c>
      <c r="HA72">
        <v>111.63300615650726</v>
      </c>
      <c r="HB72" t="e">
        <v>#N/A</v>
      </c>
      <c r="HC72" t="e">
        <v>#N/A</v>
      </c>
      <c r="HD72" t="e">
        <v>#N/A</v>
      </c>
      <c r="HE72" t="e">
        <v>#N/A</v>
      </c>
      <c r="HF72" t="e">
        <v>#N/A</v>
      </c>
      <c r="HG72" t="e">
        <v>#N/A</v>
      </c>
      <c r="HH72" t="e">
        <v>#N/A</v>
      </c>
      <c r="HI72" t="e">
        <v>#N/A</v>
      </c>
      <c r="HJ72" t="e">
        <v>#N/A</v>
      </c>
      <c r="HK72" t="e">
        <v>#N/A</v>
      </c>
      <c r="HL72" t="e">
        <v>#N/A</v>
      </c>
      <c r="HM72" t="e">
        <v>#N/A</v>
      </c>
      <c r="HN72" t="e">
        <v>#N/A</v>
      </c>
      <c r="HO72" t="e">
        <v>#N/A</v>
      </c>
      <c r="HP72" t="e">
        <v>#N/A</v>
      </c>
      <c r="HQ72" t="e">
        <v>#N/A</v>
      </c>
      <c r="HR72" t="e">
        <v>#N/A</v>
      </c>
      <c r="HS72" t="e">
        <v>#N/A</v>
      </c>
      <c r="HT72" t="e">
        <v>#N/A</v>
      </c>
      <c r="HU72" t="e">
        <v>#N/A</v>
      </c>
      <c r="HV72" t="e">
        <v>#N/A</v>
      </c>
      <c r="HW72" t="e">
        <v>#N/A</v>
      </c>
      <c r="HX72" t="e">
        <v>#N/A</v>
      </c>
      <c r="HY72" t="e">
        <v>#N/A</v>
      </c>
      <c r="HZ72" t="e">
        <v>#N/A</v>
      </c>
      <c r="IA72" t="e">
        <v>#N/A</v>
      </c>
      <c r="IB72" t="e">
        <v>#N/A</v>
      </c>
      <c r="IC72" t="e">
        <v>#N/A</v>
      </c>
      <c r="ID72" t="e">
        <v>#N/A</v>
      </c>
      <c r="IE72" t="e">
        <v>#N/A</v>
      </c>
      <c r="IF72" t="e">
        <v>#N/A</v>
      </c>
      <c r="IG72" t="e">
        <v>#N/A</v>
      </c>
      <c r="IH72" t="e">
        <v>#N/A</v>
      </c>
      <c r="II72" t="e">
        <v>#N/A</v>
      </c>
      <c r="IJ72" t="e">
        <v>#N/A</v>
      </c>
      <c r="IK72" t="e">
        <v>#N/A</v>
      </c>
      <c r="IL72" t="e">
        <v>#N/A</v>
      </c>
      <c r="IM72" t="e">
        <v>#N/A</v>
      </c>
      <c r="IN72" t="e">
        <v>#N/A</v>
      </c>
      <c r="IO72" t="e">
        <v>#N/A</v>
      </c>
      <c r="IP72" t="e">
        <v>#N/A</v>
      </c>
      <c r="IQ72" t="e">
        <v>#N/A</v>
      </c>
      <c r="IR72" t="e">
        <v>#N/A</v>
      </c>
      <c r="IS72" t="e">
        <v>#N/A</v>
      </c>
      <c r="IT72" t="e">
        <v>#N/A</v>
      </c>
      <c r="IU72" t="e">
        <v>#N/A</v>
      </c>
      <c r="IV72" t="e">
        <v>#N/A</v>
      </c>
      <c r="IW72" t="e">
        <v>#N/A</v>
      </c>
      <c r="IX72" t="e">
        <v>#N/A</v>
      </c>
      <c r="IY72" t="e">
        <v>#N/A</v>
      </c>
      <c r="IZ72" t="e">
        <v>#N/A</v>
      </c>
      <c r="JA72" t="e">
        <v>#N/A</v>
      </c>
      <c r="JB72" t="e">
        <v>#N/A</v>
      </c>
      <c r="JC72" t="e">
        <v>#N/A</v>
      </c>
      <c r="JD72" t="e">
        <v>#N/A</v>
      </c>
      <c r="JE72" t="e">
        <v>#N/A</v>
      </c>
      <c r="JF72" t="e">
        <v>#N/A</v>
      </c>
      <c r="JG72" t="e">
        <v>#N/A</v>
      </c>
      <c r="JH72" t="e">
        <v>#N/A</v>
      </c>
      <c r="JI72" t="e">
        <v>#N/A</v>
      </c>
      <c r="JJ72" t="e">
        <v>#N/A</v>
      </c>
      <c r="JK72" t="e">
        <v>#N/A</v>
      </c>
      <c r="JL72" t="e">
        <v>#N/A</v>
      </c>
      <c r="JM72" t="e">
        <v>#N/A</v>
      </c>
      <c r="JN72" t="e">
        <v>#N/A</v>
      </c>
      <c r="JO72" t="e">
        <v>#N/A</v>
      </c>
      <c r="JP72" t="e">
        <v>#N/A</v>
      </c>
      <c r="JQ72" t="e">
        <v>#N/A</v>
      </c>
      <c r="JR72" t="e">
        <v>#N/A</v>
      </c>
      <c r="JS72" t="e">
        <v>#N/A</v>
      </c>
      <c r="JT72" t="e">
        <v>#N/A</v>
      </c>
      <c r="JU72" t="e">
        <v>#N/A</v>
      </c>
      <c r="JV72" t="e">
        <v>#N/A</v>
      </c>
      <c r="JW72" t="e">
        <v>#N/A</v>
      </c>
      <c r="JX72" t="e">
        <v>#N/A</v>
      </c>
      <c r="JY72" t="e">
        <v>#N/A</v>
      </c>
      <c r="JZ72" t="e">
        <v>#N/A</v>
      </c>
      <c r="KA72" t="e">
        <v>#N/A</v>
      </c>
      <c r="KB72" t="e">
        <v>#N/A</v>
      </c>
      <c r="KC72" t="e">
        <v>#N/A</v>
      </c>
      <c r="KD72" t="e">
        <v>#N/A</v>
      </c>
      <c r="KE72" t="e">
        <v>#N/A</v>
      </c>
      <c r="KF72" t="e">
        <v>#N/A</v>
      </c>
      <c r="KG72" t="e">
        <v>#N/A</v>
      </c>
      <c r="KH72" t="e">
        <v>#N/A</v>
      </c>
      <c r="KI72" t="e">
        <v>#N/A</v>
      </c>
      <c r="KJ72" t="e">
        <v>#N/A</v>
      </c>
      <c r="KK72" t="e">
        <v>#N/A</v>
      </c>
      <c r="KL72" t="e">
        <v>#N/A</v>
      </c>
      <c r="KM72" t="e">
        <v>#N/A</v>
      </c>
      <c r="KN72" t="e">
        <v>#N/A</v>
      </c>
    </row>
    <row r="73" spans="1:300" x14ac:dyDescent="0.15">
      <c r="A73">
        <v>19</v>
      </c>
      <c r="B73">
        <v>0</v>
      </c>
      <c r="C73">
        <v>7.9996603145707557E-2</v>
      </c>
      <c r="D73">
        <v>428.87888323284335</v>
      </c>
      <c r="E73">
        <v>0.23316606135095913</v>
      </c>
      <c r="F73">
        <v>0</v>
      </c>
      <c r="G73">
        <v>258.57096593158491</v>
      </c>
      <c r="H73">
        <v>279.25576487821616</v>
      </c>
      <c r="I73">
        <v>0</v>
      </c>
      <c r="J73">
        <v>0.26447726129982413</v>
      </c>
      <c r="K73">
        <v>0</v>
      </c>
      <c r="L73">
        <v>0</v>
      </c>
      <c r="M73">
        <v>0</v>
      </c>
      <c r="N73">
        <v>50000</v>
      </c>
      <c r="O73">
        <v>1</v>
      </c>
      <c r="P73">
        <v>50000</v>
      </c>
      <c r="Q73">
        <v>0</v>
      </c>
      <c r="R73">
        <v>0</v>
      </c>
      <c r="S73">
        <v>219.34268841513352</v>
      </c>
      <c r="T73">
        <v>4.0030040635761868</v>
      </c>
      <c r="U73">
        <v>0</v>
      </c>
      <c r="V73">
        <v>0.03</v>
      </c>
      <c r="W73">
        <v>1</v>
      </c>
      <c r="X73">
        <v>0</v>
      </c>
      <c r="Y73">
        <v>0</v>
      </c>
      <c r="Z73">
        <v>0</v>
      </c>
      <c r="AA73">
        <v>0</v>
      </c>
      <c r="AB73">
        <v>0</v>
      </c>
      <c r="AC73">
        <v>17.682670514337378</v>
      </c>
      <c r="AD73">
        <v>0.17682670514337387</v>
      </c>
      <c r="AE73">
        <v>0</v>
      </c>
      <c r="AF73">
        <v>17.682670514337378</v>
      </c>
      <c r="AG73">
        <v>0.17682670514337387</v>
      </c>
      <c r="AH73">
        <v>0</v>
      </c>
      <c r="AI73">
        <v>0</v>
      </c>
      <c r="AJ73">
        <v>0</v>
      </c>
      <c r="AK73">
        <v>0</v>
      </c>
      <c r="AL73">
        <v>0</v>
      </c>
      <c r="AM73">
        <v>0</v>
      </c>
      <c r="AN73">
        <v>0</v>
      </c>
      <c r="AO73">
        <v>1.38113061777223E-4</v>
      </c>
      <c r="AP73">
        <v>2.3430659452951301E-4</v>
      </c>
      <c r="AQ73">
        <v>6.0747313006415311E-4</v>
      </c>
      <c r="AR73">
        <v>1.4234158528082081E-3</v>
      </c>
      <c r="AS73">
        <v>2.6749226682767253E-3</v>
      </c>
      <c r="AT73">
        <v>3.4512752500429926E-3</v>
      </c>
      <c r="AU73">
        <v>2.8289504075366427E-3</v>
      </c>
      <c r="AV73">
        <v>1.5905457902578783E-3</v>
      </c>
      <c r="AW73">
        <v>7.1573464622704647E-4</v>
      </c>
      <c r="AX73">
        <v>4.6428675232434931E-4</v>
      </c>
      <c r="AY73">
        <v>0</v>
      </c>
      <c r="AZ73">
        <v>0</v>
      </c>
      <c r="BA73">
        <v>0</v>
      </c>
      <c r="BB73">
        <v>0</v>
      </c>
      <c r="BC73">
        <v>0</v>
      </c>
      <c r="BD73">
        <v>0</v>
      </c>
      <c r="BE73">
        <v>0</v>
      </c>
      <c r="BF73">
        <v>0</v>
      </c>
      <c r="BG73">
        <v>0</v>
      </c>
      <c r="BH73">
        <v>0</v>
      </c>
      <c r="BI73">
        <v>0</v>
      </c>
      <c r="BJ73">
        <v>0</v>
      </c>
      <c r="BK73">
        <v>0</v>
      </c>
      <c r="BL73">
        <v>0</v>
      </c>
      <c r="BM73">
        <v>0</v>
      </c>
      <c r="BN73">
        <v>0</v>
      </c>
      <c r="BO73">
        <v>0</v>
      </c>
      <c r="BP73">
        <v>0</v>
      </c>
      <c r="BQ73">
        <v>0</v>
      </c>
      <c r="BR73">
        <v>0</v>
      </c>
      <c r="BS73">
        <v>0</v>
      </c>
      <c r="BT73">
        <v>0</v>
      </c>
      <c r="BU73">
        <v>0</v>
      </c>
      <c r="BV73">
        <v>0</v>
      </c>
      <c r="BW73">
        <v>0</v>
      </c>
      <c r="BX73">
        <v>0</v>
      </c>
      <c r="BY73">
        <v>0</v>
      </c>
      <c r="BZ73">
        <v>0</v>
      </c>
      <c r="CA73">
        <v>0</v>
      </c>
      <c r="CB73">
        <v>0</v>
      </c>
      <c r="CC73">
        <v>1.4129024153844733E-2</v>
      </c>
      <c r="CD73">
        <v>0</v>
      </c>
      <c r="CE73">
        <v>9.9945596561854311E-2</v>
      </c>
      <c r="CF73">
        <v>1.4129024153844733E-2</v>
      </c>
      <c r="CG73">
        <v>4.9972798280927162E-3</v>
      </c>
      <c r="CH73">
        <v>0</v>
      </c>
      <c r="CI73">
        <v>0</v>
      </c>
      <c r="CJ73">
        <v>0</v>
      </c>
      <c r="CK73">
        <v>22.054903279629396</v>
      </c>
      <c r="CL73">
        <v>1.8266777115651633</v>
      </c>
      <c r="CM73">
        <v>1.10274516398147</v>
      </c>
      <c r="CN73">
        <v>0</v>
      </c>
      <c r="CO73">
        <v>22.054903279629396</v>
      </c>
      <c r="CP73">
        <v>1.8266777115651633</v>
      </c>
      <c r="CQ73">
        <v>1.10274516398147</v>
      </c>
      <c r="CR73">
        <v>0</v>
      </c>
      <c r="CS73">
        <v>0</v>
      </c>
      <c r="CT73">
        <v>0</v>
      </c>
      <c r="CU73">
        <v>395.9064525665317</v>
      </c>
      <c r="CV73">
        <v>19.795322628326588</v>
      </c>
      <c r="CW73">
        <v>52.76775329463824</v>
      </c>
      <c r="CX73">
        <v>428.87888323284335</v>
      </c>
      <c r="CY73">
        <v>0</v>
      </c>
      <c r="CZ73">
        <v>40.088028687895623</v>
      </c>
      <c r="DA73">
        <v>0</v>
      </c>
      <c r="DB73">
        <v>2.0044014343947811</v>
      </c>
      <c r="DC73">
        <v>38.083627253500843</v>
      </c>
      <c r="DD73">
        <v>0</v>
      </c>
      <c r="DE73">
        <v>1.0587035517066969</v>
      </c>
      <c r="DF73">
        <v>4.5717744107271203</v>
      </c>
      <c r="DG73">
        <v>0</v>
      </c>
      <c r="DH73">
        <v>0</v>
      </c>
      <c r="DI73">
        <v>1.4030810040763468</v>
      </c>
      <c r="DJ73">
        <v>1.4030810040763468</v>
      </c>
      <c r="DK73">
        <v>0</v>
      </c>
      <c r="DL73">
        <v>0.23367919391202202</v>
      </c>
      <c r="DM73">
        <v>0.23367919391202202</v>
      </c>
      <c r="DN73">
        <v>12.303649202049895</v>
      </c>
      <c r="DO73">
        <v>90.655662188328463</v>
      </c>
      <c r="DP73">
        <v>234.40922139203559</v>
      </c>
      <c r="DQ73">
        <v>0</v>
      </c>
      <c r="DR73">
        <v>0</v>
      </c>
      <c r="DS73">
        <v>0</v>
      </c>
      <c r="DT73">
        <v>0</v>
      </c>
      <c r="DU73">
        <v>1.6367601979883688</v>
      </c>
      <c r="DV73">
        <v>0.43288585456852169</v>
      </c>
      <c r="DW73">
        <v>2.1398031800103059</v>
      </c>
      <c r="DX73">
        <v>0</v>
      </c>
      <c r="DY73">
        <v>339.00529298040232</v>
      </c>
      <c r="DZ73">
        <v>89.659191453601295</v>
      </c>
      <c r="EA73">
        <v>354.68405651205057</v>
      </c>
      <c r="EB73">
        <v>0</v>
      </c>
      <c r="EC73">
        <v>0</v>
      </c>
      <c r="ED73">
        <v>0</v>
      </c>
      <c r="EE73">
        <v>0</v>
      </c>
      <c r="EF73">
        <v>0</v>
      </c>
      <c r="EG73">
        <v>0</v>
      </c>
      <c r="EH73">
        <v>0</v>
      </c>
      <c r="EI73">
        <v>0.6131943551702338</v>
      </c>
      <c r="EJ73">
        <v>57.198900217333403</v>
      </c>
      <c r="EK73">
        <v>0</v>
      </c>
      <c r="EL73">
        <v>0.45153320883923798</v>
      </c>
      <c r="EM73">
        <v>79.791688219128929</v>
      </c>
      <c r="EN73">
        <v>0</v>
      </c>
      <c r="EO73">
        <v>0</v>
      </c>
      <c r="EP73">
        <v>0</v>
      </c>
      <c r="EQ73">
        <v>4.288788832328434</v>
      </c>
      <c r="ER73">
        <v>0</v>
      </c>
      <c r="ES73">
        <v>2.629861102500934</v>
      </c>
      <c r="ET73">
        <v>245.31400447356793</v>
      </c>
      <c r="EU73">
        <v>0</v>
      </c>
      <c r="EV73">
        <v>1.9365305834951463</v>
      </c>
      <c r="EW73">
        <v>342.20970134683245</v>
      </c>
      <c r="EX73">
        <v>0</v>
      </c>
      <c r="EY73">
        <v>0</v>
      </c>
      <c r="EZ73">
        <v>0</v>
      </c>
      <c r="FA73">
        <v>992.52030143979152</v>
      </c>
      <c r="FB73">
        <v>1377.6187648815342</v>
      </c>
      <c r="FC73">
        <v>0</v>
      </c>
      <c r="FD73">
        <v>0</v>
      </c>
      <c r="FE73">
        <v>1394.1346424816079</v>
      </c>
      <c r="FF73">
        <v>52.76775329463824</v>
      </c>
      <c r="FG73">
        <v>12.035036282269605</v>
      </c>
      <c r="FH73">
        <v>2.0044014343947811</v>
      </c>
      <c r="FI73">
        <v>0</v>
      </c>
      <c r="FJ73">
        <v>1460.9418334929105</v>
      </c>
      <c r="FK73">
        <v>0</v>
      </c>
      <c r="FL73">
        <v>0</v>
      </c>
      <c r="FM73">
        <v>-28.886207452656759</v>
      </c>
      <c r="FN73">
        <v>-5.1382937819929877</v>
      </c>
      <c r="FO73">
        <v>0</v>
      </c>
      <c r="FP73">
        <v>0</v>
      </c>
      <c r="FQ73">
        <v>0</v>
      </c>
      <c r="FR73">
        <v>0</v>
      </c>
      <c r="FS73">
        <v>0.4685419657998014</v>
      </c>
      <c r="FT73">
        <v>-28.850275861130374</v>
      </c>
      <c r="FU73">
        <v>0</v>
      </c>
      <c r="FV73">
        <v>0.29739073600620008</v>
      </c>
      <c r="FW73">
        <v>-4.9312109606730008</v>
      </c>
      <c r="FX73">
        <v>0</v>
      </c>
      <c r="FY73">
        <v>0</v>
      </c>
      <c r="FZ73">
        <v>0</v>
      </c>
      <c r="GA73">
        <v>0</v>
      </c>
      <c r="GB73">
        <v>-466.73611672797199</v>
      </c>
      <c r="GC73">
        <v>-78.862248401247825</v>
      </c>
      <c r="GD73">
        <v>0</v>
      </c>
      <c r="GE73">
        <v>-423.24929818129294</v>
      </c>
      <c r="GF73">
        <v>-71.514481293678998</v>
      </c>
      <c r="GG73">
        <v>0</v>
      </c>
      <c r="GH73">
        <v>0</v>
      </c>
      <c r="GI73">
        <v>0</v>
      </c>
      <c r="GJ73">
        <v>0</v>
      </c>
      <c r="GK73">
        <v>219.34268841513352</v>
      </c>
      <c r="GL73">
        <v>109.67134420756676</v>
      </c>
      <c r="GM73">
        <v>0</v>
      </c>
      <c r="GN73">
        <v>0</v>
      </c>
      <c r="GO73">
        <v>75485.959719536113</v>
      </c>
      <c r="GP73">
        <v>28221.4341758316</v>
      </c>
      <c r="GQ73">
        <v>21166.0756318737</v>
      </c>
      <c r="GR73">
        <v>0</v>
      </c>
      <c r="GS73">
        <v>4288.7888323284342</v>
      </c>
      <c r="GT73">
        <v>0</v>
      </c>
      <c r="GU73">
        <v>70553.585439578994</v>
      </c>
      <c r="GV73">
        <v>0</v>
      </c>
      <c r="GW73">
        <v>31749.113447810549</v>
      </c>
      <c r="GX73">
        <v>5575.4254820269643</v>
      </c>
      <c r="GY73">
        <v>0</v>
      </c>
      <c r="GZ73">
        <v>-72.866680787638245</v>
      </c>
      <c r="HA73">
        <v>111.63300615650726</v>
      </c>
      <c r="HB73" t="e">
        <v>#N/A</v>
      </c>
      <c r="HC73" t="e">
        <v>#N/A</v>
      </c>
      <c r="HD73" t="e">
        <v>#N/A</v>
      </c>
      <c r="HE73" t="e">
        <v>#N/A</v>
      </c>
      <c r="HF73" t="e">
        <v>#N/A</v>
      </c>
      <c r="HG73" t="e">
        <v>#N/A</v>
      </c>
      <c r="HH73" t="e">
        <v>#N/A</v>
      </c>
      <c r="HI73" t="e">
        <v>#N/A</v>
      </c>
      <c r="HJ73" t="e">
        <v>#N/A</v>
      </c>
      <c r="HK73" t="e">
        <v>#N/A</v>
      </c>
      <c r="HL73" t="e">
        <v>#N/A</v>
      </c>
      <c r="HM73" t="e">
        <v>#N/A</v>
      </c>
      <c r="HN73" t="e">
        <v>#N/A</v>
      </c>
      <c r="HO73" t="e">
        <v>#N/A</v>
      </c>
      <c r="HP73" t="e">
        <v>#N/A</v>
      </c>
      <c r="HQ73" t="e">
        <v>#N/A</v>
      </c>
      <c r="HR73" t="e">
        <v>#N/A</v>
      </c>
      <c r="HS73" t="e">
        <v>#N/A</v>
      </c>
      <c r="HT73" t="e">
        <v>#N/A</v>
      </c>
      <c r="HU73" t="e">
        <v>#N/A</v>
      </c>
      <c r="HV73" t="e">
        <v>#N/A</v>
      </c>
      <c r="HW73" t="e">
        <v>#N/A</v>
      </c>
      <c r="HX73" t="e">
        <v>#N/A</v>
      </c>
      <c r="HY73" t="e">
        <v>#N/A</v>
      </c>
      <c r="HZ73" t="e">
        <v>#N/A</v>
      </c>
      <c r="IA73" t="e">
        <v>#N/A</v>
      </c>
      <c r="IB73" t="e">
        <v>#N/A</v>
      </c>
      <c r="IC73" t="e">
        <v>#N/A</v>
      </c>
      <c r="ID73" t="e">
        <v>#N/A</v>
      </c>
      <c r="IE73" t="e">
        <v>#N/A</v>
      </c>
      <c r="IF73" t="e">
        <v>#N/A</v>
      </c>
      <c r="IG73" t="e">
        <v>#N/A</v>
      </c>
      <c r="IH73" t="e">
        <v>#N/A</v>
      </c>
      <c r="II73" t="e">
        <v>#N/A</v>
      </c>
      <c r="IJ73" t="e">
        <v>#N/A</v>
      </c>
      <c r="IK73" t="e">
        <v>#N/A</v>
      </c>
      <c r="IL73" t="e">
        <v>#N/A</v>
      </c>
      <c r="IM73" t="e">
        <v>#N/A</v>
      </c>
      <c r="IN73" t="e">
        <v>#N/A</v>
      </c>
      <c r="IO73" t="e">
        <v>#N/A</v>
      </c>
      <c r="IP73" t="e">
        <v>#N/A</v>
      </c>
      <c r="IQ73" t="e">
        <v>#N/A</v>
      </c>
      <c r="IR73" t="e">
        <v>#N/A</v>
      </c>
      <c r="IS73" t="e">
        <v>#N/A</v>
      </c>
      <c r="IT73" t="e">
        <v>#N/A</v>
      </c>
      <c r="IU73" t="e">
        <v>#N/A</v>
      </c>
      <c r="IV73" t="e">
        <v>#N/A</v>
      </c>
      <c r="IW73" t="e">
        <v>#N/A</v>
      </c>
      <c r="IX73" t="e">
        <v>#N/A</v>
      </c>
      <c r="IY73" t="e">
        <v>#N/A</v>
      </c>
      <c r="IZ73" t="e">
        <v>#N/A</v>
      </c>
      <c r="JA73" t="e">
        <v>#N/A</v>
      </c>
      <c r="JB73" t="e">
        <v>#N/A</v>
      </c>
      <c r="JC73" t="e">
        <v>#N/A</v>
      </c>
      <c r="JD73" t="e">
        <v>#N/A</v>
      </c>
      <c r="JE73" t="e">
        <v>#N/A</v>
      </c>
      <c r="JF73" t="e">
        <v>#N/A</v>
      </c>
      <c r="JG73" t="e">
        <v>#N/A</v>
      </c>
      <c r="JH73" t="e">
        <v>#N/A</v>
      </c>
      <c r="JI73" t="e">
        <v>#N/A</v>
      </c>
      <c r="JJ73" t="e">
        <v>#N/A</v>
      </c>
      <c r="JK73" t="e">
        <v>#N/A</v>
      </c>
      <c r="JL73" t="e">
        <v>#N/A</v>
      </c>
      <c r="JM73" t="e">
        <v>#N/A</v>
      </c>
      <c r="JN73" t="e">
        <v>#N/A</v>
      </c>
      <c r="JO73" t="e">
        <v>#N/A</v>
      </c>
      <c r="JP73" t="e">
        <v>#N/A</v>
      </c>
      <c r="JQ73" t="e">
        <v>#N/A</v>
      </c>
      <c r="JR73" t="e">
        <v>#N/A</v>
      </c>
      <c r="JS73" t="e">
        <v>#N/A</v>
      </c>
      <c r="JT73" t="e">
        <v>#N/A</v>
      </c>
      <c r="JU73" t="e">
        <v>#N/A</v>
      </c>
      <c r="JV73" t="e">
        <v>#N/A</v>
      </c>
      <c r="JW73" t="e">
        <v>#N/A</v>
      </c>
      <c r="JX73" t="e">
        <v>#N/A</v>
      </c>
      <c r="JY73" t="e">
        <v>#N/A</v>
      </c>
      <c r="JZ73" t="e">
        <v>#N/A</v>
      </c>
      <c r="KA73" t="e">
        <v>#N/A</v>
      </c>
      <c r="KB73" t="e">
        <v>#N/A</v>
      </c>
      <c r="KC73" t="e">
        <v>#N/A</v>
      </c>
      <c r="KD73" t="e">
        <v>#N/A</v>
      </c>
      <c r="KE73" t="e">
        <v>#N/A</v>
      </c>
      <c r="KF73" t="e">
        <v>#N/A</v>
      </c>
      <c r="KG73" t="e">
        <v>#N/A</v>
      </c>
      <c r="KH73" t="e">
        <v>#N/A</v>
      </c>
      <c r="KI73" t="e">
        <v>#N/A</v>
      </c>
      <c r="KJ73" t="e">
        <v>#N/A</v>
      </c>
      <c r="KK73" t="e">
        <v>#N/A</v>
      </c>
      <c r="KL73" t="e">
        <v>#N/A</v>
      </c>
      <c r="KM73" t="e">
        <v>#N/A</v>
      </c>
      <c r="KN73" t="e">
        <v>#N/A</v>
      </c>
    </row>
    <row r="74" spans="1:300" x14ac:dyDescent="0.15">
      <c r="A74">
        <v>20</v>
      </c>
      <c r="B74">
        <v>0</v>
      </c>
      <c r="C74">
        <v>7.9997961841269644E-2</v>
      </c>
      <c r="D74">
        <v>464.59800087958126</v>
      </c>
      <c r="E74">
        <v>0.21523984134817425</v>
      </c>
      <c r="F74">
        <v>0</v>
      </c>
      <c r="G74">
        <v>271.82818284590485</v>
      </c>
      <c r="H74">
        <v>293.57388344459321</v>
      </c>
      <c r="I74">
        <v>0</v>
      </c>
      <c r="J74">
        <v>0.24659696394160663</v>
      </c>
      <c r="K74">
        <v>0</v>
      </c>
      <c r="L74">
        <v>0</v>
      </c>
      <c r="M74">
        <v>0</v>
      </c>
      <c r="N74">
        <v>50000</v>
      </c>
      <c r="O74">
        <v>1</v>
      </c>
      <c r="P74">
        <v>50000</v>
      </c>
      <c r="Q74">
        <v>0</v>
      </c>
      <c r="R74">
        <v>0</v>
      </c>
      <c r="S74">
        <v>223.77370464619037</v>
      </c>
      <c r="T74">
        <v>4.0838701097929739</v>
      </c>
      <c r="U74">
        <v>0</v>
      </c>
      <c r="V74">
        <v>0.03</v>
      </c>
      <c r="W74">
        <v>1</v>
      </c>
      <c r="X74">
        <v>0</v>
      </c>
      <c r="Y74">
        <v>0</v>
      </c>
      <c r="Z74">
        <v>0</v>
      </c>
      <c r="AA74">
        <v>0</v>
      </c>
      <c r="AB74">
        <v>0</v>
      </c>
      <c r="AC74">
        <v>18.22118800390512</v>
      </c>
      <c r="AD74">
        <v>0.18221188003905128</v>
      </c>
      <c r="AE74">
        <v>0</v>
      </c>
      <c r="AF74">
        <v>18.22118800390512</v>
      </c>
      <c r="AG74">
        <v>0.18221188003905128</v>
      </c>
      <c r="AH74">
        <v>0</v>
      </c>
      <c r="AI74">
        <v>0</v>
      </c>
      <c r="AJ74">
        <v>0</v>
      </c>
      <c r="AK74">
        <v>0</v>
      </c>
      <c r="AL74">
        <v>0</v>
      </c>
      <c r="AM74">
        <v>0</v>
      </c>
      <c r="AN74">
        <v>0</v>
      </c>
      <c r="AO74">
        <v>1.38113061777223E-4</v>
      </c>
      <c r="AP74">
        <v>2.3430659452951301E-4</v>
      </c>
      <c r="AQ74">
        <v>6.0747313006415311E-4</v>
      </c>
      <c r="AR74">
        <v>1.4234158528082081E-3</v>
      </c>
      <c r="AS74">
        <v>2.6749226682767253E-3</v>
      </c>
      <c r="AT74">
        <v>3.4512752500429926E-3</v>
      </c>
      <c r="AU74">
        <v>2.8289504075366427E-3</v>
      </c>
      <c r="AV74">
        <v>1.5905457902578783E-3</v>
      </c>
      <c r="AW74">
        <v>7.1573464622704647E-4</v>
      </c>
      <c r="AX74">
        <v>4.6428675232434931E-4</v>
      </c>
      <c r="AY74">
        <v>0</v>
      </c>
      <c r="AZ74">
        <v>0</v>
      </c>
      <c r="BA74">
        <v>0</v>
      </c>
      <c r="BB74">
        <v>0</v>
      </c>
      <c r="BC74">
        <v>0</v>
      </c>
      <c r="BD74">
        <v>0</v>
      </c>
      <c r="BE74">
        <v>0</v>
      </c>
      <c r="BF74">
        <v>0</v>
      </c>
      <c r="BG74">
        <v>0</v>
      </c>
      <c r="BH74">
        <v>0</v>
      </c>
      <c r="BI74">
        <v>0</v>
      </c>
      <c r="BJ74">
        <v>0</v>
      </c>
      <c r="BK74">
        <v>0</v>
      </c>
      <c r="BL74">
        <v>0</v>
      </c>
      <c r="BM74">
        <v>0</v>
      </c>
      <c r="BN74">
        <v>0</v>
      </c>
      <c r="BO74">
        <v>0</v>
      </c>
      <c r="BP74">
        <v>0</v>
      </c>
      <c r="BQ74">
        <v>0</v>
      </c>
      <c r="BR74">
        <v>0</v>
      </c>
      <c r="BS74">
        <v>0</v>
      </c>
      <c r="BT74">
        <v>0</v>
      </c>
      <c r="BU74">
        <v>0</v>
      </c>
      <c r="BV74">
        <v>0</v>
      </c>
      <c r="BW74">
        <v>0</v>
      </c>
      <c r="BX74">
        <v>0</v>
      </c>
      <c r="BY74">
        <v>0</v>
      </c>
      <c r="BZ74">
        <v>0</v>
      </c>
      <c r="CA74">
        <v>0</v>
      </c>
      <c r="CB74">
        <v>0</v>
      </c>
      <c r="CC74">
        <v>1.4129024153844733E-2</v>
      </c>
      <c r="CD74">
        <v>0</v>
      </c>
      <c r="CE74">
        <v>8.5816572408009578E-2</v>
      </c>
      <c r="CF74">
        <v>1.4129024153844733E-2</v>
      </c>
      <c r="CG74">
        <v>4.2908286204004793E-3</v>
      </c>
      <c r="CH74">
        <v>0</v>
      </c>
      <c r="CI74">
        <v>0</v>
      </c>
      <c r="CJ74">
        <v>0</v>
      </c>
      <c r="CK74">
        <v>21.265348870680409</v>
      </c>
      <c r="CL74">
        <v>1.9203334805627561</v>
      </c>
      <c r="CM74">
        <v>1.0632674435340206</v>
      </c>
      <c r="CN74">
        <v>0</v>
      </c>
      <c r="CO74">
        <v>21.265348870680409</v>
      </c>
      <c r="CP74">
        <v>1.9203334805627561</v>
      </c>
      <c r="CQ74">
        <v>1.0632674435340206</v>
      </c>
      <c r="CR74">
        <v>0</v>
      </c>
      <c r="CS74">
        <v>0</v>
      </c>
      <c r="CT74">
        <v>0</v>
      </c>
      <c r="CU74">
        <v>428.87888323284335</v>
      </c>
      <c r="CV74">
        <v>21.443944161642168</v>
      </c>
      <c r="CW74">
        <v>57.163061808380078</v>
      </c>
      <c r="CX74">
        <v>464.59800087958126</v>
      </c>
      <c r="CY74">
        <v>0</v>
      </c>
      <c r="CZ74">
        <v>38.083627253500843</v>
      </c>
      <c r="DA74">
        <v>0</v>
      </c>
      <c r="DB74">
        <v>1.9041813626750423</v>
      </c>
      <c r="DC74">
        <v>36.179445890825804</v>
      </c>
      <c r="DD74">
        <v>0</v>
      </c>
      <c r="DE74">
        <v>1.0070699702068231</v>
      </c>
      <c r="DF74">
        <v>5.5788443809339432</v>
      </c>
      <c r="DG74">
        <v>5.5788443809339432</v>
      </c>
      <c r="DH74">
        <v>0</v>
      </c>
      <c r="DI74">
        <v>1.3329269538725297</v>
      </c>
      <c r="DJ74">
        <v>1.3329269538725297</v>
      </c>
      <c r="DK74">
        <v>0</v>
      </c>
      <c r="DL74">
        <v>0.20492784720016319</v>
      </c>
      <c r="DM74">
        <v>0.20492784720016319</v>
      </c>
      <c r="DN74">
        <v>12.303768354611607</v>
      </c>
      <c r="DO74">
        <v>94.935584966860205</v>
      </c>
      <c r="DP74">
        <v>258.06167548954619</v>
      </c>
      <c r="DQ74">
        <v>0</v>
      </c>
      <c r="DR74">
        <v>0</v>
      </c>
      <c r="DS74">
        <v>0</v>
      </c>
      <c r="DT74">
        <v>0</v>
      </c>
      <c r="DU74">
        <v>1.5378548010726929</v>
      </c>
      <c r="DV74">
        <v>0.37923032492754949</v>
      </c>
      <c r="DW74">
        <v>2.5190335049378554</v>
      </c>
      <c r="DX74">
        <v>0</v>
      </c>
      <c r="DY74">
        <v>366.83888361209068</v>
      </c>
      <c r="DZ74">
        <v>90.461354954469954</v>
      </c>
      <c r="EA74">
        <v>445.1454114665205</v>
      </c>
      <c r="EB74">
        <v>0</v>
      </c>
      <c r="EC74">
        <v>0</v>
      </c>
      <c r="ED74">
        <v>2.5190335049378554</v>
      </c>
      <c r="EE74">
        <v>445.1454114665205</v>
      </c>
      <c r="EF74">
        <v>0</v>
      </c>
      <c r="EG74">
        <v>0</v>
      </c>
      <c r="EH74">
        <v>0</v>
      </c>
      <c r="EI74">
        <v>0.6131943551702338</v>
      </c>
      <c r="EJ74">
        <v>57.198900217333403</v>
      </c>
      <c r="EK74">
        <v>0</v>
      </c>
      <c r="EL74">
        <v>0.45153320883923798</v>
      </c>
      <c r="EM74">
        <v>79.791688219128929</v>
      </c>
      <c r="EN74">
        <v>0</v>
      </c>
      <c r="EO74">
        <v>0</v>
      </c>
      <c r="EP74">
        <v>0</v>
      </c>
      <c r="EQ74">
        <v>4.6459800087958127</v>
      </c>
      <c r="ER74">
        <v>0</v>
      </c>
      <c r="ES74">
        <v>2.8488887156273455</v>
      </c>
      <c r="ET74">
        <v>265.74494693483746</v>
      </c>
      <c r="EU74">
        <v>0</v>
      </c>
      <c r="EV74">
        <v>2.0978142615745243</v>
      </c>
      <c r="EW74">
        <v>370.71058833414139</v>
      </c>
      <c r="EX74">
        <v>0</v>
      </c>
      <c r="EY74">
        <v>0</v>
      </c>
      <c r="EZ74">
        <v>0</v>
      </c>
      <c r="FA74">
        <v>1096.9023370875798</v>
      </c>
      <c r="FB74">
        <v>1522.5010920403095</v>
      </c>
      <c r="FC74">
        <v>0</v>
      </c>
      <c r="FD74">
        <v>0</v>
      </c>
      <c r="FE74">
        <v>1640.0182152401528</v>
      </c>
      <c r="FF74">
        <v>57.163061808380078</v>
      </c>
      <c r="FG74">
        <v>12.385503961753743</v>
      </c>
      <c r="FH74">
        <v>1.9041813626750423</v>
      </c>
      <c r="FI74">
        <v>0</v>
      </c>
      <c r="FJ74">
        <v>1711.4709623729616</v>
      </c>
      <c r="FK74">
        <v>0</v>
      </c>
      <c r="FL74">
        <v>0</v>
      </c>
      <c r="FM74">
        <v>-32.619760920672228</v>
      </c>
      <c r="FN74">
        <v>-10.030046666634098</v>
      </c>
      <c r="FO74">
        <v>0</v>
      </c>
      <c r="FP74">
        <v>0</v>
      </c>
      <c r="FQ74">
        <v>0</v>
      </c>
      <c r="FR74">
        <v>0</v>
      </c>
      <c r="FS74">
        <v>0.45916756861523211</v>
      </c>
      <c r="FT74">
        <v>-32.637191944186448</v>
      </c>
      <c r="FU74">
        <v>0</v>
      </c>
      <c r="FV74">
        <v>0.29636348279607527</v>
      </c>
      <c r="FW74">
        <v>-9.8846736043291585</v>
      </c>
      <c r="FX74">
        <v>0</v>
      </c>
      <c r="FY74">
        <v>0</v>
      </c>
      <c r="FZ74">
        <v>0</v>
      </c>
      <c r="GA74">
        <v>0</v>
      </c>
      <c r="GB74">
        <v>-613.83376491339277</v>
      </c>
      <c r="GC74">
        <v>-185.16771944752759</v>
      </c>
      <c r="GD74">
        <v>0</v>
      </c>
      <c r="GE74">
        <v>-577.30890628341933</v>
      </c>
      <c r="GF74">
        <v>-174.14971235466302</v>
      </c>
      <c r="GG74">
        <v>0</v>
      </c>
      <c r="GH74">
        <v>0</v>
      </c>
      <c r="GI74">
        <v>0</v>
      </c>
      <c r="GJ74">
        <v>0</v>
      </c>
      <c r="GK74">
        <v>223.77370464619037</v>
      </c>
      <c r="GL74">
        <v>111.88685232309518</v>
      </c>
      <c r="GM74">
        <v>0</v>
      </c>
      <c r="GN74">
        <v>0</v>
      </c>
      <c r="GO74">
        <v>83424.717372071755</v>
      </c>
      <c r="GP74">
        <v>31189.444748411373</v>
      </c>
      <c r="GQ74">
        <v>23392.083561308529</v>
      </c>
      <c r="GR74">
        <v>0</v>
      </c>
      <c r="GS74">
        <v>4645.9800087958129</v>
      </c>
      <c r="GT74">
        <v>0</v>
      </c>
      <c r="GU74">
        <v>77973.611871028435</v>
      </c>
      <c r="GV74">
        <v>0</v>
      </c>
      <c r="GW74">
        <v>35088.125341962797</v>
      </c>
      <c r="GX74">
        <v>6039.774011434557</v>
      </c>
      <c r="GY74">
        <v>0</v>
      </c>
      <c r="GZ74">
        <v>-69.312930830902332</v>
      </c>
      <c r="HA74">
        <v>111.63300615650726</v>
      </c>
      <c r="HB74" t="e">
        <v>#N/A</v>
      </c>
      <c r="HC74" t="e">
        <v>#N/A</v>
      </c>
      <c r="HD74" t="e">
        <v>#N/A</v>
      </c>
      <c r="HE74" t="e">
        <v>#N/A</v>
      </c>
      <c r="HF74" t="e">
        <v>#N/A</v>
      </c>
      <c r="HG74" t="e">
        <v>#N/A</v>
      </c>
      <c r="HH74" t="e">
        <v>#N/A</v>
      </c>
      <c r="HI74" t="e">
        <v>#N/A</v>
      </c>
      <c r="HJ74" t="e">
        <v>#N/A</v>
      </c>
      <c r="HK74" t="e">
        <v>#N/A</v>
      </c>
      <c r="HL74" t="e">
        <v>#N/A</v>
      </c>
      <c r="HM74" t="e">
        <v>#N/A</v>
      </c>
      <c r="HN74" t="e">
        <v>#N/A</v>
      </c>
      <c r="HO74" t="e">
        <v>#N/A</v>
      </c>
      <c r="HP74" t="e">
        <v>#N/A</v>
      </c>
      <c r="HQ74" t="e">
        <v>#N/A</v>
      </c>
      <c r="HR74" t="e">
        <v>#N/A</v>
      </c>
      <c r="HS74" t="e">
        <v>#N/A</v>
      </c>
      <c r="HT74" t="e">
        <v>#N/A</v>
      </c>
      <c r="HU74" t="e">
        <v>#N/A</v>
      </c>
      <c r="HV74" t="e">
        <v>#N/A</v>
      </c>
      <c r="HW74" t="e">
        <v>#N/A</v>
      </c>
      <c r="HX74" t="e">
        <v>#N/A</v>
      </c>
      <c r="HY74" t="e">
        <v>#N/A</v>
      </c>
      <c r="HZ74" t="e">
        <v>#N/A</v>
      </c>
      <c r="IA74" t="e">
        <v>#N/A</v>
      </c>
      <c r="IB74" t="e">
        <v>#N/A</v>
      </c>
      <c r="IC74" t="e">
        <v>#N/A</v>
      </c>
      <c r="ID74" t="e">
        <v>#N/A</v>
      </c>
      <c r="IE74" t="e">
        <v>#N/A</v>
      </c>
      <c r="IF74" t="e">
        <v>#N/A</v>
      </c>
      <c r="IG74" t="e">
        <v>#N/A</v>
      </c>
      <c r="IH74" t="e">
        <v>#N/A</v>
      </c>
      <c r="II74" t="e">
        <v>#N/A</v>
      </c>
      <c r="IJ74" t="e">
        <v>#N/A</v>
      </c>
      <c r="IK74" t="e">
        <v>#N/A</v>
      </c>
      <c r="IL74" t="e">
        <v>#N/A</v>
      </c>
      <c r="IM74" t="e">
        <v>#N/A</v>
      </c>
      <c r="IN74" t="e">
        <v>#N/A</v>
      </c>
      <c r="IO74" t="e">
        <v>#N/A</v>
      </c>
      <c r="IP74" t="e">
        <v>#N/A</v>
      </c>
      <c r="IQ74" t="e">
        <v>#N/A</v>
      </c>
      <c r="IR74" t="e">
        <v>#N/A</v>
      </c>
      <c r="IS74" t="e">
        <v>#N/A</v>
      </c>
      <c r="IT74" t="e">
        <v>#N/A</v>
      </c>
      <c r="IU74" t="e">
        <v>#N/A</v>
      </c>
      <c r="IV74" t="e">
        <v>#N/A</v>
      </c>
      <c r="IW74" t="e">
        <v>#N/A</v>
      </c>
      <c r="IX74" t="e">
        <v>#N/A</v>
      </c>
      <c r="IY74" t="e">
        <v>#N/A</v>
      </c>
      <c r="IZ74" t="e">
        <v>#N/A</v>
      </c>
      <c r="JA74" t="e">
        <v>#N/A</v>
      </c>
      <c r="JB74" t="e">
        <v>#N/A</v>
      </c>
      <c r="JC74" t="e">
        <v>#N/A</v>
      </c>
      <c r="JD74" t="e">
        <v>#N/A</v>
      </c>
      <c r="JE74" t="e">
        <v>#N/A</v>
      </c>
      <c r="JF74" t="e">
        <v>#N/A</v>
      </c>
      <c r="JG74" t="e">
        <v>#N/A</v>
      </c>
      <c r="JH74" t="e">
        <v>#N/A</v>
      </c>
      <c r="JI74" t="e">
        <v>#N/A</v>
      </c>
      <c r="JJ74" t="e">
        <v>#N/A</v>
      </c>
      <c r="JK74" t="e">
        <v>#N/A</v>
      </c>
      <c r="JL74" t="e">
        <v>#N/A</v>
      </c>
      <c r="JM74" t="e">
        <v>#N/A</v>
      </c>
      <c r="JN74" t="e">
        <v>#N/A</v>
      </c>
      <c r="JO74" t="e">
        <v>#N/A</v>
      </c>
      <c r="JP74" t="e">
        <v>#N/A</v>
      </c>
      <c r="JQ74" t="e">
        <v>#N/A</v>
      </c>
      <c r="JR74" t="e">
        <v>#N/A</v>
      </c>
      <c r="JS74" t="e">
        <v>#N/A</v>
      </c>
      <c r="JT74" t="e">
        <v>#N/A</v>
      </c>
      <c r="JU74" t="e">
        <v>#N/A</v>
      </c>
      <c r="JV74" t="e">
        <v>#N/A</v>
      </c>
      <c r="JW74" t="e">
        <v>#N/A</v>
      </c>
      <c r="JX74" t="e">
        <v>#N/A</v>
      </c>
      <c r="JY74" t="e">
        <v>#N/A</v>
      </c>
      <c r="JZ74" t="e">
        <v>#N/A</v>
      </c>
      <c r="KA74" t="e">
        <v>#N/A</v>
      </c>
      <c r="KB74" t="e">
        <v>#N/A</v>
      </c>
      <c r="KC74" t="e">
        <v>#N/A</v>
      </c>
      <c r="KD74" t="e">
        <v>#N/A</v>
      </c>
      <c r="KE74" t="e">
        <v>#N/A</v>
      </c>
      <c r="KF74" t="e">
        <v>#N/A</v>
      </c>
      <c r="KG74" t="e">
        <v>#N/A</v>
      </c>
      <c r="KH74" t="e">
        <v>#N/A</v>
      </c>
      <c r="KI74" t="e">
        <v>#N/A</v>
      </c>
      <c r="KJ74" t="e">
        <v>#N/A</v>
      </c>
      <c r="KK74" t="e">
        <v>#N/A</v>
      </c>
      <c r="KL74" t="e">
        <v>#N/A</v>
      </c>
      <c r="KM74" t="e">
        <v>#N/A</v>
      </c>
      <c r="KN74" t="e">
        <v>#N/A</v>
      </c>
    </row>
  </sheetData>
  <phoneticPr fontId="10" type="noConversion"/>
  <dataValidations count="1">
    <dataValidation type="list" allowBlank="1" showInputMessage="1" showErrorMessage="1" sqref="A1" xr:uid="{00000000-0002-0000-0200-000000000000}">
      <formula1>"TRUE, FALSE"</formula1>
    </dataValidation>
  </dataValidations>
  <pageMargins left="0.7" right="0.7" top="0.75" bottom="0.75" header="0.3" footer="0.3"/>
  <pageSetup orientation="portrait" horizontalDpi="4294967292" verticalDpi="4294967292" r:id="rId1"/>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rgb="FFFF0000"/>
  </sheetPr>
  <dimension ref="A1:BL228"/>
  <sheetViews>
    <sheetView topLeftCell="A90" workbookViewId="0">
      <selection activeCell="F99" sqref="F99"/>
    </sheetView>
  </sheetViews>
  <sheetFormatPr baseColWidth="10" defaultColWidth="8.83203125" defaultRowHeight="13" x14ac:dyDescent="0.15"/>
  <cols>
    <col min="1" max="1" width="3.6640625" style="151" customWidth="1"/>
    <col min="2" max="2" width="2.83203125" style="151" customWidth="1"/>
    <col min="3" max="3" width="59.1640625" style="151" customWidth="1"/>
    <col min="4" max="4" width="22.6640625" style="151" bestFit="1" customWidth="1"/>
    <col min="5" max="5" width="19.6640625" style="151" bestFit="1" customWidth="1"/>
    <col min="6" max="23" width="12.6640625" style="151" customWidth="1"/>
    <col min="24" max="24" width="14.5" style="151" customWidth="1"/>
    <col min="25" max="44" width="12.6640625" style="151" customWidth="1"/>
    <col min="45" max="256" width="9.1640625" style="151"/>
    <col min="257" max="257" width="2.6640625" style="151" customWidth="1"/>
    <col min="258" max="258" width="2.83203125" style="151" customWidth="1"/>
    <col min="259" max="259" width="31.5" style="151" customWidth="1"/>
    <col min="260" max="279" width="12.6640625" style="151" customWidth="1"/>
    <col min="280" max="280" width="14.5" style="151" customWidth="1"/>
    <col min="281" max="300" width="12.6640625" style="151" customWidth="1"/>
    <col min="301" max="512" width="9.1640625" style="151"/>
    <col min="513" max="513" width="2.6640625" style="151" customWidth="1"/>
    <col min="514" max="514" width="2.83203125" style="151" customWidth="1"/>
    <col min="515" max="515" width="31.5" style="151" customWidth="1"/>
    <col min="516" max="535" width="12.6640625" style="151" customWidth="1"/>
    <col min="536" max="536" width="14.5" style="151" customWidth="1"/>
    <col min="537" max="556" width="12.6640625" style="151" customWidth="1"/>
    <col min="557" max="768" width="9.1640625" style="151"/>
    <col min="769" max="769" width="2.6640625" style="151" customWidth="1"/>
    <col min="770" max="770" width="2.83203125" style="151" customWidth="1"/>
    <col min="771" max="771" width="31.5" style="151" customWidth="1"/>
    <col min="772" max="791" width="12.6640625" style="151" customWidth="1"/>
    <col min="792" max="792" width="14.5" style="151" customWidth="1"/>
    <col min="793" max="812" width="12.6640625" style="151" customWidth="1"/>
    <col min="813" max="1024" width="9.1640625" style="151"/>
    <col min="1025" max="1025" width="2.6640625" style="151" customWidth="1"/>
    <col min="1026" max="1026" width="2.83203125" style="151" customWidth="1"/>
    <col min="1027" max="1027" width="31.5" style="151" customWidth="1"/>
    <col min="1028" max="1047" width="12.6640625" style="151" customWidth="1"/>
    <col min="1048" max="1048" width="14.5" style="151" customWidth="1"/>
    <col min="1049" max="1068" width="12.6640625" style="151" customWidth="1"/>
    <col min="1069" max="1280" width="9.1640625" style="151"/>
    <col min="1281" max="1281" width="2.6640625" style="151" customWidth="1"/>
    <col min="1282" max="1282" width="2.83203125" style="151" customWidth="1"/>
    <col min="1283" max="1283" width="31.5" style="151" customWidth="1"/>
    <col min="1284" max="1303" width="12.6640625" style="151" customWidth="1"/>
    <col min="1304" max="1304" width="14.5" style="151" customWidth="1"/>
    <col min="1305" max="1324" width="12.6640625" style="151" customWidth="1"/>
    <col min="1325" max="1536" width="9.1640625" style="151"/>
    <col min="1537" max="1537" width="2.6640625" style="151" customWidth="1"/>
    <col min="1538" max="1538" width="2.83203125" style="151" customWidth="1"/>
    <col min="1539" max="1539" width="31.5" style="151" customWidth="1"/>
    <col min="1540" max="1559" width="12.6640625" style="151" customWidth="1"/>
    <col min="1560" max="1560" width="14.5" style="151" customWidth="1"/>
    <col min="1561" max="1580" width="12.6640625" style="151" customWidth="1"/>
    <col min="1581" max="1792" width="9.1640625" style="151"/>
    <col min="1793" max="1793" width="2.6640625" style="151" customWidth="1"/>
    <col min="1794" max="1794" width="2.83203125" style="151" customWidth="1"/>
    <col min="1795" max="1795" width="31.5" style="151" customWidth="1"/>
    <col min="1796" max="1815" width="12.6640625" style="151" customWidth="1"/>
    <col min="1816" max="1816" width="14.5" style="151" customWidth="1"/>
    <col min="1817" max="1836" width="12.6640625" style="151" customWidth="1"/>
    <col min="1837" max="2048" width="9.1640625" style="151"/>
    <col min="2049" max="2049" width="2.6640625" style="151" customWidth="1"/>
    <col min="2050" max="2050" width="2.83203125" style="151" customWidth="1"/>
    <col min="2051" max="2051" width="31.5" style="151" customWidth="1"/>
    <col min="2052" max="2071" width="12.6640625" style="151" customWidth="1"/>
    <col min="2072" max="2072" width="14.5" style="151" customWidth="1"/>
    <col min="2073" max="2092" width="12.6640625" style="151" customWidth="1"/>
    <col min="2093" max="2304" width="9.1640625" style="151"/>
    <col min="2305" max="2305" width="2.6640625" style="151" customWidth="1"/>
    <col min="2306" max="2306" width="2.83203125" style="151" customWidth="1"/>
    <col min="2307" max="2307" width="31.5" style="151" customWidth="1"/>
    <col min="2308" max="2327" width="12.6640625" style="151" customWidth="1"/>
    <col min="2328" max="2328" width="14.5" style="151" customWidth="1"/>
    <col min="2329" max="2348" width="12.6640625" style="151" customWidth="1"/>
    <col min="2349" max="2560" width="9.1640625" style="151"/>
    <col min="2561" max="2561" width="2.6640625" style="151" customWidth="1"/>
    <col min="2562" max="2562" width="2.83203125" style="151" customWidth="1"/>
    <col min="2563" max="2563" width="31.5" style="151" customWidth="1"/>
    <col min="2564" max="2583" width="12.6640625" style="151" customWidth="1"/>
    <col min="2584" max="2584" width="14.5" style="151" customWidth="1"/>
    <col min="2585" max="2604" width="12.6640625" style="151" customWidth="1"/>
    <col min="2605" max="2816" width="9.1640625" style="151"/>
    <col min="2817" max="2817" width="2.6640625" style="151" customWidth="1"/>
    <col min="2818" max="2818" width="2.83203125" style="151" customWidth="1"/>
    <col min="2819" max="2819" width="31.5" style="151" customWidth="1"/>
    <col min="2820" max="2839" width="12.6640625" style="151" customWidth="1"/>
    <col min="2840" max="2840" width="14.5" style="151" customWidth="1"/>
    <col min="2841" max="2860" width="12.6640625" style="151" customWidth="1"/>
    <col min="2861" max="3072" width="9.1640625" style="151"/>
    <col min="3073" max="3073" width="2.6640625" style="151" customWidth="1"/>
    <col min="3074" max="3074" width="2.83203125" style="151" customWidth="1"/>
    <col min="3075" max="3075" width="31.5" style="151" customWidth="1"/>
    <col min="3076" max="3095" width="12.6640625" style="151" customWidth="1"/>
    <col min="3096" max="3096" width="14.5" style="151" customWidth="1"/>
    <col min="3097" max="3116" width="12.6640625" style="151" customWidth="1"/>
    <col min="3117" max="3328" width="9.1640625" style="151"/>
    <col min="3329" max="3329" width="2.6640625" style="151" customWidth="1"/>
    <col min="3330" max="3330" width="2.83203125" style="151" customWidth="1"/>
    <col min="3331" max="3331" width="31.5" style="151" customWidth="1"/>
    <col min="3332" max="3351" width="12.6640625" style="151" customWidth="1"/>
    <col min="3352" max="3352" width="14.5" style="151" customWidth="1"/>
    <col min="3353" max="3372" width="12.6640625" style="151" customWidth="1"/>
    <col min="3373" max="3584" width="9.1640625" style="151"/>
    <col min="3585" max="3585" width="2.6640625" style="151" customWidth="1"/>
    <col min="3586" max="3586" width="2.83203125" style="151" customWidth="1"/>
    <col min="3587" max="3587" width="31.5" style="151" customWidth="1"/>
    <col min="3588" max="3607" width="12.6640625" style="151" customWidth="1"/>
    <col min="3608" max="3608" width="14.5" style="151" customWidth="1"/>
    <col min="3609" max="3628" width="12.6640625" style="151" customWidth="1"/>
    <col min="3629" max="3840" width="9.1640625" style="151"/>
    <col min="3841" max="3841" width="2.6640625" style="151" customWidth="1"/>
    <col min="3842" max="3842" width="2.83203125" style="151" customWidth="1"/>
    <col min="3843" max="3843" width="31.5" style="151" customWidth="1"/>
    <col min="3844" max="3863" width="12.6640625" style="151" customWidth="1"/>
    <col min="3864" max="3864" width="14.5" style="151" customWidth="1"/>
    <col min="3865" max="3884" width="12.6640625" style="151" customWidth="1"/>
    <col min="3885" max="4096" width="9.1640625" style="151"/>
    <col min="4097" max="4097" width="2.6640625" style="151" customWidth="1"/>
    <col min="4098" max="4098" width="2.83203125" style="151" customWidth="1"/>
    <col min="4099" max="4099" width="31.5" style="151" customWidth="1"/>
    <col min="4100" max="4119" width="12.6640625" style="151" customWidth="1"/>
    <col min="4120" max="4120" width="14.5" style="151" customWidth="1"/>
    <col min="4121" max="4140" width="12.6640625" style="151" customWidth="1"/>
    <col min="4141" max="4352" width="9.1640625" style="151"/>
    <col min="4353" max="4353" width="2.6640625" style="151" customWidth="1"/>
    <col min="4354" max="4354" width="2.83203125" style="151" customWidth="1"/>
    <col min="4355" max="4355" width="31.5" style="151" customWidth="1"/>
    <col min="4356" max="4375" width="12.6640625" style="151" customWidth="1"/>
    <col min="4376" max="4376" width="14.5" style="151" customWidth="1"/>
    <col min="4377" max="4396" width="12.6640625" style="151" customWidth="1"/>
    <col min="4397" max="4608" width="9.1640625" style="151"/>
    <col min="4609" max="4609" width="2.6640625" style="151" customWidth="1"/>
    <col min="4610" max="4610" width="2.83203125" style="151" customWidth="1"/>
    <col min="4611" max="4611" width="31.5" style="151" customWidth="1"/>
    <col min="4612" max="4631" width="12.6640625" style="151" customWidth="1"/>
    <col min="4632" max="4632" width="14.5" style="151" customWidth="1"/>
    <col min="4633" max="4652" width="12.6640625" style="151" customWidth="1"/>
    <col min="4653" max="4864" width="9.1640625" style="151"/>
    <col min="4865" max="4865" width="2.6640625" style="151" customWidth="1"/>
    <col min="4866" max="4866" width="2.83203125" style="151" customWidth="1"/>
    <col min="4867" max="4867" width="31.5" style="151" customWidth="1"/>
    <col min="4868" max="4887" width="12.6640625" style="151" customWidth="1"/>
    <col min="4888" max="4888" width="14.5" style="151" customWidth="1"/>
    <col min="4889" max="4908" width="12.6640625" style="151" customWidth="1"/>
    <col min="4909" max="5120" width="9.1640625" style="151"/>
    <col min="5121" max="5121" width="2.6640625" style="151" customWidth="1"/>
    <col min="5122" max="5122" width="2.83203125" style="151" customWidth="1"/>
    <col min="5123" max="5123" width="31.5" style="151" customWidth="1"/>
    <col min="5124" max="5143" width="12.6640625" style="151" customWidth="1"/>
    <col min="5144" max="5144" width="14.5" style="151" customWidth="1"/>
    <col min="5145" max="5164" width="12.6640625" style="151" customWidth="1"/>
    <col min="5165" max="5376" width="9.1640625" style="151"/>
    <col min="5377" max="5377" width="2.6640625" style="151" customWidth="1"/>
    <col min="5378" max="5378" width="2.83203125" style="151" customWidth="1"/>
    <col min="5379" max="5379" width="31.5" style="151" customWidth="1"/>
    <col min="5380" max="5399" width="12.6640625" style="151" customWidth="1"/>
    <col min="5400" max="5400" width="14.5" style="151" customWidth="1"/>
    <col min="5401" max="5420" width="12.6640625" style="151" customWidth="1"/>
    <col min="5421" max="5632" width="9.1640625" style="151"/>
    <col min="5633" max="5633" width="2.6640625" style="151" customWidth="1"/>
    <col min="5634" max="5634" width="2.83203125" style="151" customWidth="1"/>
    <col min="5635" max="5635" width="31.5" style="151" customWidth="1"/>
    <col min="5636" max="5655" width="12.6640625" style="151" customWidth="1"/>
    <col min="5656" max="5656" width="14.5" style="151" customWidth="1"/>
    <col min="5657" max="5676" width="12.6640625" style="151" customWidth="1"/>
    <col min="5677" max="5888" width="9.1640625" style="151"/>
    <col min="5889" max="5889" width="2.6640625" style="151" customWidth="1"/>
    <col min="5890" max="5890" width="2.83203125" style="151" customWidth="1"/>
    <col min="5891" max="5891" width="31.5" style="151" customWidth="1"/>
    <col min="5892" max="5911" width="12.6640625" style="151" customWidth="1"/>
    <col min="5912" max="5912" width="14.5" style="151" customWidth="1"/>
    <col min="5913" max="5932" width="12.6640625" style="151" customWidth="1"/>
    <col min="5933" max="6144" width="9.1640625" style="151"/>
    <col min="6145" max="6145" width="2.6640625" style="151" customWidth="1"/>
    <col min="6146" max="6146" width="2.83203125" style="151" customWidth="1"/>
    <col min="6147" max="6147" width="31.5" style="151" customWidth="1"/>
    <col min="6148" max="6167" width="12.6640625" style="151" customWidth="1"/>
    <col min="6168" max="6168" width="14.5" style="151" customWidth="1"/>
    <col min="6169" max="6188" width="12.6640625" style="151" customWidth="1"/>
    <col min="6189" max="6400" width="9.1640625" style="151"/>
    <col min="6401" max="6401" width="2.6640625" style="151" customWidth="1"/>
    <col min="6402" max="6402" width="2.83203125" style="151" customWidth="1"/>
    <col min="6403" max="6403" width="31.5" style="151" customWidth="1"/>
    <col min="6404" max="6423" width="12.6640625" style="151" customWidth="1"/>
    <col min="6424" max="6424" width="14.5" style="151" customWidth="1"/>
    <col min="6425" max="6444" width="12.6640625" style="151" customWidth="1"/>
    <col min="6445" max="6656" width="9.1640625" style="151"/>
    <col min="6657" max="6657" width="2.6640625" style="151" customWidth="1"/>
    <col min="6658" max="6658" width="2.83203125" style="151" customWidth="1"/>
    <col min="6659" max="6659" width="31.5" style="151" customWidth="1"/>
    <col min="6660" max="6679" width="12.6640625" style="151" customWidth="1"/>
    <col min="6680" max="6680" width="14.5" style="151" customWidth="1"/>
    <col min="6681" max="6700" width="12.6640625" style="151" customWidth="1"/>
    <col min="6701" max="6912" width="9.1640625" style="151"/>
    <col min="6913" max="6913" width="2.6640625" style="151" customWidth="1"/>
    <col min="6914" max="6914" width="2.83203125" style="151" customWidth="1"/>
    <col min="6915" max="6915" width="31.5" style="151" customWidth="1"/>
    <col min="6916" max="6935" width="12.6640625" style="151" customWidth="1"/>
    <col min="6936" max="6936" width="14.5" style="151" customWidth="1"/>
    <col min="6937" max="6956" width="12.6640625" style="151" customWidth="1"/>
    <col min="6957" max="7168" width="9.1640625" style="151"/>
    <col min="7169" max="7169" width="2.6640625" style="151" customWidth="1"/>
    <col min="7170" max="7170" width="2.83203125" style="151" customWidth="1"/>
    <col min="7171" max="7171" width="31.5" style="151" customWidth="1"/>
    <col min="7172" max="7191" width="12.6640625" style="151" customWidth="1"/>
    <col min="7192" max="7192" width="14.5" style="151" customWidth="1"/>
    <col min="7193" max="7212" width="12.6640625" style="151" customWidth="1"/>
    <col min="7213" max="7424" width="9.1640625" style="151"/>
    <col min="7425" max="7425" width="2.6640625" style="151" customWidth="1"/>
    <col min="7426" max="7426" width="2.83203125" style="151" customWidth="1"/>
    <col min="7427" max="7427" width="31.5" style="151" customWidth="1"/>
    <col min="7428" max="7447" width="12.6640625" style="151" customWidth="1"/>
    <col min="7448" max="7448" width="14.5" style="151" customWidth="1"/>
    <col min="7449" max="7468" width="12.6640625" style="151" customWidth="1"/>
    <col min="7469" max="7680" width="9.1640625" style="151"/>
    <col min="7681" max="7681" width="2.6640625" style="151" customWidth="1"/>
    <col min="7682" max="7682" width="2.83203125" style="151" customWidth="1"/>
    <col min="7683" max="7683" width="31.5" style="151" customWidth="1"/>
    <col min="7684" max="7703" width="12.6640625" style="151" customWidth="1"/>
    <col min="7704" max="7704" width="14.5" style="151" customWidth="1"/>
    <col min="7705" max="7724" width="12.6640625" style="151" customWidth="1"/>
    <col min="7725" max="7936" width="9.1640625" style="151"/>
    <col min="7937" max="7937" width="2.6640625" style="151" customWidth="1"/>
    <col min="7938" max="7938" width="2.83203125" style="151" customWidth="1"/>
    <col min="7939" max="7939" width="31.5" style="151" customWidth="1"/>
    <col min="7940" max="7959" width="12.6640625" style="151" customWidth="1"/>
    <col min="7960" max="7960" width="14.5" style="151" customWidth="1"/>
    <col min="7961" max="7980" width="12.6640625" style="151" customWidth="1"/>
    <col min="7981" max="8192" width="9.1640625" style="151"/>
    <col min="8193" max="8193" width="2.6640625" style="151" customWidth="1"/>
    <col min="8194" max="8194" width="2.83203125" style="151" customWidth="1"/>
    <col min="8195" max="8195" width="31.5" style="151" customWidth="1"/>
    <col min="8196" max="8215" width="12.6640625" style="151" customWidth="1"/>
    <col min="8216" max="8216" width="14.5" style="151" customWidth="1"/>
    <col min="8217" max="8236" width="12.6640625" style="151" customWidth="1"/>
    <col min="8237" max="8448" width="9.1640625" style="151"/>
    <col min="8449" max="8449" width="2.6640625" style="151" customWidth="1"/>
    <col min="8450" max="8450" width="2.83203125" style="151" customWidth="1"/>
    <col min="8451" max="8451" width="31.5" style="151" customWidth="1"/>
    <col min="8452" max="8471" width="12.6640625" style="151" customWidth="1"/>
    <col min="8472" max="8472" width="14.5" style="151" customWidth="1"/>
    <col min="8473" max="8492" width="12.6640625" style="151" customWidth="1"/>
    <col min="8493" max="8704" width="9.1640625" style="151"/>
    <col min="8705" max="8705" width="2.6640625" style="151" customWidth="1"/>
    <col min="8706" max="8706" width="2.83203125" style="151" customWidth="1"/>
    <col min="8707" max="8707" width="31.5" style="151" customWidth="1"/>
    <col min="8708" max="8727" width="12.6640625" style="151" customWidth="1"/>
    <col min="8728" max="8728" width="14.5" style="151" customWidth="1"/>
    <col min="8729" max="8748" width="12.6640625" style="151" customWidth="1"/>
    <col min="8749" max="8960" width="9.1640625" style="151"/>
    <col min="8961" max="8961" width="2.6640625" style="151" customWidth="1"/>
    <col min="8962" max="8962" width="2.83203125" style="151" customWidth="1"/>
    <col min="8963" max="8963" width="31.5" style="151" customWidth="1"/>
    <col min="8964" max="8983" width="12.6640625" style="151" customWidth="1"/>
    <col min="8984" max="8984" width="14.5" style="151" customWidth="1"/>
    <col min="8985" max="9004" width="12.6640625" style="151" customWidth="1"/>
    <col min="9005" max="9216" width="9.1640625" style="151"/>
    <col min="9217" max="9217" width="2.6640625" style="151" customWidth="1"/>
    <col min="9218" max="9218" width="2.83203125" style="151" customWidth="1"/>
    <col min="9219" max="9219" width="31.5" style="151" customWidth="1"/>
    <col min="9220" max="9239" width="12.6640625" style="151" customWidth="1"/>
    <col min="9240" max="9240" width="14.5" style="151" customWidth="1"/>
    <col min="9241" max="9260" width="12.6640625" style="151" customWidth="1"/>
    <col min="9261" max="9472" width="9.1640625" style="151"/>
    <col min="9473" max="9473" width="2.6640625" style="151" customWidth="1"/>
    <col min="9474" max="9474" width="2.83203125" style="151" customWidth="1"/>
    <col min="9475" max="9475" width="31.5" style="151" customWidth="1"/>
    <col min="9476" max="9495" width="12.6640625" style="151" customWidth="1"/>
    <col min="9496" max="9496" width="14.5" style="151" customWidth="1"/>
    <col min="9497" max="9516" width="12.6640625" style="151" customWidth="1"/>
    <col min="9517" max="9728" width="9.1640625" style="151"/>
    <col min="9729" max="9729" width="2.6640625" style="151" customWidth="1"/>
    <col min="9730" max="9730" width="2.83203125" style="151" customWidth="1"/>
    <col min="9731" max="9731" width="31.5" style="151" customWidth="1"/>
    <col min="9732" max="9751" width="12.6640625" style="151" customWidth="1"/>
    <col min="9752" max="9752" width="14.5" style="151" customWidth="1"/>
    <col min="9753" max="9772" width="12.6640625" style="151" customWidth="1"/>
    <col min="9773" max="9984" width="9.1640625" style="151"/>
    <col min="9985" max="9985" width="2.6640625" style="151" customWidth="1"/>
    <col min="9986" max="9986" width="2.83203125" style="151" customWidth="1"/>
    <col min="9987" max="9987" width="31.5" style="151" customWidth="1"/>
    <col min="9988" max="10007" width="12.6640625" style="151" customWidth="1"/>
    <col min="10008" max="10008" width="14.5" style="151" customWidth="1"/>
    <col min="10009" max="10028" width="12.6640625" style="151" customWidth="1"/>
    <col min="10029" max="10240" width="9.1640625" style="151"/>
    <col min="10241" max="10241" width="2.6640625" style="151" customWidth="1"/>
    <col min="10242" max="10242" width="2.83203125" style="151" customWidth="1"/>
    <col min="10243" max="10243" width="31.5" style="151" customWidth="1"/>
    <col min="10244" max="10263" width="12.6640625" style="151" customWidth="1"/>
    <col min="10264" max="10264" width="14.5" style="151" customWidth="1"/>
    <col min="10265" max="10284" width="12.6640625" style="151" customWidth="1"/>
    <col min="10285" max="10496" width="9.1640625" style="151"/>
    <col min="10497" max="10497" width="2.6640625" style="151" customWidth="1"/>
    <col min="10498" max="10498" width="2.83203125" style="151" customWidth="1"/>
    <col min="10499" max="10499" width="31.5" style="151" customWidth="1"/>
    <col min="10500" max="10519" width="12.6640625" style="151" customWidth="1"/>
    <col min="10520" max="10520" width="14.5" style="151" customWidth="1"/>
    <col min="10521" max="10540" width="12.6640625" style="151" customWidth="1"/>
    <col min="10541" max="10752" width="9.1640625" style="151"/>
    <col min="10753" max="10753" width="2.6640625" style="151" customWidth="1"/>
    <col min="10754" max="10754" width="2.83203125" style="151" customWidth="1"/>
    <col min="10755" max="10755" width="31.5" style="151" customWidth="1"/>
    <col min="10756" max="10775" width="12.6640625" style="151" customWidth="1"/>
    <col min="10776" max="10776" width="14.5" style="151" customWidth="1"/>
    <col min="10777" max="10796" width="12.6640625" style="151" customWidth="1"/>
    <col min="10797" max="11008" width="9.1640625" style="151"/>
    <col min="11009" max="11009" width="2.6640625" style="151" customWidth="1"/>
    <col min="11010" max="11010" width="2.83203125" style="151" customWidth="1"/>
    <col min="11011" max="11011" width="31.5" style="151" customWidth="1"/>
    <col min="11012" max="11031" width="12.6640625" style="151" customWidth="1"/>
    <col min="11032" max="11032" width="14.5" style="151" customWidth="1"/>
    <col min="11033" max="11052" width="12.6640625" style="151" customWidth="1"/>
    <col min="11053" max="11264" width="9.1640625" style="151"/>
    <col min="11265" max="11265" width="2.6640625" style="151" customWidth="1"/>
    <col min="11266" max="11266" width="2.83203125" style="151" customWidth="1"/>
    <col min="11267" max="11267" width="31.5" style="151" customWidth="1"/>
    <col min="11268" max="11287" width="12.6640625" style="151" customWidth="1"/>
    <col min="11288" max="11288" width="14.5" style="151" customWidth="1"/>
    <col min="11289" max="11308" width="12.6640625" style="151" customWidth="1"/>
    <col min="11309" max="11520" width="9.1640625" style="151"/>
    <col min="11521" max="11521" width="2.6640625" style="151" customWidth="1"/>
    <col min="11522" max="11522" width="2.83203125" style="151" customWidth="1"/>
    <col min="11523" max="11523" width="31.5" style="151" customWidth="1"/>
    <col min="11524" max="11543" width="12.6640625" style="151" customWidth="1"/>
    <col min="11544" max="11544" width="14.5" style="151" customWidth="1"/>
    <col min="11545" max="11564" width="12.6640625" style="151" customWidth="1"/>
    <col min="11565" max="11776" width="9.1640625" style="151"/>
    <col min="11777" max="11777" width="2.6640625" style="151" customWidth="1"/>
    <col min="11778" max="11778" width="2.83203125" style="151" customWidth="1"/>
    <col min="11779" max="11779" width="31.5" style="151" customWidth="1"/>
    <col min="11780" max="11799" width="12.6640625" style="151" customWidth="1"/>
    <col min="11800" max="11800" width="14.5" style="151" customWidth="1"/>
    <col min="11801" max="11820" width="12.6640625" style="151" customWidth="1"/>
    <col min="11821" max="12032" width="9.1640625" style="151"/>
    <col min="12033" max="12033" width="2.6640625" style="151" customWidth="1"/>
    <col min="12034" max="12034" width="2.83203125" style="151" customWidth="1"/>
    <col min="12035" max="12035" width="31.5" style="151" customWidth="1"/>
    <col min="12036" max="12055" width="12.6640625" style="151" customWidth="1"/>
    <col min="12056" max="12056" width="14.5" style="151" customWidth="1"/>
    <col min="12057" max="12076" width="12.6640625" style="151" customWidth="1"/>
    <col min="12077" max="12288" width="9.1640625" style="151"/>
    <col min="12289" max="12289" width="2.6640625" style="151" customWidth="1"/>
    <col min="12290" max="12290" width="2.83203125" style="151" customWidth="1"/>
    <col min="12291" max="12291" width="31.5" style="151" customWidth="1"/>
    <col min="12292" max="12311" width="12.6640625" style="151" customWidth="1"/>
    <col min="12312" max="12312" width="14.5" style="151" customWidth="1"/>
    <col min="12313" max="12332" width="12.6640625" style="151" customWidth="1"/>
    <col min="12333" max="12544" width="9.1640625" style="151"/>
    <col min="12545" max="12545" width="2.6640625" style="151" customWidth="1"/>
    <col min="12546" max="12546" width="2.83203125" style="151" customWidth="1"/>
    <col min="12547" max="12547" width="31.5" style="151" customWidth="1"/>
    <col min="12548" max="12567" width="12.6640625" style="151" customWidth="1"/>
    <col min="12568" max="12568" width="14.5" style="151" customWidth="1"/>
    <col min="12569" max="12588" width="12.6640625" style="151" customWidth="1"/>
    <col min="12589" max="12800" width="9.1640625" style="151"/>
    <col min="12801" max="12801" width="2.6640625" style="151" customWidth="1"/>
    <col min="12802" max="12802" width="2.83203125" style="151" customWidth="1"/>
    <col min="12803" max="12803" width="31.5" style="151" customWidth="1"/>
    <col min="12804" max="12823" width="12.6640625" style="151" customWidth="1"/>
    <col min="12824" max="12824" width="14.5" style="151" customWidth="1"/>
    <col min="12825" max="12844" width="12.6640625" style="151" customWidth="1"/>
    <col min="12845" max="13056" width="9.1640625" style="151"/>
    <col min="13057" max="13057" width="2.6640625" style="151" customWidth="1"/>
    <col min="13058" max="13058" width="2.83203125" style="151" customWidth="1"/>
    <col min="13059" max="13059" width="31.5" style="151" customWidth="1"/>
    <col min="13060" max="13079" width="12.6640625" style="151" customWidth="1"/>
    <col min="13080" max="13080" width="14.5" style="151" customWidth="1"/>
    <col min="13081" max="13100" width="12.6640625" style="151" customWidth="1"/>
    <col min="13101" max="13312" width="9.1640625" style="151"/>
    <col min="13313" max="13313" width="2.6640625" style="151" customWidth="1"/>
    <col min="13314" max="13314" width="2.83203125" style="151" customWidth="1"/>
    <col min="13315" max="13315" width="31.5" style="151" customWidth="1"/>
    <col min="13316" max="13335" width="12.6640625" style="151" customWidth="1"/>
    <col min="13336" max="13336" width="14.5" style="151" customWidth="1"/>
    <col min="13337" max="13356" width="12.6640625" style="151" customWidth="1"/>
    <col min="13357" max="13568" width="9.1640625" style="151"/>
    <col min="13569" max="13569" width="2.6640625" style="151" customWidth="1"/>
    <col min="13570" max="13570" width="2.83203125" style="151" customWidth="1"/>
    <col min="13571" max="13571" width="31.5" style="151" customWidth="1"/>
    <col min="13572" max="13591" width="12.6640625" style="151" customWidth="1"/>
    <col min="13592" max="13592" width="14.5" style="151" customWidth="1"/>
    <col min="13593" max="13612" width="12.6640625" style="151" customWidth="1"/>
    <col min="13613" max="13824" width="9.1640625" style="151"/>
    <col min="13825" max="13825" width="2.6640625" style="151" customWidth="1"/>
    <col min="13826" max="13826" width="2.83203125" style="151" customWidth="1"/>
    <col min="13827" max="13827" width="31.5" style="151" customWidth="1"/>
    <col min="13828" max="13847" width="12.6640625" style="151" customWidth="1"/>
    <col min="13848" max="13848" width="14.5" style="151" customWidth="1"/>
    <col min="13849" max="13868" width="12.6640625" style="151" customWidth="1"/>
    <col min="13869" max="14080" width="9.1640625" style="151"/>
    <col min="14081" max="14081" width="2.6640625" style="151" customWidth="1"/>
    <col min="14082" max="14082" width="2.83203125" style="151" customWidth="1"/>
    <col min="14083" max="14083" width="31.5" style="151" customWidth="1"/>
    <col min="14084" max="14103" width="12.6640625" style="151" customWidth="1"/>
    <col min="14104" max="14104" width="14.5" style="151" customWidth="1"/>
    <col min="14105" max="14124" width="12.6640625" style="151" customWidth="1"/>
    <col min="14125" max="14336" width="9.1640625" style="151"/>
    <col min="14337" max="14337" width="2.6640625" style="151" customWidth="1"/>
    <col min="14338" max="14338" width="2.83203125" style="151" customWidth="1"/>
    <col min="14339" max="14339" width="31.5" style="151" customWidth="1"/>
    <col min="14340" max="14359" width="12.6640625" style="151" customWidth="1"/>
    <col min="14360" max="14360" width="14.5" style="151" customWidth="1"/>
    <col min="14361" max="14380" width="12.6640625" style="151" customWidth="1"/>
    <col min="14381" max="14592" width="9.1640625" style="151"/>
    <col min="14593" max="14593" width="2.6640625" style="151" customWidth="1"/>
    <col min="14594" max="14594" width="2.83203125" style="151" customWidth="1"/>
    <col min="14595" max="14595" width="31.5" style="151" customWidth="1"/>
    <col min="14596" max="14615" width="12.6640625" style="151" customWidth="1"/>
    <col min="14616" max="14616" width="14.5" style="151" customWidth="1"/>
    <col min="14617" max="14636" width="12.6640625" style="151" customWidth="1"/>
    <col min="14637" max="14848" width="9.1640625" style="151"/>
    <col min="14849" max="14849" width="2.6640625" style="151" customWidth="1"/>
    <col min="14850" max="14850" width="2.83203125" style="151" customWidth="1"/>
    <col min="14851" max="14851" width="31.5" style="151" customWidth="1"/>
    <col min="14852" max="14871" width="12.6640625" style="151" customWidth="1"/>
    <col min="14872" max="14872" width="14.5" style="151" customWidth="1"/>
    <col min="14873" max="14892" width="12.6640625" style="151" customWidth="1"/>
    <col min="14893" max="15104" width="9.1640625" style="151"/>
    <col min="15105" max="15105" width="2.6640625" style="151" customWidth="1"/>
    <col min="15106" max="15106" width="2.83203125" style="151" customWidth="1"/>
    <col min="15107" max="15107" width="31.5" style="151" customWidth="1"/>
    <col min="15108" max="15127" width="12.6640625" style="151" customWidth="1"/>
    <col min="15128" max="15128" width="14.5" style="151" customWidth="1"/>
    <col min="15129" max="15148" width="12.6640625" style="151" customWidth="1"/>
    <col min="15149" max="15360" width="9.1640625" style="151"/>
    <col min="15361" max="15361" width="2.6640625" style="151" customWidth="1"/>
    <col min="15362" max="15362" width="2.83203125" style="151" customWidth="1"/>
    <col min="15363" max="15363" width="31.5" style="151" customWidth="1"/>
    <col min="15364" max="15383" width="12.6640625" style="151" customWidth="1"/>
    <col min="15384" max="15384" width="14.5" style="151" customWidth="1"/>
    <col min="15385" max="15404" width="12.6640625" style="151" customWidth="1"/>
    <col min="15405" max="15616" width="9.1640625" style="151"/>
    <col min="15617" max="15617" width="2.6640625" style="151" customWidth="1"/>
    <col min="15618" max="15618" width="2.83203125" style="151" customWidth="1"/>
    <col min="15619" max="15619" width="31.5" style="151" customWidth="1"/>
    <col min="15620" max="15639" width="12.6640625" style="151" customWidth="1"/>
    <col min="15640" max="15640" width="14.5" style="151" customWidth="1"/>
    <col min="15641" max="15660" width="12.6640625" style="151" customWidth="1"/>
    <col min="15661" max="15872" width="9.1640625" style="151"/>
    <col min="15873" max="15873" width="2.6640625" style="151" customWidth="1"/>
    <col min="15874" max="15874" width="2.83203125" style="151" customWidth="1"/>
    <col min="15875" max="15875" width="31.5" style="151" customWidth="1"/>
    <col min="15876" max="15895" width="12.6640625" style="151" customWidth="1"/>
    <col min="15896" max="15896" width="14.5" style="151" customWidth="1"/>
    <col min="15897" max="15916" width="12.6640625" style="151" customWidth="1"/>
    <col min="15917" max="16128" width="9.1640625" style="151"/>
    <col min="16129" max="16129" width="2.6640625" style="151" customWidth="1"/>
    <col min="16130" max="16130" width="2.83203125" style="151" customWidth="1"/>
    <col min="16131" max="16131" width="31.5" style="151" customWidth="1"/>
    <col min="16132" max="16151" width="12.6640625" style="151" customWidth="1"/>
    <col min="16152" max="16152" width="14.5" style="151" customWidth="1"/>
    <col min="16153" max="16172" width="12.6640625" style="151" customWidth="1"/>
    <col min="16173" max="16384" width="9.1640625" style="151"/>
  </cols>
  <sheetData>
    <row r="1" spans="1:58" s="18" customFormat="1" ht="37.5" customHeight="1" thickBot="1" x14ac:dyDescent="0.2">
      <c r="B1" s="19" t="s">
        <v>6</v>
      </c>
      <c r="E1" s="19"/>
      <c r="G1" s="19"/>
    </row>
    <row r="2" spans="1:58" s="22" customFormat="1" ht="21" customHeight="1" x14ac:dyDescent="0.15">
      <c r="A2" s="20"/>
      <c r="B2" s="21" t="s">
        <v>22</v>
      </c>
      <c r="D2" s="23">
        <v>0</v>
      </c>
      <c r="E2" s="23">
        <f t="shared" ref="E2:AR2" si="0">IF(COLUMN()-4&gt;Contract_Length,"",D2+1)</f>
        <v>1</v>
      </c>
      <c r="F2" s="23">
        <f t="shared" si="0"/>
        <v>2</v>
      </c>
      <c r="G2" s="23">
        <f t="shared" si="0"/>
        <v>3</v>
      </c>
      <c r="H2" s="23">
        <f t="shared" si="0"/>
        <v>4</v>
      </c>
      <c r="I2" s="23">
        <f t="shared" si="0"/>
        <v>5</v>
      </c>
      <c r="J2" s="23">
        <f t="shared" si="0"/>
        <v>6</v>
      </c>
      <c r="K2" s="23">
        <f t="shared" si="0"/>
        <v>7</v>
      </c>
      <c r="L2" s="23">
        <f t="shared" si="0"/>
        <v>8</v>
      </c>
      <c r="M2" s="23">
        <f t="shared" si="0"/>
        <v>9</v>
      </c>
      <c r="N2" s="23">
        <f t="shared" si="0"/>
        <v>10</v>
      </c>
      <c r="O2" s="23">
        <f t="shared" si="0"/>
        <v>11</v>
      </c>
      <c r="P2" s="23">
        <f t="shared" si="0"/>
        <v>12</v>
      </c>
      <c r="Q2" s="23">
        <f t="shared" si="0"/>
        <v>13</v>
      </c>
      <c r="R2" s="23">
        <f t="shared" si="0"/>
        <v>14</v>
      </c>
      <c r="S2" s="23">
        <f t="shared" si="0"/>
        <v>15</v>
      </c>
      <c r="T2" s="23">
        <f t="shared" si="0"/>
        <v>16</v>
      </c>
      <c r="U2" s="23">
        <f t="shared" si="0"/>
        <v>17</v>
      </c>
      <c r="V2" s="23">
        <f t="shared" si="0"/>
        <v>18</v>
      </c>
      <c r="W2" s="23">
        <f t="shared" si="0"/>
        <v>19</v>
      </c>
      <c r="X2" s="23">
        <f t="shared" si="0"/>
        <v>20</v>
      </c>
      <c r="Y2" s="23" t="str">
        <f>IF(COLUMN()-4&gt;Contract_Length,"",X2+1)</f>
        <v/>
      </c>
      <c r="Z2" s="23" t="str">
        <f t="shared" si="0"/>
        <v/>
      </c>
      <c r="AA2" s="23" t="str">
        <f t="shared" si="0"/>
        <v/>
      </c>
      <c r="AB2" s="23" t="str">
        <f t="shared" si="0"/>
        <v/>
      </c>
      <c r="AC2" s="23" t="str">
        <f t="shared" si="0"/>
        <v/>
      </c>
      <c r="AD2" s="23" t="str">
        <f t="shared" si="0"/>
        <v/>
      </c>
      <c r="AE2" s="23" t="str">
        <f t="shared" si="0"/>
        <v/>
      </c>
      <c r="AF2" s="23" t="str">
        <f t="shared" si="0"/>
        <v/>
      </c>
      <c r="AG2" s="23" t="str">
        <f t="shared" si="0"/>
        <v/>
      </c>
      <c r="AH2" s="23" t="str">
        <f t="shared" si="0"/>
        <v/>
      </c>
      <c r="AI2" s="23" t="str">
        <f t="shared" si="0"/>
        <v/>
      </c>
      <c r="AJ2" s="23" t="str">
        <f t="shared" si="0"/>
        <v/>
      </c>
      <c r="AK2" s="23" t="str">
        <f t="shared" si="0"/>
        <v/>
      </c>
      <c r="AL2" s="23" t="str">
        <f t="shared" si="0"/>
        <v/>
      </c>
      <c r="AM2" s="23" t="str">
        <f t="shared" si="0"/>
        <v/>
      </c>
      <c r="AN2" s="23" t="str">
        <f t="shared" si="0"/>
        <v/>
      </c>
      <c r="AO2" s="23" t="str">
        <f t="shared" si="0"/>
        <v/>
      </c>
      <c r="AP2" s="23" t="str">
        <f t="shared" si="0"/>
        <v/>
      </c>
      <c r="AQ2" s="23" t="str">
        <f t="shared" si="0"/>
        <v/>
      </c>
      <c r="AR2" s="23" t="str">
        <f t="shared" si="0"/>
        <v/>
      </c>
      <c r="AS2" s="23"/>
    </row>
    <row r="3" spans="1:58" s="26" customFormat="1" ht="18" x14ac:dyDescent="0.2">
      <c r="A3" s="24" t="s">
        <v>0</v>
      </c>
      <c r="B3" s="25"/>
      <c r="C3" s="25"/>
      <c r="D3" s="26">
        <v>-1.6353037496385061</v>
      </c>
      <c r="E3" s="26">
        <v>-0.68541620176237028</v>
      </c>
      <c r="F3" s="26">
        <v>0.84212667900485294</v>
      </c>
      <c r="G3" s="26">
        <v>2.2430031494577571</v>
      </c>
      <c r="H3" s="26">
        <v>-1.3001856389210817</v>
      </c>
      <c r="I3" s="26">
        <v>-0.39956291662558557</v>
      </c>
      <c r="J3" s="26">
        <v>-0.49243925065747313</v>
      </c>
      <c r="K3" s="26">
        <v>0.35235697506511576</v>
      </c>
      <c r="L3" s="26">
        <v>3.4664055743898199E-2</v>
      </c>
      <c r="M3" s="26">
        <v>2.3460753900449935</v>
      </c>
      <c r="N3" s="26">
        <v>-0.13918229738467855</v>
      </c>
      <c r="O3" s="26">
        <v>-1.3651784932071904</v>
      </c>
      <c r="P3" s="26">
        <v>2.5565382791404816</v>
      </c>
      <c r="Q3" s="26">
        <v>0.91593592735711304</v>
      </c>
      <c r="R3" s="26">
        <v>0.28510759184521567</v>
      </c>
      <c r="S3" s="26">
        <v>-0.40912433095963013</v>
      </c>
      <c r="T3" s="26">
        <v>0.41910673301793056</v>
      </c>
      <c r="U3" s="26">
        <v>-1.0089171356632758</v>
      </c>
      <c r="V3" s="26">
        <v>0.56535960926566708</v>
      </c>
      <c r="W3" s="26">
        <v>0.16698841910993445</v>
      </c>
      <c r="X3" s="26">
        <v>1.9258034459838833</v>
      </c>
    </row>
    <row r="4" spans="1:58" s="27" customFormat="1" ht="12" customHeight="1" x14ac:dyDescent="0.15">
      <c r="B4" s="28" t="s">
        <v>2</v>
      </c>
      <c r="C4" s="29"/>
      <c r="D4" s="297">
        <f>Inflation_Cur</f>
        <v>0.05</v>
      </c>
      <c r="E4" s="298">
        <f t="shared" ref="E4:X4" si="1">D4*EXP(Inflation_Speed*(Inflation_LT-D4)-Inflation_Vol*Inflation_Vol/2+Inflation_Vol*E3)</f>
        <v>5.7289346495116779E-2</v>
      </c>
      <c r="F4" s="298">
        <f t="shared" si="1"/>
        <v>6.5255509700829328E-2</v>
      </c>
      <c r="G4" s="298">
        <f t="shared" si="1"/>
        <v>7.3456470815945141E-2</v>
      </c>
      <c r="H4" s="298">
        <f t="shared" si="1"/>
        <v>7.3936523172718038E-2</v>
      </c>
      <c r="I4" s="298">
        <f t="shared" si="1"/>
        <v>7.5590684593314694E-2</v>
      </c>
      <c r="J4" s="298">
        <f t="shared" si="1"/>
        <v>7.6503068255899837E-2</v>
      </c>
      <c r="K4" s="298">
        <f t="shared" si="1"/>
        <v>7.8387356574609643E-2</v>
      </c>
      <c r="L4" s="298">
        <f t="shared" si="1"/>
        <v>7.906095556790714E-2</v>
      </c>
      <c r="M4" s="298">
        <f t="shared" si="1"/>
        <v>8.3232331689103725E-2</v>
      </c>
      <c r="N4" s="298">
        <f t="shared" si="1"/>
        <v>8.1653980580557908E-2</v>
      </c>
      <c r="O4" s="298">
        <f t="shared" si="1"/>
        <v>7.8784564619480135E-2</v>
      </c>
      <c r="P4" s="298">
        <f t="shared" si="1"/>
        <v>8.3406399555373115E-2</v>
      </c>
      <c r="Q4" s="298">
        <f t="shared" si="1"/>
        <v>8.3497088289884641E-2</v>
      </c>
      <c r="R4" s="298">
        <f t="shared" si="1"/>
        <v>8.2502489682622096E-2</v>
      </c>
      <c r="S4" s="298">
        <f t="shared" si="1"/>
        <v>8.0796490956205697E-2</v>
      </c>
      <c r="T4" s="298">
        <f t="shared" si="1"/>
        <v>8.1136523868512972E-2</v>
      </c>
      <c r="U4" s="298">
        <f t="shared" si="1"/>
        <v>7.9049343096611435E-2</v>
      </c>
      <c r="V4" s="298">
        <f t="shared" si="1"/>
        <v>8.0313098752831227E-2</v>
      </c>
      <c r="W4" s="298">
        <f t="shared" si="1"/>
        <v>8.0439633199545085E-2</v>
      </c>
      <c r="X4" s="298">
        <f t="shared" si="1"/>
        <v>8.3398048339838715E-2</v>
      </c>
      <c r="Y4" s="32">
        <f t="shared" ref="Y4:AR4" ca="1" si="2">X4*EXP(Inflation_Speed*(Inflation_LT-X4)-Inflation_Vol*Inflation_Vol/2+Inflation_Vol*NORMSINV(RAND()))</f>
        <v>8.2874149962758201E-2</v>
      </c>
      <c r="Z4" s="32">
        <f t="shared" ca="1" si="2"/>
        <v>7.9449925321661202E-2</v>
      </c>
      <c r="AA4" s="32">
        <f t="shared" ca="1" si="2"/>
        <v>8.1869700994467678E-2</v>
      </c>
      <c r="AB4" s="32">
        <f t="shared" ca="1" si="2"/>
        <v>8.3284629688299333E-2</v>
      </c>
      <c r="AC4" s="32">
        <f t="shared" ca="1" si="2"/>
        <v>8.6148120997500646E-2</v>
      </c>
      <c r="AD4" s="32">
        <f t="shared" ca="1" si="2"/>
        <v>8.3584175847641592E-2</v>
      </c>
      <c r="AE4" s="32">
        <f t="shared" ca="1" si="2"/>
        <v>8.4581040194742649E-2</v>
      </c>
      <c r="AF4" s="32">
        <f t="shared" ca="1" si="2"/>
        <v>8.1992816368596733E-2</v>
      </c>
      <c r="AG4" s="32">
        <f t="shared" ca="1" si="2"/>
        <v>8.1165047181612715E-2</v>
      </c>
      <c r="AH4" s="32">
        <f t="shared" ca="1" si="2"/>
        <v>8.0665072493369461E-2</v>
      </c>
      <c r="AI4" s="32">
        <f t="shared" ca="1" si="2"/>
        <v>7.9930532748755348E-2</v>
      </c>
      <c r="AJ4" s="32">
        <f t="shared" ca="1" si="2"/>
        <v>8.0832217816873442E-2</v>
      </c>
      <c r="AK4" s="32">
        <f t="shared" ca="1" si="2"/>
        <v>8.1859096315026345E-2</v>
      </c>
      <c r="AL4" s="32">
        <f t="shared" ca="1" si="2"/>
        <v>8.0311652462980901E-2</v>
      </c>
      <c r="AM4" s="32">
        <f t="shared" ca="1" si="2"/>
        <v>7.9235558367045697E-2</v>
      </c>
      <c r="AN4" s="32">
        <f t="shared" ca="1" si="2"/>
        <v>8.2506428827216718E-2</v>
      </c>
      <c r="AO4" s="32">
        <f t="shared" ca="1" si="2"/>
        <v>8.1980374259746275E-2</v>
      </c>
      <c r="AP4" s="32">
        <f t="shared" ca="1" si="2"/>
        <v>8.1140288190543225E-2</v>
      </c>
      <c r="AQ4" s="32">
        <f t="shared" ca="1" si="2"/>
        <v>8.1118242782949504E-2</v>
      </c>
      <c r="AR4" s="33">
        <f t="shared" ca="1" si="2"/>
        <v>8.0347961906480594E-2</v>
      </c>
    </row>
    <row r="5" spans="1:58" s="34" customFormat="1" ht="12" customHeight="1" x14ac:dyDescent="0.15">
      <c r="B5" s="35"/>
      <c r="C5" s="36" t="s">
        <v>7</v>
      </c>
      <c r="D5" s="305">
        <v>100</v>
      </c>
      <c r="E5" s="306">
        <f>D5*EXP(E4)</f>
        <v>105.89621730641178</v>
      </c>
      <c r="F5" s="306">
        <f t="shared" ref="F5:AR5" si="3">E5*EXP(F4)</f>
        <v>113.03698230271051</v>
      </c>
      <c r="G5" s="306">
        <f t="shared" si="3"/>
        <v>121.65285196810568</v>
      </c>
      <c r="H5" s="306">
        <f t="shared" si="3"/>
        <v>130.98830392143478</v>
      </c>
      <c r="I5" s="306">
        <f t="shared" si="3"/>
        <v>141.27364027000263</v>
      </c>
      <c r="J5" s="306">
        <f t="shared" si="3"/>
        <v>152.50567203408275</v>
      </c>
      <c r="K5" s="306">
        <f t="shared" si="3"/>
        <v>164.94121630360021</v>
      </c>
      <c r="L5" s="306">
        <f t="shared" si="3"/>
        <v>178.5109780777079</v>
      </c>
      <c r="M5" s="306">
        <f t="shared" si="3"/>
        <v>194.00470917245477</v>
      </c>
      <c r="N5" s="306">
        <f t="shared" si="3"/>
        <v>210.51068531679661</v>
      </c>
      <c r="O5" s="306">
        <f t="shared" si="3"/>
        <v>227.76649924341214</v>
      </c>
      <c r="P5" s="306">
        <f t="shared" si="3"/>
        <v>247.57841933184375</v>
      </c>
      <c r="Q5" s="306">
        <f t="shared" si="3"/>
        <v>269.13805562808773</v>
      </c>
      <c r="R5" s="306">
        <f t="shared" si="3"/>
        <v>292.28429907830457</v>
      </c>
      <c r="S5" s="306">
        <f t="shared" si="3"/>
        <v>316.88009291683414</v>
      </c>
      <c r="T5" s="306">
        <f t="shared" si="3"/>
        <v>343.66246538704655</v>
      </c>
      <c r="U5" s="306">
        <f t="shared" si="3"/>
        <v>371.93135716732036</v>
      </c>
      <c r="V5" s="306">
        <f t="shared" si="3"/>
        <v>403.03459915965254</v>
      </c>
      <c r="W5" s="306">
        <f t="shared" si="3"/>
        <v>436.79415610257894</v>
      </c>
      <c r="X5" s="306">
        <f t="shared" si="3"/>
        <v>474.78406173456062</v>
      </c>
      <c r="Y5" s="38">
        <f t="shared" ca="1" si="3"/>
        <v>515.80781458935883</v>
      </c>
      <c r="Z5" s="38">
        <f t="shared" ca="1" si="3"/>
        <v>558.4606553793551</v>
      </c>
      <c r="AA5" s="38">
        <f t="shared" ca="1" si="3"/>
        <v>606.10538286870212</v>
      </c>
      <c r="AB5" s="38">
        <f t="shared" ca="1" si="3"/>
        <v>658.74631094881067</v>
      </c>
      <c r="AC5" s="38">
        <f t="shared" ca="1" si="3"/>
        <v>718.01224323321298</v>
      </c>
      <c r="AD5" s="38">
        <f t="shared" ca="1" si="3"/>
        <v>780.60619944116775</v>
      </c>
      <c r="AE5" s="38">
        <f t="shared" ca="1" si="3"/>
        <v>849.50330939517164</v>
      </c>
      <c r="AF5" s="38">
        <f t="shared" ca="1" si="3"/>
        <v>922.09167866188636</v>
      </c>
      <c r="AG5" s="38">
        <f t="shared" ca="1" si="3"/>
        <v>1000.0544228510117</v>
      </c>
      <c r="AH5" s="38">
        <f t="shared" ca="1" si="3"/>
        <v>1084.0667665332082</v>
      </c>
      <c r="AI5" s="38">
        <f t="shared" ca="1" si="3"/>
        <v>1174.2739322659384</v>
      </c>
      <c r="AJ5" s="38">
        <f t="shared" ca="1" si="3"/>
        <v>1273.1348494808069</v>
      </c>
      <c r="AK5" s="38">
        <f t="shared" ca="1" si="3"/>
        <v>1381.7369135255885</v>
      </c>
      <c r="AL5" s="38">
        <f t="shared" ca="1" si="3"/>
        <v>1497.2842889818212</v>
      </c>
      <c r="AM5" s="38">
        <f t="shared" ca="1" si="3"/>
        <v>1620.7492649920271</v>
      </c>
      <c r="AN5" s="38">
        <f t="shared" ca="1" si="3"/>
        <v>1760.1428673766652</v>
      </c>
      <c r="AO5" s="38">
        <f t="shared" ca="1" si="3"/>
        <v>1910.5198057906453</v>
      </c>
      <c r="AP5" s="38">
        <f t="shared" ca="1" si="3"/>
        <v>2072.0027318394473</v>
      </c>
      <c r="AQ5" s="38">
        <f t="shared" ca="1" si="3"/>
        <v>2247.0851459066653</v>
      </c>
      <c r="AR5" s="39">
        <f t="shared" ca="1" si="3"/>
        <v>2435.0854481002339</v>
      </c>
    </row>
    <row r="6" spans="1:58" s="27" customFormat="1" x14ac:dyDescent="0.15">
      <c r="C6" s="29" t="s">
        <v>8</v>
      </c>
      <c r="D6" s="307">
        <v>1</v>
      </c>
      <c r="E6" s="308">
        <f>IF(Year="",,D6*EXP(-E4))</f>
        <v>0.94432079392079682</v>
      </c>
      <c r="F6" s="308">
        <f t="shared" ref="F6:AR6" si="4">E6*EXP(-F4)</f>
        <v>0.88466622129209216</v>
      </c>
      <c r="G6" s="308">
        <f t="shared" si="4"/>
        <v>0.82201114385890006</v>
      </c>
      <c r="H6" s="308">
        <f t="shared" si="4"/>
        <v>0.76342693970584441</v>
      </c>
      <c r="I6" s="308">
        <f t="shared" si="4"/>
        <v>0.70784613328346102</v>
      </c>
      <c r="J6" s="308">
        <f t="shared" si="4"/>
        <v>0.65571331653586962</v>
      </c>
      <c r="K6" s="308">
        <f t="shared" si="4"/>
        <v>0.60627660108880421</v>
      </c>
      <c r="L6" s="308">
        <f t="shared" si="4"/>
        <v>0.56018963694473078</v>
      </c>
      <c r="M6" s="308">
        <f t="shared" si="4"/>
        <v>0.5154514054146383</v>
      </c>
      <c r="N6" s="308">
        <f t="shared" si="4"/>
        <v>0.47503526887250597</v>
      </c>
      <c r="O6" s="308">
        <f t="shared" si="4"/>
        <v>0.43904612983988839</v>
      </c>
      <c r="P6" s="308">
        <f t="shared" si="4"/>
        <v>0.40391242609059619</v>
      </c>
      <c r="Q6" s="308">
        <f t="shared" si="4"/>
        <v>0.37155652241980375</v>
      </c>
      <c r="R6" s="308">
        <f t="shared" si="4"/>
        <v>0.34213264385169534</v>
      </c>
      <c r="S6" s="308">
        <f t="shared" si="4"/>
        <v>0.31557678199193534</v>
      </c>
      <c r="T6" s="308">
        <f t="shared" si="4"/>
        <v>0.29098318865685818</v>
      </c>
      <c r="U6" s="308">
        <f t="shared" si="4"/>
        <v>0.26886681661264999</v>
      </c>
      <c r="V6" s="308">
        <f t="shared" si="4"/>
        <v>0.24811765592459059</v>
      </c>
      <c r="W6" s="308">
        <f t="shared" si="4"/>
        <v>0.2289407919104931</v>
      </c>
      <c r="X6" s="308">
        <f t="shared" si="4"/>
        <v>0.21062206602863459</v>
      </c>
      <c r="Y6" s="41">
        <f t="shared" ca="1" si="4"/>
        <v>0.19387065719353477</v>
      </c>
      <c r="Z6" s="41">
        <f t="shared" ca="1" si="4"/>
        <v>0.17906364403069941</v>
      </c>
      <c r="AA6" s="41">
        <f t="shared" ca="1" si="4"/>
        <v>0.16498781041458344</v>
      </c>
      <c r="AB6" s="41">
        <f t="shared" ca="1" si="4"/>
        <v>0.15180350665792292</v>
      </c>
      <c r="AC6" s="41">
        <f t="shared" ca="1" si="4"/>
        <v>0.13927339114678519</v>
      </c>
      <c r="AD6" s="41">
        <f t="shared" ca="1" si="4"/>
        <v>0.12810556727782776</v>
      </c>
      <c r="AE6" s="41">
        <f t="shared" ca="1" si="4"/>
        <v>0.11771584512271981</v>
      </c>
      <c r="AF6" s="41">
        <f t="shared" ca="1" si="4"/>
        <v>0.10844908626126759</v>
      </c>
      <c r="AG6" s="41">
        <f t="shared" ca="1" si="4"/>
        <v>9.9994558011067339E-2</v>
      </c>
      <c r="AH6" s="41">
        <f t="shared" ca="1" si="4"/>
        <v>9.2245240871828393E-2</v>
      </c>
      <c r="AI6" s="41">
        <f t="shared" ca="1" si="4"/>
        <v>8.5159005281701936E-2</v>
      </c>
      <c r="AJ6" s="41">
        <f t="shared" ca="1" si="4"/>
        <v>7.8546275000468818E-2</v>
      </c>
      <c r="AK6" s="41">
        <f t="shared" ca="1" si="4"/>
        <v>7.2372677476527467E-2</v>
      </c>
      <c r="AL6" s="41">
        <f t="shared" ca="1" si="4"/>
        <v>6.6787583851562124E-2</v>
      </c>
      <c r="AM6" s="41">
        <f t="shared" ca="1" si="4"/>
        <v>6.1699858306270394E-2</v>
      </c>
      <c r="AN6" s="41">
        <f t="shared" ca="1" si="4"/>
        <v>5.681356999675883E-2</v>
      </c>
      <c r="AO6" s="41">
        <f t="shared" ca="1" si="4"/>
        <v>5.2341776147469037E-2</v>
      </c>
      <c r="AP6" s="41">
        <f t="shared" ca="1" si="4"/>
        <v>4.8262484630618066E-2</v>
      </c>
      <c r="AQ6" s="41">
        <f t="shared" ca="1" si="4"/>
        <v>4.4502096496949368E-2</v>
      </c>
      <c r="AR6" s="42">
        <f t="shared" ca="1" si="4"/>
        <v>4.1066320723166558E-2</v>
      </c>
    </row>
    <row r="7" spans="1:58" s="43" customFormat="1" x14ac:dyDescent="0.15">
      <c r="D7" s="26">
        <v>1.7555680391337474</v>
      </c>
      <c r="E7" s="26">
        <v>-7.9936528915712568E-2</v>
      </c>
      <c r="F7" s="26">
        <v>1.6302536803610468</v>
      </c>
      <c r="G7" s="26">
        <v>0.26889218025708311</v>
      </c>
      <c r="H7" s="26">
        <v>-8.1768848477856135E-2</v>
      </c>
      <c r="I7" s="26">
        <v>0.70055915961157389</v>
      </c>
      <c r="J7" s="26">
        <v>-0.66824434099170593</v>
      </c>
      <c r="K7" s="26">
        <v>0.21695249592920099</v>
      </c>
      <c r="L7" s="26">
        <v>-0.96244254821642283</v>
      </c>
      <c r="M7" s="26">
        <v>-0.71751744510239279</v>
      </c>
      <c r="N7" s="26">
        <v>9.8638476445544479E-2</v>
      </c>
      <c r="O7" s="26">
        <v>-0.66720793553049429</v>
      </c>
      <c r="P7" s="26">
        <v>-0.61942135705107182</v>
      </c>
      <c r="Q7" s="26">
        <v>-0.99131801229106931</v>
      </c>
      <c r="R7" s="26">
        <v>0.63435680488789481</v>
      </c>
      <c r="S7" s="26">
        <v>1.0614740913958109</v>
      </c>
      <c r="T7" s="26">
        <v>0.4952899265186021</v>
      </c>
      <c r="U7" s="26">
        <v>-0.76369614118954021</v>
      </c>
      <c r="V7" s="26">
        <v>0.50445489572923707</v>
      </c>
      <c r="W7" s="26">
        <v>0.12062898465549618</v>
      </c>
      <c r="X7" s="26">
        <v>-1.1304572930178394</v>
      </c>
    </row>
    <row r="8" spans="1:58" s="152" customFormat="1" ht="12" customHeight="1" x14ac:dyDescent="0.15">
      <c r="B8" s="153" t="s">
        <v>9</v>
      </c>
      <c r="C8" s="154"/>
      <c r="D8" s="299">
        <f>ExRate_Cur</f>
        <v>100</v>
      </c>
      <c r="E8" s="300">
        <f t="shared" ref="E8:X8" si="5">D8*EXP(ExRate_Growth-ExRate_Vol*ExRate_Vol/2 + ExRate_Vol*E7)</f>
        <v>104.57697044309731</v>
      </c>
      <c r="F8" s="300">
        <f t="shared" si="5"/>
        <v>119.12651070351033</v>
      </c>
      <c r="G8" s="300">
        <f t="shared" si="5"/>
        <v>126.77078998525553</v>
      </c>
      <c r="H8" s="300">
        <f t="shared" si="5"/>
        <v>132.56090631992925</v>
      </c>
      <c r="I8" s="300">
        <f t="shared" si="5"/>
        <v>144.14506208873391</v>
      </c>
      <c r="J8" s="300">
        <f t="shared" si="5"/>
        <v>146.37296967023218</v>
      </c>
      <c r="K8" s="300">
        <f t="shared" si="5"/>
        <v>155.36164237109372</v>
      </c>
      <c r="L8" s="300">
        <f t="shared" si="5"/>
        <v>155.45922031780174</v>
      </c>
      <c r="M8" s="300">
        <f t="shared" si="5"/>
        <v>157.47356079575636</v>
      </c>
      <c r="N8" s="300">
        <f t="shared" si="5"/>
        <v>166.15805933983941</v>
      </c>
      <c r="O8" s="300">
        <f t="shared" si="5"/>
        <v>168.73494370051125</v>
      </c>
      <c r="P8" s="300">
        <f t="shared" si="5"/>
        <v>171.76169731210922</v>
      </c>
      <c r="Q8" s="300">
        <f t="shared" si="5"/>
        <v>171.62161399251983</v>
      </c>
      <c r="R8" s="300">
        <f t="shared" si="5"/>
        <v>186.00247406209897</v>
      </c>
      <c r="S8" s="300">
        <f t="shared" si="5"/>
        <v>205.93975603848401</v>
      </c>
      <c r="T8" s="300">
        <f t="shared" si="5"/>
        <v>221.649692957008</v>
      </c>
      <c r="U8" s="300">
        <f t="shared" si="5"/>
        <v>224.00387904496372</v>
      </c>
      <c r="V8" s="300">
        <f t="shared" si="5"/>
        <v>241.20232730264351</v>
      </c>
      <c r="W8" s="300">
        <f t="shared" si="5"/>
        <v>254.78436574562471</v>
      </c>
      <c r="X8" s="300">
        <f t="shared" si="5"/>
        <v>252.81163816002862</v>
      </c>
      <c r="Y8" s="155">
        <f t="shared" ref="Y8:AR8" ca="1" si="6">X8*EXP(ExRate_Growth-ExRate_Vol*ExRate_Vol/2 + ExRate_Vol*NORMSINV(RAND()))</f>
        <v>257.17231386155976</v>
      </c>
      <c r="Z8" s="155">
        <f t="shared" ca="1" si="6"/>
        <v>254.27592254773836</v>
      </c>
      <c r="AA8" s="155">
        <f t="shared" ca="1" si="6"/>
        <v>260.81537485279603</v>
      </c>
      <c r="AB8" s="155">
        <f t="shared" ca="1" si="6"/>
        <v>286.11282176877944</v>
      </c>
      <c r="AC8" s="155">
        <f t="shared" ca="1" si="6"/>
        <v>288.18797927858259</v>
      </c>
      <c r="AD8" s="155">
        <f t="shared" ca="1" si="6"/>
        <v>294.7867385704381</v>
      </c>
      <c r="AE8" s="155">
        <f t="shared" ca="1" si="6"/>
        <v>328.04601836365049</v>
      </c>
      <c r="AF8" s="155">
        <f t="shared" ca="1" si="6"/>
        <v>353.27915750492537</v>
      </c>
      <c r="AG8" s="155">
        <f t="shared" ca="1" si="6"/>
        <v>354.14553593088209</v>
      </c>
      <c r="AH8" s="155">
        <f t="shared" ca="1" si="6"/>
        <v>375.89138782903251</v>
      </c>
      <c r="AI8" s="155">
        <f t="shared" ca="1" si="6"/>
        <v>395.05527769853518</v>
      </c>
      <c r="AJ8" s="155">
        <f t="shared" ca="1" si="6"/>
        <v>412.19208606156462</v>
      </c>
      <c r="AK8" s="155">
        <f t="shared" ca="1" si="6"/>
        <v>428.7693657980285</v>
      </c>
      <c r="AL8" s="155">
        <f t="shared" ca="1" si="6"/>
        <v>453.6188043773538</v>
      </c>
      <c r="AM8" s="155">
        <f t="shared" ca="1" si="6"/>
        <v>492.7719789367909</v>
      </c>
      <c r="AN8" s="155">
        <f t="shared" ca="1" si="6"/>
        <v>497.73090526254407</v>
      </c>
      <c r="AO8" s="155">
        <f t="shared" ca="1" si="6"/>
        <v>518.83217953896201</v>
      </c>
      <c r="AP8" s="155">
        <f t="shared" ca="1" si="6"/>
        <v>566.01294118851081</v>
      </c>
      <c r="AQ8" s="155">
        <f t="shared" ca="1" si="6"/>
        <v>555.99703702521811</v>
      </c>
      <c r="AR8" s="156">
        <f t="shared" ca="1" si="6"/>
        <v>561.22452363577781</v>
      </c>
    </row>
    <row r="9" spans="1:58" s="152" customFormat="1" x14ac:dyDescent="0.15">
      <c r="B9" s="152" t="s">
        <v>10</v>
      </c>
      <c r="C9" s="154"/>
      <c r="D9" s="301">
        <f t="shared" ref="D9:AR9" si="7">RealExRate_Risk*(1+Inflation_Risk)</f>
        <v>105</v>
      </c>
      <c r="E9" s="302">
        <f t="shared" si="7"/>
        <v>110.56811673822149</v>
      </c>
      <c r="F9" s="302">
        <f t="shared" si="7"/>
        <v>126.90017187834921</v>
      </c>
      <c r="G9" s="302">
        <f t="shared" si="7"/>
        <v>136.08292482012175</v>
      </c>
      <c r="H9" s="302">
        <f t="shared" si="7"/>
        <v>142.36199884184919</v>
      </c>
      <c r="I9" s="302">
        <f t="shared" si="7"/>
        <v>155.04108601276715</v>
      </c>
      <c r="J9" s="302">
        <f t="shared" si="7"/>
        <v>157.5709509597327</v>
      </c>
      <c r="K9" s="302">
        <f t="shared" si="7"/>
        <v>167.54003082965363</v>
      </c>
      <c r="L9" s="302">
        <f t="shared" si="7"/>
        <v>167.74997482796894</v>
      </c>
      <c r="M9" s="302">
        <f t="shared" si="7"/>
        <v>170.58045244017299</v>
      </c>
      <c r="N9" s="302">
        <f t="shared" si="7"/>
        <v>179.72552629047783</v>
      </c>
      <c r="O9" s="302">
        <f t="shared" si="7"/>
        <v>182.02865277604855</v>
      </c>
      <c r="P9" s="302">
        <f t="shared" si="7"/>
        <v>186.08772206643206</v>
      </c>
      <c r="Q9" s="302">
        <f t="shared" si="7"/>
        <v>185.95151904850576</v>
      </c>
      <c r="R9" s="302">
        <f t="shared" si="7"/>
        <v>201.34814125934946</v>
      </c>
      <c r="S9" s="302">
        <f t="shared" si="7"/>
        <v>222.57896567477061</v>
      </c>
      <c r="T9" s="302">
        <f t="shared" si="7"/>
        <v>239.63357856006283</v>
      </c>
      <c r="U9" s="302">
        <f t="shared" si="7"/>
        <v>241.71123853456092</v>
      </c>
      <c r="V9" s="302">
        <f t="shared" si="7"/>
        <v>260.57403363471349</v>
      </c>
      <c r="W9" s="302">
        <f t="shared" si="7"/>
        <v>275.27912667118153</v>
      </c>
      <c r="X9" s="302">
        <f t="shared" si="7"/>
        <v>273.89563538017251</v>
      </c>
      <c r="Y9" s="157">
        <f t="shared" ca="1" si="7"/>
        <v>278.48525076679215</v>
      </c>
      <c r="Z9" s="157">
        <f t="shared" ca="1" si="7"/>
        <v>274.47812560525267</v>
      </c>
      <c r="AA9" s="157">
        <f t="shared" ca="1" si="7"/>
        <v>282.16825160675444</v>
      </c>
      <c r="AB9" s="157">
        <f t="shared" ca="1" si="7"/>
        <v>309.94162217886662</v>
      </c>
      <c r="AC9" s="157">
        <f t="shared" ca="1" si="7"/>
        <v>313.01483218749911</v>
      </c>
      <c r="AD9" s="157">
        <f t="shared" ca="1" si="7"/>
        <v>319.42624516466236</v>
      </c>
      <c r="AE9" s="157">
        <f t="shared" ca="1" si="7"/>
        <v>355.79249182859172</v>
      </c>
      <c r="AF9" s="157">
        <f t="shared" ca="1" si="7"/>
        <v>382.2455105930793</v>
      </c>
      <c r="AG9" s="157">
        <f t="shared" ca="1" si="7"/>
        <v>382.88977506386965</v>
      </c>
      <c r="AH9" s="157">
        <f t="shared" ca="1" si="7"/>
        <v>406.21269387789471</v>
      </c>
      <c r="AI9" s="157">
        <f t="shared" ca="1" si="7"/>
        <v>426.63225651018661</v>
      </c>
      <c r="AJ9" s="157">
        <f t="shared" ca="1" si="7"/>
        <v>445.51048654448448</v>
      </c>
      <c r="AK9" s="157">
        <f t="shared" ca="1" si="7"/>
        <v>463.86803860982207</v>
      </c>
      <c r="AL9" s="157">
        <f t="shared" ca="1" si="7"/>
        <v>490.04968014518079</v>
      </c>
      <c r="AM9" s="157">
        <f t="shared" ca="1" si="7"/>
        <v>531.81704183548163</v>
      </c>
      <c r="AN9" s="157">
        <f t="shared" ca="1" si="7"/>
        <v>538.79690477269435</v>
      </c>
      <c r="AO9" s="157">
        <f t="shared" ca="1" si="7"/>
        <v>561.36623579556601</v>
      </c>
      <c r="AP9" s="157">
        <f t="shared" ca="1" si="7"/>
        <v>611.93939435612356</v>
      </c>
      <c r="AQ9" s="157">
        <f t="shared" ca="1" si="7"/>
        <v>601.09853966123035</v>
      </c>
      <c r="AR9" s="158">
        <f t="shared" ca="1" si="7"/>
        <v>606.31777028184808</v>
      </c>
    </row>
    <row r="10" spans="1:58" s="52" customFormat="1" x14ac:dyDescent="0.15">
      <c r="E10" s="53"/>
      <c r="F10" s="53"/>
      <c r="G10" s="53"/>
      <c r="H10" s="53"/>
      <c r="I10" s="53"/>
      <c r="J10" s="53"/>
      <c r="K10" s="53"/>
      <c r="L10" s="53"/>
      <c r="M10" s="53"/>
      <c r="N10" s="53"/>
      <c r="O10" s="53"/>
      <c r="P10" s="53"/>
      <c r="Q10" s="53"/>
      <c r="R10" s="53"/>
      <c r="S10" s="53"/>
      <c r="T10" s="53"/>
      <c r="U10" s="53"/>
      <c r="V10" s="53"/>
      <c r="W10" s="53"/>
      <c r="X10" s="53"/>
      <c r="Y10" s="53"/>
      <c r="Z10" s="53"/>
      <c r="AA10" s="53"/>
      <c r="AB10" s="53"/>
      <c r="AC10" s="53"/>
      <c r="AD10" s="53"/>
      <c r="AE10" s="53"/>
      <c r="AF10" s="53"/>
      <c r="AG10" s="53"/>
      <c r="AH10" s="53"/>
      <c r="AI10" s="53"/>
      <c r="AJ10" s="53"/>
      <c r="AK10" s="53"/>
      <c r="AL10" s="53"/>
      <c r="AM10" s="53"/>
      <c r="AN10" s="53"/>
      <c r="AO10" s="53"/>
      <c r="AP10" s="53"/>
      <c r="AQ10" s="53"/>
      <c r="AR10" s="53"/>
    </row>
    <row r="11" spans="1:58" s="54" customFormat="1" x14ac:dyDescent="0.15">
      <c r="B11" s="54" t="s">
        <v>23</v>
      </c>
      <c r="C11" s="55"/>
      <c r="D11" s="309">
        <f t="shared" ref="D11:AR11" si="8">DiscountFactor</f>
        <v>1</v>
      </c>
      <c r="E11" s="310">
        <f t="shared" si="8"/>
        <v>0.93239381990594827</v>
      </c>
      <c r="F11" s="310">
        <f t="shared" si="8"/>
        <v>0.86935823539880586</v>
      </c>
      <c r="G11" s="310">
        <f t="shared" si="8"/>
        <v>0.81058424597018719</v>
      </c>
      <c r="H11" s="310">
        <f t="shared" si="8"/>
        <v>0.75578374145572558</v>
      </c>
      <c r="I11" s="310">
        <f t="shared" si="8"/>
        <v>0.70468808971871355</v>
      </c>
      <c r="J11" s="310">
        <f t="shared" si="8"/>
        <v>0.65704681981505697</v>
      </c>
      <c r="K11" s="310">
        <f t="shared" si="8"/>
        <v>0.61262639418441622</v>
      </c>
      <c r="L11" s="310">
        <f t="shared" si="8"/>
        <v>0.57120906384881509</v>
      </c>
      <c r="M11" s="310">
        <f t="shared" si="8"/>
        <v>0.5325918010068974</v>
      </c>
      <c r="N11" s="310">
        <f t="shared" si="8"/>
        <v>0.49658530379140975</v>
      </c>
      <c r="O11" s="310">
        <f t="shared" si="8"/>
        <v>0.46301306831122829</v>
      </c>
      <c r="P11" s="310">
        <f t="shared" si="8"/>
        <v>0.4317105234290799</v>
      </c>
      <c r="Q11" s="310">
        <f t="shared" si="8"/>
        <v>0.40252422403363619</v>
      </c>
      <c r="R11" s="310">
        <f t="shared" si="8"/>
        <v>0.37531109885139974</v>
      </c>
      <c r="S11" s="310">
        <f t="shared" si="8"/>
        <v>0.34993774911115555</v>
      </c>
      <c r="T11" s="310">
        <f t="shared" si="8"/>
        <v>0.32627979462303969</v>
      </c>
      <c r="U11" s="310">
        <f t="shared" si="8"/>
        <v>0.30422126406670424</v>
      </c>
      <c r="V11" s="310">
        <f t="shared" si="8"/>
        <v>0.28365402649977056</v>
      </c>
      <c r="W11" s="310">
        <f t="shared" si="8"/>
        <v>0.26447726129982413</v>
      </c>
      <c r="X11" s="310">
        <f t="shared" si="8"/>
        <v>0.24659696394160663</v>
      </c>
      <c r="Y11" s="57">
        <f t="shared" si="8"/>
        <v>0.22992548518672398</v>
      </c>
      <c r="Z11" s="57">
        <f t="shared" si="8"/>
        <v>0.21438110142697811</v>
      </c>
      <c r="AA11" s="57">
        <f t="shared" si="8"/>
        <v>0.19988761407514466</v>
      </c>
      <c r="AB11" s="57">
        <f t="shared" si="8"/>
        <v>0.18637397603941011</v>
      </c>
      <c r="AC11" s="57">
        <f t="shared" si="8"/>
        <v>0.17377394345044528</v>
      </c>
      <c r="AD11" s="57">
        <f t="shared" si="8"/>
        <v>0.16202575093388091</v>
      </c>
      <c r="AE11" s="57">
        <f t="shared" si="8"/>
        <v>0.151071808836371</v>
      </c>
      <c r="AF11" s="57">
        <f t="shared" si="8"/>
        <v>0.14085842092104514</v>
      </c>
      <c r="AG11" s="57">
        <f t="shared" si="8"/>
        <v>0.13133552114849323</v>
      </c>
      <c r="AH11" s="57">
        <f t="shared" si="8"/>
        <v>0.12245642825298206</v>
      </c>
      <c r="AI11" s="57">
        <f t="shared" si="8"/>
        <v>0.11417761691083662</v>
      </c>
      <c r="AJ11" s="57">
        <f t="shared" si="8"/>
        <v>0.10645850437925296</v>
      </c>
      <c r="AK11" s="57">
        <f t="shared" si="8"/>
        <v>9.9261251559645783E-2</v>
      </c>
      <c r="AL11" s="57">
        <f t="shared" si="8"/>
        <v>9.2550577510343401E-2</v>
      </c>
      <c r="AM11" s="57">
        <f t="shared" si="8"/>
        <v>8.6293586499370634E-2</v>
      </c>
      <c r="AN11" s="57">
        <f t="shared" si="8"/>
        <v>8.045960674953255E-2</v>
      </c>
      <c r="AO11" s="57">
        <f t="shared" si="8"/>
        <v>7.5020040085327075E-2</v>
      </c>
      <c r="AP11" s="57">
        <f t="shared" si="8"/>
        <v>6.9948221744655467E-2</v>
      </c>
      <c r="AQ11" s="57">
        <f t="shared" si="8"/>
        <v>6.5219289668127622E-2</v>
      </c>
      <c r="AR11" s="58">
        <f t="shared" si="8"/>
        <v>6.0810062625218056E-2</v>
      </c>
    </row>
    <row r="12" spans="1:58" s="43" customFormat="1" x14ac:dyDescent="0.15"/>
    <row r="13" spans="1:58" s="26" customFormat="1" ht="18" x14ac:dyDescent="0.2">
      <c r="A13" s="24" t="s">
        <v>11</v>
      </c>
      <c r="B13" s="25"/>
      <c r="C13" s="25"/>
      <c r="D13" s="26">
        <v>-1.0422164574039192</v>
      </c>
      <c r="E13" s="26">
        <v>-0.62981470852459542</v>
      </c>
      <c r="F13" s="26">
        <v>-0.44791021975275414</v>
      </c>
      <c r="G13" s="26">
        <v>-3.7016328317780803E-2</v>
      </c>
      <c r="H13" s="26">
        <v>0.28162946635336211</v>
      </c>
      <c r="I13" s="26">
        <v>0.77542298881691085</v>
      </c>
      <c r="J13" s="26">
        <v>-0.76343133940891794</v>
      </c>
      <c r="K13" s="26">
        <v>-0.65197044213778099</v>
      </c>
      <c r="L13" s="26">
        <v>0.16398578243312359</v>
      </c>
      <c r="M13" s="26">
        <v>-0.7236248017415452</v>
      </c>
      <c r="N13" s="26">
        <v>1.2679040937648638</v>
      </c>
      <c r="O13" s="26">
        <v>3.2099368959502571E-2</v>
      </c>
      <c r="P13" s="26">
        <v>0.4187574225950188</v>
      </c>
      <c r="Q13" s="26">
        <v>-0.53995729021131855</v>
      </c>
      <c r="R13" s="26">
        <v>0.41082096870385026</v>
      </c>
      <c r="S13" s="26">
        <v>-2.1571752159401121</v>
      </c>
      <c r="T13" s="26">
        <v>-0.88068402980179317</v>
      </c>
      <c r="U13" s="26">
        <v>0.42525705584726081</v>
      </c>
      <c r="V13" s="26">
        <v>0.11201524725903553</v>
      </c>
      <c r="W13" s="26">
        <v>-0.58129689290250697</v>
      </c>
      <c r="X13" s="26">
        <v>0.72483994483297531</v>
      </c>
    </row>
    <row r="14" spans="1:58" s="45" customFormat="1" x14ac:dyDescent="0.15">
      <c r="B14" s="28" t="s">
        <v>12</v>
      </c>
      <c r="C14" s="28"/>
      <c r="D14" s="303">
        <f>Demand</f>
        <v>150</v>
      </c>
      <c r="E14" s="304">
        <f t="shared" ref="E14:X14" si="9">D14*EXP(Demand_Growth-Demand_Vol*Demand_Vol/2 + Demand_Vol*E13)</f>
        <v>150.0983660504788</v>
      </c>
      <c r="F14" s="304">
        <f t="shared" si="9"/>
        <v>151.0186812798861</v>
      </c>
      <c r="G14" s="304">
        <f t="shared" si="9"/>
        <v>153.82922467271695</v>
      </c>
      <c r="H14" s="304">
        <f t="shared" si="9"/>
        <v>158.19713424172866</v>
      </c>
      <c r="I14" s="304">
        <f t="shared" si="9"/>
        <v>165.11705226449465</v>
      </c>
      <c r="J14" s="304">
        <f t="shared" si="9"/>
        <v>164.56435176882752</v>
      </c>
      <c r="K14" s="304">
        <f t="shared" si="9"/>
        <v>164.56285205725655</v>
      </c>
      <c r="L14" s="304">
        <f t="shared" si="9"/>
        <v>168.63930600180703</v>
      </c>
      <c r="M14" s="304">
        <f t="shared" si="9"/>
        <v>168.27564956481112</v>
      </c>
      <c r="N14" s="304">
        <f t="shared" si="9"/>
        <v>178.25061844771815</v>
      </c>
      <c r="O14" s="304">
        <f t="shared" si="9"/>
        <v>181.94483011911484</v>
      </c>
      <c r="P14" s="304">
        <f t="shared" si="9"/>
        <v>187.88239951133613</v>
      </c>
      <c r="Q14" s="304">
        <f t="shared" si="9"/>
        <v>188.51310252353994</v>
      </c>
      <c r="R14" s="304">
        <f t="shared" si="9"/>
        <v>194.6186772790789</v>
      </c>
      <c r="S14" s="304">
        <f t="shared" si="9"/>
        <v>186.02422114856753</v>
      </c>
      <c r="T14" s="304">
        <f t="shared" si="9"/>
        <v>184.75051836149626</v>
      </c>
      <c r="U14" s="304">
        <f t="shared" si="9"/>
        <v>190.81685186266319</v>
      </c>
      <c r="V14" s="304">
        <f t="shared" si="9"/>
        <v>195.23901670436953</v>
      </c>
      <c r="W14" s="304">
        <f t="shared" si="9"/>
        <v>195.65161983602982</v>
      </c>
      <c r="X14" s="304">
        <f t="shared" si="9"/>
        <v>203.90023420796314</v>
      </c>
      <c r="Y14" s="47">
        <f t="shared" ref="Y14:AR14" ca="1" si="10">X14*EXP(Demand_Growth-Demand_Vol*Demand_Vol/2 + Demand_Vol*NORMSINV(RAND()))</f>
        <v>193.28308328263543</v>
      </c>
      <c r="Z14" s="47">
        <f t="shared" ca="1" si="10"/>
        <v>197.21231412672688</v>
      </c>
      <c r="AA14" s="47">
        <f t="shared" ca="1" si="10"/>
        <v>202.74570172280823</v>
      </c>
      <c r="AB14" s="47">
        <f t="shared" ca="1" si="10"/>
        <v>204.48140408011056</v>
      </c>
      <c r="AC14" s="47">
        <f t="shared" ca="1" si="10"/>
        <v>212.34483506192464</v>
      </c>
      <c r="AD14" s="47">
        <f t="shared" ca="1" si="10"/>
        <v>214.40115331941539</v>
      </c>
      <c r="AE14" s="47">
        <f t="shared" ca="1" si="10"/>
        <v>220.84756848583879</v>
      </c>
      <c r="AF14" s="47">
        <f t="shared" ca="1" si="10"/>
        <v>228.57999273629514</v>
      </c>
      <c r="AG14" s="47">
        <f t="shared" ca="1" si="10"/>
        <v>246.61537796955275</v>
      </c>
      <c r="AH14" s="47">
        <f t="shared" ca="1" si="10"/>
        <v>237.84966746287878</v>
      </c>
      <c r="AI14" s="47">
        <f t="shared" ca="1" si="10"/>
        <v>241.08768176625372</v>
      </c>
      <c r="AJ14" s="47">
        <f t="shared" ca="1" si="10"/>
        <v>241.94360975388466</v>
      </c>
      <c r="AK14" s="47">
        <f t="shared" ca="1" si="10"/>
        <v>247.38984441596858</v>
      </c>
      <c r="AL14" s="47">
        <f t="shared" ca="1" si="10"/>
        <v>258.64303959041831</v>
      </c>
      <c r="AM14" s="47">
        <f t="shared" ca="1" si="10"/>
        <v>250.31773512462217</v>
      </c>
      <c r="AN14" s="47">
        <f t="shared" ca="1" si="10"/>
        <v>258.00346381626679</v>
      </c>
      <c r="AO14" s="47">
        <f t="shared" ca="1" si="10"/>
        <v>273.62045580188317</v>
      </c>
      <c r="AP14" s="47">
        <f t="shared" ca="1" si="10"/>
        <v>282.70282758486951</v>
      </c>
      <c r="AQ14" s="47">
        <f t="shared" ca="1" si="10"/>
        <v>290.00933321095721</v>
      </c>
      <c r="AR14" s="48">
        <f t="shared" ca="1" si="10"/>
        <v>307.86168912985028</v>
      </c>
    </row>
    <row r="15" spans="1:58" s="45" customFormat="1" x14ac:dyDescent="0.15">
      <c r="B15" s="28" t="str">
        <f>CONCATENATE("Total demand (",WaterDenomination," m3)")</f>
        <v>Total demand (Millions m3)</v>
      </c>
      <c r="C15" s="43"/>
      <c r="D15" s="219">
        <f t="shared" ref="D15:AR15" si="11">D14*Connections*365/1000/WaterDenValue</f>
        <v>1.3687499999999999</v>
      </c>
      <c r="E15" s="220">
        <f t="shared" si="11"/>
        <v>1.3846589277993275</v>
      </c>
      <c r="F15" s="220">
        <f t="shared" si="11"/>
        <v>1.4183946379433205</v>
      </c>
      <c r="G15" s="220">
        <f t="shared" si="11"/>
        <v>1.5101476517810493</v>
      </c>
      <c r="H15" s="220">
        <f t="shared" si="11"/>
        <v>1.7068521601877076</v>
      </c>
      <c r="I15" s="220">
        <f t="shared" si="11"/>
        <v>2.0754998817479033</v>
      </c>
      <c r="J15" s="220">
        <f t="shared" si="11"/>
        <v>2.436336555314826</v>
      </c>
      <c r="K15" s="220">
        <f t="shared" si="11"/>
        <v>2.7293135736398333</v>
      </c>
      <c r="L15" s="220">
        <f t="shared" si="11"/>
        <v>2.960900635860797</v>
      </c>
      <c r="M15" s="220">
        <f t="shared" si="11"/>
        <v>3.0260092958949856</v>
      </c>
      <c r="N15" s="220">
        <f t="shared" si="11"/>
        <v>3.2530737866708561</v>
      </c>
      <c r="O15" s="220">
        <f t="shared" si="11"/>
        <v>3.3204931496738461</v>
      </c>
      <c r="P15" s="220">
        <f t="shared" si="11"/>
        <v>3.4288537910818846</v>
      </c>
      <c r="Q15" s="220">
        <f t="shared" si="11"/>
        <v>3.4403641210546043</v>
      </c>
      <c r="R15" s="220">
        <f t="shared" si="11"/>
        <v>3.55179086034319</v>
      </c>
      <c r="S15" s="220">
        <f t="shared" si="11"/>
        <v>3.3949420359613574</v>
      </c>
      <c r="T15" s="220">
        <f t="shared" si="11"/>
        <v>3.371696960097307</v>
      </c>
      <c r="U15" s="220">
        <f t="shared" si="11"/>
        <v>3.4824075464936035</v>
      </c>
      <c r="V15" s="220">
        <f t="shared" si="11"/>
        <v>3.5631120548547441</v>
      </c>
      <c r="W15" s="220">
        <f t="shared" si="11"/>
        <v>3.5706420620075443</v>
      </c>
      <c r="X15" s="314">
        <f t="shared" si="11"/>
        <v>3.7211792742953271</v>
      </c>
      <c r="Y15" s="220">
        <f t="shared" ca="1" si="11"/>
        <v>3.5274162699080964</v>
      </c>
      <c r="Z15" s="220">
        <f t="shared" ca="1" si="11"/>
        <v>3.5991247328127653</v>
      </c>
      <c r="AA15" s="220">
        <f t="shared" ca="1" si="11"/>
        <v>3.7001090564412498</v>
      </c>
      <c r="AB15" s="220">
        <f t="shared" ca="1" si="11"/>
        <v>3.731785624462018</v>
      </c>
      <c r="AC15" s="220">
        <f t="shared" ca="1" si="11"/>
        <v>3.8752932398801248</v>
      </c>
      <c r="AD15" s="220">
        <f t="shared" ca="1" si="11"/>
        <v>3.9128210480793304</v>
      </c>
      <c r="AE15" s="220">
        <f t="shared" ca="1" si="11"/>
        <v>4.0304681248665579</v>
      </c>
      <c r="AF15" s="220">
        <f t="shared" ca="1" si="11"/>
        <v>4.1715848674373861</v>
      </c>
      <c r="AG15" s="220">
        <f t="shared" ca="1" si="11"/>
        <v>4.5007306479443381</v>
      </c>
      <c r="AH15" s="220">
        <f t="shared" ca="1" si="11"/>
        <v>4.3407564311975371</v>
      </c>
      <c r="AI15" s="220">
        <f t="shared" ca="1" si="11"/>
        <v>4.3998501922341298</v>
      </c>
      <c r="AJ15" s="220">
        <f t="shared" ca="1" si="11"/>
        <v>4.4154708780083958</v>
      </c>
      <c r="AK15" s="220">
        <f t="shared" ca="1" si="11"/>
        <v>4.5148646605914271</v>
      </c>
      <c r="AL15" s="220">
        <f t="shared" ca="1" si="11"/>
        <v>4.7202354725251334</v>
      </c>
      <c r="AM15" s="220">
        <f t="shared" ca="1" si="11"/>
        <v>4.5682986660243552</v>
      </c>
      <c r="AN15" s="220">
        <f t="shared" ca="1" si="11"/>
        <v>4.708563214646869</v>
      </c>
      <c r="AO15" s="220">
        <f t="shared" ca="1" si="11"/>
        <v>4.9935733183843682</v>
      </c>
      <c r="AP15" s="220">
        <f t="shared" ca="1" si="11"/>
        <v>5.1593266034238692</v>
      </c>
      <c r="AQ15" s="220">
        <f t="shared" ca="1" si="11"/>
        <v>5.292670331099969</v>
      </c>
      <c r="AR15" s="221">
        <f t="shared" ca="1" si="11"/>
        <v>5.6184758266197674</v>
      </c>
      <c r="AS15" s="67"/>
      <c r="AT15" s="67"/>
      <c r="AU15" s="67"/>
      <c r="AV15" s="67"/>
      <c r="AW15" s="67"/>
      <c r="AX15" s="67"/>
      <c r="AY15" s="67"/>
      <c r="AZ15" s="67"/>
      <c r="BA15" s="67"/>
      <c r="BB15" s="67"/>
      <c r="BC15" s="67"/>
      <c r="BD15" s="67"/>
      <c r="BE15" s="67"/>
      <c r="BF15" s="67"/>
    </row>
    <row r="16" spans="1:58" s="43" customFormat="1" x14ac:dyDescent="0.15">
      <c r="B16" s="68"/>
    </row>
    <row r="17" spans="1:44" s="43" customFormat="1" x14ac:dyDescent="0.15">
      <c r="C17" s="28"/>
      <c r="D17" s="54"/>
    </row>
    <row r="18" spans="1:44" s="26" customFormat="1" ht="18" x14ac:dyDescent="0.2">
      <c r="A18" s="24" t="str">
        <f>CONCATENATE("Costs &amp; subsidies (",MonDenomination,")")</f>
        <v>Costs &amp; subsidies (Millions)</v>
      </c>
      <c r="B18" s="25"/>
      <c r="C18" s="25"/>
    </row>
    <row r="19" spans="1:44" s="45" customFormat="1" x14ac:dyDescent="0.15">
      <c r="B19" s="74" t="s">
        <v>24</v>
      </c>
      <c r="C19" s="35"/>
    </row>
    <row r="20" spans="1:44" s="45" customFormat="1" x14ac:dyDescent="0.15">
      <c r="B20" s="74"/>
      <c r="C20" s="75" t="s">
        <v>25</v>
      </c>
      <c r="D20" s="69"/>
      <c r="E20" s="69"/>
      <c r="F20" s="69"/>
      <c r="G20" s="69"/>
      <c r="H20" s="69"/>
      <c r="I20" s="69"/>
      <c r="J20" s="69"/>
      <c r="K20" s="69"/>
      <c r="L20" s="69"/>
      <c r="M20" s="69"/>
      <c r="N20" s="69"/>
    </row>
    <row r="21" spans="1:44" s="45" customFormat="1" x14ac:dyDescent="0.15">
      <c r="C21" s="35" t="s">
        <v>26</v>
      </c>
      <c r="D21" s="46">
        <f>(Opex_Fixed/MonDenValue)*(1-Opex_FixedForeign)</f>
        <v>10</v>
      </c>
      <c r="E21" s="47">
        <f t="shared" ref="E21:AR21" si="12">D21*EXP(Opex_FixedGrowth)</f>
        <v>10.304545339535169</v>
      </c>
      <c r="F21" s="47">
        <f t="shared" si="12"/>
        <v>10.618365465453598</v>
      </c>
      <c r="G21" s="47">
        <f t="shared" si="12"/>
        <v>10.941742837052107</v>
      </c>
      <c r="H21" s="47">
        <f t="shared" si="12"/>
        <v>11.274968515793761</v>
      </c>
      <c r="I21" s="47">
        <f t="shared" si="12"/>
        <v>11.618342427282837</v>
      </c>
      <c r="J21" s="47">
        <f t="shared" si="12"/>
        <v>11.972173631218109</v>
      </c>
      <c r="K21" s="47">
        <f t="shared" si="12"/>
        <v>12.33678059956744</v>
      </c>
      <c r="L21" s="47">
        <f t="shared" si="12"/>
        <v>12.712491503214055</v>
      </c>
      <c r="M21" s="47">
        <f t="shared" si="12"/>
        <v>13.099644507332483</v>
      </c>
      <c r="N21" s="47">
        <f t="shared" si="12"/>
        <v>13.498588075760042</v>
      </c>
      <c r="O21" s="47">
        <f t="shared" si="12"/>
        <v>13.909681284637815</v>
      </c>
      <c r="P21" s="47">
        <f t="shared" si="12"/>
        <v>14.333294145603416</v>
      </c>
      <c r="Q21" s="47">
        <f t="shared" si="12"/>
        <v>14.769807938826441</v>
      </c>
      <c r="R21" s="47">
        <f t="shared" si="12"/>
        <v>15.219615556186355</v>
      </c>
      <c r="S21" s="47">
        <f t="shared" si="12"/>
        <v>15.683121854901707</v>
      </c>
      <c r="T21" s="47">
        <f t="shared" si="12"/>
        <v>16.160744021928956</v>
      </c>
      <c r="U21" s="47">
        <f t="shared" si="12"/>
        <v>16.652911949458886</v>
      </c>
      <c r="V21" s="47">
        <f t="shared" si="12"/>
        <v>17.160068621848609</v>
      </c>
      <c r="W21" s="47">
        <f t="shared" si="12"/>
        <v>17.682670514337378</v>
      </c>
      <c r="X21" s="47">
        <f t="shared" si="12"/>
        <v>18.22118800390512</v>
      </c>
      <c r="Y21" s="47">
        <f t="shared" si="12"/>
        <v>18.776105792643463</v>
      </c>
      <c r="Z21" s="47">
        <f t="shared" si="12"/>
        <v>19.347923344020348</v>
      </c>
      <c r="AA21" s="47">
        <f t="shared" si="12"/>
        <v>19.937155332430859</v>
      </c>
      <c r="AB21" s="47">
        <f t="shared" si="12"/>
        <v>20.544332106438915</v>
      </c>
      <c r="AC21" s="47">
        <f t="shared" si="12"/>
        <v>21.170000166126787</v>
      </c>
      <c r="AD21" s="47">
        <f t="shared" si="12"/>
        <v>21.814722654982056</v>
      </c>
      <c r="AE21" s="47">
        <f t="shared" si="12"/>
        <v>22.479079866764764</v>
      </c>
      <c r="AF21" s="47">
        <f t="shared" si="12"/>
        <v>23.163669767810969</v>
      </c>
      <c r="AG21" s="47">
        <f t="shared" si="12"/>
        <v>23.869108535242823</v>
      </c>
      <c r="AH21" s="47">
        <f t="shared" si="12"/>
        <v>24.596031111569555</v>
      </c>
      <c r="AI21" s="47">
        <f t="shared" si="12"/>
        <v>25.345091776178609</v>
      </c>
      <c r="AJ21" s="47">
        <f t="shared" si="12"/>
        <v>26.116964734231242</v>
      </c>
      <c r="AK21" s="47">
        <f t="shared" si="12"/>
        <v>26.912344723492691</v>
      </c>
      <c r="AL21" s="47">
        <f t="shared" si="12"/>
        <v>27.73194763964305</v>
      </c>
      <c r="AM21" s="47">
        <f t="shared" si="12"/>
        <v>28.576511180631712</v>
      </c>
      <c r="AN21" s="47">
        <f t="shared" si="12"/>
        <v>29.446795510655317</v>
      </c>
      <c r="AO21" s="47">
        <f t="shared" si="12"/>
        <v>30.34358394435684</v>
      </c>
      <c r="AP21" s="47">
        <f t="shared" si="12"/>
        <v>31.267683651861649</v>
      </c>
      <c r="AQ21" s="47">
        <f t="shared" si="12"/>
        <v>32.219926385285099</v>
      </c>
      <c r="AR21" s="48">
        <f t="shared" si="12"/>
        <v>33.201169227365583</v>
      </c>
    </row>
    <row r="22" spans="1:44" s="45" customFormat="1" x14ac:dyDescent="0.15">
      <c r="C22" s="35" t="s">
        <v>27</v>
      </c>
      <c r="D22" s="49">
        <f>(Opex_Fixed/MonDenValue)*Opex_FixedForeign/ExRate_Cur</f>
        <v>0.1</v>
      </c>
      <c r="E22" s="50">
        <f t="shared" ref="E22:AR22" si="13">D22*EXP(Opex_FixedGrowth)</f>
        <v>0.1030454533953517</v>
      </c>
      <c r="F22" s="50">
        <f t="shared" si="13"/>
        <v>0.106183654654536</v>
      </c>
      <c r="G22" s="50">
        <f t="shared" si="13"/>
        <v>0.10941742837052108</v>
      </c>
      <c r="H22" s="50">
        <f t="shared" si="13"/>
        <v>0.11274968515793762</v>
      </c>
      <c r="I22" s="50">
        <f t="shared" si="13"/>
        <v>0.11618342427282838</v>
      </c>
      <c r="J22" s="50">
        <f t="shared" si="13"/>
        <v>0.1197217363121811</v>
      </c>
      <c r="K22" s="50">
        <f t="shared" si="13"/>
        <v>0.12336780599567441</v>
      </c>
      <c r="L22" s="50">
        <f t="shared" si="13"/>
        <v>0.12712491503214057</v>
      </c>
      <c r="M22" s="50">
        <f t="shared" si="13"/>
        <v>0.13099644507332486</v>
      </c>
      <c r="N22" s="50">
        <f t="shared" si="13"/>
        <v>0.13498588075760046</v>
      </c>
      <c r="O22" s="50">
        <f t="shared" si="13"/>
        <v>0.13909681284637818</v>
      </c>
      <c r="P22" s="50">
        <f t="shared" si="13"/>
        <v>0.1433329414560342</v>
      </c>
      <c r="Q22" s="50">
        <f t="shared" si="13"/>
        <v>0.14769807938826446</v>
      </c>
      <c r="R22" s="50">
        <f t="shared" si="13"/>
        <v>0.15219615556186361</v>
      </c>
      <c r="S22" s="50">
        <f t="shared" si="13"/>
        <v>0.15683121854901713</v>
      </c>
      <c r="T22" s="50">
        <f t="shared" si="13"/>
        <v>0.16160744021928961</v>
      </c>
      <c r="U22" s="50">
        <f t="shared" si="13"/>
        <v>0.16652911949458893</v>
      </c>
      <c r="V22" s="50">
        <f t="shared" si="13"/>
        <v>0.17160068621848618</v>
      </c>
      <c r="W22" s="50">
        <f t="shared" si="13"/>
        <v>0.17682670514337387</v>
      </c>
      <c r="X22" s="50">
        <f t="shared" si="13"/>
        <v>0.18221188003905128</v>
      </c>
      <c r="Y22" s="50">
        <f t="shared" si="13"/>
        <v>0.18776105792643472</v>
      </c>
      <c r="Z22" s="50">
        <f t="shared" si="13"/>
        <v>0.19347923344020357</v>
      </c>
      <c r="AA22" s="50">
        <f t="shared" si="13"/>
        <v>0.19937155332430867</v>
      </c>
      <c r="AB22" s="50">
        <f t="shared" si="13"/>
        <v>0.20544332106438923</v>
      </c>
      <c r="AC22" s="50">
        <f t="shared" si="13"/>
        <v>0.21170000166126796</v>
      </c>
      <c r="AD22" s="50">
        <f t="shared" si="13"/>
        <v>0.21814722654982063</v>
      </c>
      <c r="AE22" s="50">
        <f t="shared" si="13"/>
        <v>0.2247907986676477</v>
      </c>
      <c r="AF22" s="50">
        <f t="shared" si="13"/>
        <v>0.23163669767810977</v>
      </c>
      <c r="AG22" s="50">
        <f t="shared" si="13"/>
        <v>0.23869108535242831</v>
      </c>
      <c r="AH22" s="50">
        <f t="shared" si="13"/>
        <v>0.24596031111569563</v>
      </c>
      <c r="AI22" s="50">
        <f t="shared" si="13"/>
        <v>0.25345091776178619</v>
      </c>
      <c r="AJ22" s="50">
        <f t="shared" si="13"/>
        <v>0.26116964734231252</v>
      </c>
      <c r="AK22" s="50">
        <f t="shared" si="13"/>
        <v>0.26912344723492704</v>
      </c>
      <c r="AL22" s="50">
        <f t="shared" si="13"/>
        <v>0.27731947639643062</v>
      </c>
      <c r="AM22" s="50">
        <f t="shared" si="13"/>
        <v>0.28576511180631725</v>
      </c>
      <c r="AN22" s="50">
        <f t="shared" si="13"/>
        <v>0.29446795510655333</v>
      </c>
      <c r="AO22" s="50">
        <f t="shared" si="13"/>
        <v>0.30343583944356856</v>
      </c>
      <c r="AP22" s="50">
        <f t="shared" si="13"/>
        <v>0.31267683651861661</v>
      </c>
      <c r="AQ22" s="50">
        <f t="shared" si="13"/>
        <v>0.32219926385285108</v>
      </c>
      <c r="AR22" s="51">
        <f t="shared" si="13"/>
        <v>0.3320116922736559</v>
      </c>
    </row>
    <row r="23" spans="1:44" s="45" customFormat="1" x14ac:dyDescent="0.15">
      <c r="B23" s="77"/>
      <c r="C23" s="75" t="s">
        <v>28</v>
      </c>
      <c r="E23" s="78"/>
    </row>
    <row r="24" spans="1:44" s="45" customFormat="1" x14ac:dyDescent="0.15">
      <c r="C24" s="35" t="s">
        <v>26</v>
      </c>
      <c r="D24" s="46">
        <f>Opex_Var*(1-Opex_VarForeign)</f>
        <v>10</v>
      </c>
      <c r="E24" s="47">
        <f t="shared" ref="E24:AR24" si="14">D24*EXP(Opex_VarGrowth)</f>
        <v>10.304545339535169</v>
      </c>
      <c r="F24" s="47">
        <f t="shared" si="14"/>
        <v>10.618365465453598</v>
      </c>
      <c r="G24" s="47">
        <f t="shared" si="14"/>
        <v>10.941742837052107</v>
      </c>
      <c r="H24" s="47">
        <f t="shared" si="14"/>
        <v>11.274968515793761</v>
      </c>
      <c r="I24" s="47">
        <f t="shared" si="14"/>
        <v>11.618342427282837</v>
      </c>
      <c r="J24" s="47">
        <f t="shared" si="14"/>
        <v>11.972173631218109</v>
      </c>
      <c r="K24" s="47">
        <f t="shared" si="14"/>
        <v>12.33678059956744</v>
      </c>
      <c r="L24" s="47">
        <f t="shared" si="14"/>
        <v>12.712491503214055</v>
      </c>
      <c r="M24" s="47">
        <f t="shared" si="14"/>
        <v>13.099644507332483</v>
      </c>
      <c r="N24" s="47">
        <f t="shared" si="14"/>
        <v>13.498588075760042</v>
      </c>
      <c r="O24" s="47">
        <f t="shared" si="14"/>
        <v>13.909681284637815</v>
      </c>
      <c r="P24" s="47">
        <f t="shared" si="14"/>
        <v>14.333294145603416</v>
      </c>
      <c r="Q24" s="47">
        <f t="shared" si="14"/>
        <v>14.769807938826441</v>
      </c>
      <c r="R24" s="47">
        <f t="shared" si="14"/>
        <v>15.219615556186355</v>
      </c>
      <c r="S24" s="47">
        <f t="shared" si="14"/>
        <v>15.683121854901707</v>
      </c>
      <c r="T24" s="47">
        <f t="shared" si="14"/>
        <v>16.160744021928956</v>
      </c>
      <c r="U24" s="47">
        <f t="shared" si="14"/>
        <v>16.652911949458886</v>
      </c>
      <c r="V24" s="47">
        <f t="shared" si="14"/>
        <v>17.160068621848609</v>
      </c>
      <c r="W24" s="47">
        <f t="shared" si="14"/>
        <v>17.682670514337378</v>
      </c>
      <c r="X24" s="47">
        <f t="shared" si="14"/>
        <v>18.22118800390512</v>
      </c>
      <c r="Y24" s="47">
        <f t="shared" si="14"/>
        <v>18.776105792643463</v>
      </c>
      <c r="Z24" s="47">
        <f t="shared" si="14"/>
        <v>19.347923344020348</v>
      </c>
      <c r="AA24" s="47">
        <f t="shared" si="14"/>
        <v>19.937155332430859</v>
      </c>
      <c r="AB24" s="47">
        <f t="shared" si="14"/>
        <v>20.544332106438915</v>
      </c>
      <c r="AC24" s="47">
        <f t="shared" si="14"/>
        <v>21.170000166126787</v>
      </c>
      <c r="AD24" s="47">
        <f t="shared" si="14"/>
        <v>21.814722654982056</v>
      </c>
      <c r="AE24" s="47">
        <f t="shared" si="14"/>
        <v>22.479079866764764</v>
      </c>
      <c r="AF24" s="47">
        <f t="shared" si="14"/>
        <v>23.163669767810969</v>
      </c>
      <c r="AG24" s="47">
        <f t="shared" si="14"/>
        <v>23.869108535242823</v>
      </c>
      <c r="AH24" s="47">
        <f t="shared" si="14"/>
        <v>24.596031111569555</v>
      </c>
      <c r="AI24" s="47">
        <f t="shared" si="14"/>
        <v>25.345091776178609</v>
      </c>
      <c r="AJ24" s="47">
        <f t="shared" si="14"/>
        <v>26.116964734231242</v>
      </c>
      <c r="AK24" s="47">
        <f t="shared" si="14"/>
        <v>26.912344723492691</v>
      </c>
      <c r="AL24" s="47">
        <f t="shared" si="14"/>
        <v>27.73194763964305</v>
      </c>
      <c r="AM24" s="47">
        <f t="shared" si="14"/>
        <v>28.576511180631712</v>
      </c>
      <c r="AN24" s="47">
        <f t="shared" si="14"/>
        <v>29.446795510655317</v>
      </c>
      <c r="AO24" s="47">
        <f t="shared" si="14"/>
        <v>30.34358394435684</v>
      </c>
      <c r="AP24" s="47">
        <f t="shared" si="14"/>
        <v>31.267683651861649</v>
      </c>
      <c r="AQ24" s="47">
        <f t="shared" si="14"/>
        <v>32.219926385285099</v>
      </c>
      <c r="AR24" s="48">
        <f t="shared" si="14"/>
        <v>33.201169227365583</v>
      </c>
    </row>
    <row r="25" spans="1:44" s="45" customFormat="1" x14ac:dyDescent="0.15">
      <c r="C25" s="35" t="s">
        <v>27</v>
      </c>
      <c r="D25" s="49">
        <f>Opex_Var*Opex_VarForeign/ExRate_Cur</f>
        <v>0.1</v>
      </c>
      <c r="E25" s="50">
        <f t="shared" ref="E25:AR25" si="15">D25*EXP(Opex_VarGrowth)</f>
        <v>0.1030454533953517</v>
      </c>
      <c r="F25" s="50">
        <f t="shared" si="15"/>
        <v>0.106183654654536</v>
      </c>
      <c r="G25" s="50">
        <f t="shared" si="15"/>
        <v>0.10941742837052108</v>
      </c>
      <c r="H25" s="50">
        <f t="shared" si="15"/>
        <v>0.11274968515793762</v>
      </c>
      <c r="I25" s="50">
        <f t="shared" si="15"/>
        <v>0.11618342427282838</v>
      </c>
      <c r="J25" s="50">
        <f t="shared" si="15"/>
        <v>0.1197217363121811</v>
      </c>
      <c r="K25" s="50">
        <f t="shared" si="15"/>
        <v>0.12336780599567441</v>
      </c>
      <c r="L25" s="50">
        <f t="shared" si="15"/>
        <v>0.12712491503214057</v>
      </c>
      <c r="M25" s="50">
        <f t="shared" si="15"/>
        <v>0.13099644507332486</v>
      </c>
      <c r="N25" s="50">
        <f t="shared" si="15"/>
        <v>0.13498588075760046</v>
      </c>
      <c r="O25" s="50">
        <f t="shared" si="15"/>
        <v>0.13909681284637818</v>
      </c>
      <c r="P25" s="50">
        <f t="shared" si="15"/>
        <v>0.1433329414560342</v>
      </c>
      <c r="Q25" s="50">
        <f t="shared" si="15"/>
        <v>0.14769807938826446</v>
      </c>
      <c r="R25" s="50">
        <f t="shared" si="15"/>
        <v>0.15219615556186361</v>
      </c>
      <c r="S25" s="50">
        <f t="shared" si="15"/>
        <v>0.15683121854901713</v>
      </c>
      <c r="T25" s="50">
        <f t="shared" si="15"/>
        <v>0.16160744021928961</v>
      </c>
      <c r="U25" s="50">
        <f t="shared" si="15"/>
        <v>0.16652911949458893</v>
      </c>
      <c r="V25" s="50">
        <f t="shared" si="15"/>
        <v>0.17160068621848618</v>
      </c>
      <c r="W25" s="50">
        <f t="shared" si="15"/>
        <v>0.17682670514337387</v>
      </c>
      <c r="X25" s="50">
        <f t="shared" si="15"/>
        <v>0.18221188003905128</v>
      </c>
      <c r="Y25" s="50">
        <f t="shared" si="15"/>
        <v>0.18776105792643472</v>
      </c>
      <c r="Z25" s="50">
        <f t="shared" si="15"/>
        <v>0.19347923344020357</v>
      </c>
      <c r="AA25" s="50">
        <f t="shared" si="15"/>
        <v>0.19937155332430867</v>
      </c>
      <c r="AB25" s="50">
        <f t="shared" si="15"/>
        <v>0.20544332106438923</v>
      </c>
      <c r="AC25" s="50">
        <f t="shared" si="15"/>
        <v>0.21170000166126796</v>
      </c>
      <c r="AD25" s="50">
        <f t="shared" si="15"/>
        <v>0.21814722654982063</v>
      </c>
      <c r="AE25" s="50">
        <f t="shared" si="15"/>
        <v>0.2247907986676477</v>
      </c>
      <c r="AF25" s="50">
        <f t="shared" si="15"/>
        <v>0.23163669767810977</v>
      </c>
      <c r="AG25" s="50">
        <f t="shared" si="15"/>
        <v>0.23869108535242831</v>
      </c>
      <c r="AH25" s="50">
        <f t="shared" si="15"/>
        <v>0.24596031111569563</v>
      </c>
      <c r="AI25" s="50">
        <f t="shared" si="15"/>
        <v>0.25345091776178619</v>
      </c>
      <c r="AJ25" s="50">
        <f t="shared" si="15"/>
        <v>0.26116964734231252</v>
      </c>
      <c r="AK25" s="50">
        <f t="shared" si="15"/>
        <v>0.26912344723492704</v>
      </c>
      <c r="AL25" s="50">
        <f t="shared" si="15"/>
        <v>0.27731947639643062</v>
      </c>
      <c r="AM25" s="50">
        <f t="shared" si="15"/>
        <v>0.28576511180631725</v>
      </c>
      <c r="AN25" s="50">
        <f t="shared" si="15"/>
        <v>0.29446795510655333</v>
      </c>
      <c r="AO25" s="50">
        <f t="shared" si="15"/>
        <v>0.30343583944356856</v>
      </c>
      <c r="AP25" s="50">
        <f t="shared" si="15"/>
        <v>0.31267683651861661</v>
      </c>
      <c r="AQ25" s="50">
        <f t="shared" si="15"/>
        <v>0.32219926385285108</v>
      </c>
      <c r="AR25" s="51">
        <f t="shared" si="15"/>
        <v>0.3320116922736559</v>
      </c>
    </row>
    <row r="26" spans="1:44" s="69" customFormat="1" x14ac:dyDescent="0.15">
      <c r="C26" s="159"/>
      <c r="D26" s="107"/>
      <c r="E26" s="107"/>
      <c r="F26" s="107"/>
      <c r="G26" s="107"/>
      <c r="H26" s="107"/>
      <c r="I26" s="107"/>
      <c r="J26" s="107"/>
      <c r="K26" s="107"/>
      <c r="L26" s="107"/>
      <c r="M26" s="107"/>
      <c r="N26" s="107"/>
    </row>
    <row r="27" spans="1:44" s="43" customFormat="1" x14ac:dyDescent="0.15"/>
    <row r="28" spans="1:44" s="26" customFormat="1" ht="18" x14ac:dyDescent="0.2">
      <c r="A28" s="24" t="str">
        <f>CONCATENATE("Financing Costs (",MonDenomination,")")</f>
        <v>Financing Costs (Millions)</v>
      </c>
      <c r="B28" s="25"/>
      <c r="C28" s="25"/>
    </row>
    <row r="29" spans="1:44" s="45" customFormat="1" x14ac:dyDescent="0.15">
      <c r="B29" s="74" t="s">
        <v>29</v>
      </c>
      <c r="E29" s="322">
        <f t="shared" ref="E29:AR29" si="16">Connections_New*InvestPerConnection/(DeflateFactor_Risk*MonDenValue)</f>
        <v>0.58031127083913658</v>
      </c>
      <c r="F29" s="323">
        <f t="shared" si="16"/>
        <v>1.0354187578928282</v>
      </c>
      <c r="G29" s="323">
        <f t="shared" si="16"/>
        <v>2.8320783938175005</v>
      </c>
      <c r="H29" s="323">
        <f t="shared" si="16"/>
        <v>6.9790568329340443</v>
      </c>
      <c r="I29" s="323">
        <f t="shared" si="16"/>
        <v>13.782656344741456</v>
      </c>
      <c r="J29" s="323">
        <f t="shared" si="16"/>
        <v>18.675844597293771</v>
      </c>
      <c r="K29" s="323">
        <f t="shared" si="16"/>
        <v>16.091665062579239</v>
      </c>
      <c r="L29" s="323">
        <f t="shared" si="16"/>
        <v>9.511064911980279</v>
      </c>
      <c r="M29" s="323">
        <f t="shared" si="16"/>
        <v>4.5164296295347484</v>
      </c>
      <c r="N29" s="323">
        <f t="shared" si="16"/>
        <v>3.0860866467442389</v>
      </c>
      <c r="O29" s="323">
        <f t="shared" si="16"/>
        <v>0</v>
      </c>
      <c r="P29" s="323">
        <f t="shared" si="16"/>
        <v>0</v>
      </c>
      <c r="Q29" s="323">
        <f t="shared" si="16"/>
        <v>0</v>
      </c>
      <c r="R29" s="323">
        <f t="shared" si="16"/>
        <v>0</v>
      </c>
      <c r="S29" s="323">
        <f t="shared" si="16"/>
        <v>0</v>
      </c>
      <c r="T29" s="323">
        <f t="shared" si="16"/>
        <v>0</v>
      </c>
      <c r="U29" s="323">
        <f t="shared" si="16"/>
        <v>0</v>
      </c>
      <c r="V29" s="323">
        <f t="shared" si="16"/>
        <v>0</v>
      </c>
      <c r="W29" s="323">
        <f t="shared" si="16"/>
        <v>0</v>
      </c>
      <c r="X29" s="323">
        <f t="shared" si="16"/>
        <v>0</v>
      </c>
      <c r="Y29" s="323">
        <f t="shared" ca="1" si="16"/>
        <v>0</v>
      </c>
      <c r="Z29" s="323">
        <f t="shared" ca="1" si="16"/>
        <v>0</v>
      </c>
      <c r="AA29" s="323">
        <f t="shared" ca="1" si="16"/>
        <v>0</v>
      </c>
      <c r="AB29" s="323">
        <f t="shared" ca="1" si="16"/>
        <v>0</v>
      </c>
      <c r="AC29" s="323">
        <f t="shared" ca="1" si="16"/>
        <v>0</v>
      </c>
      <c r="AD29" s="323">
        <f t="shared" ca="1" si="16"/>
        <v>0</v>
      </c>
      <c r="AE29" s="323">
        <f t="shared" ca="1" si="16"/>
        <v>0</v>
      </c>
      <c r="AF29" s="323">
        <f t="shared" ca="1" si="16"/>
        <v>0</v>
      </c>
      <c r="AG29" s="323">
        <f t="shared" ca="1" si="16"/>
        <v>0</v>
      </c>
      <c r="AH29" s="323">
        <f t="shared" ca="1" si="16"/>
        <v>0</v>
      </c>
      <c r="AI29" s="323">
        <f t="shared" ca="1" si="16"/>
        <v>0</v>
      </c>
      <c r="AJ29" s="323">
        <f t="shared" ca="1" si="16"/>
        <v>0</v>
      </c>
      <c r="AK29" s="323">
        <f t="shared" ca="1" si="16"/>
        <v>0</v>
      </c>
      <c r="AL29" s="323">
        <f t="shared" ca="1" si="16"/>
        <v>0</v>
      </c>
      <c r="AM29" s="323">
        <f t="shared" ca="1" si="16"/>
        <v>0</v>
      </c>
      <c r="AN29" s="323">
        <f t="shared" ca="1" si="16"/>
        <v>0</v>
      </c>
      <c r="AO29" s="323">
        <f t="shared" ca="1" si="16"/>
        <v>0</v>
      </c>
      <c r="AP29" s="323">
        <f t="shared" ca="1" si="16"/>
        <v>0</v>
      </c>
      <c r="AQ29" s="323">
        <f t="shared" ca="1" si="16"/>
        <v>0</v>
      </c>
      <c r="AR29" s="324">
        <f t="shared" ca="1" si="16"/>
        <v>0</v>
      </c>
    </row>
    <row r="30" spans="1:44" s="45" customFormat="1" x14ac:dyDescent="0.15">
      <c r="B30" s="81"/>
      <c r="C30" s="45" t="s">
        <v>30</v>
      </c>
      <c r="E30" s="325">
        <f>E29*ServExt_Debt</f>
        <v>0.29015563541956829</v>
      </c>
      <c r="F30" s="326">
        <f t="shared" ref="F30:AR30" si="17">F29*ServExt_Debt</f>
        <v>0.51770937894641411</v>
      </c>
      <c r="G30" s="326">
        <f t="shared" si="17"/>
        <v>1.4160391969087502</v>
      </c>
      <c r="H30" s="326">
        <f t="shared" si="17"/>
        <v>3.4895284164670222</v>
      </c>
      <c r="I30" s="326">
        <f t="shared" si="17"/>
        <v>6.891328172370728</v>
      </c>
      <c r="J30" s="326">
        <f t="shared" si="17"/>
        <v>9.3379222986468857</v>
      </c>
      <c r="K30" s="326">
        <f t="shared" si="17"/>
        <v>8.0458325312896193</v>
      </c>
      <c r="L30" s="326">
        <f t="shared" si="17"/>
        <v>4.7555324559901395</v>
      </c>
      <c r="M30" s="326">
        <f t="shared" si="17"/>
        <v>2.2582148147673742</v>
      </c>
      <c r="N30" s="326">
        <f t="shared" si="17"/>
        <v>1.5430433233721195</v>
      </c>
      <c r="O30" s="326">
        <f t="shared" si="17"/>
        <v>0</v>
      </c>
      <c r="P30" s="326">
        <f t="shared" si="17"/>
        <v>0</v>
      </c>
      <c r="Q30" s="326">
        <f t="shared" si="17"/>
        <v>0</v>
      </c>
      <c r="R30" s="326">
        <f t="shared" si="17"/>
        <v>0</v>
      </c>
      <c r="S30" s="326">
        <f t="shared" si="17"/>
        <v>0</v>
      </c>
      <c r="T30" s="326">
        <f t="shared" si="17"/>
        <v>0</v>
      </c>
      <c r="U30" s="326">
        <f t="shared" si="17"/>
        <v>0</v>
      </c>
      <c r="V30" s="326">
        <f t="shared" si="17"/>
        <v>0</v>
      </c>
      <c r="W30" s="326">
        <f t="shared" si="17"/>
        <v>0</v>
      </c>
      <c r="X30" s="326">
        <f t="shared" si="17"/>
        <v>0</v>
      </c>
      <c r="Y30" s="326">
        <f t="shared" ca="1" si="17"/>
        <v>0</v>
      </c>
      <c r="Z30" s="326">
        <f t="shared" ca="1" si="17"/>
        <v>0</v>
      </c>
      <c r="AA30" s="326">
        <f t="shared" ca="1" si="17"/>
        <v>0</v>
      </c>
      <c r="AB30" s="326">
        <f t="shared" ca="1" si="17"/>
        <v>0</v>
      </c>
      <c r="AC30" s="326">
        <f t="shared" ca="1" si="17"/>
        <v>0</v>
      </c>
      <c r="AD30" s="326">
        <f t="shared" ca="1" si="17"/>
        <v>0</v>
      </c>
      <c r="AE30" s="326">
        <f t="shared" ca="1" si="17"/>
        <v>0</v>
      </c>
      <c r="AF30" s="326">
        <f t="shared" ca="1" si="17"/>
        <v>0</v>
      </c>
      <c r="AG30" s="326">
        <f t="shared" ca="1" si="17"/>
        <v>0</v>
      </c>
      <c r="AH30" s="326">
        <f t="shared" ca="1" si="17"/>
        <v>0</v>
      </c>
      <c r="AI30" s="326">
        <f t="shared" ca="1" si="17"/>
        <v>0</v>
      </c>
      <c r="AJ30" s="326">
        <f t="shared" ca="1" si="17"/>
        <v>0</v>
      </c>
      <c r="AK30" s="326">
        <f t="shared" ca="1" si="17"/>
        <v>0</v>
      </c>
      <c r="AL30" s="326">
        <f t="shared" ca="1" si="17"/>
        <v>0</v>
      </c>
      <c r="AM30" s="326">
        <f t="shared" ca="1" si="17"/>
        <v>0</v>
      </c>
      <c r="AN30" s="326">
        <f t="shared" ca="1" si="17"/>
        <v>0</v>
      </c>
      <c r="AO30" s="326">
        <f t="shared" ca="1" si="17"/>
        <v>0</v>
      </c>
      <c r="AP30" s="326">
        <f t="shared" ca="1" si="17"/>
        <v>0</v>
      </c>
      <c r="AQ30" s="326">
        <f t="shared" ca="1" si="17"/>
        <v>0</v>
      </c>
      <c r="AR30" s="327">
        <f t="shared" ca="1" si="17"/>
        <v>0</v>
      </c>
    </row>
    <row r="31" spans="1:44" s="45" customFormat="1" x14ac:dyDescent="0.15">
      <c r="B31" s="75" t="str">
        <f>"Debt financing (" &amp; LOWER(ServExt_LoanIntDen) &amp; " currency)"</f>
        <v>Debt financing (foreign currency)</v>
      </c>
    </row>
    <row r="32" spans="1:44" s="45" customFormat="1" x14ac:dyDescent="0.15">
      <c r="C32" s="75" t="s">
        <v>31</v>
      </c>
      <c r="D32" s="85" t="s">
        <v>32</v>
      </c>
      <c r="O32" s="86"/>
      <c r="P32" s="86"/>
      <c r="Q32" s="86"/>
      <c r="R32" s="86"/>
      <c r="S32" s="86"/>
      <c r="T32" s="86"/>
      <c r="U32" s="86"/>
      <c r="V32" s="86"/>
      <c r="W32" s="86"/>
      <c r="X32" s="86"/>
      <c r="Y32" s="86"/>
      <c r="Z32" s="86"/>
      <c r="AA32" s="86"/>
      <c r="AB32" s="86"/>
      <c r="AC32" s="86"/>
      <c r="AD32" s="86"/>
      <c r="AE32" s="86"/>
      <c r="AF32" s="86"/>
      <c r="AG32" s="86"/>
      <c r="AH32" s="86"/>
      <c r="AI32" s="86"/>
      <c r="AJ32" s="86"/>
      <c r="AK32" s="86"/>
      <c r="AL32" s="86"/>
      <c r="AM32" s="86"/>
      <c r="AN32" s="86"/>
      <c r="AO32" s="86"/>
      <c r="AP32" s="86"/>
      <c r="AQ32" s="86"/>
      <c r="AR32" s="86"/>
    </row>
    <row r="33" spans="2:44" s="45" customFormat="1" x14ac:dyDescent="0.15">
      <c r="B33" s="35"/>
      <c r="C33" s="88" t="str">
        <f t="shared" ref="C33:C72" si="18">IF(INDEX(Year,1,5+ROW()-ROW($A$33))="","","Investment in Year "&amp;INDEX(Year,1,5+ROW()-ROW($A$33)))</f>
        <v>Investment in Year 1</v>
      </c>
      <c r="D33" s="89">
        <f t="shared" ref="D33:D72" si="19">INDEX($30:$30,1,5+ROW()-ROW($A$33))/IF(ServExt_LoanIntDen=lbl_Dom,1,INDEX(RealExRate_Risk,1,5+ROW()-ROW($A$33)))</f>
        <v>2.7745653195934616E-3</v>
      </c>
      <c r="E33" s="90">
        <f t="shared" ref="E33:N42" si="20">IF(OR($C33="",Year&gt;Contract_Length),,IF(Year&lt;INDEX(Year,1,5+ROW()-ROW($A$33)),,IF(Year&gt;INDEX(Year,1,5+ROW()-ROW($A$33))+Invest_Period-1,,$D33/Invest_Period)))</f>
        <v>1.3872826597967309E-4</v>
      </c>
      <c r="F33" s="91">
        <f t="shared" si="20"/>
        <v>1.3872826597967309E-4</v>
      </c>
      <c r="G33" s="91">
        <f t="shared" si="20"/>
        <v>1.3872826597967309E-4</v>
      </c>
      <c r="H33" s="91">
        <f t="shared" si="20"/>
        <v>1.3872826597967309E-4</v>
      </c>
      <c r="I33" s="91">
        <f t="shared" si="20"/>
        <v>1.3872826597967309E-4</v>
      </c>
      <c r="J33" s="91">
        <f t="shared" si="20"/>
        <v>1.3872826597967309E-4</v>
      </c>
      <c r="K33" s="91">
        <f t="shared" si="20"/>
        <v>1.3872826597967309E-4</v>
      </c>
      <c r="L33" s="91">
        <f t="shared" si="20"/>
        <v>1.3872826597967309E-4</v>
      </c>
      <c r="M33" s="91">
        <f t="shared" si="20"/>
        <v>1.3872826597967309E-4</v>
      </c>
      <c r="N33" s="91">
        <f t="shared" si="20"/>
        <v>1.3872826597967309E-4</v>
      </c>
      <c r="O33" s="91">
        <f t="shared" ref="O33:X42" si="21">IF(OR($C33="",Year&gt;Contract_Length),,IF(Year&lt;INDEX(Year,1,5+ROW()-ROW($A$33)),,IF(Year&gt;INDEX(Year,1,5+ROW()-ROW($A$33))+Invest_Period-1,,$D33/Invest_Period)))</f>
        <v>1.3872826597967309E-4</v>
      </c>
      <c r="P33" s="91">
        <f t="shared" si="21"/>
        <v>1.3872826597967309E-4</v>
      </c>
      <c r="Q33" s="91">
        <f t="shared" si="21"/>
        <v>1.3872826597967309E-4</v>
      </c>
      <c r="R33" s="91">
        <f t="shared" si="21"/>
        <v>1.3872826597967309E-4</v>
      </c>
      <c r="S33" s="91">
        <f t="shared" si="21"/>
        <v>1.3872826597967309E-4</v>
      </c>
      <c r="T33" s="91">
        <f t="shared" si="21"/>
        <v>1.3872826597967309E-4</v>
      </c>
      <c r="U33" s="91">
        <f t="shared" si="21"/>
        <v>1.3872826597967309E-4</v>
      </c>
      <c r="V33" s="91">
        <f t="shared" si="21"/>
        <v>1.3872826597967309E-4</v>
      </c>
      <c r="W33" s="91">
        <f t="shared" si="21"/>
        <v>1.3872826597967309E-4</v>
      </c>
      <c r="X33" s="91">
        <f t="shared" si="21"/>
        <v>1.3872826597967309E-4</v>
      </c>
      <c r="Y33" s="91">
        <f t="shared" ref="Y33:AH42" si="22">IF(OR($C33="",Year&gt;Contract_Length),,IF(Year&lt;INDEX(Year,1,5+ROW()-ROW($A$33)),,IF(Year&gt;INDEX(Year,1,5+ROW()-ROW($A$33))+Invest_Period-1,,$D33/Invest_Period)))</f>
        <v>0</v>
      </c>
      <c r="Z33" s="91">
        <f t="shared" si="22"/>
        <v>0</v>
      </c>
      <c r="AA33" s="91">
        <f t="shared" si="22"/>
        <v>0</v>
      </c>
      <c r="AB33" s="91">
        <f t="shared" si="22"/>
        <v>0</v>
      </c>
      <c r="AC33" s="91">
        <f t="shared" si="22"/>
        <v>0</v>
      </c>
      <c r="AD33" s="91">
        <f t="shared" si="22"/>
        <v>0</v>
      </c>
      <c r="AE33" s="91">
        <f t="shared" si="22"/>
        <v>0</v>
      </c>
      <c r="AF33" s="91">
        <f t="shared" si="22"/>
        <v>0</v>
      </c>
      <c r="AG33" s="91">
        <f t="shared" si="22"/>
        <v>0</v>
      </c>
      <c r="AH33" s="91">
        <f t="shared" si="22"/>
        <v>0</v>
      </c>
      <c r="AI33" s="91">
        <f t="shared" ref="AI33:AR42" si="23">IF(OR($C33="",Year&gt;Contract_Length),,IF(Year&lt;INDEX(Year,1,5+ROW()-ROW($A$33)),,IF(Year&gt;INDEX(Year,1,5+ROW()-ROW($A$33))+Invest_Period-1,,$D33/Invest_Period)))</f>
        <v>0</v>
      </c>
      <c r="AJ33" s="91">
        <f t="shared" si="23"/>
        <v>0</v>
      </c>
      <c r="AK33" s="91">
        <f t="shared" si="23"/>
        <v>0</v>
      </c>
      <c r="AL33" s="91">
        <f t="shared" si="23"/>
        <v>0</v>
      </c>
      <c r="AM33" s="91">
        <f t="shared" si="23"/>
        <v>0</v>
      </c>
      <c r="AN33" s="91">
        <f t="shared" si="23"/>
        <v>0</v>
      </c>
      <c r="AO33" s="91">
        <f t="shared" si="23"/>
        <v>0</v>
      </c>
      <c r="AP33" s="91">
        <f t="shared" si="23"/>
        <v>0</v>
      </c>
      <c r="AQ33" s="91">
        <f t="shared" si="23"/>
        <v>0</v>
      </c>
      <c r="AR33" s="92">
        <f t="shared" si="23"/>
        <v>0</v>
      </c>
    </row>
    <row r="34" spans="2:44" s="45" customFormat="1" x14ac:dyDescent="0.15">
      <c r="B34" s="35"/>
      <c r="C34" s="88" t="str">
        <f t="shared" si="18"/>
        <v>Investment in Year 2</v>
      </c>
      <c r="D34" s="93">
        <f t="shared" si="19"/>
        <v>4.3458788131125765E-3</v>
      </c>
      <c r="E34" s="94">
        <f t="shared" si="20"/>
        <v>0</v>
      </c>
      <c r="F34" s="95">
        <f t="shared" si="20"/>
        <v>2.1729394065562882E-4</v>
      </c>
      <c r="G34" s="95">
        <f t="shared" si="20"/>
        <v>2.1729394065562882E-4</v>
      </c>
      <c r="H34" s="95">
        <f t="shared" si="20"/>
        <v>2.1729394065562882E-4</v>
      </c>
      <c r="I34" s="95">
        <f t="shared" si="20"/>
        <v>2.1729394065562882E-4</v>
      </c>
      <c r="J34" s="95">
        <f t="shared" si="20"/>
        <v>2.1729394065562882E-4</v>
      </c>
      <c r="K34" s="95">
        <f t="shared" si="20"/>
        <v>2.1729394065562882E-4</v>
      </c>
      <c r="L34" s="95">
        <f t="shared" si="20"/>
        <v>2.1729394065562882E-4</v>
      </c>
      <c r="M34" s="95">
        <f t="shared" si="20"/>
        <v>2.1729394065562882E-4</v>
      </c>
      <c r="N34" s="95">
        <f t="shared" si="20"/>
        <v>2.1729394065562882E-4</v>
      </c>
      <c r="O34" s="95">
        <f t="shared" si="21"/>
        <v>2.1729394065562882E-4</v>
      </c>
      <c r="P34" s="95">
        <f t="shared" si="21"/>
        <v>2.1729394065562882E-4</v>
      </c>
      <c r="Q34" s="95">
        <f t="shared" si="21"/>
        <v>2.1729394065562882E-4</v>
      </c>
      <c r="R34" s="95">
        <f t="shared" si="21"/>
        <v>2.1729394065562882E-4</v>
      </c>
      <c r="S34" s="95">
        <f t="shared" si="21"/>
        <v>2.1729394065562882E-4</v>
      </c>
      <c r="T34" s="95">
        <f t="shared" si="21"/>
        <v>2.1729394065562882E-4</v>
      </c>
      <c r="U34" s="95">
        <f t="shared" si="21"/>
        <v>2.1729394065562882E-4</v>
      </c>
      <c r="V34" s="95">
        <f t="shared" si="21"/>
        <v>2.1729394065562882E-4</v>
      </c>
      <c r="W34" s="95">
        <f t="shared" si="21"/>
        <v>2.1729394065562882E-4</v>
      </c>
      <c r="X34" s="95">
        <f t="shared" si="21"/>
        <v>2.1729394065562882E-4</v>
      </c>
      <c r="Y34" s="95">
        <f t="shared" si="22"/>
        <v>0</v>
      </c>
      <c r="Z34" s="95">
        <f t="shared" si="22"/>
        <v>0</v>
      </c>
      <c r="AA34" s="95">
        <f t="shared" si="22"/>
        <v>0</v>
      </c>
      <c r="AB34" s="95">
        <f t="shared" si="22"/>
        <v>0</v>
      </c>
      <c r="AC34" s="95">
        <f t="shared" si="22"/>
        <v>0</v>
      </c>
      <c r="AD34" s="95">
        <f t="shared" si="22"/>
        <v>0</v>
      </c>
      <c r="AE34" s="95">
        <f t="shared" si="22"/>
        <v>0</v>
      </c>
      <c r="AF34" s="95">
        <f t="shared" si="22"/>
        <v>0</v>
      </c>
      <c r="AG34" s="95">
        <f t="shared" si="22"/>
        <v>0</v>
      </c>
      <c r="AH34" s="95">
        <f t="shared" si="22"/>
        <v>0</v>
      </c>
      <c r="AI34" s="95">
        <f t="shared" si="23"/>
        <v>0</v>
      </c>
      <c r="AJ34" s="95">
        <f t="shared" si="23"/>
        <v>0</v>
      </c>
      <c r="AK34" s="95">
        <f t="shared" si="23"/>
        <v>0</v>
      </c>
      <c r="AL34" s="95">
        <f t="shared" si="23"/>
        <v>0</v>
      </c>
      <c r="AM34" s="95">
        <f t="shared" si="23"/>
        <v>0</v>
      </c>
      <c r="AN34" s="95">
        <f t="shared" si="23"/>
        <v>0</v>
      </c>
      <c r="AO34" s="95">
        <f t="shared" si="23"/>
        <v>0</v>
      </c>
      <c r="AP34" s="95">
        <f t="shared" si="23"/>
        <v>0</v>
      </c>
      <c r="AQ34" s="95">
        <f t="shared" si="23"/>
        <v>0</v>
      </c>
      <c r="AR34" s="96">
        <f t="shared" si="23"/>
        <v>0</v>
      </c>
    </row>
    <row r="35" spans="2:44" s="45" customFormat="1" x14ac:dyDescent="0.15">
      <c r="B35" s="35"/>
      <c r="C35" s="88" t="str">
        <f t="shared" si="18"/>
        <v>Investment in Year 3</v>
      </c>
      <c r="D35" s="93">
        <f t="shared" si="19"/>
        <v>1.1170074723628741E-2</v>
      </c>
      <c r="E35" s="94">
        <f t="shared" si="20"/>
        <v>0</v>
      </c>
      <c r="F35" s="95">
        <f t="shared" si="20"/>
        <v>0</v>
      </c>
      <c r="G35" s="95">
        <f t="shared" si="20"/>
        <v>5.5850373618143701E-4</v>
      </c>
      <c r="H35" s="95">
        <f t="shared" si="20"/>
        <v>5.5850373618143701E-4</v>
      </c>
      <c r="I35" s="95">
        <f t="shared" si="20"/>
        <v>5.5850373618143701E-4</v>
      </c>
      <c r="J35" s="95">
        <f t="shared" si="20"/>
        <v>5.5850373618143701E-4</v>
      </c>
      <c r="K35" s="95">
        <f t="shared" si="20"/>
        <v>5.5850373618143701E-4</v>
      </c>
      <c r="L35" s="95">
        <f t="shared" si="20"/>
        <v>5.5850373618143701E-4</v>
      </c>
      <c r="M35" s="95">
        <f t="shared" si="20"/>
        <v>5.5850373618143701E-4</v>
      </c>
      <c r="N35" s="95">
        <f t="shared" si="20"/>
        <v>5.5850373618143701E-4</v>
      </c>
      <c r="O35" s="95">
        <f t="shared" si="21"/>
        <v>5.5850373618143701E-4</v>
      </c>
      <c r="P35" s="95">
        <f t="shared" si="21"/>
        <v>5.5850373618143701E-4</v>
      </c>
      <c r="Q35" s="95">
        <f t="shared" si="21"/>
        <v>5.5850373618143701E-4</v>
      </c>
      <c r="R35" s="95">
        <f t="shared" si="21"/>
        <v>5.5850373618143701E-4</v>
      </c>
      <c r="S35" s="95">
        <f t="shared" si="21"/>
        <v>5.5850373618143701E-4</v>
      </c>
      <c r="T35" s="95">
        <f t="shared" si="21"/>
        <v>5.5850373618143701E-4</v>
      </c>
      <c r="U35" s="95">
        <f t="shared" si="21"/>
        <v>5.5850373618143701E-4</v>
      </c>
      <c r="V35" s="95">
        <f t="shared" si="21"/>
        <v>5.5850373618143701E-4</v>
      </c>
      <c r="W35" s="95">
        <f t="shared" si="21"/>
        <v>5.5850373618143701E-4</v>
      </c>
      <c r="X35" s="95">
        <f t="shared" si="21"/>
        <v>5.5850373618143701E-4</v>
      </c>
      <c r="Y35" s="95">
        <f t="shared" si="22"/>
        <v>0</v>
      </c>
      <c r="Z35" s="95">
        <f t="shared" si="22"/>
        <v>0</v>
      </c>
      <c r="AA35" s="95">
        <f t="shared" si="22"/>
        <v>0</v>
      </c>
      <c r="AB35" s="95">
        <f t="shared" si="22"/>
        <v>0</v>
      </c>
      <c r="AC35" s="95">
        <f t="shared" si="22"/>
        <v>0</v>
      </c>
      <c r="AD35" s="95">
        <f t="shared" si="22"/>
        <v>0</v>
      </c>
      <c r="AE35" s="95">
        <f t="shared" si="22"/>
        <v>0</v>
      </c>
      <c r="AF35" s="95">
        <f t="shared" si="22"/>
        <v>0</v>
      </c>
      <c r="AG35" s="95">
        <f t="shared" si="22"/>
        <v>0</v>
      </c>
      <c r="AH35" s="95">
        <f t="shared" si="22"/>
        <v>0</v>
      </c>
      <c r="AI35" s="95">
        <f t="shared" si="23"/>
        <v>0</v>
      </c>
      <c r="AJ35" s="95">
        <f t="shared" si="23"/>
        <v>0</v>
      </c>
      <c r="AK35" s="95">
        <f t="shared" si="23"/>
        <v>0</v>
      </c>
      <c r="AL35" s="95">
        <f t="shared" si="23"/>
        <v>0</v>
      </c>
      <c r="AM35" s="95">
        <f t="shared" si="23"/>
        <v>0</v>
      </c>
      <c r="AN35" s="95">
        <f t="shared" si="23"/>
        <v>0</v>
      </c>
      <c r="AO35" s="95">
        <f t="shared" si="23"/>
        <v>0</v>
      </c>
      <c r="AP35" s="95">
        <f t="shared" si="23"/>
        <v>0</v>
      </c>
      <c r="AQ35" s="95">
        <f t="shared" si="23"/>
        <v>0</v>
      </c>
      <c r="AR35" s="96">
        <f t="shared" si="23"/>
        <v>0</v>
      </c>
    </row>
    <row r="36" spans="2:44" s="45" customFormat="1" x14ac:dyDescent="0.15">
      <c r="B36" s="35"/>
      <c r="C36" s="88" t="str">
        <f t="shared" si="18"/>
        <v>Investment in Year 4</v>
      </c>
      <c r="D36" s="93">
        <f t="shared" si="19"/>
        <v>2.6323963175426821E-2</v>
      </c>
      <c r="E36" s="94">
        <f t="shared" si="20"/>
        <v>0</v>
      </c>
      <c r="F36" s="95">
        <f t="shared" si="20"/>
        <v>0</v>
      </c>
      <c r="G36" s="95">
        <f t="shared" si="20"/>
        <v>0</v>
      </c>
      <c r="H36" s="95">
        <f t="shared" si="20"/>
        <v>1.3161981587713411E-3</v>
      </c>
      <c r="I36" s="95">
        <f t="shared" si="20"/>
        <v>1.3161981587713411E-3</v>
      </c>
      <c r="J36" s="95">
        <f t="shared" si="20"/>
        <v>1.3161981587713411E-3</v>
      </c>
      <c r="K36" s="95">
        <f t="shared" si="20"/>
        <v>1.3161981587713411E-3</v>
      </c>
      <c r="L36" s="95">
        <f t="shared" si="20"/>
        <v>1.3161981587713411E-3</v>
      </c>
      <c r="M36" s="95">
        <f t="shared" si="20"/>
        <v>1.3161981587713411E-3</v>
      </c>
      <c r="N36" s="95">
        <f t="shared" si="20"/>
        <v>1.3161981587713411E-3</v>
      </c>
      <c r="O36" s="95">
        <f t="shared" si="21"/>
        <v>1.3161981587713411E-3</v>
      </c>
      <c r="P36" s="95">
        <f t="shared" si="21"/>
        <v>1.3161981587713411E-3</v>
      </c>
      <c r="Q36" s="95">
        <f t="shared" si="21"/>
        <v>1.3161981587713411E-3</v>
      </c>
      <c r="R36" s="95">
        <f t="shared" si="21"/>
        <v>1.3161981587713411E-3</v>
      </c>
      <c r="S36" s="95">
        <f t="shared" si="21"/>
        <v>1.3161981587713411E-3</v>
      </c>
      <c r="T36" s="95">
        <f t="shared" si="21"/>
        <v>1.3161981587713411E-3</v>
      </c>
      <c r="U36" s="95">
        <f t="shared" si="21"/>
        <v>1.3161981587713411E-3</v>
      </c>
      <c r="V36" s="95">
        <f t="shared" si="21"/>
        <v>1.3161981587713411E-3</v>
      </c>
      <c r="W36" s="95">
        <f t="shared" si="21"/>
        <v>1.3161981587713411E-3</v>
      </c>
      <c r="X36" s="95">
        <f t="shared" si="21"/>
        <v>1.3161981587713411E-3</v>
      </c>
      <c r="Y36" s="95">
        <f t="shared" si="22"/>
        <v>0</v>
      </c>
      <c r="Z36" s="95">
        <f t="shared" si="22"/>
        <v>0</v>
      </c>
      <c r="AA36" s="95">
        <f t="shared" si="22"/>
        <v>0</v>
      </c>
      <c r="AB36" s="95">
        <f t="shared" si="22"/>
        <v>0</v>
      </c>
      <c r="AC36" s="95">
        <f t="shared" si="22"/>
        <v>0</v>
      </c>
      <c r="AD36" s="95">
        <f t="shared" si="22"/>
        <v>0</v>
      </c>
      <c r="AE36" s="95">
        <f t="shared" si="22"/>
        <v>0</v>
      </c>
      <c r="AF36" s="95">
        <f t="shared" si="22"/>
        <v>0</v>
      </c>
      <c r="AG36" s="95">
        <f t="shared" si="22"/>
        <v>0</v>
      </c>
      <c r="AH36" s="95">
        <f t="shared" si="22"/>
        <v>0</v>
      </c>
      <c r="AI36" s="95">
        <f t="shared" si="23"/>
        <v>0</v>
      </c>
      <c r="AJ36" s="95">
        <f t="shared" si="23"/>
        <v>0</v>
      </c>
      <c r="AK36" s="95">
        <f t="shared" si="23"/>
        <v>0</v>
      </c>
      <c r="AL36" s="95">
        <f t="shared" si="23"/>
        <v>0</v>
      </c>
      <c r="AM36" s="95">
        <f t="shared" si="23"/>
        <v>0</v>
      </c>
      <c r="AN36" s="95">
        <f t="shared" si="23"/>
        <v>0</v>
      </c>
      <c r="AO36" s="95">
        <f t="shared" si="23"/>
        <v>0</v>
      </c>
      <c r="AP36" s="95">
        <f t="shared" si="23"/>
        <v>0</v>
      </c>
      <c r="AQ36" s="95">
        <f t="shared" si="23"/>
        <v>0</v>
      </c>
      <c r="AR36" s="96">
        <f t="shared" si="23"/>
        <v>0</v>
      </c>
    </row>
    <row r="37" spans="2:44" s="45" customFormat="1" x14ac:dyDescent="0.15">
      <c r="B37" s="35"/>
      <c r="C37" s="88" t="str">
        <f t="shared" si="18"/>
        <v>Investment in Year 5</v>
      </c>
      <c r="D37" s="93">
        <f t="shared" si="19"/>
        <v>4.780828474116243E-2</v>
      </c>
      <c r="E37" s="94">
        <f t="shared" si="20"/>
        <v>0</v>
      </c>
      <c r="F37" s="95">
        <f t="shared" si="20"/>
        <v>0</v>
      </c>
      <c r="G37" s="95">
        <f t="shared" si="20"/>
        <v>0</v>
      </c>
      <c r="H37" s="95">
        <f t="shared" si="20"/>
        <v>0</v>
      </c>
      <c r="I37" s="95">
        <f t="shared" si="20"/>
        <v>2.3904142370581214E-3</v>
      </c>
      <c r="J37" s="95">
        <f t="shared" si="20"/>
        <v>2.3904142370581214E-3</v>
      </c>
      <c r="K37" s="95">
        <f t="shared" si="20"/>
        <v>2.3904142370581214E-3</v>
      </c>
      <c r="L37" s="95">
        <f t="shared" si="20"/>
        <v>2.3904142370581214E-3</v>
      </c>
      <c r="M37" s="95">
        <f t="shared" si="20"/>
        <v>2.3904142370581214E-3</v>
      </c>
      <c r="N37" s="95">
        <f t="shared" si="20"/>
        <v>2.3904142370581214E-3</v>
      </c>
      <c r="O37" s="95">
        <f t="shared" si="21"/>
        <v>2.3904142370581214E-3</v>
      </c>
      <c r="P37" s="95">
        <f t="shared" si="21"/>
        <v>2.3904142370581214E-3</v>
      </c>
      <c r="Q37" s="95">
        <f t="shared" si="21"/>
        <v>2.3904142370581214E-3</v>
      </c>
      <c r="R37" s="95">
        <f t="shared" si="21"/>
        <v>2.3904142370581214E-3</v>
      </c>
      <c r="S37" s="95">
        <f t="shared" si="21"/>
        <v>2.3904142370581214E-3</v>
      </c>
      <c r="T37" s="95">
        <f t="shared" si="21"/>
        <v>2.3904142370581214E-3</v>
      </c>
      <c r="U37" s="95">
        <f t="shared" si="21"/>
        <v>2.3904142370581214E-3</v>
      </c>
      <c r="V37" s="95">
        <f t="shared" si="21"/>
        <v>2.3904142370581214E-3</v>
      </c>
      <c r="W37" s="95">
        <f t="shared" si="21"/>
        <v>2.3904142370581214E-3</v>
      </c>
      <c r="X37" s="95">
        <f t="shared" si="21"/>
        <v>2.3904142370581214E-3</v>
      </c>
      <c r="Y37" s="95">
        <f t="shared" si="22"/>
        <v>0</v>
      </c>
      <c r="Z37" s="95">
        <f t="shared" si="22"/>
        <v>0</v>
      </c>
      <c r="AA37" s="95">
        <f t="shared" si="22"/>
        <v>0</v>
      </c>
      <c r="AB37" s="95">
        <f t="shared" si="22"/>
        <v>0</v>
      </c>
      <c r="AC37" s="95">
        <f t="shared" si="22"/>
        <v>0</v>
      </c>
      <c r="AD37" s="95">
        <f t="shared" si="22"/>
        <v>0</v>
      </c>
      <c r="AE37" s="95">
        <f t="shared" si="22"/>
        <v>0</v>
      </c>
      <c r="AF37" s="95">
        <f t="shared" si="22"/>
        <v>0</v>
      </c>
      <c r="AG37" s="95">
        <f t="shared" si="22"/>
        <v>0</v>
      </c>
      <c r="AH37" s="95">
        <f t="shared" si="22"/>
        <v>0</v>
      </c>
      <c r="AI37" s="95">
        <f t="shared" si="23"/>
        <v>0</v>
      </c>
      <c r="AJ37" s="95">
        <f t="shared" si="23"/>
        <v>0</v>
      </c>
      <c r="AK37" s="95">
        <f t="shared" si="23"/>
        <v>0</v>
      </c>
      <c r="AL37" s="95">
        <f t="shared" si="23"/>
        <v>0</v>
      </c>
      <c r="AM37" s="95">
        <f t="shared" si="23"/>
        <v>0</v>
      </c>
      <c r="AN37" s="95">
        <f t="shared" si="23"/>
        <v>0</v>
      </c>
      <c r="AO37" s="95">
        <f t="shared" si="23"/>
        <v>0</v>
      </c>
      <c r="AP37" s="95">
        <f t="shared" si="23"/>
        <v>0</v>
      </c>
      <c r="AQ37" s="95">
        <f t="shared" si="23"/>
        <v>0</v>
      </c>
      <c r="AR37" s="96">
        <f t="shared" si="23"/>
        <v>0</v>
      </c>
    </row>
    <row r="38" spans="2:44" s="45" customFormat="1" x14ac:dyDescent="0.15">
      <c r="B38" s="35"/>
      <c r="C38" s="88" t="str">
        <f t="shared" si="18"/>
        <v>Investment in Year 6</v>
      </c>
      <c r="D38" s="160">
        <f t="shared" si="19"/>
        <v>6.3795401020315126E-2</v>
      </c>
      <c r="E38" s="94">
        <f t="shared" si="20"/>
        <v>0</v>
      </c>
      <c r="F38" s="95">
        <f t="shared" si="20"/>
        <v>0</v>
      </c>
      <c r="G38" s="95">
        <f t="shared" si="20"/>
        <v>0</v>
      </c>
      <c r="H38" s="95">
        <f t="shared" si="20"/>
        <v>0</v>
      </c>
      <c r="I38" s="95">
        <f t="shared" si="20"/>
        <v>0</v>
      </c>
      <c r="J38" s="95">
        <f t="shared" si="20"/>
        <v>3.1897700510157565E-3</v>
      </c>
      <c r="K38" s="95">
        <f t="shared" si="20"/>
        <v>3.1897700510157565E-3</v>
      </c>
      <c r="L38" s="95">
        <f t="shared" si="20"/>
        <v>3.1897700510157565E-3</v>
      </c>
      <c r="M38" s="95">
        <f t="shared" si="20"/>
        <v>3.1897700510157565E-3</v>
      </c>
      <c r="N38" s="95">
        <f t="shared" si="20"/>
        <v>3.1897700510157565E-3</v>
      </c>
      <c r="O38" s="95">
        <f t="shared" si="21"/>
        <v>3.1897700510157565E-3</v>
      </c>
      <c r="P38" s="95">
        <f t="shared" si="21"/>
        <v>3.1897700510157565E-3</v>
      </c>
      <c r="Q38" s="95">
        <f t="shared" si="21"/>
        <v>3.1897700510157565E-3</v>
      </c>
      <c r="R38" s="95">
        <f t="shared" si="21"/>
        <v>3.1897700510157565E-3</v>
      </c>
      <c r="S38" s="95">
        <f t="shared" si="21"/>
        <v>3.1897700510157565E-3</v>
      </c>
      <c r="T38" s="95">
        <f t="shared" si="21"/>
        <v>3.1897700510157565E-3</v>
      </c>
      <c r="U38" s="95">
        <f t="shared" si="21"/>
        <v>3.1897700510157565E-3</v>
      </c>
      <c r="V38" s="95">
        <f t="shared" si="21"/>
        <v>3.1897700510157565E-3</v>
      </c>
      <c r="W38" s="95">
        <f t="shared" si="21"/>
        <v>3.1897700510157565E-3</v>
      </c>
      <c r="X38" s="95">
        <f t="shared" si="21"/>
        <v>3.1897700510157565E-3</v>
      </c>
      <c r="Y38" s="95">
        <f t="shared" si="22"/>
        <v>0</v>
      </c>
      <c r="Z38" s="95">
        <f t="shared" si="22"/>
        <v>0</v>
      </c>
      <c r="AA38" s="95">
        <f t="shared" si="22"/>
        <v>0</v>
      </c>
      <c r="AB38" s="95">
        <f t="shared" si="22"/>
        <v>0</v>
      </c>
      <c r="AC38" s="95">
        <f t="shared" si="22"/>
        <v>0</v>
      </c>
      <c r="AD38" s="95">
        <f t="shared" si="22"/>
        <v>0</v>
      </c>
      <c r="AE38" s="95">
        <f t="shared" si="22"/>
        <v>0</v>
      </c>
      <c r="AF38" s="95">
        <f t="shared" si="22"/>
        <v>0</v>
      </c>
      <c r="AG38" s="95">
        <f t="shared" si="22"/>
        <v>0</v>
      </c>
      <c r="AH38" s="95">
        <f t="shared" si="22"/>
        <v>0</v>
      </c>
      <c r="AI38" s="95">
        <f t="shared" si="23"/>
        <v>0</v>
      </c>
      <c r="AJ38" s="95">
        <f t="shared" si="23"/>
        <v>0</v>
      </c>
      <c r="AK38" s="95">
        <f t="shared" si="23"/>
        <v>0</v>
      </c>
      <c r="AL38" s="95">
        <f t="shared" si="23"/>
        <v>0</v>
      </c>
      <c r="AM38" s="95">
        <f t="shared" si="23"/>
        <v>0</v>
      </c>
      <c r="AN38" s="95">
        <f t="shared" si="23"/>
        <v>0</v>
      </c>
      <c r="AO38" s="95">
        <f t="shared" si="23"/>
        <v>0</v>
      </c>
      <c r="AP38" s="95">
        <f t="shared" si="23"/>
        <v>0</v>
      </c>
      <c r="AQ38" s="95">
        <f t="shared" si="23"/>
        <v>0</v>
      </c>
      <c r="AR38" s="96">
        <f t="shared" si="23"/>
        <v>0</v>
      </c>
    </row>
    <row r="39" spans="2:44" s="45" customFormat="1" x14ac:dyDescent="0.15">
      <c r="B39" s="35"/>
      <c r="C39" s="88" t="str">
        <f t="shared" si="18"/>
        <v>Investment in Year 7</v>
      </c>
      <c r="D39" s="160">
        <f t="shared" si="19"/>
        <v>5.1787766970636834E-2</v>
      </c>
      <c r="E39" s="94">
        <f t="shared" si="20"/>
        <v>0</v>
      </c>
      <c r="F39" s="95">
        <f t="shared" si="20"/>
        <v>0</v>
      </c>
      <c r="G39" s="95">
        <f t="shared" si="20"/>
        <v>0</v>
      </c>
      <c r="H39" s="95">
        <f t="shared" si="20"/>
        <v>0</v>
      </c>
      <c r="I39" s="95">
        <f t="shared" si="20"/>
        <v>0</v>
      </c>
      <c r="J39" s="95">
        <f t="shared" si="20"/>
        <v>0</v>
      </c>
      <c r="K39" s="95">
        <f t="shared" si="20"/>
        <v>2.5893883485318416E-3</v>
      </c>
      <c r="L39" s="95">
        <f t="shared" si="20"/>
        <v>2.5893883485318416E-3</v>
      </c>
      <c r="M39" s="95">
        <f t="shared" si="20"/>
        <v>2.5893883485318416E-3</v>
      </c>
      <c r="N39" s="95">
        <f t="shared" si="20"/>
        <v>2.5893883485318416E-3</v>
      </c>
      <c r="O39" s="95">
        <f t="shared" si="21"/>
        <v>2.5893883485318416E-3</v>
      </c>
      <c r="P39" s="95">
        <f t="shared" si="21"/>
        <v>2.5893883485318416E-3</v>
      </c>
      <c r="Q39" s="95">
        <f t="shared" si="21"/>
        <v>2.5893883485318416E-3</v>
      </c>
      <c r="R39" s="95">
        <f t="shared" si="21"/>
        <v>2.5893883485318416E-3</v>
      </c>
      <c r="S39" s="95">
        <f t="shared" si="21"/>
        <v>2.5893883485318416E-3</v>
      </c>
      <c r="T39" s="95">
        <f t="shared" si="21"/>
        <v>2.5893883485318416E-3</v>
      </c>
      <c r="U39" s="95">
        <f t="shared" si="21"/>
        <v>2.5893883485318416E-3</v>
      </c>
      <c r="V39" s="95">
        <f t="shared" si="21"/>
        <v>2.5893883485318416E-3</v>
      </c>
      <c r="W39" s="95">
        <f t="shared" si="21"/>
        <v>2.5893883485318416E-3</v>
      </c>
      <c r="X39" s="95">
        <f t="shared" si="21"/>
        <v>2.5893883485318416E-3</v>
      </c>
      <c r="Y39" s="95">
        <f t="shared" si="22"/>
        <v>0</v>
      </c>
      <c r="Z39" s="95">
        <f t="shared" si="22"/>
        <v>0</v>
      </c>
      <c r="AA39" s="95">
        <f t="shared" si="22"/>
        <v>0</v>
      </c>
      <c r="AB39" s="95">
        <f t="shared" si="22"/>
        <v>0</v>
      </c>
      <c r="AC39" s="95">
        <f t="shared" si="22"/>
        <v>0</v>
      </c>
      <c r="AD39" s="95">
        <f t="shared" si="22"/>
        <v>0</v>
      </c>
      <c r="AE39" s="95">
        <f t="shared" si="22"/>
        <v>0</v>
      </c>
      <c r="AF39" s="95">
        <f t="shared" si="22"/>
        <v>0</v>
      </c>
      <c r="AG39" s="95">
        <f t="shared" si="22"/>
        <v>0</v>
      </c>
      <c r="AH39" s="95">
        <f t="shared" si="22"/>
        <v>0</v>
      </c>
      <c r="AI39" s="95">
        <f t="shared" si="23"/>
        <v>0</v>
      </c>
      <c r="AJ39" s="95">
        <f t="shared" si="23"/>
        <v>0</v>
      </c>
      <c r="AK39" s="95">
        <f t="shared" si="23"/>
        <v>0</v>
      </c>
      <c r="AL39" s="95">
        <f t="shared" si="23"/>
        <v>0</v>
      </c>
      <c r="AM39" s="95">
        <f t="shared" si="23"/>
        <v>0</v>
      </c>
      <c r="AN39" s="95">
        <f t="shared" si="23"/>
        <v>0</v>
      </c>
      <c r="AO39" s="95">
        <f t="shared" si="23"/>
        <v>0</v>
      </c>
      <c r="AP39" s="95">
        <f t="shared" si="23"/>
        <v>0</v>
      </c>
      <c r="AQ39" s="95">
        <f t="shared" si="23"/>
        <v>0</v>
      </c>
      <c r="AR39" s="96">
        <f t="shared" si="23"/>
        <v>0</v>
      </c>
    </row>
    <row r="40" spans="2:44" s="45" customFormat="1" x14ac:dyDescent="0.15">
      <c r="B40" s="35"/>
      <c r="C40" s="88" t="str">
        <f t="shared" si="18"/>
        <v>Investment in Year 8</v>
      </c>
      <c r="D40" s="160">
        <f t="shared" si="19"/>
        <v>3.0590224537782405E-2</v>
      </c>
      <c r="E40" s="94">
        <f t="shared" si="20"/>
        <v>0</v>
      </c>
      <c r="F40" s="95">
        <f t="shared" si="20"/>
        <v>0</v>
      </c>
      <c r="G40" s="95">
        <f t="shared" si="20"/>
        <v>0</v>
      </c>
      <c r="H40" s="95">
        <f t="shared" si="20"/>
        <v>0</v>
      </c>
      <c r="I40" s="95">
        <f t="shared" si="20"/>
        <v>0</v>
      </c>
      <c r="J40" s="95">
        <f t="shared" si="20"/>
        <v>0</v>
      </c>
      <c r="K40" s="95">
        <f t="shared" si="20"/>
        <v>0</v>
      </c>
      <c r="L40" s="95">
        <f t="shared" si="20"/>
        <v>1.5295112268891202E-3</v>
      </c>
      <c r="M40" s="95">
        <f t="shared" si="20"/>
        <v>1.5295112268891202E-3</v>
      </c>
      <c r="N40" s="95">
        <f t="shared" si="20"/>
        <v>1.5295112268891202E-3</v>
      </c>
      <c r="O40" s="95">
        <f t="shared" si="21"/>
        <v>1.5295112268891202E-3</v>
      </c>
      <c r="P40" s="95">
        <f t="shared" si="21"/>
        <v>1.5295112268891202E-3</v>
      </c>
      <c r="Q40" s="95">
        <f t="shared" si="21"/>
        <v>1.5295112268891202E-3</v>
      </c>
      <c r="R40" s="95">
        <f t="shared" si="21"/>
        <v>1.5295112268891202E-3</v>
      </c>
      <c r="S40" s="95">
        <f t="shared" si="21"/>
        <v>1.5295112268891202E-3</v>
      </c>
      <c r="T40" s="95">
        <f t="shared" si="21"/>
        <v>1.5295112268891202E-3</v>
      </c>
      <c r="U40" s="95">
        <f t="shared" si="21"/>
        <v>1.5295112268891202E-3</v>
      </c>
      <c r="V40" s="95">
        <f t="shared" si="21"/>
        <v>1.5295112268891202E-3</v>
      </c>
      <c r="W40" s="95">
        <f t="shared" si="21"/>
        <v>1.5295112268891202E-3</v>
      </c>
      <c r="X40" s="95">
        <f t="shared" si="21"/>
        <v>1.5295112268891202E-3</v>
      </c>
      <c r="Y40" s="95">
        <f t="shared" si="22"/>
        <v>0</v>
      </c>
      <c r="Z40" s="95">
        <f t="shared" si="22"/>
        <v>0</v>
      </c>
      <c r="AA40" s="95">
        <f t="shared" si="22"/>
        <v>0</v>
      </c>
      <c r="AB40" s="95">
        <f t="shared" si="22"/>
        <v>0</v>
      </c>
      <c r="AC40" s="95">
        <f t="shared" si="22"/>
        <v>0</v>
      </c>
      <c r="AD40" s="95">
        <f t="shared" si="22"/>
        <v>0</v>
      </c>
      <c r="AE40" s="95">
        <f t="shared" si="22"/>
        <v>0</v>
      </c>
      <c r="AF40" s="95">
        <f t="shared" si="22"/>
        <v>0</v>
      </c>
      <c r="AG40" s="95">
        <f t="shared" si="22"/>
        <v>0</v>
      </c>
      <c r="AH40" s="95">
        <f t="shared" si="22"/>
        <v>0</v>
      </c>
      <c r="AI40" s="95">
        <f t="shared" si="23"/>
        <v>0</v>
      </c>
      <c r="AJ40" s="95">
        <f t="shared" si="23"/>
        <v>0</v>
      </c>
      <c r="AK40" s="95">
        <f t="shared" si="23"/>
        <v>0</v>
      </c>
      <c r="AL40" s="95">
        <f t="shared" si="23"/>
        <v>0</v>
      </c>
      <c r="AM40" s="95">
        <f t="shared" si="23"/>
        <v>0</v>
      </c>
      <c r="AN40" s="95">
        <f t="shared" si="23"/>
        <v>0</v>
      </c>
      <c r="AO40" s="95">
        <f t="shared" si="23"/>
        <v>0</v>
      </c>
      <c r="AP40" s="95">
        <f t="shared" si="23"/>
        <v>0</v>
      </c>
      <c r="AQ40" s="95">
        <f t="shared" si="23"/>
        <v>0</v>
      </c>
      <c r="AR40" s="96">
        <f t="shared" si="23"/>
        <v>0</v>
      </c>
    </row>
    <row r="41" spans="2:44" s="45" customFormat="1" x14ac:dyDescent="0.15">
      <c r="B41" s="35"/>
      <c r="C41" s="88" t="str">
        <f t="shared" si="18"/>
        <v>Investment in Year 9</v>
      </c>
      <c r="D41" s="160">
        <f t="shared" si="19"/>
        <v>1.4340279113242921E-2</v>
      </c>
      <c r="E41" s="94">
        <f t="shared" si="20"/>
        <v>0</v>
      </c>
      <c r="F41" s="95">
        <f t="shared" si="20"/>
        <v>0</v>
      </c>
      <c r="G41" s="95">
        <f t="shared" si="20"/>
        <v>0</v>
      </c>
      <c r="H41" s="95">
        <f t="shared" si="20"/>
        <v>0</v>
      </c>
      <c r="I41" s="95">
        <f t="shared" si="20"/>
        <v>0</v>
      </c>
      <c r="J41" s="95">
        <f t="shared" si="20"/>
        <v>0</v>
      </c>
      <c r="K41" s="95">
        <f t="shared" si="20"/>
        <v>0</v>
      </c>
      <c r="L41" s="95">
        <f t="shared" si="20"/>
        <v>0</v>
      </c>
      <c r="M41" s="95">
        <f t="shared" si="20"/>
        <v>7.1701395566214606E-4</v>
      </c>
      <c r="N41" s="95">
        <f t="shared" si="20"/>
        <v>7.1701395566214606E-4</v>
      </c>
      <c r="O41" s="95">
        <f t="shared" si="21"/>
        <v>7.1701395566214606E-4</v>
      </c>
      <c r="P41" s="95">
        <f t="shared" si="21"/>
        <v>7.1701395566214606E-4</v>
      </c>
      <c r="Q41" s="95">
        <f t="shared" si="21"/>
        <v>7.1701395566214606E-4</v>
      </c>
      <c r="R41" s="95">
        <f t="shared" si="21"/>
        <v>7.1701395566214606E-4</v>
      </c>
      <c r="S41" s="95">
        <f t="shared" si="21"/>
        <v>7.1701395566214606E-4</v>
      </c>
      <c r="T41" s="95">
        <f t="shared" si="21"/>
        <v>7.1701395566214606E-4</v>
      </c>
      <c r="U41" s="95">
        <f t="shared" si="21"/>
        <v>7.1701395566214606E-4</v>
      </c>
      <c r="V41" s="95">
        <f t="shared" si="21"/>
        <v>7.1701395566214606E-4</v>
      </c>
      <c r="W41" s="95">
        <f t="shared" si="21"/>
        <v>7.1701395566214606E-4</v>
      </c>
      <c r="X41" s="95">
        <f t="shared" si="21"/>
        <v>7.1701395566214606E-4</v>
      </c>
      <c r="Y41" s="95">
        <f t="shared" si="22"/>
        <v>0</v>
      </c>
      <c r="Z41" s="95">
        <f t="shared" si="22"/>
        <v>0</v>
      </c>
      <c r="AA41" s="95">
        <f t="shared" si="22"/>
        <v>0</v>
      </c>
      <c r="AB41" s="95">
        <f t="shared" si="22"/>
        <v>0</v>
      </c>
      <c r="AC41" s="95">
        <f t="shared" si="22"/>
        <v>0</v>
      </c>
      <c r="AD41" s="95">
        <f t="shared" si="22"/>
        <v>0</v>
      </c>
      <c r="AE41" s="95">
        <f t="shared" si="22"/>
        <v>0</v>
      </c>
      <c r="AF41" s="95">
        <f t="shared" si="22"/>
        <v>0</v>
      </c>
      <c r="AG41" s="95">
        <f t="shared" si="22"/>
        <v>0</v>
      </c>
      <c r="AH41" s="95">
        <f t="shared" si="22"/>
        <v>0</v>
      </c>
      <c r="AI41" s="95">
        <f t="shared" si="23"/>
        <v>0</v>
      </c>
      <c r="AJ41" s="95">
        <f t="shared" si="23"/>
        <v>0</v>
      </c>
      <c r="AK41" s="95">
        <f t="shared" si="23"/>
        <v>0</v>
      </c>
      <c r="AL41" s="95">
        <f t="shared" si="23"/>
        <v>0</v>
      </c>
      <c r="AM41" s="95">
        <f t="shared" si="23"/>
        <v>0</v>
      </c>
      <c r="AN41" s="95">
        <f t="shared" si="23"/>
        <v>0</v>
      </c>
      <c r="AO41" s="95">
        <f t="shared" si="23"/>
        <v>0</v>
      </c>
      <c r="AP41" s="95">
        <f t="shared" si="23"/>
        <v>0</v>
      </c>
      <c r="AQ41" s="95">
        <f t="shared" si="23"/>
        <v>0</v>
      </c>
      <c r="AR41" s="96">
        <f t="shared" si="23"/>
        <v>0</v>
      </c>
    </row>
    <row r="42" spans="2:44" s="45" customFormat="1" x14ac:dyDescent="0.15">
      <c r="B42" s="35"/>
      <c r="C42" s="88" t="str">
        <f t="shared" si="18"/>
        <v>Investment in Year 10</v>
      </c>
      <c r="D42" s="160">
        <f t="shared" si="19"/>
        <v>9.2865993350112926E-3</v>
      </c>
      <c r="E42" s="94">
        <f t="shared" si="20"/>
        <v>0</v>
      </c>
      <c r="F42" s="95">
        <f t="shared" si="20"/>
        <v>0</v>
      </c>
      <c r="G42" s="95">
        <f t="shared" si="20"/>
        <v>0</v>
      </c>
      <c r="H42" s="95">
        <f t="shared" si="20"/>
        <v>0</v>
      </c>
      <c r="I42" s="95">
        <f t="shared" si="20"/>
        <v>0</v>
      </c>
      <c r="J42" s="95">
        <f t="shared" si="20"/>
        <v>0</v>
      </c>
      <c r="K42" s="95">
        <f t="shared" si="20"/>
        <v>0</v>
      </c>
      <c r="L42" s="95">
        <f t="shared" si="20"/>
        <v>0</v>
      </c>
      <c r="M42" s="95">
        <f t="shared" si="20"/>
        <v>0</v>
      </c>
      <c r="N42" s="95">
        <f t="shared" si="20"/>
        <v>4.6432996675056462E-4</v>
      </c>
      <c r="O42" s="95">
        <f t="shared" si="21"/>
        <v>4.6432996675056462E-4</v>
      </c>
      <c r="P42" s="95">
        <f t="shared" si="21"/>
        <v>4.6432996675056462E-4</v>
      </c>
      <c r="Q42" s="95">
        <f t="shared" si="21"/>
        <v>4.6432996675056462E-4</v>
      </c>
      <c r="R42" s="95">
        <f t="shared" si="21"/>
        <v>4.6432996675056462E-4</v>
      </c>
      <c r="S42" s="95">
        <f t="shared" si="21"/>
        <v>4.6432996675056462E-4</v>
      </c>
      <c r="T42" s="95">
        <f t="shared" si="21"/>
        <v>4.6432996675056462E-4</v>
      </c>
      <c r="U42" s="95">
        <f t="shared" si="21"/>
        <v>4.6432996675056462E-4</v>
      </c>
      <c r="V42" s="95">
        <f t="shared" si="21"/>
        <v>4.6432996675056462E-4</v>
      </c>
      <c r="W42" s="95">
        <f t="shared" si="21"/>
        <v>4.6432996675056462E-4</v>
      </c>
      <c r="X42" s="95">
        <f t="shared" si="21"/>
        <v>4.6432996675056462E-4</v>
      </c>
      <c r="Y42" s="95">
        <f t="shared" si="22"/>
        <v>0</v>
      </c>
      <c r="Z42" s="95">
        <f t="shared" si="22"/>
        <v>0</v>
      </c>
      <c r="AA42" s="95">
        <f t="shared" si="22"/>
        <v>0</v>
      </c>
      <c r="AB42" s="95">
        <f t="shared" si="22"/>
        <v>0</v>
      </c>
      <c r="AC42" s="95">
        <f t="shared" si="22"/>
        <v>0</v>
      </c>
      <c r="AD42" s="95">
        <f t="shared" si="22"/>
        <v>0</v>
      </c>
      <c r="AE42" s="95">
        <f t="shared" si="22"/>
        <v>0</v>
      </c>
      <c r="AF42" s="95">
        <f t="shared" si="22"/>
        <v>0</v>
      </c>
      <c r="AG42" s="95">
        <f t="shared" si="22"/>
        <v>0</v>
      </c>
      <c r="AH42" s="95">
        <f t="shared" si="22"/>
        <v>0</v>
      </c>
      <c r="AI42" s="95">
        <f t="shared" si="23"/>
        <v>0</v>
      </c>
      <c r="AJ42" s="95">
        <f t="shared" si="23"/>
        <v>0</v>
      </c>
      <c r="AK42" s="95">
        <f t="shared" si="23"/>
        <v>0</v>
      </c>
      <c r="AL42" s="95">
        <f t="shared" si="23"/>
        <v>0</v>
      </c>
      <c r="AM42" s="95">
        <f t="shared" si="23"/>
        <v>0</v>
      </c>
      <c r="AN42" s="95">
        <f t="shared" si="23"/>
        <v>0</v>
      </c>
      <c r="AO42" s="95">
        <f t="shared" si="23"/>
        <v>0</v>
      </c>
      <c r="AP42" s="95">
        <f t="shared" si="23"/>
        <v>0</v>
      </c>
      <c r="AQ42" s="95">
        <f t="shared" si="23"/>
        <v>0</v>
      </c>
      <c r="AR42" s="96">
        <f t="shared" si="23"/>
        <v>0</v>
      </c>
    </row>
    <row r="43" spans="2:44" s="45" customFormat="1" x14ac:dyDescent="0.15">
      <c r="B43" s="35"/>
      <c r="C43" s="88" t="str">
        <f t="shared" si="18"/>
        <v>Investment in Year 11</v>
      </c>
      <c r="D43" s="160">
        <f t="shared" si="19"/>
        <v>0</v>
      </c>
      <c r="E43" s="94">
        <f t="shared" ref="E43:N52" si="24">IF(OR($C43="",Year&gt;Contract_Length),,IF(Year&lt;INDEX(Year,1,5+ROW()-ROW($A$33)),,IF(Year&gt;INDEX(Year,1,5+ROW()-ROW($A$33))+Invest_Period-1,,$D43/Invest_Period)))</f>
        <v>0</v>
      </c>
      <c r="F43" s="95">
        <f t="shared" si="24"/>
        <v>0</v>
      </c>
      <c r="G43" s="95">
        <f t="shared" si="24"/>
        <v>0</v>
      </c>
      <c r="H43" s="95">
        <f t="shared" si="24"/>
        <v>0</v>
      </c>
      <c r="I43" s="95">
        <f t="shared" si="24"/>
        <v>0</v>
      </c>
      <c r="J43" s="95">
        <f t="shared" si="24"/>
        <v>0</v>
      </c>
      <c r="K43" s="95">
        <f t="shared" si="24"/>
        <v>0</v>
      </c>
      <c r="L43" s="95">
        <f t="shared" si="24"/>
        <v>0</v>
      </c>
      <c r="M43" s="95">
        <f t="shared" si="24"/>
        <v>0</v>
      </c>
      <c r="N43" s="95">
        <f t="shared" si="24"/>
        <v>0</v>
      </c>
      <c r="O43" s="95">
        <f t="shared" ref="O43:X52" si="25">IF(OR($C43="",Year&gt;Contract_Length),,IF(Year&lt;INDEX(Year,1,5+ROW()-ROW($A$33)),,IF(Year&gt;INDEX(Year,1,5+ROW()-ROW($A$33))+Invest_Period-1,,$D43/Invest_Period)))</f>
        <v>0</v>
      </c>
      <c r="P43" s="95">
        <f t="shared" si="25"/>
        <v>0</v>
      </c>
      <c r="Q43" s="95">
        <f t="shared" si="25"/>
        <v>0</v>
      </c>
      <c r="R43" s="95">
        <f t="shared" si="25"/>
        <v>0</v>
      </c>
      <c r="S43" s="95">
        <f t="shared" si="25"/>
        <v>0</v>
      </c>
      <c r="T43" s="95">
        <f t="shared" si="25"/>
        <v>0</v>
      </c>
      <c r="U43" s="95">
        <f t="shared" si="25"/>
        <v>0</v>
      </c>
      <c r="V43" s="95">
        <f t="shared" si="25"/>
        <v>0</v>
      </c>
      <c r="W43" s="95">
        <f t="shared" si="25"/>
        <v>0</v>
      </c>
      <c r="X43" s="95">
        <f t="shared" si="25"/>
        <v>0</v>
      </c>
      <c r="Y43" s="95">
        <f t="shared" ref="Y43:AH52" si="26">IF(OR($C43="",Year&gt;Contract_Length),,IF(Year&lt;INDEX(Year,1,5+ROW()-ROW($A$33)),,IF(Year&gt;INDEX(Year,1,5+ROW()-ROW($A$33))+Invest_Period-1,,$D43/Invest_Period)))</f>
        <v>0</v>
      </c>
      <c r="Z43" s="95">
        <f t="shared" si="26"/>
        <v>0</v>
      </c>
      <c r="AA43" s="95">
        <f t="shared" si="26"/>
        <v>0</v>
      </c>
      <c r="AB43" s="95">
        <f t="shared" si="26"/>
        <v>0</v>
      </c>
      <c r="AC43" s="95">
        <f t="shared" si="26"/>
        <v>0</v>
      </c>
      <c r="AD43" s="95">
        <f t="shared" si="26"/>
        <v>0</v>
      </c>
      <c r="AE43" s="95">
        <f t="shared" si="26"/>
        <v>0</v>
      </c>
      <c r="AF43" s="95">
        <f t="shared" si="26"/>
        <v>0</v>
      </c>
      <c r="AG43" s="95">
        <f t="shared" si="26"/>
        <v>0</v>
      </c>
      <c r="AH43" s="95">
        <f t="shared" si="26"/>
        <v>0</v>
      </c>
      <c r="AI43" s="95">
        <f t="shared" ref="AI43:AR52" si="27">IF(OR($C43="",Year&gt;Contract_Length),,IF(Year&lt;INDEX(Year,1,5+ROW()-ROW($A$33)),,IF(Year&gt;INDEX(Year,1,5+ROW()-ROW($A$33))+Invest_Period-1,,$D43/Invest_Period)))</f>
        <v>0</v>
      </c>
      <c r="AJ43" s="95">
        <f t="shared" si="27"/>
        <v>0</v>
      </c>
      <c r="AK43" s="95">
        <f t="shared" si="27"/>
        <v>0</v>
      </c>
      <c r="AL43" s="95">
        <f t="shared" si="27"/>
        <v>0</v>
      </c>
      <c r="AM43" s="95">
        <f t="shared" si="27"/>
        <v>0</v>
      </c>
      <c r="AN43" s="95">
        <f t="shared" si="27"/>
        <v>0</v>
      </c>
      <c r="AO43" s="95">
        <f t="shared" si="27"/>
        <v>0</v>
      </c>
      <c r="AP43" s="95">
        <f t="shared" si="27"/>
        <v>0</v>
      </c>
      <c r="AQ43" s="95">
        <f t="shared" si="27"/>
        <v>0</v>
      </c>
      <c r="AR43" s="96">
        <f t="shared" si="27"/>
        <v>0</v>
      </c>
    </row>
    <row r="44" spans="2:44" s="45" customFormat="1" x14ac:dyDescent="0.15">
      <c r="B44" s="35"/>
      <c r="C44" s="88" t="str">
        <f t="shared" si="18"/>
        <v>Investment in Year 12</v>
      </c>
      <c r="D44" s="160">
        <f t="shared" si="19"/>
        <v>0</v>
      </c>
      <c r="E44" s="94">
        <f t="shared" si="24"/>
        <v>0</v>
      </c>
      <c r="F44" s="95">
        <f t="shared" si="24"/>
        <v>0</v>
      </c>
      <c r="G44" s="95">
        <f t="shared" si="24"/>
        <v>0</v>
      </c>
      <c r="H44" s="95">
        <f t="shared" si="24"/>
        <v>0</v>
      </c>
      <c r="I44" s="95">
        <f t="shared" si="24"/>
        <v>0</v>
      </c>
      <c r="J44" s="95">
        <f t="shared" si="24"/>
        <v>0</v>
      </c>
      <c r="K44" s="95">
        <f t="shared" si="24"/>
        <v>0</v>
      </c>
      <c r="L44" s="95">
        <f t="shared" si="24"/>
        <v>0</v>
      </c>
      <c r="M44" s="95">
        <f t="shared" si="24"/>
        <v>0</v>
      </c>
      <c r="N44" s="95">
        <f t="shared" si="24"/>
        <v>0</v>
      </c>
      <c r="O44" s="95">
        <f t="shared" si="25"/>
        <v>0</v>
      </c>
      <c r="P44" s="95">
        <f t="shared" si="25"/>
        <v>0</v>
      </c>
      <c r="Q44" s="95">
        <f t="shared" si="25"/>
        <v>0</v>
      </c>
      <c r="R44" s="95">
        <f t="shared" si="25"/>
        <v>0</v>
      </c>
      <c r="S44" s="95">
        <f t="shared" si="25"/>
        <v>0</v>
      </c>
      <c r="T44" s="95">
        <f t="shared" si="25"/>
        <v>0</v>
      </c>
      <c r="U44" s="95">
        <f t="shared" si="25"/>
        <v>0</v>
      </c>
      <c r="V44" s="95">
        <f t="shared" si="25"/>
        <v>0</v>
      </c>
      <c r="W44" s="95">
        <f t="shared" si="25"/>
        <v>0</v>
      </c>
      <c r="X44" s="95">
        <f t="shared" si="25"/>
        <v>0</v>
      </c>
      <c r="Y44" s="95">
        <f t="shared" si="26"/>
        <v>0</v>
      </c>
      <c r="Z44" s="95">
        <f t="shared" si="26"/>
        <v>0</v>
      </c>
      <c r="AA44" s="95">
        <f t="shared" si="26"/>
        <v>0</v>
      </c>
      <c r="AB44" s="95">
        <f t="shared" si="26"/>
        <v>0</v>
      </c>
      <c r="AC44" s="95">
        <f t="shared" si="26"/>
        <v>0</v>
      </c>
      <c r="AD44" s="95">
        <f t="shared" si="26"/>
        <v>0</v>
      </c>
      <c r="AE44" s="95">
        <f t="shared" si="26"/>
        <v>0</v>
      </c>
      <c r="AF44" s="95">
        <f t="shared" si="26"/>
        <v>0</v>
      </c>
      <c r="AG44" s="95">
        <f t="shared" si="26"/>
        <v>0</v>
      </c>
      <c r="AH44" s="95">
        <f t="shared" si="26"/>
        <v>0</v>
      </c>
      <c r="AI44" s="95">
        <f t="shared" si="27"/>
        <v>0</v>
      </c>
      <c r="AJ44" s="95">
        <f t="shared" si="27"/>
        <v>0</v>
      </c>
      <c r="AK44" s="95">
        <f t="shared" si="27"/>
        <v>0</v>
      </c>
      <c r="AL44" s="95">
        <f t="shared" si="27"/>
        <v>0</v>
      </c>
      <c r="AM44" s="95">
        <f t="shared" si="27"/>
        <v>0</v>
      </c>
      <c r="AN44" s="95">
        <f t="shared" si="27"/>
        <v>0</v>
      </c>
      <c r="AO44" s="95">
        <f t="shared" si="27"/>
        <v>0</v>
      </c>
      <c r="AP44" s="95">
        <f t="shared" si="27"/>
        <v>0</v>
      </c>
      <c r="AQ44" s="95">
        <f t="shared" si="27"/>
        <v>0</v>
      </c>
      <c r="AR44" s="96">
        <f t="shared" si="27"/>
        <v>0</v>
      </c>
    </row>
    <row r="45" spans="2:44" s="45" customFormat="1" x14ac:dyDescent="0.15">
      <c r="B45" s="35"/>
      <c r="C45" s="88" t="str">
        <f t="shared" si="18"/>
        <v>Investment in Year 13</v>
      </c>
      <c r="D45" s="160">
        <f t="shared" si="19"/>
        <v>0</v>
      </c>
      <c r="E45" s="94">
        <f t="shared" si="24"/>
        <v>0</v>
      </c>
      <c r="F45" s="95">
        <f t="shared" si="24"/>
        <v>0</v>
      </c>
      <c r="G45" s="95">
        <f t="shared" si="24"/>
        <v>0</v>
      </c>
      <c r="H45" s="95">
        <f t="shared" si="24"/>
        <v>0</v>
      </c>
      <c r="I45" s="95">
        <f t="shared" si="24"/>
        <v>0</v>
      </c>
      <c r="J45" s="95">
        <f t="shared" si="24"/>
        <v>0</v>
      </c>
      <c r="K45" s="95">
        <f t="shared" si="24"/>
        <v>0</v>
      </c>
      <c r="L45" s="95">
        <f t="shared" si="24"/>
        <v>0</v>
      </c>
      <c r="M45" s="95">
        <f t="shared" si="24"/>
        <v>0</v>
      </c>
      <c r="N45" s="95">
        <f t="shared" si="24"/>
        <v>0</v>
      </c>
      <c r="O45" s="95">
        <f t="shared" si="25"/>
        <v>0</v>
      </c>
      <c r="P45" s="95">
        <f t="shared" si="25"/>
        <v>0</v>
      </c>
      <c r="Q45" s="95">
        <f t="shared" si="25"/>
        <v>0</v>
      </c>
      <c r="R45" s="95">
        <f t="shared" si="25"/>
        <v>0</v>
      </c>
      <c r="S45" s="95">
        <f t="shared" si="25"/>
        <v>0</v>
      </c>
      <c r="T45" s="95">
        <f t="shared" si="25"/>
        <v>0</v>
      </c>
      <c r="U45" s="95">
        <f t="shared" si="25"/>
        <v>0</v>
      </c>
      <c r="V45" s="95">
        <f t="shared" si="25"/>
        <v>0</v>
      </c>
      <c r="W45" s="95">
        <f t="shared" si="25"/>
        <v>0</v>
      </c>
      <c r="X45" s="95">
        <f t="shared" si="25"/>
        <v>0</v>
      </c>
      <c r="Y45" s="95">
        <f t="shared" si="26"/>
        <v>0</v>
      </c>
      <c r="Z45" s="95">
        <f t="shared" si="26"/>
        <v>0</v>
      </c>
      <c r="AA45" s="95">
        <f t="shared" si="26"/>
        <v>0</v>
      </c>
      <c r="AB45" s="95">
        <f t="shared" si="26"/>
        <v>0</v>
      </c>
      <c r="AC45" s="95">
        <f t="shared" si="26"/>
        <v>0</v>
      </c>
      <c r="AD45" s="95">
        <f t="shared" si="26"/>
        <v>0</v>
      </c>
      <c r="AE45" s="95">
        <f t="shared" si="26"/>
        <v>0</v>
      </c>
      <c r="AF45" s="95">
        <f t="shared" si="26"/>
        <v>0</v>
      </c>
      <c r="AG45" s="95">
        <f t="shared" si="26"/>
        <v>0</v>
      </c>
      <c r="AH45" s="95">
        <f t="shared" si="26"/>
        <v>0</v>
      </c>
      <c r="AI45" s="95">
        <f t="shared" si="27"/>
        <v>0</v>
      </c>
      <c r="AJ45" s="95">
        <f t="shared" si="27"/>
        <v>0</v>
      </c>
      <c r="AK45" s="95">
        <f t="shared" si="27"/>
        <v>0</v>
      </c>
      <c r="AL45" s="95">
        <f t="shared" si="27"/>
        <v>0</v>
      </c>
      <c r="AM45" s="95">
        <f t="shared" si="27"/>
        <v>0</v>
      </c>
      <c r="AN45" s="95">
        <f t="shared" si="27"/>
        <v>0</v>
      </c>
      <c r="AO45" s="95">
        <f t="shared" si="27"/>
        <v>0</v>
      </c>
      <c r="AP45" s="95">
        <f t="shared" si="27"/>
        <v>0</v>
      </c>
      <c r="AQ45" s="95">
        <f t="shared" si="27"/>
        <v>0</v>
      </c>
      <c r="AR45" s="96">
        <f t="shared" si="27"/>
        <v>0</v>
      </c>
    </row>
    <row r="46" spans="2:44" s="45" customFormat="1" x14ac:dyDescent="0.15">
      <c r="B46" s="35"/>
      <c r="C46" s="88" t="str">
        <f t="shared" si="18"/>
        <v>Investment in Year 14</v>
      </c>
      <c r="D46" s="160">
        <f t="shared" si="19"/>
        <v>0</v>
      </c>
      <c r="E46" s="94">
        <f t="shared" si="24"/>
        <v>0</v>
      </c>
      <c r="F46" s="95">
        <f t="shared" si="24"/>
        <v>0</v>
      </c>
      <c r="G46" s="95">
        <f t="shared" si="24"/>
        <v>0</v>
      </c>
      <c r="H46" s="95">
        <f t="shared" si="24"/>
        <v>0</v>
      </c>
      <c r="I46" s="95">
        <f t="shared" si="24"/>
        <v>0</v>
      </c>
      <c r="J46" s="95">
        <f t="shared" si="24"/>
        <v>0</v>
      </c>
      <c r="K46" s="95">
        <f t="shared" si="24"/>
        <v>0</v>
      </c>
      <c r="L46" s="95">
        <f t="shared" si="24"/>
        <v>0</v>
      </c>
      <c r="M46" s="95">
        <f t="shared" si="24"/>
        <v>0</v>
      </c>
      <c r="N46" s="95">
        <f t="shared" si="24"/>
        <v>0</v>
      </c>
      <c r="O46" s="95">
        <f t="shared" si="25"/>
        <v>0</v>
      </c>
      <c r="P46" s="95">
        <f t="shared" si="25"/>
        <v>0</v>
      </c>
      <c r="Q46" s="95">
        <f t="shared" si="25"/>
        <v>0</v>
      </c>
      <c r="R46" s="95">
        <f t="shared" si="25"/>
        <v>0</v>
      </c>
      <c r="S46" s="95">
        <f t="shared" si="25"/>
        <v>0</v>
      </c>
      <c r="T46" s="95">
        <f t="shared" si="25"/>
        <v>0</v>
      </c>
      <c r="U46" s="95">
        <f t="shared" si="25"/>
        <v>0</v>
      </c>
      <c r="V46" s="95">
        <f t="shared" si="25"/>
        <v>0</v>
      </c>
      <c r="W46" s="95">
        <f t="shared" si="25"/>
        <v>0</v>
      </c>
      <c r="X46" s="95">
        <f t="shared" si="25"/>
        <v>0</v>
      </c>
      <c r="Y46" s="95">
        <f t="shared" si="26"/>
        <v>0</v>
      </c>
      <c r="Z46" s="95">
        <f t="shared" si="26"/>
        <v>0</v>
      </c>
      <c r="AA46" s="95">
        <f t="shared" si="26"/>
        <v>0</v>
      </c>
      <c r="AB46" s="95">
        <f t="shared" si="26"/>
        <v>0</v>
      </c>
      <c r="AC46" s="95">
        <f t="shared" si="26"/>
        <v>0</v>
      </c>
      <c r="AD46" s="95">
        <f t="shared" si="26"/>
        <v>0</v>
      </c>
      <c r="AE46" s="95">
        <f t="shared" si="26"/>
        <v>0</v>
      </c>
      <c r="AF46" s="95">
        <f t="shared" si="26"/>
        <v>0</v>
      </c>
      <c r="AG46" s="95">
        <f t="shared" si="26"/>
        <v>0</v>
      </c>
      <c r="AH46" s="95">
        <f t="shared" si="26"/>
        <v>0</v>
      </c>
      <c r="AI46" s="95">
        <f t="shared" si="27"/>
        <v>0</v>
      </c>
      <c r="AJ46" s="95">
        <f t="shared" si="27"/>
        <v>0</v>
      </c>
      <c r="AK46" s="95">
        <f t="shared" si="27"/>
        <v>0</v>
      </c>
      <c r="AL46" s="95">
        <f t="shared" si="27"/>
        <v>0</v>
      </c>
      <c r="AM46" s="95">
        <f t="shared" si="27"/>
        <v>0</v>
      </c>
      <c r="AN46" s="95">
        <f t="shared" si="27"/>
        <v>0</v>
      </c>
      <c r="AO46" s="95">
        <f t="shared" si="27"/>
        <v>0</v>
      </c>
      <c r="AP46" s="95">
        <f t="shared" si="27"/>
        <v>0</v>
      </c>
      <c r="AQ46" s="95">
        <f t="shared" si="27"/>
        <v>0</v>
      </c>
      <c r="AR46" s="96">
        <f t="shared" si="27"/>
        <v>0</v>
      </c>
    </row>
    <row r="47" spans="2:44" s="45" customFormat="1" x14ac:dyDescent="0.15">
      <c r="B47" s="35"/>
      <c r="C47" s="88" t="str">
        <f t="shared" si="18"/>
        <v>Investment in Year 15</v>
      </c>
      <c r="D47" s="160">
        <f t="shared" si="19"/>
        <v>0</v>
      </c>
      <c r="E47" s="94">
        <f t="shared" si="24"/>
        <v>0</v>
      </c>
      <c r="F47" s="95">
        <f t="shared" si="24"/>
        <v>0</v>
      </c>
      <c r="G47" s="95">
        <f t="shared" si="24"/>
        <v>0</v>
      </c>
      <c r="H47" s="95">
        <f t="shared" si="24"/>
        <v>0</v>
      </c>
      <c r="I47" s="95">
        <f t="shared" si="24"/>
        <v>0</v>
      </c>
      <c r="J47" s="95">
        <f t="shared" si="24"/>
        <v>0</v>
      </c>
      <c r="K47" s="95">
        <f t="shared" si="24"/>
        <v>0</v>
      </c>
      <c r="L47" s="95">
        <f t="shared" si="24"/>
        <v>0</v>
      </c>
      <c r="M47" s="95">
        <f t="shared" si="24"/>
        <v>0</v>
      </c>
      <c r="N47" s="95">
        <f t="shared" si="24"/>
        <v>0</v>
      </c>
      <c r="O47" s="95">
        <f t="shared" si="25"/>
        <v>0</v>
      </c>
      <c r="P47" s="95">
        <f t="shared" si="25"/>
        <v>0</v>
      </c>
      <c r="Q47" s="95">
        <f t="shared" si="25"/>
        <v>0</v>
      </c>
      <c r="R47" s="95">
        <f t="shared" si="25"/>
        <v>0</v>
      </c>
      <c r="S47" s="95">
        <f t="shared" si="25"/>
        <v>0</v>
      </c>
      <c r="T47" s="95">
        <f t="shared" si="25"/>
        <v>0</v>
      </c>
      <c r="U47" s="95">
        <f t="shared" si="25"/>
        <v>0</v>
      </c>
      <c r="V47" s="95">
        <f t="shared" si="25"/>
        <v>0</v>
      </c>
      <c r="W47" s="95">
        <f t="shared" si="25"/>
        <v>0</v>
      </c>
      <c r="X47" s="95">
        <f t="shared" si="25"/>
        <v>0</v>
      </c>
      <c r="Y47" s="95">
        <f t="shared" si="26"/>
        <v>0</v>
      </c>
      <c r="Z47" s="95">
        <f t="shared" si="26"/>
        <v>0</v>
      </c>
      <c r="AA47" s="95">
        <f t="shared" si="26"/>
        <v>0</v>
      </c>
      <c r="AB47" s="95">
        <f t="shared" si="26"/>
        <v>0</v>
      </c>
      <c r="AC47" s="95">
        <f t="shared" si="26"/>
        <v>0</v>
      </c>
      <c r="AD47" s="95">
        <f t="shared" si="26"/>
        <v>0</v>
      </c>
      <c r="AE47" s="95">
        <f t="shared" si="26"/>
        <v>0</v>
      </c>
      <c r="AF47" s="95">
        <f t="shared" si="26"/>
        <v>0</v>
      </c>
      <c r="AG47" s="95">
        <f t="shared" si="26"/>
        <v>0</v>
      </c>
      <c r="AH47" s="95">
        <f t="shared" si="26"/>
        <v>0</v>
      </c>
      <c r="AI47" s="95">
        <f t="shared" si="27"/>
        <v>0</v>
      </c>
      <c r="AJ47" s="95">
        <f t="shared" si="27"/>
        <v>0</v>
      </c>
      <c r="AK47" s="95">
        <f t="shared" si="27"/>
        <v>0</v>
      </c>
      <c r="AL47" s="95">
        <f t="shared" si="27"/>
        <v>0</v>
      </c>
      <c r="AM47" s="95">
        <f t="shared" si="27"/>
        <v>0</v>
      </c>
      <c r="AN47" s="95">
        <f t="shared" si="27"/>
        <v>0</v>
      </c>
      <c r="AO47" s="95">
        <f t="shared" si="27"/>
        <v>0</v>
      </c>
      <c r="AP47" s="95">
        <f t="shared" si="27"/>
        <v>0</v>
      </c>
      <c r="AQ47" s="95">
        <f t="shared" si="27"/>
        <v>0</v>
      </c>
      <c r="AR47" s="96">
        <f t="shared" si="27"/>
        <v>0</v>
      </c>
    </row>
    <row r="48" spans="2:44" s="45" customFormat="1" x14ac:dyDescent="0.15">
      <c r="B48" s="35"/>
      <c r="C48" s="88" t="str">
        <f t="shared" si="18"/>
        <v>Investment in Year 16</v>
      </c>
      <c r="D48" s="160">
        <f t="shared" si="19"/>
        <v>0</v>
      </c>
      <c r="E48" s="94">
        <f t="shared" si="24"/>
        <v>0</v>
      </c>
      <c r="F48" s="95">
        <f t="shared" si="24"/>
        <v>0</v>
      </c>
      <c r="G48" s="95">
        <f t="shared" si="24"/>
        <v>0</v>
      </c>
      <c r="H48" s="95">
        <f t="shared" si="24"/>
        <v>0</v>
      </c>
      <c r="I48" s="95">
        <f t="shared" si="24"/>
        <v>0</v>
      </c>
      <c r="J48" s="95">
        <f t="shared" si="24"/>
        <v>0</v>
      </c>
      <c r="K48" s="95">
        <f t="shared" si="24"/>
        <v>0</v>
      </c>
      <c r="L48" s="95">
        <f t="shared" si="24"/>
        <v>0</v>
      </c>
      <c r="M48" s="95">
        <f t="shared" si="24"/>
        <v>0</v>
      </c>
      <c r="N48" s="95">
        <f t="shared" si="24"/>
        <v>0</v>
      </c>
      <c r="O48" s="95">
        <f t="shared" si="25"/>
        <v>0</v>
      </c>
      <c r="P48" s="95">
        <f t="shared" si="25"/>
        <v>0</v>
      </c>
      <c r="Q48" s="95">
        <f t="shared" si="25"/>
        <v>0</v>
      </c>
      <c r="R48" s="95">
        <f t="shared" si="25"/>
        <v>0</v>
      </c>
      <c r="S48" s="95">
        <f t="shared" si="25"/>
        <v>0</v>
      </c>
      <c r="T48" s="95">
        <f t="shared" si="25"/>
        <v>0</v>
      </c>
      <c r="U48" s="95">
        <f t="shared" si="25"/>
        <v>0</v>
      </c>
      <c r="V48" s="95">
        <f t="shared" si="25"/>
        <v>0</v>
      </c>
      <c r="W48" s="95">
        <f t="shared" si="25"/>
        <v>0</v>
      </c>
      <c r="X48" s="95">
        <f t="shared" si="25"/>
        <v>0</v>
      </c>
      <c r="Y48" s="95">
        <f t="shared" si="26"/>
        <v>0</v>
      </c>
      <c r="Z48" s="95">
        <f t="shared" si="26"/>
        <v>0</v>
      </c>
      <c r="AA48" s="95">
        <f t="shared" si="26"/>
        <v>0</v>
      </c>
      <c r="AB48" s="95">
        <f t="shared" si="26"/>
        <v>0</v>
      </c>
      <c r="AC48" s="95">
        <f t="shared" si="26"/>
        <v>0</v>
      </c>
      <c r="AD48" s="95">
        <f t="shared" si="26"/>
        <v>0</v>
      </c>
      <c r="AE48" s="95">
        <f t="shared" si="26"/>
        <v>0</v>
      </c>
      <c r="AF48" s="95">
        <f t="shared" si="26"/>
        <v>0</v>
      </c>
      <c r="AG48" s="95">
        <f t="shared" si="26"/>
        <v>0</v>
      </c>
      <c r="AH48" s="95">
        <f t="shared" si="26"/>
        <v>0</v>
      </c>
      <c r="AI48" s="95">
        <f t="shared" si="27"/>
        <v>0</v>
      </c>
      <c r="AJ48" s="95">
        <f t="shared" si="27"/>
        <v>0</v>
      </c>
      <c r="AK48" s="95">
        <f t="shared" si="27"/>
        <v>0</v>
      </c>
      <c r="AL48" s="95">
        <f t="shared" si="27"/>
        <v>0</v>
      </c>
      <c r="AM48" s="95">
        <f t="shared" si="27"/>
        <v>0</v>
      </c>
      <c r="AN48" s="95">
        <f t="shared" si="27"/>
        <v>0</v>
      </c>
      <c r="AO48" s="95">
        <f t="shared" si="27"/>
        <v>0</v>
      </c>
      <c r="AP48" s="95">
        <f t="shared" si="27"/>
        <v>0</v>
      </c>
      <c r="AQ48" s="95">
        <f t="shared" si="27"/>
        <v>0</v>
      </c>
      <c r="AR48" s="96">
        <f t="shared" si="27"/>
        <v>0</v>
      </c>
    </row>
    <row r="49" spans="2:44" s="45" customFormat="1" x14ac:dyDescent="0.15">
      <c r="B49" s="35"/>
      <c r="C49" s="88" t="str">
        <f t="shared" si="18"/>
        <v>Investment in Year 17</v>
      </c>
      <c r="D49" s="160">
        <f t="shared" si="19"/>
        <v>0</v>
      </c>
      <c r="E49" s="94">
        <f t="shared" si="24"/>
        <v>0</v>
      </c>
      <c r="F49" s="95">
        <f t="shared" si="24"/>
        <v>0</v>
      </c>
      <c r="G49" s="95">
        <f t="shared" si="24"/>
        <v>0</v>
      </c>
      <c r="H49" s="95">
        <f t="shared" si="24"/>
        <v>0</v>
      </c>
      <c r="I49" s="95">
        <f t="shared" si="24"/>
        <v>0</v>
      </c>
      <c r="J49" s="95">
        <f t="shared" si="24"/>
        <v>0</v>
      </c>
      <c r="K49" s="95">
        <f t="shared" si="24"/>
        <v>0</v>
      </c>
      <c r="L49" s="95">
        <f t="shared" si="24"/>
        <v>0</v>
      </c>
      <c r="M49" s="95">
        <f t="shared" si="24"/>
        <v>0</v>
      </c>
      <c r="N49" s="95">
        <f t="shared" si="24"/>
        <v>0</v>
      </c>
      <c r="O49" s="95">
        <f t="shared" si="25"/>
        <v>0</v>
      </c>
      <c r="P49" s="95">
        <f t="shared" si="25"/>
        <v>0</v>
      </c>
      <c r="Q49" s="95">
        <f t="shared" si="25"/>
        <v>0</v>
      </c>
      <c r="R49" s="95">
        <f t="shared" si="25"/>
        <v>0</v>
      </c>
      <c r="S49" s="95">
        <f t="shared" si="25"/>
        <v>0</v>
      </c>
      <c r="T49" s="95">
        <f t="shared" si="25"/>
        <v>0</v>
      </c>
      <c r="U49" s="95">
        <f t="shared" si="25"/>
        <v>0</v>
      </c>
      <c r="V49" s="95">
        <f t="shared" si="25"/>
        <v>0</v>
      </c>
      <c r="W49" s="95">
        <f t="shared" si="25"/>
        <v>0</v>
      </c>
      <c r="X49" s="95">
        <f t="shared" si="25"/>
        <v>0</v>
      </c>
      <c r="Y49" s="95">
        <f t="shared" si="26"/>
        <v>0</v>
      </c>
      <c r="Z49" s="95">
        <f t="shared" si="26"/>
        <v>0</v>
      </c>
      <c r="AA49" s="95">
        <f t="shared" si="26"/>
        <v>0</v>
      </c>
      <c r="AB49" s="95">
        <f t="shared" si="26"/>
        <v>0</v>
      </c>
      <c r="AC49" s="95">
        <f t="shared" si="26"/>
        <v>0</v>
      </c>
      <c r="AD49" s="95">
        <f t="shared" si="26"/>
        <v>0</v>
      </c>
      <c r="AE49" s="95">
        <f t="shared" si="26"/>
        <v>0</v>
      </c>
      <c r="AF49" s="95">
        <f t="shared" si="26"/>
        <v>0</v>
      </c>
      <c r="AG49" s="95">
        <f t="shared" si="26"/>
        <v>0</v>
      </c>
      <c r="AH49" s="95">
        <f t="shared" si="26"/>
        <v>0</v>
      </c>
      <c r="AI49" s="95">
        <f t="shared" si="27"/>
        <v>0</v>
      </c>
      <c r="AJ49" s="95">
        <f t="shared" si="27"/>
        <v>0</v>
      </c>
      <c r="AK49" s="95">
        <f t="shared" si="27"/>
        <v>0</v>
      </c>
      <c r="AL49" s="95">
        <f t="shared" si="27"/>
        <v>0</v>
      </c>
      <c r="AM49" s="95">
        <f t="shared" si="27"/>
        <v>0</v>
      </c>
      <c r="AN49" s="95">
        <f t="shared" si="27"/>
        <v>0</v>
      </c>
      <c r="AO49" s="95">
        <f t="shared" si="27"/>
        <v>0</v>
      </c>
      <c r="AP49" s="95">
        <f t="shared" si="27"/>
        <v>0</v>
      </c>
      <c r="AQ49" s="95">
        <f t="shared" si="27"/>
        <v>0</v>
      </c>
      <c r="AR49" s="96">
        <f t="shared" si="27"/>
        <v>0</v>
      </c>
    </row>
    <row r="50" spans="2:44" s="45" customFormat="1" x14ac:dyDescent="0.15">
      <c r="B50" s="35"/>
      <c r="C50" s="88" t="str">
        <f t="shared" si="18"/>
        <v>Investment in Year 18</v>
      </c>
      <c r="D50" s="160">
        <f t="shared" si="19"/>
        <v>0</v>
      </c>
      <c r="E50" s="94">
        <f t="shared" si="24"/>
        <v>0</v>
      </c>
      <c r="F50" s="95">
        <f t="shared" si="24"/>
        <v>0</v>
      </c>
      <c r="G50" s="95">
        <f t="shared" si="24"/>
        <v>0</v>
      </c>
      <c r="H50" s="95">
        <f t="shared" si="24"/>
        <v>0</v>
      </c>
      <c r="I50" s="95">
        <f t="shared" si="24"/>
        <v>0</v>
      </c>
      <c r="J50" s="95">
        <f t="shared" si="24"/>
        <v>0</v>
      </c>
      <c r="K50" s="95">
        <f t="shared" si="24"/>
        <v>0</v>
      </c>
      <c r="L50" s="95">
        <f t="shared" si="24"/>
        <v>0</v>
      </c>
      <c r="M50" s="95">
        <f t="shared" si="24"/>
        <v>0</v>
      </c>
      <c r="N50" s="95">
        <f t="shared" si="24"/>
        <v>0</v>
      </c>
      <c r="O50" s="95">
        <f t="shared" si="25"/>
        <v>0</v>
      </c>
      <c r="P50" s="95">
        <f t="shared" si="25"/>
        <v>0</v>
      </c>
      <c r="Q50" s="95">
        <f t="shared" si="25"/>
        <v>0</v>
      </c>
      <c r="R50" s="95">
        <f t="shared" si="25"/>
        <v>0</v>
      </c>
      <c r="S50" s="95">
        <f t="shared" si="25"/>
        <v>0</v>
      </c>
      <c r="T50" s="95">
        <f t="shared" si="25"/>
        <v>0</v>
      </c>
      <c r="U50" s="95">
        <f t="shared" si="25"/>
        <v>0</v>
      </c>
      <c r="V50" s="95">
        <f t="shared" si="25"/>
        <v>0</v>
      </c>
      <c r="W50" s="95">
        <f t="shared" si="25"/>
        <v>0</v>
      </c>
      <c r="X50" s="95">
        <f t="shared" si="25"/>
        <v>0</v>
      </c>
      <c r="Y50" s="95">
        <f t="shared" si="26"/>
        <v>0</v>
      </c>
      <c r="Z50" s="95">
        <f t="shared" si="26"/>
        <v>0</v>
      </c>
      <c r="AA50" s="95">
        <f t="shared" si="26"/>
        <v>0</v>
      </c>
      <c r="AB50" s="95">
        <f t="shared" si="26"/>
        <v>0</v>
      </c>
      <c r="AC50" s="95">
        <f t="shared" si="26"/>
        <v>0</v>
      </c>
      <c r="AD50" s="95">
        <f t="shared" si="26"/>
        <v>0</v>
      </c>
      <c r="AE50" s="95">
        <f t="shared" si="26"/>
        <v>0</v>
      </c>
      <c r="AF50" s="95">
        <f t="shared" si="26"/>
        <v>0</v>
      </c>
      <c r="AG50" s="95">
        <f t="shared" si="26"/>
        <v>0</v>
      </c>
      <c r="AH50" s="95">
        <f t="shared" si="26"/>
        <v>0</v>
      </c>
      <c r="AI50" s="95">
        <f t="shared" si="27"/>
        <v>0</v>
      </c>
      <c r="AJ50" s="95">
        <f t="shared" si="27"/>
        <v>0</v>
      </c>
      <c r="AK50" s="95">
        <f t="shared" si="27"/>
        <v>0</v>
      </c>
      <c r="AL50" s="95">
        <f t="shared" si="27"/>
        <v>0</v>
      </c>
      <c r="AM50" s="95">
        <f t="shared" si="27"/>
        <v>0</v>
      </c>
      <c r="AN50" s="95">
        <f t="shared" si="27"/>
        <v>0</v>
      </c>
      <c r="AO50" s="95">
        <f t="shared" si="27"/>
        <v>0</v>
      </c>
      <c r="AP50" s="95">
        <f t="shared" si="27"/>
        <v>0</v>
      </c>
      <c r="AQ50" s="95">
        <f t="shared" si="27"/>
        <v>0</v>
      </c>
      <c r="AR50" s="96">
        <f t="shared" si="27"/>
        <v>0</v>
      </c>
    </row>
    <row r="51" spans="2:44" s="45" customFormat="1" x14ac:dyDescent="0.15">
      <c r="B51" s="35"/>
      <c r="C51" s="88" t="str">
        <f t="shared" si="18"/>
        <v>Investment in Year 19</v>
      </c>
      <c r="D51" s="160">
        <f t="shared" si="19"/>
        <v>0</v>
      </c>
      <c r="E51" s="94">
        <f t="shared" si="24"/>
        <v>0</v>
      </c>
      <c r="F51" s="95">
        <f t="shared" si="24"/>
        <v>0</v>
      </c>
      <c r="G51" s="95">
        <f t="shared" si="24"/>
        <v>0</v>
      </c>
      <c r="H51" s="95">
        <f t="shared" si="24"/>
        <v>0</v>
      </c>
      <c r="I51" s="95">
        <f t="shared" si="24"/>
        <v>0</v>
      </c>
      <c r="J51" s="95">
        <f t="shared" si="24"/>
        <v>0</v>
      </c>
      <c r="K51" s="95">
        <f t="shared" si="24"/>
        <v>0</v>
      </c>
      <c r="L51" s="95">
        <f t="shared" si="24"/>
        <v>0</v>
      </c>
      <c r="M51" s="95">
        <f t="shared" si="24"/>
        <v>0</v>
      </c>
      <c r="N51" s="95">
        <f t="shared" si="24"/>
        <v>0</v>
      </c>
      <c r="O51" s="95">
        <f t="shared" si="25"/>
        <v>0</v>
      </c>
      <c r="P51" s="95">
        <f t="shared" si="25"/>
        <v>0</v>
      </c>
      <c r="Q51" s="95">
        <f t="shared" si="25"/>
        <v>0</v>
      </c>
      <c r="R51" s="95">
        <f t="shared" si="25"/>
        <v>0</v>
      </c>
      <c r="S51" s="95">
        <f t="shared" si="25"/>
        <v>0</v>
      </c>
      <c r="T51" s="95">
        <f t="shared" si="25"/>
        <v>0</v>
      </c>
      <c r="U51" s="95">
        <f t="shared" si="25"/>
        <v>0</v>
      </c>
      <c r="V51" s="95">
        <f t="shared" si="25"/>
        <v>0</v>
      </c>
      <c r="W51" s="95">
        <f t="shared" si="25"/>
        <v>0</v>
      </c>
      <c r="X51" s="95">
        <f t="shared" si="25"/>
        <v>0</v>
      </c>
      <c r="Y51" s="95">
        <f t="shared" si="26"/>
        <v>0</v>
      </c>
      <c r="Z51" s="95">
        <f t="shared" si="26"/>
        <v>0</v>
      </c>
      <c r="AA51" s="95">
        <f t="shared" si="26"/>
        <v>0</v>
      </c>
      <c r="AB51" s="95">
        <f t="shared" si="26"/>
        <v>0</v>
      </c>
      <c r="AC51" s="95">
        <f t="shared" si="26"/>
        <v>0</v>
      </c>
      <c r="AD51" s="95">
        <f t="shared" si="26"/>
        <v>0</v>
      </c>
      <c r="AE51" s="95">
        <f t="shared" si="26"/>
        <v>0</v>
      </c>
      <c r="AF51" s="95">
        <f t="shared" si="26"/>
        <v>0</v>
      </c>
      <c r="AG51" s="95">
        <f t="shared" si="26"/>
        <v>0</v>
      </c>
      <c r="AH51" s="95">
        <f t="shared" si="26"/>
        <v>0</v>
      </c>
      <c r="AI51" s="95">
        <f t="shared" si="27"/>
        <v>0</v>
      </c>
      <c r="AJ51" s="95">
        <f t="shared" si="27"/>
        <v>0</v>
      </c>
      <c r="AK51" s="95">
        <f t="shared" si="27"/>
        <v>0</v>
      </c>
      <c r="AL51" s="95">
        <f t="shared" si="27"/>
        <v>0</v>
      </c>
      <c r="AM51" s="95">
        <f t="shared" si="27"/>
        <v>0</v>
      </c>
      <c r="AN51" s="95">
        <f t="shared" si="27"/>
        <v>0</v>
      </c>
      <c r="AO51" s="95">
        <f t="shared" si="27"/>
        <v>0</v>
      </c>
      <c r="AP51" s="95">
        <f t="shared" si="27"/>
        <v>0</v>
      </c>
      <c r="AQ51" s="95">
        <f t="shared" si="27"/>
        <v>0</v>
      </c>
      <c r="AR51" s="96">
        <f t="shared" si="27"/>
        <v>0</v>
      </c>
    </row>
    <row r="52" spans="2:44" s="45" customFormat="1" x14ac:dyDescent="0.15">
      <c r="B52" s="35"/>
      <c r="C52" s="88" t="str">
        <f t="shared" si="18"/>
        <v>Investment in Year 20</v>
      </c>
      <c r="D52" s="160">
        <f t="shared" si="19"/>
        <v>0</v>
      </c>
      <c r="E52" s="94">
        <f t="shared" si="24"/>
        <v>0</v>
      </c>
      <c r="F52" s="95">
        <f t="shared" si="24"/>
        <v>0</v>
      </c>
      <c r="G52" s="95">
        <f t="shared" si="24"/>
        <v>0</v>
      </c>
      <c r="H52" s="95">
        <f t="shared" si="24"/>
        <v>0</v>
      </c>
      <c r="I52" s="95">
        <f t="shared" si="24"/>
        <v>0</v>
      </c>
      <c r="J52" s="95">
        <f t="shared" si="24"/>
        <v>0</v>
      </c>
      <c r="K52" s="95">
        <f t="shared" si="24"/>
        <v>0</v>
      </c>
      <c r="L52" s="95">
        <f t="shared" si="24"/>
        <v>0</v>
      </c>
      <c r="M52" s="95">
        <f t="shared" si="24"/>
        <v>0</v>
      </c>
      <c r="N52" s="95">
        <f t="shared" si="24"/>
        <v>0</v>
      </c>
      <c r="O52" s="95">
        <f t="shared" si="25"/>
        <v>0</v>
      </c>
      <c r="P52" s="95">
        <f t="shared" si="25"/>
        <v>0</v>
      </c>
      <c r="Q52" s="95">
        <f t="shared" si="25"/>
        <v>0</v>
      </c>
      <c r="R52" s="95">
        <f t="shared" si="25"/>
        <v>0</v>
      </c>
      <c r="S52" s="95">
        <f t="shared" si="25"/>
        <v>0</v>
      </c>
      <c r="T52" s="95">
        <f t="shared" si="25"/>
        <v>0</v>
      </c>
      <c r="U52" s="95">
        <f t="shared" si="25"/>
        <v>0</v>
      </c>
      <c r="V52" s="95">
        <f t="shared" si="25"/>
        <v>0</v>
      </c>
      <c r="W52" s="95">
        <f t="shared" si="25"/>
        <v>0</v>
      </c>
      <c r="X52" s="95">
        <f t="shared" si="25"/>
        <v>0</v>
      </c>
      <c r="Y52" s="95">
        <f t="shared" si="26"/>
        <v>0</v>
      </c>
      <c r="Z52" s="95">
        <f t="shared" si="26"/>
        <v>0</v>
      </c>
      <c r="AA52" s="95">
        <f t="shared" si="26"/>
        <v>0</v>
      </c>
      <c r="AB52" s="95">
        <f t="shared" si="26"/>
        <v>0</v>
      </c>
      <c r="AC52" s="95">
        <f t="shared" si="26"/>
        <v>0</v>
      </c>
      <c r="AD52" s="95">
        <f t="shared" si="26"/>
        <v>0</v>
      </c>
      <c r="AE52" s="95">
        <f t="shared" si="26"/>
        <v>0</v>
      </c>
      <c r="AF52" s="95">
        <f t="shared" si="26"/>
        <v>0</v>
      </c>
      <c r="AG52" s="95">
        <f t="shared" si="26"/>
        <v>0</v>
      </c>
      <c r="AH52" s="95">
        <f t="shared" si="26"/>
        <v>0</v>
      </c>
      <c r="AI52" s="95">
        <f t="shared" si="27"/>
        <v>0</v>
      </c>
      <c r="AJ52" s="95">
        <f t="shared" si="27"/>
        <v>0</v>
      </c>
      <c r="AK52" s="95">
        <f t="shared" si="27"/>
        <v>0</v>
      </c>
      <c r="AL52" s="95">
        <f t="shared" si="27"/>
        <v>0</v>
      </c>
      <c r="AM52" s="95">
        <f t="shared" si="27"/>
        <v>0</v>
      </c>
      <c r="AN52" s="95">
        <f t="shared" si="27"/>
        <v>0</v>
      </c>
      <c r="AO52" s="95">
        <f t="shared" si="27"/>
        <v>0</v>
      </c>
      <c r="AP52" s="95">
        <f t="shared" si="27"/>
        <v>0</v>
      </c>
      <c r="AQ52" s="95">
        <f t="shared" si="27"/>
        <v>0</v>
      </c>
      <c r="AR52" s="96">
        <f t="shared" si="27"/>
        <v>0</v>
      </c>
    </row>
    <row r="53" spans="2:44" s="45" customFormat="1" x14ac:dyDescent="0.15">
      <c r="B53" s="35"/>
      <c r="C53" s="88" t="str">
        <f t="shared" si="18"/>
        <v/>
      </c>
      <c r="D53" s="160">
        <f t="shared" ca="1" si="19"/>
        <v>0</v>
      </c>
      <c r="E53" s="94">
        <f t="shared" ref="E53:N62" si="28">IF(OR($C53="",Year&gt;Contract_Length),,IF(Year&lt;INDEX(Year,1,5+ROW()-ROW($A$33)),,IF(Year&gt;INDEX(Year,1,5+ROW()-ROW($A$33))+Invest_Period-1,,$D53/Invest_Period)))</f>
        <v>0</v>
      </c>
      <c r="F53" s="95">
        <f t="shared" si="28"/>
        <v>0</v>
      </c>
      <c r="G53" s="95">
        <f t="shared" si="28"/>
        <v>0</v>
      </c>
      <c r="H53" s="95">
        <f t="shared" si="28"/>
        <v>0</v>
      </c>
      <c r="I53" s="95">
        <f t="shared" si="28"/>
        <v>0</v>
      </c>
      <c r="J53" s="95">
        <f t="shared" si="28"/>
        <v>0</v>
      </c>
      <c r="K53" s="95">
        <f t="shared" si="28"/>
        <v>0</v>
      </c>
      <c r="L53" s="95">
        <f t="shared" si="28"/>
        <v>0</v>
      </c>
      <c r="M53" s="95">
        <f t="shared" si="28"/>
        <v>0</v>
      </c>
      <c r="N53" s="95">
        <f t="shared" si="28"/>
        <v>0</v>
      </c>
      <c r="O53" s="95">
        <f t="shared" ref="O53:X62" si="29">IF(OR($C53="",Year&gt;Contract_Length),,IF(Year&lt;INDEX(Year,1,5+ROW()-ROW($A$33)),,IF(Year&gt;INDEX(Year,1,5+ROW()-ROW($A$33))+Invest_Period-1,,$D53/Invest_Period)))</f>
        <v>0</v>
      </c>
      <c r="P53" s="95">
        <f t="shared" si="29"/>
        <v>0</v>
      </c>
      <c r="Q53" s="95">
        <f t="shared" si="29"/>
        <v>0</v>
      </c>
      <c r="R53" s="95">
        <f t="shared" si="29"/>
        <v>0</v>
      </c>
      <c r="S53" s="95">
        <f t="shared" si="29"/>
        <v>0</v>
      </c>
      <c r="T53" s="95">
        <f t="shared" si="29"/>
        <v>0</v>
      </c>
      <c r="U53" s="95">
        <f t="shared" si="29"/>
        <v>0</v>
      </c>
      <c r="V53" s="95">
        <f t="shared" si="29"/>
        <v>0</v>
      </c>
      <c r="W53" s="95">
        <f t="shared" si="29"/>
        <v>0</v>
      </c>
      <c r="X53" s="95">
        <f t="shared" si="29"/>
        <v>0</v>
      </c>
      <c r="Y53" s="95">
        <f t="shared" ref="Y53:AH62" si="30">IF(OR($C53="",Year&gt;Contract_Length),,IF(Year&lt;INDEX(Year,1,5+ROW()-ROW($A$33)),,IF(Year&gt;INDEX(Year,1,5+ROW()-ROW($A$33))+Invest_Period-1,,$D53/Invest_Period)))</f>
        <v>0</v>
      </c>
      <c r="Z53" s="95">
        <f t="shared" si="30"/>
        <v>0</v>
      </c>
      <c r="AA53" s="95">
        <f t="shared" si="30"/>
        <v>0</v>
      </c>
      <c r="AB53" s="95">
        <f t="shared" si="30"/>
        <v>0</v>
      </c>
      <c r="AC53" s="95">
        <f t="shared" si="30"/>
        <v>0</v>
      </c>
      <c r="AD53" s="95">
        <f t="shared" si="30"/>
        <v>0</v>
      </c>
      <c r="AE53" s="95">
        <f t="shared" si="30"/>
        <v>0</v>
      </c>
      <c r="AF53" s="95">
        <f t="shared" si="30"/>
        <v>0</v>
      </c>
      <c r="AG53" s="95">
        <f t="shared" si="30"/>
        <v>0</v>
      </c>
      <c r="AH53" s="95">
        <f t="shared" si="30"/>
        <v>0</v>
      </c>
      <c r="AI53" s="95">
        <f t="shared" ref="AI53:AR62" si="31">IF(OR($C53="",Year&gt;Contract_Length),,IF(Year&lt;INDEX(Year,1,5+ROW()-ROW($A$33)),,IF(Year&gt;INDEX(Year,1,5+ROW()-ROW($A$33))+Invest_Period-1,,$D53/Invest_Period)))</f>
        <v>0</v>
      </c>
      <c r="AJ53" s="95">
        <f t="shared" si="31"/>
        <v>0</v>
      </c>
      <c r="AK53" s="95">
        <f t="shared" si="31"/>
        <v>0</v>
      </c>
      <c r="AL53" s="95">
        <f t="shared" si="31"/>
        <v>0</v>
      </c>
      <c r="AM53" s="95">
        <f t="shared" si="31"/>
        <v>0</v>
      </c>
      <c r="AN53" s="95">
        <f t="shared" si="31"/>
        <v>0</v>
      </c>
      <c r="AO53" s="95">
        <f t="shared" si="31"/>
        <v>0</v>
      </c>
      <c r="AP53" s="95">
        <f t="shared" si="31"/>
        <v>0</v>
      </c>
      <c r="AQ53" s="95">
        <f t="shared" si="31"/>
        <v>0</v>
      </c>
      <c r="AR53" s="96">
        <f t="shared" si="31"/>
        <v>0</v>
      </c>
    </row>
    <row r="54" spans="2:44" s="45" customFormat="1" x14ac:dyDescent="0.15">
      <c r="B54" s="35"/>
      <c r="C54" s="88" t="str">
        <f t="shared" si="18"/>
        <v/>
      </c>
      <c r="D54" s="160">
        <f t="shared" ca="1" si="19"/>
        <v>0</v>
      </c>
      <c r="E54" s="94">
        <f t="shared" si="28"/>
        <v>0</v>
      </c>
      <c r="F54" s="95">
        <f t="shared" si="28"/>
        <v>0</v>
      </c>
      <c r="G54" s="95">
        <f t="shared" si="28"/>
        <v>0</v>
      </c>
      <c r="H54" s="95">
        <f t="shared" si="28"/>
        <v>0</v>
      </c>
      <c r="I54" s="95">
        <f t="shared" si="28"/>
        <v>0</v>
      </c>
      <c r="J54" s="95">
        <f t="shared" si="28"/>
        <v>0</v>
      </c>
      <c r="K54" s="95">
        <f t="shared" si="28"/>
        <v>0</v>
      </c>
      <c r="L54" s="95">
        <f t="shared" si="28"/>
        <v>0</v>
      </c>
      <c r="M54" s="95">
        <f t="shared" si="28"/>
        <v>0</v>
      </c>
      <c r="N54" s="95">
        <f t="shared" si="28"/>
        <v>0</v>
      </c>
      <c r="O54" s="95">
        <f t="shared" si="29"/>
        <v>0</v>
      </c>
      <c r="P54" s="95">
        <f t="shared" si="29"/>
        <v>0</v>
      </c>
      <c r="Q54" s="95">
        <f t="shared" si="29"/>
        <v>0</v>
      </c>
      <c r="R54" s="95">
        <f t="shared" si="29"/>
        <v>0</v>
      </c>
      <c r="S54" s="95">
        <f t="shared" si="29"/>
        <v>0</v>
      </c>
      <c r="T54" s="95">
        <f t="shared" si="29"/>
        <v>0</v>
      </c>
      <c r="U54" s="95">
        <f t="shared" si="29"/>
        <v>0</v>
      </c>
      <c r="V54" s="95">
        <f t="shared" si="29"/>
        <v>0</v>
      </c>
      <c r="W54" s="95">
        <f t="shared" si="29"/>
        <v>0</v>
      </c>
      <c r="X54" s="95">
        <f t="shared" si="29"/>
        <v>0</v>
      </c>
      <c r="Y54" s="95">
        <f t="shared" si="30"/>
        <v>0</v>
      </c>
      <c r="Z54" s="95">
        <f t="shared" si="30"/>
        <v>0</v>
      </c>
      <c r="AA54" s="95">
        <f t="shared" si="30"/>
        <v>0</v>
      </c>
      <c r="AB54" s="95">
        <f t="shared" si="30"/>
        <v>0</v>
      </c>
      <c r="AC54" s="95">
        <f t="shared" si="30"/>
        <v>0</v>
      </c>
      <c r="AD54" s="95">
        <f t="shared" si="30"/>
        <v>0</v>
      </c>
      <c r="AE54" s="95">
        <f t="shared" si="30"/>
        <v>0</v>
      </c>
      <c r="AF54" s="95">
        <f t="shared" si="30"/>
        <v>0</v>
      </c>
      <c r="AG54" s="95">
        <f t="shared" si="30"/>
        <v>0</v>
      </c>
      <c r="AH54" s="95">
        <f t="shared" si="30"/>
        <v>0</v>
      </c>
      <c r="AI54" s="95">
        <f t="shared" si="31"/>
        <v>0</v>
      </c>
      <c r="AJ54" s="95">
        <f t="shared" si="31"/>
        <v>0</v>
      </c>
      <c r="AK54" s="95">
        <f t="shared" si="31"/>
        <v>0</v>
      </c>
      <c r="AL54" s="95">
        <f t="shared" si="31"/>
        <v>0</v>
      </c>
      <c r="AM54" s="95">
        <f t="shared" si="31"/>
        <v>0</v>
      </c>
      <c r="AN54" s="95">
        <f t="shared" si="31"/>
        <v>0</v>
      </c>
      <c r="AO54" s="95">
        <f t="shared" si="31"/>
        <v>0</v>
      </c>
      <c r="AP54" s="95">
        <f t="shared" si="31"/>
        <v>0</v>
      </c>
      <c r="AQ54" s="95">
        <f t="shared" si="31"/>
        <v>0</v>
      </c>
      <c r="AR54" s="96">
        <f t="shared" si="31"/>
        <v>0</v>
      </c>
    </row>
    <row r="55" spans="2:44" s="45" customFormat="1" x14ac:dyDescent="0.15">
      <c r="B55" s="35"/>
      <c r="C55" s="88" t="str">
        <f t="shared" si="18"/>
        <v/>
      </c>
      <c r="D55" s="160">
        <f t="shared" ca="1" si="19"/>
        <v>0</v>
      </c>
      <c r="E55" s="94">
        <f t="shared" si="28"/>
        <v>0</v>
      </c>
      <c r="F55" s="95">
        <f t="shared" si="28"/>
        <v>0</v>
      </c>
      <c r="G55" s="95">
        <f t="shared" si="28"/>
        <v>0</v>
      </c>
      <c r="H55" s="95">
        <f t="shared" si="28"/>
        <v>0</v>
      </c>
      <c r="I55" s="95">
        <f t="shared" si="28"/>
        <v>0</v>
      </c>
      <c r="J55" s="95">
        <f t="shared" si="28"/>
        <v>0</v>
      </c>
      <c r="K55" s="95">
        <f t="shared" si="28"/>
        <v>0</v>
      </c>
      <c r="L55" s="95">
        <f t="shared" si="28"/>
        <v>0</v>
      </c>
      <c r="M55" s="95">
        <f t="shared" si="28"/>
        <v>0</v>
      </c>
      <c r="N55" s="95">
        <f t="shared" si="28"/>
        <v>0</v>
      </c>
      <c r="O55" s="95">
        <f t="shared" si="29"/>
        <v>0</v>
      </c>
      <c r="P55" s="95">
        <f t="shared" si="29"/>
        <v>0</v>
      </c>
      <c r="Q55" s="95">
        <f t="shared" si="29"/>
        <v>0</v>
      </c>
      <c r="R55" s="95">
        <f t="shared" si="29"/>
        <v>0</v>
      </c>
      <c r="S55" s="95">
        <f t="shared" si="29"/>
        <v>0</v>
      </c>
      <c r="T55" s="95">
        <f t="shared" si="29"/>
        <v>0</v>
      </c>
      <c r="U55" s="95">
        <f t="shared" si="29"/>
        <v>0</v>
      </c>
      <c r="V55" s="95">
        <f t="shared" si="29"/>
        <v>0</v>
      </c>
      <c r="W55" s="95">
        <f t="shared" si="29"/>
        <v>0</v>
      </c>
      <c r="X55" s="95">
        <f t="shared" si="29"/>
        <v>0</v>
      </c>
      <c r="Y55" s="95">
        <f t="shared" si="30"/>
        <v>0</v>
      </c>
      <c r="Z55" s="95">
        <f t="shared" si="30"/>
        <v>0</v>
      </c>
      <c r="AA55" s="95">
        <f t="shared" si="30"/>
        <v>0</v>
      </c>
      <c r="AB55" s="95">
        <f t="shared" si="30"/>
        <v>0</v>
      </c>
      <c r="AC55" s="95">
        <f t="shared" si="30"/>
        <v>0</v>
      </c>
      <c r="AD55" s="95">
        <f t="shared" si="30"/>
        <v>0</v>
      </c>
      <c r="AE55" s="95">
        <f t="shared" si="30"/>
        <v>0</v>
      </c>
      <c r="AF55" s="95">
        <f t="shared" si="30"/>
        <v>0</v>
      </c>
      <c r="AG55" s="95">
        <f t="shared" si="30"/>
        <v>0</v>
      </c>
      <c r="AH55" s="95">
        <f t="shared" si="30"/>
        <v>0</v>
      </c>
      <c r="AI55" s="95">
        <f t="shared" si="31"/>
        <v>0</v>
      </c>
      <c r="AJ55" s="95">
        <f t="shared" si="31"/>
        <v>0</v>
      </c>
      <c r="AK55" s="95">
        <f t="shared" si="31"/>
        <v>0</v>
      </c>
      <c r="AL55" s="95">
        <f t="shared" si="31"/>
        <v>0</v>
      </c>
      <c r="AM55" s="95">
        <f t="shared" si="31"/>
        <v>0</v>
      </c>
      <c r="AN55" s="95">
        <f t="shared" si="31"/>
        <v>0</v>
      </c>
      <c r="AO55" s="95">
        <f t="shared" si="31"/>
        <v>0</v>
      </c>
      <c r="AP55" s="95">
        <f t="shared" si="31"/>
        <v>0</v>
      </c>
      <c r="AQ55" s="95">
        <f t="shared" si="31"/>
        <v>0</v>
      </c>
      <c r="AR55" s="96">
        <f t="shared" si="31"/>
        <v>0</v>
      </c>
    </row>
    <row r="56" spans="2:44" s="45" customFormat="1" x14ac:dyDescent="0.15">
      <c r="B56" s="35"/>
      <c r="C56" s="88" t="str">
        <f t="shared" si="18"/>
        <v/>
      </c>
      <c r="D56" s="160">
        <f t="shared" ca="1" si="19"/>
        <v>0</v>
      </c>
      <c r="E56" s="94">
        <f t="shared" si="28"/>
        <v>0</v>
      </c>
      <c r="F56" s="95">
        <f t="shared" si="28"/>
        <v>0</v>
      </c>
      <c r="G56" s="95">
        <f t="shared" si="28"/>
        <v>0</v>
      </c>
      <c r="H56" s="95">
        <f t="shared" si="28"/>
        <v>0</v>
      </c>
      <c r="I56" s="95">
        <f t="shared" si="28"/>
        <v>0</v>
      </c>
      <c r="J56" s="95">
        <f t="shared" si="28"/>
        <v>0</v>
      </c>
      <c r="K56" s="95">
        <f t="shared" si="28"/>
        <v>0</v>
      </c>
      <c r="L56" s="95">
        <f t="shared" si="28"/>
        <v>0</v>
      </c>
      <c r="M56" s="95">
        <f t="shared" si="28"/>
        <v>0</v>
      </c>
      <c r="N56" s="95">
        <f t="shared" si="28"/>
        <v>0</v>
      </c>
      <c r="O56" s="95">
        <f t="shared" si="29"/>
        <v>0</v>
      </c>
      <c r="P56" s="95">
        <f t="shared" si="29"/>
        <v>0</v>
      </c>
      <c r="Q56" s="95">
        <f t="shared" si="29"/>
        <v>0</v>
      </c>
      <c r="R56" s="95">
        <f t="shared" si="29"/>
        <v>0</v>
      </c>
      <c r="S56" s="95">
        <f t="shared" si="29"/>
        <v>0</v>
      </c>
      <c r="T56" s="95">
        <f t="shared" si="29"/>
        <v>0</v>
      </c>
      <c r="U56" s="95">
        <f t="shared" si="29"/>
        <v>0</v>
      </c>
      <c r="V56" s="95">
        <f t="shared" si="29"/>
        <v>0</v>
      </c>
      <c r="W56" s="95">
        <f t="shared" si="29"/>
        <v>0</v>
      </c>
      <c r="X56" s="95">
        <f t="shared" si="29"/>
        <v>0</v>
      </c>
      <c r="Y56" s="95">
        <f t="shared" si="30"/>
        <v>0</v>
      </c>
      <c r="Z56" s="95">
        <f t="shared" si="30"/>
        <v>0</v>
      </c>
      <c r="AA56" s="95">
        <f t="shared" si="30"/>
        <v>0</v>
      </c>
      <c r="AB56" s="95">
        <f t="shared" si="30"/>
        <v>0</v>
      </c>
      <c r="AC56" s="95">
        <f t="shared" si="30"/>
        <v>0</v>
      </c>
      <c r="AD56" s="95">
        <f t="shared" si="30"/>
        <v>0</v>
      </c>
      <c r="AE56" s="95">
        <f t="shared" si="30"/>
        <v>0</v>
      </c>
      <c r="AF56" s="95">
        <f t="shared" si="30"/>
        <v>0</v>
      </c>
      <c r="AG56" s="95">
        <f t="shared" si="30"/>
        <v>0</v>
      </c>
      <c r="AH56" s="95">
        <f t="shared" si="30"/>
        <v>0</v>
      </c>
      <c r="AI56" s="95">
        <f t="shared" si="31"/>
        <v>0</v>
      </c>
      <c r="AJ56" s="95">
        <f t="shared" si="31"/>
        <v>0</v>
      </c>
      <c r="AK56" s="95">
        <f t="shared" si="31"/>
        <v>0</v>
      </c>
      <c r="AL56" s="95">
        <f t="shared" si="31"/>
        <v>0</v>
      </c>
      <c r="AM56" s="95">
        <f t="shared" si="31"/>
        <v>0</v>
      </c>
      <c r="AN56" s="95">
        <f t="shared" si="31"/>
        <v>0</v>
      </c>
      <c r="AO56" s="95">
        <f t="shared" si="31"/>
        <v>0</v>
      </c>
      <c r="AP56" s="95">
        <f t="shared" si="31"/>
        <v>0</v>
      </c>
      <c r="AQ56" s="95">
        <f t="shared" si="31"/>
        <v>0</v>
      </c>
      <c r="AR56" s="96">
        <f t="shared" si="31"/>
        <v>0</v>
      </c>
    </row>
    <row r="57" spans="2:44" s="45" customFormat="1" x14ac:dyDescent="0.15">
      <c r="B57" s="35"/>
      <c r="C57" s="88" t="str">
        <f t="shared" si="18"/>
        <v/>
      </c>
      <c r="D57" s="160">
        <f t="shared" ca="1" si="19"/>
        <v>0</v>
      </c>
      <c r="E57" s="94">
        <f t="shared" si="28"/>
        <v>0</v>
      </c>
      <c r="F57" s="95">
        <f t="shared" si="28"/>
        <v>0</v>
      </c>
      <c r="G57" s="95">
        <f t="shared" si="28"/>
        <v>0</v>
      </c>
      <c r="H57" s="95">
        <f t="shared" si="28"/>
        <v>0</v>
      </c>
      <c r="I57" s="95">
        <f t="shared" si="28"/>
        <v>0</v>
      </c>
      <c r="J57" s="95">
        <f t="shared" si="28"/>
        <v>0</v>
      </c>
      <c r="K57" s="95">
        <f t="shared" si="28"/>
        <v>0</v>
      </c>
      <c r="L57" s="95">
        <f t="shared" si="28"/>
        <v>0</v>
      </c>
      <c r="M57" s="95">
        <f t="shared" si="28"/>
        <v>0</v>
      </c>
      <c r="N57" s="95">
        <f t="shared" si="28"/>
        <v>0</v>
      </c>
      <c r="O57" s="95">
        <f t="shared" si="29"/>
        <v>0</v>
      </c>
      <c r="P57" s="95">
        <f t="shared" si="29"/>
        <v>0</v>
      </c>
      <c r="Q57" s="95">
        <f t="shared" si="29"/>
        <v>0</v>
      </c>
      <c r="R57" s="95">
        <f t="shared" si="29"/>
        <v>0</v>
      </c>
      <c r="S57" s="95">
        <f t="shared" si="29"/>
        <v>0</v>
      </c>
      <c r="T57" s="95">
        <f t="shared" si="29"/>
        <v>0</v>
      </c>
      <c r="U57" s="95">
        <f t="shared" si="29"/>
        <v>0</v>
      </c>
      <c r="V57" s="95">
        <f t="shared" si="29"/>
        <v>0</v>
      </c>
      <c r="W57" s="95">
        <f t="shared" si="29"/>
        <v>0</v>
      </c>
      <c r="X57" s="95">
        <f t="shared" si="29"/>
        <v>0</v>
      </c>
      <c r="Y57" s="95">
        <f t="shared" si="30"/>
        <v>0</v>
      </c>
      <c r="Z57" s="95">
        <f t="shared" si="30"/>
        <v>0</v>
      </c>
      <c r="AA57" s="95">
        <f t="shared" si="30"/>
        <v>0</v>
      </c>
      <c r="AB57" s="95">
        <f t="shared" si="30"/>
        <v>0</v>
      </c>
      <c r="AC57" s="95">
        <f t="shared" si="30"/>
        <v>0</v>
      </c>
      <c r="AD57" s="95">
        <f t="shared" si="30"/>
        <v>0</v>
      </c>
      <c r="AE57" s="95">
        <f t="shared" si="30"/>
        <v>0</v>
      </c>
      <c r="AF57" s="95">
        <f t="shared" si="30"/>
        <v>0</v>
      </c>
      <c r="AG57" s="95">
        <f t="shared" si="30"/>
        <v>0</v>
      </c>
      <c r="AH57" s="95">
        <f t="shared" si="30"/>
        <v>0</v>
      </c>
      <c r="AI57" s="95">
        <f t="shared" si="31"/>
        <v>0</v>
      </c>
      <c r="AJ57" s="95">
        <f t="shared" si="31"/>
        <v>0</v>
      </c>
      <c r="AK57" s="95">
        <f t="shared" si="31"/>
        <v>0</v>
      </c>
      <c r="AL57" s="95">
        <f t="shared" si="31"/>
        <v>0</v>
      </c>
      <c r="AM57" s="95">
        <f t="shared" si="31"/>
        <v>0</v>
      </c>
      <c r="AN57" s="95">
        <f t="shared" si="31"/>
        <v>0</v>
      </c>
      <c r="AO57" s="95">
        <f t="shared" si="31"/>
        <v>0</v>
      </c>
      <c r="AP57" s="95">
        <f t="shared" si="31"/>
        <v>0</v>
      </c>
      <c r="AQ57" s="95">
        <f t="shared" si="31"/>
        <v>0</v>
      </c>
      <c r="AR57" s="96">
        <f t="shared" si="31"/>
        <v>0</v>
      </c>
    </row>
    <row r="58" spans="2:44" s="45" customFormat="1" x14ac:dyDescent="0.15">
      <c r="B58" s="35"/>
      <c r="C58" s="88" t="str">
        <f t="shared" si="18"/>
        <v/>
      </c>
      <c r="D58" s="160">
        <f t="shared" ca="1" si="19"/>
        <v>0</v>
      </c>
      <c r="E58" s="94">
        <f t="shared" si="28"/>
        <v>0</v>
      </c>
      <c r="F58" s="95">
        <f t="shared" si="28"/>
        <v>0</v>
      </c>
      <c r="G58" s="95">
        <f t="shared" si="28"/>
        <v>0</v>
      </c>
      <c r="H58" s="95">
        <f t="shared" si="28"/>
        <v>0</v>
      </c>
      <c r="I58" s="95">
        <f t="shared" si="28"/>
        <v>0</v>
      </c>
      <c r="J58" s="95">
        <f t="shared" si="28"/>
        <v>0</v>
      </c>
      <c r="K58" s="95">
        <f t="shared" si="28"/>
        <v>0</v>
      </c>
      <c r="L58" s="95">
        <f t="shared" si="28"/>
        <v>0</v>
      </c>
      <c r="M58" s="95">
        <f t="shared" si="28"/>
        <v>0</v>
      </c>
      <c r="N58" s="95">
        <f t="shared" si="28"/>
        <v>0</v>
      </c>
      <c r="O58" s="95">
        <f t="shared" si="29"/>
        <v>0</v>
      </c>
      <c r="P58" s="95">
        <f t="shared" si="29"/>
        <v>0</v>
      </c>
      <c r="Q58" s="95">
        <f t="shared" si="29"/>
        <v>0</v>
      </c>
      <c r="R58" s="95">
        <f t="shared" si="29"/>
        <v>0</v>
      </c>
      <c r="S58" s="95">
        <f t="shared" si="29"/>
        <v>0</v>
      </c>
      <c r="T58" s="95">
        <f t="shared" si="29"/>
        <v>0</v>
      </c>
      <c r="U58" s="95">
        <f t="shared" si="29"/>
        <v>0</v>
      </c>
      <c r="V58" s="95">
        <f t="shared" si="29"/>
        <v>0</v>
      </c>
      <c r="W58" s="95">
        <f t="shared" si="29"/>
        <v>0</v>
      </c>
      <c r="X58" s="95">
        <f t="shared" si="29"/>
        <v>0</v>
      </c>
      <c r="Y58" s="95">
        <f t="shared" si="30"/>
        <v>0</v>
      </c>
      <c r="Z58" s="95">
        <f t="shared" si="30"/>
        <v>0</v>
      </c>
      <c r="AA58" s="95">
        <f t="shared" si="30"/>
        <v>0</v>
      </c>
      <c r="AB58" s="95">
        <f t="shared" si="30"/>
        <v>0</v>
      </c>
      <c r="AC58" s="95">
        <f t="shared" si="30"/>
        <v>0</v>
      </c>
      <c r="AD58" s="95">
        <f t="shared" si="30"/>
        <v>0</v>
      </c>
      <c r="AE58" s="95">
        <f t="shared" si="30"/>
        <v>0</v>
      </c>
      <c r="AF58" s="95">
        <f t="shared" si="30"/>
        <v>0</v>
      </c>
      <c r="AG58" s="95">
        <f t="shared" si="30"/>
        <v>0</v>
      </c>
      <c r="AH58" s="95">
        <f t="shared" si="30"/>
        <v>0</v>
      </c>
      <c r="AI58" s="95">
        <f t="shared" si="31"/>
        <v>0</v>
      </c>
      <c r="AJ58" s="95">
        <f t="shared" si="31"/>
        <v>0</v>
      </c>
      <c r="AK58" s="95">
        <f t="shared" si="31"/>
        <v>0</v>
      </c>
      <c r="AL58" s="95">
        <f t="shared" si="31"/>
        <v>0</v>
      </c>
      <c r="AM58" s="95">
        <f t="shared" si="31"/>
        <v>0</v>
      </c>
      <c r="AN58" s="95">
        <f t="shared" si="31"/>
        <v>0</v>
      </c>
      <c r="AO58" s="95">
        <f t="shared" si="31"/>
        <v>0</v>
      </c>
      <c r="AP58" s="95">
        <f t="shared" si="31"/>
        <v>0</v>
      </c>
      <c r="AQ58" s="95">
        <f t="shared" si="31"/>
        <v>0</v>
      </c>
      <c r="AR58" s="96">
        <f t="shared" si="31"/>
        <v>0</v>
      </c>
    </row>
    <row r="59" spans="2:44" s="45" customFormat="1" x14ac:dyDescent="0.15">
      <c r="B59" s="35"/>
      <c r="C59" s="88" t="str">
        <f t="shared" si="18"/>
        <v/>
      </c>
      <c r="D59" s="160">
        <f t="shared" ca="1" si="19"/>
        <v>0</v>
      </c>
      <c r="E59" s="94">
        <f t="shared" si="28"/>
        <v>0</v>
      </c>
      <c r="F59" s="95">
        <f t="shared" si="28"/>
        <v>0</v>
      </c>
      <c r="G59" s="95">
        <f t="shared" si="28"/>
        <v>0</v>
      </c>
      <c r="H59" s="95">
        <f t="shared" si="28"/>
        <v>0</v>
      </c>
      <c r="I59" s="95">
        <f t="shared" si="28"/>
        <v>0</v>
      </c>
      <c r="J59" s="95">
        <f t="shared" si="28"/>
        <v>0</v>
      </c>
      <c r="K59" s="95">
        <f t="shared" si="28"/>
        <v>0</v>
      </c>
      <c r="L59" s="95">
        <f t="shared" si="28"/>
        <v>0</v>
      </c>
      <c r="M59" s="95">
        <f t="shared" si="28"/>
        <v>0</v>
      </c>
      <c r="N59" s="95">
        <f t="shared" si="28"/>
        <v>0</v>
      </c>
      <c r="O59" s="95">
        <f t="shared" si="29"/>
        <v>0</v>
      </c>
      <c r="P59" s="95">
        <f t="shared" si="29"/>
        <v>0</v>
      </c>
      <c r="Q59" s="95">
        <f t="shared" si="29"/>
        <v>0</v>
      </c>
      <c r="R59" s="95">
        <f t="shared" si="29"/>
        <v>0</v>
      </c>
      <c r="S59" s="95">
        <f t="shared" si="29"/>
        <v>0</v>
      </c>
      <c r="T59" s="95">
        <f t="shared" si="29"/>
        <v>0</v>
      </c>
      <c r="U59" s="95">
        <f t="shared" si="29"/>
        <v>0</v>
      </c>
      <c r="V59" s="95">
        <f t="shared" si="29"/>
        <v>0</v>
      </c>
      <c r="W59" s="95">
        <f t="shared" si="29"/>
        <v>0</v>
      </c>
      <c r="X59" s="95">
        <f t="shared" si="29"/>
        <v>0</v>
      </c>
      <c r="Y59" s="95">
        <f t="shared" si="30"/>
        <v>0</v>
      </c>
      <c r="Z59" s="95">
        <f t="shared" si="30"/>
        <v>0</v>
      </c>
      <c r="AA59" s="95">
        <f t="shared" si="30"/>
        <v>0</v>
      </c>
      <c r="AB59" s="95">
        <f t="shared" si="30"/>
        <v>0</v>
      </c>
      <c r="AC59" s="95">
        <f t="shared" si="30"/>
        <v>0</v>
      </c>
      <c r="AD59" s="95">
        <f t="shared" si="30"/>
        <v>0</v>
      </c>
      <c r="AE59" s="95">
        <f t="shared" si="30"/>
        <v>0</v>
      </c>
      <c r="AF59" s="95">
        <f t="shared" si="30"/>
        <v>0</v>
      </c>
      <c r="AG59" s="95">
        <f t="shared" si="30"/>
        <v>0</v>
      </c>
      <c r="AH59" s="95">
        <f t="shared" si="30"/>
        <v>0</v>
      </c>
      <c r="AI59" s="95">
        <f t="shared" si="31"/>
        <v>0</v>
      </c>
      <c r="AJ59" s="95">
        <f t="shared" si="31"/>
        <v>0</v>
      </c>
      <c r="AK59" s="95">
        <f t="shared" si="31"/>
        <v>0</v>
      </c>
      <c r="AL59" s="95">
        <f t="shared" si="31"/>
        <v>0</v>
      </c>
      <c r="AM59" s="95">
        <f t="shared" si="31"/>
        <v>0</v>
      </c>
      <c r="AN59" s="95">
        <f t="shared" si="31"/>
        <v>0</v>
      </c>
      <c r="AO59" s="95">
        <f t="shared" si="31"/>
        <v>0</v>
      </c>
      <c r="AP59" s="95">
        <f t="shared" si="31"/>
        <v>0</v>
      </c>
      <c r="AQ59" s="95">
        <f t="shared" si="31"/>
        <v>0</v>
      </c>
      <c r="AR59" s="96">
        <f t="shared" si="31"/>
        <v>0</v>
      </c>
    </row>
    <row r="60" spans="2:44" s="45" customFormat="1" x14ac:dyDescent="0.15">
      <c r="B60" s="35"/>
      <c r="C60" s="88" t="str">
        <f t="shared" si="18"/>
        <v/>
      </c>
      <c r="D60" s="160">
        <f t="shared" ca="1" si="19"/>
        <v>0</v>
      </c>
      <c r="E60" s="94">
        <f t="shared" si="28"/>
        <v>0</v>
      </c>
      <c r="F60" s="95">
        <f t="shared" si="28"/>
        <v>0</v>
      </c>
      <c r="G60" s="95">
        <f t="shared" si="28"/>
        <v>0</v>
      </c>
      <c r="H60" s="95">
        <f t="shared" si="28"/>
        <v>0</v>
      </c>
      <c r="I60" s="95">
        <f t="shared" si="28"/>
        <v>0</v>
      </c>
      <c r="J60" s="95">
        <f t="shared" si="28"/>
        <v>0</v>
      </c>
      <c r="K60" s="95">
        <f t="shared" si="28"/>
        <v>0</v>
      </c>
      <c r="L60" s="95">
        <f t="shared" si="28"/>
        <v>0</v>
      </c>
      <c r="M60" s="95">
        <f t="shared" si="28"/>
        <v>0</v>
      </c>
      <c r="N60" s="95">
        <f t="shared" si="28"/>
        <v>0</v>
      </c>
      <c r="O60" s="95">
        <f t="shared" si="29"/>
        <v>0</v>
      </c>
      <c r="P60" s="95">
        <f t="shared" si="29"/>
        <v>0</v>
      </c>
      <c r="Q60" s="95">
        <f t="shared" si="29"/>
        <v>0</v>
      </c>
      <c r="R60" s="95">
        <f t="shared" si="29"/>
        <v>0</v>
      </c>
      <c r="S60" s="95">
        <f t="shared" si="29"/>
        <v>0</v>
      </c>
      <c r="T60" s="95">
        <f t="shared" si="29"/>
        <v>0</v>
      </c>
      <c r="U60" s="95">
        <f t="shared" si="29"/>
        <v>0</v>
      </c>
      <c r="V60" s="95">
        <f t="shared" si="29"/>
        <v>0</v>
      </c>
      <c r="W60" s="95">
        <f t="shared" si="29"/>
        <v>0</v>
      </c>
      <c r="X60" s="95">
        <f t="shared" si="29"/>
        <v>0</v>
      </c>
      <c r="Y60" s="95">
        <f t="shared" si="30"/>
        <v>0</v>
      </c>
      <c r="Z60" s="95">
        <f t="shared" si="30"/>
        <v>0</v>
      </c>
      <c r="AA60" s="95">
        <f t="shared" si="30"/>
        <v>0</v>
      </c>
      <c r="AB60" s="95">
        <f t="shared" si="30"/>
        <v>0</v>
      </c>
      <c r="AC60" s="95">
        <f t="shared" si="30"/>
        <v>0</v>
      </c>
      <c r="AD60" s="95">
        <f t="shared" si="30"/>
        <v>0</v>
      </c>
      <c r="AE60" s="95">
        <f t="shared" si="30"/>
        <v>0</v>
      </c>
      <c r="AF60" s="95">
        <f t="shared" si="30"/>
        <v>0</v>
      </c>
      <c r="AG60" s="95">
        <f t="shared" si="30"/>
        <v>0</v>
      </c>
      <c r="AH60" s="95">
        <f t="shared" si="30"/>
        <v>0</v>
      </c>
      <c r="AI60" s="95">
        <f t="shared" si="31"/>
        <v>0</v>
      </c>
      <c r="AJ60" s="95">
        <f t="shared" si="31"/>
        <v>0</v>
      </c>
      <c r="AK60" s="95">
        <f t="shared" si="31"/>
        <v>0</v>
      </c>
      <c r="AL60" s="95">
        <f t="shared" si="31"/>
        <v>0</v>
      </c>
      <c r="AM60" s="95">
        <f t="shared" si="31"/>
        <v>0</v>
      </c>
      <c r="AN60" s="95">
        <f t="shared" si="31"/>
        <v>0</v>
      </c>
      <c r="AO60" s="95">
        <f t="shared" si="31"/>
        <v>0</v>
      </c>
      <c r="AP60" s="95">
        <f t="shared" si="31"/>
        <v>0</v>
      </c>
      <c r="AQ60" s="95">
        <f t="shared" si="31"/>
        <v>0</v>
      </c>
      <c r="AR60" s="96">
        <f t="shared" si="31"/>
        <v>0</v>
      </c>
    </row>
    <row r="61" spans="2:44" s="45" customFormat="1" x14ac:dyDescent="0.15">
      <c r="B61" s="35"/>
      <c r="C61" s="88" t="str">
        <f t="shared" si="18"/>
        <v/>
      </c>
      <c r="D61" s="160">
        <f t="shared" ca="1" si="19"/>
        <v>0</v>
      </c>
      <c r="E61" s="94">
        <f t="shared" si="28"/>
        <v>0</v>
      </c>
      <c r="F61" s="95">
        <f t="shared" si="28"/>
        <v>0</v>
      </c>
      <c r="G61" s="95">
        <f t="shared" si="28"/>
        <v>0</v>
      </c>
      <c r="H61" s="95">
        <f t="shared" si="28"/>
        <v>0</v>
      </c>
      <c r="I61" s="95">
        <f t="shared" si="28"/>
        <v>0</v>
      </c>
      <c r="J61" s="95">
        <f t="shared" si="28"/>
        <v>0</v>
      </c>
      <c r="K61" s="95">
        <f t="shared" si="28"/>
        <v>0</v>
      </c>
      <c r="L61" s="95">
        <f t="shared" si="28"/>
        <v>0</v>
      </c>
      <c r="M61" s="95">
        <f t="shared" si="28"/>
        <v>0</v>
      </c>
      <c r="N61" s="95">
        <f t="shared" si="28"/>
        <v>0</v>
      </c>
      <c r="O61" s="95">
        <f t="shared" si="29"/>
        <v>0</v>
      </c>
      <c r="P61" s="95">
        <f t="shared" si="29"/>
        <v>0</v>
      </c>
      <c r="Q61" s="95">
        <f t="shared" si="29"/>
        <v>0</v>
      </c>
      <c r="R61" s="95">
        <f t="shared" si="29"/>
        <v>0</v>
      </c>
      <c r="S61" s="95">
        <f t="shared" si="29"/>
        <v>0</v>
      </c>
      <c r="T61" s="95">
        <f t="shared" si="29"/>
        <v>0</v>
      </c>
      <c r="U61" s="95">
        <f t="shared" si="29"/>
        <v>0</v>
      </c>
      <c r="V61" s="95">
        <f t="shared" si="29"/>
        <v>0</v>
      </c>
      <c r="W61" s="95">
        <f t="shared" si="29"/>
        <v>0</v>
      </c>
      <c r="X61" s="95">
        <f t="shared" si="29"/>
        <v>0</v>
      </c>
      <c r="Y61" s="95">
        <f t="shared" si="30"/>
        <v>0</v>
      </c>
      <c r="Z61" s="95">
        <f t="shared" si="30"/>
        <v>0</v>
      </c>
      <c r="AA61" s="95">
        <f t="shared" si="30"/>
        <v>0</v>
      </c>
      <c r="AB61" s="95">
        <f t="shared" si="30"/>
        <v>0</v>
      </c>
      <c r="AC61" s="95">
        <f t="shared" si="30"/>
        <v>0</v>
      </c>
      <c r="AD61" s="95">
        <f t="shared" si="30"/>
        <v>0</v>
      </c>
      <c r="AE61" s="95">
        <f t="shared" si="30"/>
        <v>0</v>
      </c>
      <c r="AF61" s="95">
        <f t="shared" si="30"/>
        <v>0</v>
      </c>
      <c r="AG61" s="95">
        <f t="shared" si="30"/>
        <v>0</v>
      </c>
      <c r="AH61" s="95">
        <f t="shared" si="30"/>
        <v>0</v>
      </c>
      <c r="AI61" s="95">
        <f t="shared" si="31"/>
        <v>0</v>
      </c>
      <c r="AJ61" s="95">
        <f t="shared" si="31"/>
        <v>0</v>
      </c>
      <c r="AK61" s="95">
        <f t="shared" si="31"/>
        <v>0</v>
      </c>
      <c r="AL61" s="95">
        <f t="shared" si="31"/>
        <v>0</v>
      </c>
      <c r="AM61" s="95">
        <f t="shared" si="31"/>
        <v>0</v>
      </c>
      <c r="AN61" s="95">
        <f t="shared" si="31"/>
        <v>0</v>
      </c>
      <c r="AO61" s="95">
        <f t="shared" si="31"/>
        <v>0</v>
      </c>
      <c r="AP61" s="95">
        <f t="shared" si="31"/>
        <v>0</v>
      </c>
      <c r="AQ61" s="95">
        <f t="shared" si="31"/>
        <v>0</v>
      </c>
      <c r="AR61" s="96">
        <f t="shared" si="31"/>
        <v>0</v>
      </c>
    </row>
    <row r="62" spans="2:44" s="45" customFormat="1" x14ac:dyDescent="0.15">
      <c r="B62" s="35"/>
      <c r="C62" s="88" t="str">
        <f t="shared" si="18"/>
        <v/>
      </c>
      <c r="D62" s="160">
        <f t="shared" ca="1" si="19"/>
        <v>0</v>
      </c>
      <c r="E62" s="94">
        <f t="shared" si="28"/>
        <v>0</v>
      </c>
      <c r="F62" s="95">
        <f t="shared" si="28"/>
        <v>0</v>
      </c>
      <c r="G62" s="95">
        <f t="shared" si="28"/>
        <v>0</v>
      </c>
      <c r="H62" s="95">
        <f t="shared" si="28"/>
        <v>0</v>
      </c>
      <c r="I62" s="95">
        <f t="shared" si="28"/>
        <v>0</v>
      </c>
      <c r="J62" s="95">
        <f t="shared" si="28"/>
        <v>0</v>
      </c>
      <c r="K62" s="95">
        <f t="shared" si="28"/>
        <v>0</v>
      </c>
      <c r="L62" s="95">
        <f t="shared" si="28"/>
        <v>0</v>
      </c>
      <c r="M62" s="95">
        <f t="shared" si="28"/>
        <v>0</v>
      </c>
      <c r="N62" s="95">
        <f t="shared" si="28"/>
        <v>0</v>
      </c>
      <c r="O62" s="95">
        <f t="shared" si="29"/>
        <v>0</v>
      </c>
      <c r="P62" s="95">
        <f t="shared" si="29"/>
        <v>0</v>
      </c>
      <c r="Q62" s="95">
        <f t="shared" si="29"/>
        <v>0</v>
      </c>
      <c r="R62" s="95">
        <f t="shared" si="29"/>
        <v>0</v>
      </c>
      <c r="S62" s="95">
        <f t="shared" si="29"/>
        <v>0</v>
      </c>
      <c r="T62" s="95">
        <f t="shared" si="29"/>
        <v>0</v>
      </c>
      <c r="U62" s="95">
        <f t="shared" si="29"/>
        <v>0</v>
      </c>
      <c r="V62" s="95">
        <f t="shared" si="29"/>
        <v>0</v>
      </c>
      <c r="W62" s="95">
        <f t="shared" si="29"/>
        <v>0</v>
      </c>
      <c r="X62" s="95">
        <f t="shared" si="29"/>
        <v>0</v>
      </c>
      <c r="Y62" s="95">
        <f t="shared" si="30"/>
        <v>0</v>
      </c>
      <c r="Z62" s="95">
        <f t="shared" si="30"/>
        <v>0</v>
      </c>
      <c r="AA62" s="95">
        <f t="shared" si="30"/>
        <v>0</v>
      </c>
      <c r="AB62" s="95">
        <f t="shared" si="30"/>
        <v>0</v>
      </c>
      <c r="AC62" s="95">
        <f t="shared" si="30"/>
        <v>0</v>
      </c>
      <c r="AD62" s="95">
        <f t="shared" si="30"/>
        <v>0</v>
      </c>
      <c r="AE62" s="95">
        <f t="shared" si="30"/>
        <v>0</v>
      </c>
      <c r="AF62" s="95">
        <f t="shared" si="30"/>
        <v>0</v>
      </c>
      <c r="AG62" s="95">
        <f t="shared" si="30"/>
        <v>0</v>
      </c>
      <c r="AH62" s="95">
        <f t="shared" si="30"/>
        <v>0</v>
      </c>
      <c r="AI62" s="95">
        <f t="shared" si="31"/>
        <v>0</v>
      </c>
      <c r="AJ62" s="95">
        <f t="shared" si="31"/>
        <v>0</v>
      </c>
      <c r="AK62" s="95">
        <f t="shared" si="31"/>
        <v>0</v>
      </c>
      <c r="AL62" s="95">
        <f t="shared" si="31"/>
        <v>0</v>
      </c>
      <c r="AM62" s="95">
        <f t="shared" si="31"/>
        <v>0</v>
      </c>
      <c r="AN62" s="95">
        <f t="shared" si="31"/>
        <v>0</v>
      </c>
      <c r="AO62" s="95">
        <f t="shared" si="31"/>
        <v>0</v>
      </c>
      <c r="AP62" s="95">
        <f t="shared" si="31"/>
        <v>0</v>
      </c>
      <c r="AQ62" s="95">
        <f t="shared" si="31"/>
        <v>0</v>
      </c>
      <c r="AR62" s="96">
        <f t="shared" si="31"/>
        <v>0</v>
      </c>
    </row>
    <row r="63" spans="2:44" s="45" customFormat="1" x14ac:dyDescent="0.15">
      <c r="B63" s="35"/>
      <c r="C63" s="88" t="str">
        <f t="shared" si="18"/>
        <v/>
      </c>
      <c r="D63" s="160">
        <f t="shared" ca="1" si="19"/>
        <v>0</v>
      </c>
      <c r="E63" s="94">
        <f t="shared" ref="E63:N72" si="32">IF(OR($C63="",Year&gt;Contract_Length),,IF(Year&lt;INDEX(Year,1,5+ROW()-ROW($A$33)),,IF(Year&gt;INDEX(Year,1,5+ROW()-ROW($A$33))+Invest_Period-1,,$D63/Invest_Period)))</f>
        <v>0</v>
      </c>
      <c r="F63" s="95">
        <f t="shared" si="32"/>
        <v>0</v>
      </c>
      <c r="G63" s="95">
        <f t="shared" si="32"/>
        <v>0</v>
      </c>
      <c r="H63" s="95">
        <f t="shared" si="32"/>
        <v>0</v>
      </c>
      <c r="I63" s="95">
        <f t="shared" si="32"/>
        <v>0</v>
      </c>
      <c r="J63" s="95">
        <f t="shared" si="32"/>
        <v>0</v>
      </c>
      <c r="K63" s="95">
        <f t="shared" si="32"/>
        <v>0</v>
      </c>
      <c r="L63" s="95">
        <f t="shared" si="32"/>
        <v>0</v>
      </c>
      <c r="M63" s="95">
        <f t="shared" si="32"/>
        <v>0</v>
      </c>
      <c r="N63" s="95">
        <f t="shared" si="32"/>
        <v>0</v>
      </c>
      <c r="O63" s="95">
        <f t="shared" ref="O63:X72" si="33">IF(OR($C63="",Year&gt;Contract_Length),,IF(Year&lt;INDEX(Year,1,5+ROW()-ROW($A$33)),,IF(Year&gt;INDEX(Year,1,5+ROW()-ROW($A$33))+Invest_Period-1,,$D63/Invest_Period)))</f>
        <v>0</v>
      </c>
      <c r="P63" s="95">
        <f t="shared" si="33"/>
        <v>0</v>
      </c>
      <c r="Q63" s="95">
        <f t="shared" si="33"/>
        <v>0</v>
      </c>
      <c r="R63" s="95">
        <f t="shared" si="33"/>
        <v>0</v>
      </c>
      <c r="S63" s="95">
        <f t="shared" si="33"/>
        <v>0</v>
      </c>
      <c r="T63" s="95">
        <f t="shared" si="33"/>
        <v>0</v>
      </c>
      <c r="U63" s="95">
        <f t="shared" si="33"/>
        <v>0</v>
      </c>
      <c r="V63" s="95">
        <f t="shared" si="33"/>
        <v>0</v>
      </c>
      <c r="W63" s="95">
        <f t="shared" si="33"/>
        <v>0</v>
      </c>
      <c r="X63" s="95">
        <f t="shared" si="33"/>
        <v>0</v>
      </c>
      <c r="Y63" s="95">
        <f t="shared" ref="Y63:AH72" si="34">IF(OR($C63="",Year&gt;Contract_Length),,IF(Year&lt;INDEX(Year,1,5+ROW()-ROW($A$33)),,IF(Year&gt;INDEX(Year,1,5+ROW()-ROW($A$33))+Invest_Period-1,,$D63/Invest_Period)))</f>
        <v>0</v>
      </c>
      <c r="Z63" s="95">
        <f t="shared" si="34"/>
        <v>0</v>
      </c>
      <c r="AA63" s="95">
        <f t="shared" si="34"/>
        <v>0</v>
      </c>
      <c r="AB63" s="95">
        <f t="shared" si="34"/>
        <v>0</v>
      </c>
      <c r="AC63" s="95">
        <f t="shared" si="34"/>
        <v>0</v>
      </c>
      <c r="AD63" s="95">
        <f t="shared" si="34"/>
        <v>0</v>
      </c>
      <c r="AE63" s="95">
        <f t="shared" si="34"/>
        <v>0</v>
      </c>
      <c r="AF63" s="95">
        <f t="shared" si="34"/>
        <v>0</v>
      </c>
      <c r="AG63" s="95">
        <f t="shared" si="34"/>
        <v>0</v>
      </c>
      <c r="AH63" s="95">
        <f t="shared" si="34"/>
        <v>0</v>
      </c>
      <c r="AI63" s="95">
        <f t="shared" ref="AI63:AR72" si="35">IF(OR($C63="",Year&gt;Contract_Length),,IF(Year&lt;INDEX(Year,1,5+ROW()-ROW($A$33)),,IF(Year&gt;INDEX(Year,1,5+ROW()-ROW($A$33))+Invest_Period-1,,$D63/Invest_Period)))</f>
        <v>0</v>
      </c>
      <c r="AJ63" s="95">
        <f t="shared" si="35"/>
        <v>0</v>
      </c>
      <c r="AK63" s="95">
        <f t="shared" si="35"/>
        <v>0</v>
      </c>
      <c r="AL63" s="95">
        <f t="shared" si="35"/>
        <v>0</v>
      </c>
      <c r="AM63" s="95">
        <f t="shared" si="35"/>
        <v>0</v>
      </c>
      <c r="AN63" s="95">
        <f t="shared" si="35"/>
        <v>0</v>
      </c>
      <c r="AO63" s="95">
        <f t="shared" si="35"/>
        <v>0</v>
      </c>
      <c r="AP63" s="95">
        <f t="shared" si="35"/>
        <v>0</v>
      </c>
      <c r="AQ63" s="95">
        <f t="shared" si="35"/>
        <v>0</v>
      </c>
      <c r="AR63" s="96">
        <f t="shared" si="35"/>
        <v>0</v>
      </c>
    </row>
    <row r="64" spans="2:44" s="45" customFormat="1" x14ac:dyDescent="0.15">
      <c r="B64" s="35"/>
      <c r="C64" s="88" t="str">
        <f t="shared" si="18"/>
        <v/>
      </c>
      <c r="D64" s="160">
        <f t="shared" ca="1" si="19"/>
        <v>0</v>
      </c>
      <c r="E64" s="94">
        <f t="shared" si="32"/>
        <v>0</v>
      </c>
      <c r="F64" s="95">
        <f t="shared" si="32"/>
        <v>0</v>
      </c>
      <c r="G64" s="95">
        <f t="shared" si="32"/>
        <v>0</v>
      </c>
      <c r="H64" s="95">
        <f t="shared" si="32"/>
        <v>0</v>
      </c>
      <c r="I64" s="95">
        <f t="shared" si="32"/>
        <v>0</v>
      </c>
      <c r="J64" s="95">
        <f t="shared" si="32"/>
        <v>0</v>
      </c>
      <c r="K64" s="95">
        <f t="shared" si="32"/>
        <v>0</v>
      </c>
      <c r="L64" s="95">
        <f t="shared" si="32"/>
        <v>0</v>
      </c>
      <c r="M64" s="95">
        <f t="shared" si="32"/>
        <v>0</v>
      </c>
      <c r="N64" s="95">
        <f t="shared" si="32"/>
        <v>0</v>
      </c>
      <c r="O64" s="95">
        <f t="shared" si="33"/>
        <v>0</v>
      </c>
      <c r="P64" s="95">
        <f t="shared" si="33"/>
        <v>0</v>
      </c>
      <c r="Q64" s="95">
        <f t="shared" si="33"/>
        <v>0</v>
      </c>
      <c r="R64" s="95">
        <f t="shared" si="33"/>
        <v>0</v>
      </c>
      <c r="S64" s="95">
        <f t="shared" si="33"/>
        <v>0</v>
      </c>
      <c r="T64" s="95">
        <f t="shared" si="33"/>
        <v>0</v>
      </c>
      <c r="U64" s="95">
        <f t="shared" si="33"/>
        <v>0</v>
      </c>
      <c r="V64" s="95">
        <f t="shared" si="33"/>
        <v>0</v>
      </c>
      <c r="W64" s="95">
        <f t="shared" si="33"/>
        <v>0</v>
      </c>
      <c r="X64" s="95">
        <f t="shared" si="33"/>
        <v>0</v>
      </c>
      <c r="Y64" s="95">
        <f t="shared" si="34"/>
        <v>0</v>
      </c>
      <c r="Z64" s="95">
        <f t="shared" si="34"/>
        <v>0</v>
      </c>
      <c r="AA64" s="95">
        <f t="shared" si="34"/>
        <v>0</v>
      </c>
      <c r="AB64" s="95">
        <f t="shared" si="34"/>
        <v>0</v>
      </c>
      <c r="AC64" s="95">
        <f t="shared" si="34"/>
        <v>0</v>
      </c>
      <c r="AD64" s="95">
        <f t="shared" si="34"/>
        <v>0</v>
      </c>
      <c r="AE64" s="95">
        <f t="shared" si="34"/>
        <v>0</v>
      </c>
      <c r="AF64" s="95">
        <f t="shared" si="34"/>
        <v>0</v>
      </c>
      <c r="AG64" s="95">
        <f t="shared" si="34"/>
        <v>0</v>
      </c>
      <c r="AH64" s="95">
        <f t="shared" si="34"/>
        <v>0</v>
      </c>
      <c r="AI64" s="95">
        <f t="shared" si="35"/>
        <v>0</v>
      </c>
      <c r="AJ64" s="95">
        <f t="shared" si="35"/>
        <v>0</v>
      </c>
      <c r="AK64" s="95">
        <f t="shared" si="35"/>
        <v>0</v>
      </c>
      <c r="AL64" s="95">
        <f t="shared" si="35"/>
        <v>0</v>
      </c>
      <c r="AM64" s="95">
        <f t="shared" si="35"/>
        <v>0</v>
      </c>
      <c r="AN64" s="95">
        <f t="shared" si="35"/>
        <v>0</v>
      </c>
      <c r="AO64" s="95">
        <f t="shared" si="35"/>
        <v>0</v>
      </c>
      <c r="AP64" s="95">
        <f t="shared" si="35"/>
        <v>0</v>
      </c>
      <c r="AQ64" s="95">
        <f t="shared" si="35"/>
        <v>0</v>
      </c>
      <c r="AR64" s="96">
        <f t="shared" si="35"/>
        <v>0</v>
      </c>
    </row>
    <row r="65" spans="2:44" s="45" customFormat="1" x14ac:dyDescent="0.15">
      <c r="B65" s="35"/>
      <c r="C65" s="88" t="str">
        <f t="shared" si="18"/>
        <v/>
      </c>
      <c r="D65" s="160">
        <f t="shared" ca="1" si="19"/>
        <v>0</v>
      </c>
      <c r="E65" s="94">
        <f t="shared" si="32"/>
        <v>0</v>
      </c>
      <c r="F65" s="95">
        <f t="shared" si="32"/>
        <v>0</v>
      </c>
      <c r="G65" s="95">
        <f t="shared" si="32"/>
        <v>0</v>
      </c>
      <c r="H65" s="95">
        <f t="shared" si="32"/>
        <v>0</v>
      </c>
      <c r="I65" s="95">
        <f t="shared" si="32"/>
        <v>0</v>
      </c>
      <c r="J65" s="95">
        <f t="shared" si="32"/>
        <v>0</v>
      </c>
      <c r="K65" s="95">
        <f t="shared" si="32"/>
        <v>0</v>
      </c>
      <c r="L65" s="95">
        <f t="shared" si="32"/>
        <v>0</v>
      </c>
      <c r="M65" s="95">
        <f t="shared" si="32"/>
        <v>0</v>
      </c>
      <c r="N65" s="95">
        <f t="shared" si="32"/>
        <v>0</v>
      </c>
      <c r="O65" s="95">
        <f t="shared" si="33"/>
        <v>0</v>
      </c>
      <c r="P65" s="95">
        <f t="shared" si="33"/>
        <v>0</v>
      </c>
      <c r="Q65" s="95">
        <f t="shared" si="33"/>
        <v>0</v>
      </c>
      <c r="R65" s="95">
        <f t="shared" si="33"/>
        <v>0</v>
      </c>
      <c r="S65" s="95">
        <f t="shared" si="33"/>
        <v>0</v>
      </c>
      <c r="T65" s="95">
        <f t="shared" si="33"/>
        <v>0</v>
      </c>
      <c r="U65" s="95">
        <f t="shared" si="33"/>
        <v>0</v>
      </c>
      <c r="V65" s="95">
        <f t="shared" si="33"/>
        <v>0</v>
      </c>
      <c r="W65" s="95">
        <f t="shared" si="33"/>
        <v>0</v>
      </c>
      <c r="X65" s="95">
        <f t="shared" si="33"/>
        <v>0</v>
      </c>
      <c r="Y65" s="95">
        <f t="shared" si="34"/>
        <v>0</v>
      </c>
      <c r="Z65" s="95">
        <f t="shared" si="34"/>
        <v>0</v>
      </c>
      <c r="AA65" s="95">
        <f t="shared" si="34"/>
        <v>0</v>
      </c>
      <c r="AB65" s="95">
        <f t="shared" si="34"/>
        <v>0</v>
      </c>
      <c r="AC65" s="95">
        <f t="shared" si="34"/>
        <v>0</v>
      </c>
      <c r="AD65" s="95">
        <f t="shared" si="34"/>
        <v>0</v>
      </c>
      <c r="AE65" s="95">
        <f t="shared" si="34"/>
        <v>0</v>
      </c>
      <c r="AF65" s="95">
        <f t="shared" si="34"/>
        <v>0</v>
      </c>
      <c r="AG65" s="95">
        <f t="shared" si="34"/>
        <v>0</v>
      </c>
      <c r="AH65" s="95">
        <f t="shared" si="34"/>
        <v>0</v>
      </c>
      <c r="AI65" s="95">
        <f t="shared" si="35"/>
        <v>0</v>
      </c>
      <c r="AJ65" s="95">
        <f t="shared" si="35"/>
        <v>0</v>
      </c>
      <c r="AK65" s="95">
        <f t="shared" si="35"/>
        <v>0</v>
      </c>
      <c r="AL65" s="95">
        <f t="shared" si="35"/>
        <v>0</v>
      </c>
      <c r="AM65" s="95">
        <f t="shared" si="35"/>
        <v>0</v>
      </c>
      <c r="AN65" s="95">
        <f t="shared" si="35"/>
        <v>0</v>
      </c>
      <c r="AO65" s="95">
        <f t="shared" si="35"/>
        <v>0</v>
      </c>
      <c r="AP65" s="95">
        <f t="shared" si="35"/>
        <v>0</v>
      </c>
      <c r="AQ65" s="95">
        <f t="shared" si="35"/>
        <v>0</v>
      </c>
      <c r="AR65" s="96">
        <f t="shared" si="35"/>
        <v>0</v>
      </c>
    </row>
    <row r="66" spans="2:44" s="45" customFormat="1" x14ac:dyDescent="0.15">
      <c r="B66" s="35"/>
      <c r="C66" s="88" t="str">
        <f t="shared" si="18"/>
        <v/>
      </c>
      <c r="D66" s="160">
        <f t="shared" ca="1" si="19"/>
        <v>0</v>
      </c>
      <c r="E66" s="94">
        <f t="shared" si="32"/>
        <v>0</v>
      </c>
      <c r="F66" s="95">
        <f t="shared" si="32"/>
        <v>0</v>
      </c>
      <c r="G66" s="95">
        <f t="shared" si="32"/>
        <v>0</v>
      </c>
      <c r="H66" s="95">
        <f t="shared" si="32"/>
        <v>0</v>
      </c>
      <c r="I66" s="95">
        <f t="shared" si="32"/>
        <v>0</v>
      </c>
      <c r="J66" s="95">
        <f t="shared" si="32"/>
        <v>0</v>
      </c>
      <c r="K66" s="95">
        <f t="shared" si="32"/>
        <v>0</v>
      </c>
      <c r="L66" s="95">
        <f t="shared" si="32"/>
        <v>0</v>
      </c>
      <c r="M66" s="95">
        <f t="shared" si="32"/>
        <v>0</v>
      </c>
      <c r="N66" s="95">
        <f t="shared" si="32"/>
        <v>0</v>
      </c>
      <c r="O66" s="95">
        <f t="shared" si="33"/>
        <v>0</v>
      </c>
      <c r="P66" s="95">
        <f t="shared" si="33"/>
        <v>0</v>
      </c>
      <c r="Q66" s="95">
        <f t="shared" si="33"/>
        <v>0</v>
      </c>
      <c r="R66" s="95">
        <f t="shared" si="33"/>
        <v>0</v>
      </c>
      <c r="S66" s="95">
        <f t="shared" si="33"/>
        <v>0</v>
      </c>
      <c r="T66" s="95">
        <f t="shared" si="33"/>
        <v>0</v>
      </c>
      <c r="U66" s="95">
        <f t="shared" si="33"/>
        <v>0</v>
      </c>
      <c r="V66" s="95">
        <f t="shared" si="33"/>
        <v>0</v>
      </c>
      <c r="W66" s="95">
        <f t="shared" si="33"/>
        <v>0</v>
      </c>
      <c r="X66" s="95">
        <f t="shared" si="33"/>
        <v>0</v>
      </c>
      <c r="Y66" s="95">
        <f t="shared" si="34"/>
        <v>0</v>
      </c>
      <c r="Z66" s="95">
        <f t="shared" si="34"/>
        <v>0</v>
      </c>
      <c r="AA66" s="95">
        <f t="shared" si="34"/>
        <v>0</v>
      </c>
      <c r="AB66" s="95">
        <f t="shared" si="34"/>
        <v>0</v>
      </c>
      <c r="AC66" s="95">
        <f t="shared" si="34"/>
        <v>0</v>
      </c>
      <c r="AD66" s="95">
        <f t="shared" si="34"/>
        <v>0</v>
      </c>
      <c r="AE66" s="95">
        <f t="shared" si="34"/>
        <v>0</v>
      </c>
      <c r="AF66" s="95">
        <f t="shared" si="34"/>
        <v>0</v>
      </c>
      <c r="AG66" s="95">
        <f t="shared" si="34"/>
        <v>0</v>
      </c>
      <c r="AH66" s="95">
        <f t="shared" si="34"/>
        <v>0</v>
      </c>
      <c r="AI66" s="95">
        <f t="shared" si="35"/>
        <v>0</v>
      </c>
      <c r="AJ66" s="95">
        <f t="shared" si="35"/>
        <v>0</v>
      </c>
      <c r="AK66" s="95">
        <f t="shared" si="35"/>
        <v>0</v>
      </c>
      <c r="AL66" s="95">
        <f t="shared" si="35"/>
        <v>0</v>
      </c>
      <c r="AM66" s="95">
        <f t="shared" si="35"/>
        <v>0</v>
      </c>
      <c r="AN66" s="95">
        <f t="shared" si="35"/>
        <v>0</v>
      </c>
      <c r="AO66" s="95">
        <f t="shared" si="35"/>
        <v>0</v>
      </c>
      <c r="AP66" s="95">
        <f t="shared" si="35"/>
        <v>0</v>
      </c>
      <c r="AQ66" s="95">
        <f t="shared" si="35"/>
        <v>0</v>
      </c>
      <c r="AR66" s="96">
        <f t="shared" si="35"/>
        <v>0</v>
      </c>
    </row>
    <row r="67" spans="2:44" s="45" customFormat="1" x14ac:dyDescent="0.15">
      <c r="B67" s="35"/>
      <c r="C67" s="88" t="str">
        <f t="shared" si="18"/>
        <v/>
      </c>
      <c r="D67" s="160">
        <f t="shared" ca="1" si="19"/>
        <v>0</v>
      </c>
      <c r="E67" s="94">
        <f t="shared" si="32"/>
        <v>0</v>
      </c>
      <c r="F67" s="95">
        <f t="shared" si="32"/>
        <v>0</v>
      </c>
      <c r="G67" s="95">
        <f t="shared" si="32"/>
        <v>0</v>
      </c>
      <c r="H67" s="95">
        <f t="shared" si="32"/>
        <v>0</v>
      </c>
      <c r="I67" s="95">
        <f t="shared" si="32"/>
        <v>0</v>
      </c>
      <c r="J67" s="95">
        <f t="shared" si="32"/>
        <v>0</v>
      </c>
      <c r="K67" s="95">
        <f t="shared" si="32"/>
        <v>0</v>
      </c>
      <c r="L67" s="95">
        <f t="shared" si="32"/>
        <v>0</v>
      </c>
      <c r="M67" s="95">
        <f t="shared" si="32"/>
        <v>0</v>
      </c>
      <c r="N67" s="95">
        <f t="shared" si="32"/>
        <v>0</v>
      </c>
      <c r="O67" s="95">
        <f t="shared" si="33"/>
        <v>0</v>
      </c>
      <c r="P67" s="95">
        <f t="shared" si="33"/>
        <v>0</v>
      </c>
      <c r="Q67" s="95">
        <f t="shared" si="33"/>
        <v>0</v>
      </c>
      <c r="R67" s="95">
        <f t="shared" si="33"/>
        <v>0</v>
      </c>
      <c r="S67" s="95">
        <f t="shared" si="33"/>
        <v>0</v>
      </c>
      <c r="T67" s="95">
        <f t="shared" si="33"/>
        <v>0</v>
      </c>
      <c r="U67" s="95">
        <f t="shared" si="33"/>
        <v>0</v>
      </c>
      <c r="V67" s="95">
        <f t="shared" si="33"/>
        <v>0</v>
      </c>
      <c r="W67" s="95">
        <f t="shared" si="33"/>
        <v>0</v>
      </c>
      <c r="X67" s="95">
        <f t="shared" si="33"/>
        <v>0</v>
      </c>
      <c r="Y67" s="95">
        <f t="shared" si="34"/>
        <v>0</v>
      </c>
      <c r="Z67" s="95">
        <f t="shared" si="34"/>
        <v>0</v>
      </c>
      <c r="AA67" s="95">
        <f t="shared" si="34"/>
        <v>0</v>
      </c>
      <c r="AB67" s="95">
        <f t="shared" si="34"/>
        <v>0</v>
      </c>
      <c r="AC67" s="95">
        <f t="shared" si="34"/>
        <v>0</v>
      </c>
      <c r="AD67" s="95">
        <f t="shared" si="34"/>
        <v>0</v>
      </c>
      <c r="AE67" s="95">
        <f t="shared" si="34"/>
        <v>0</v>
      </c>
      <c r="AF67" s="95">
        <f t="shared" si="34"/>
        <v>0</v>
      </c>
      <c r="AG67" s="95">
        <f t="shared" si="34"/>
        <v>0</v>
      </c>
      <c r="AH67" s="95">
        <f t="shared" si="34"/>
        <v>0</v>
      </c>
      <c r="AI67" s="95">
        <f t="shared" si="35"/>
        <v>0</v>
      </c>
      <c r="AJ67" s="95">
        <f t="shared" si="35"/>
        <v>0</v>
      </c>
      <c r="AK67" s="95">
        <f t="shared" si="35"/>
        <v>0</v>
      </c>
      <c r="AL67" s="95">
        <f t="shared" si="35"/>
        <v>0</v>
      </c>
      <c r="AM67" s="95">
        <f t="shared" si="35"/>
        <v>0</v>
      </c>
      <c r="AN67" s="95">
        <f t="shared" si="35"/>
        <v>0</v>
      </c>
      <c r="AO67" s="95">
        <f t="shared" si="35"/>
        <v>0</v>
      </c>
      <c r="AP67" s="95">
        <f t="shared" si="35"/>
        <v>0</v>
      </c>
      <c r="AQ67" s="95">
        <f t="shared" si="35"/>
        <v>0</v>
      </c>
      <c r="AR67" s="96">
        <f t="shared" si="35"/>
        <v>0</v>
      </c>
    </row>
    <row r="68" spans="2:44" s="45" customFormat="1" x14ac:dyDescent="0.15">
      <c r="B68" s="35"/>
      <c r="C68" s="88" t="str">
        <f t="shared" si="18"/>
        <v/>
      </c>
      <c r="D68" s="160">
        <f t="shared" ca="1" si="19"/>
        <v>0</v>
      </c>
      <c r="E68" s="94">
        <f t="shared" si="32"/>
        <v>0</v>
      </c>
      <c r="F68" s="95">
        <f t="shared" si="32"/>
        <v>0</v>
      </c>
      <c r="G68" s="95">
        <f t="shared" si="32"/>
        <v>0</v>
      </c>
      <c r="H68" s="95">
        <f t="shared" si="32"/>
        <v>0</v>
      </c>
      <c r="I68" s="95">
        <f t="shared" si="32"/>
        <v>0</v>
      </c>
      <c r="J68" s="95">
        <f t="shared" si="32"/>
        <v>0</v>
      </c>
      <c r="K68" s="95">
        <f t="shared" si="32"/>
        <v>0</v>
      </c>
      <c r="L68" s="95">
        <f t="shared" si="32"/>
        <v>0</v>
      </c>
      <c r="M68" s="95">
        <f t="shared" si="32"/>
        <v>0</v>
      </c>
      <c r="N68" s="95">
        <f t="shared" si="32"/>
        <v>0</v>
      </c>
      <c r="O68" s="95">
        <f t="shared" si="33"/>
        <v>0</v>
      </c>
      <c r="P68" s="95">
        <f t="shared" si="33"/>
        <v>0</v>
      </c>
      <c r="Q68" s="95">
        <f t="shared" si="33"/>
        <v>0</v>
      </c>
      <c r="R68" s="95">
        <f t="shared" si="33"/>
        <v>0</v>
      </c>
      <c r="S68" s="95">
        <f t="shared" si="33"/>
        <v>0</v>
      </c>
      <c r="T68" s="95">
        <f t="shared" si="33"/>
        <v>0</v>
      </c>
      <c r="U68" s="95">
        <f t="shared" si="33"/>
        <v>0</v>
      </c>
      <c r="V68" s="95">
        <f t="shared" si="33"/>
        <v>0</v>
      </c>
      <c r="W68" s="95">
        <f t="shared" si="33"/>
        <v>0</v>
      </c>
      <c r="X68" s="95">
        <f t="shared" si="33"/>
        <v>0</v>
      </c>
      <c r="Y68" s="95">
        <f t="shared" si="34"/>
        <v>0</v>
      </c>
      <c r="Z68" s="95">
        <f t="shared" si="34"/>
        <v>0</v>
      </c>
      <c r="AA68" s="95">
        <f t="shared" si="34"/>
        <v>0</v>
      </c>
      <c r="AB68" s="95">
        <f t="shared" si="34"/>
        <v>0</v>
      </c>
      <c r="AC68" s="95">
        <f t="shared" si="34"/>
        <v>0</v>
      </c>
      <c r="AD68" s="95">
        <f t="shared" si="34"/>
        <v>0</v>
      </c>
      <c r="AE68" s="95">
        <f t="shared" si="34"/>
        <v>0</v>
      </c>
      <c r="AF68" s="95">
        <f t="shared" si="34"/>
        <v>0</v>
      </c>
      <c r="AG68" s="95">
        <f t="shared" si="34"/>
        <v>0</v>
      </c>
      <c r="AH68" s="95">
        <f t="shared" si="34"/>
        <v>0</v>
      </c>
      <c r="AI68" s="95">
        <f t="shared" si="35"/>
        <v>0</v>
      </c>
      <c r="AJ68" s="95">
        <f t="shared" si="35"/>
        <v>0</v>
      </c>
      <c r="AK68" s="95">
        <f t="shared" si="35"/>
        <v>0</v>
      </c>
      <c r="AL68" s="95">
        <f t="shared" si="35"/>
        <v>0</v>
      </c>
      <c r="AM68" s="95">
        <f t="shared" si="35"/>
        <v>0</v>
      </c>
      <c r="AN68" s="95">
        <f t="shared" si="35"/>
        <v>0</v>
      </c>
      <c r="AO68" s="95">
        <f t="shared" si="35"/>
        <v>0</v>
      </c>
      <c r="AP68" s="95">
        <f t="shared" si="35"/>
        <v>0</v>
      </c>
      <c r="AQ68" s="95">
        <f t="shared" si="35"/>
        <v>0</v>
      </c>
      <c r="AR68" s="96">
        <f t="shared" si="35"/>
        <v>0</v>
      </c>
    </row>
    <row r="69" spans="2:44" s="45" customFormat="1" x14ac:dyDescent="0.15">
      <c r="B69" s="35"/>
      <c r="C69" s="88" t="str">
        <f t="shared" si="18"/>
        <v/>
      </c>
      <c r="D69" s="160">
        <f t="shared" ca="1" si="19"/>
        <v>0</v>
      </c>
      <c r="E69" s="94">
        <f t="shared" si="32"/>
        <v>0</v>
      </c>
      <c r="F69" s="95">
        <f t="shared" si="32"/>
        <v>0</v>
      </c>
      <c r="G69" s="95">
        <f t="shared" si="32"/>
        <v>0</v>
      </c>
      <c r="H69" s="95">
        <f t="shared" si="32"/>
        <v>0</v>
      </c>
      <c r="I69" s="95">
        <f t="shared" si="32"/>
        <v>0</v>
      </c>
      <c r="J69" s="95">
        <f t="shared" si="32"/>
        <v>0</v>
      </c>
      <c r="K69" s="95">
        <f t="shared" si="32"/>
        <v>0</v>
      </c>
      <c r="L69" s="95">
        <f t="shared" si="32"/>
        <v>0</v>
      </c>
      <c r="M69" s="95">
        <f t="shared" si="32"/>
        <v>0</v>
      </c>
      <c r="N69" s="95">
        <f t="shared" si="32"/>
        <v>0</v>
      </c>
      <c r="O69" s="95">
        <f t="shared" si="33"/>
        <v>0</v>
      </c>
      <c r="P69" s="95">
        <f t="shared" si="33"/>
        <v>0</v>
      </c>
      <c r="Q69" s="95">
        <f t="shared" si="33"/>
        <v>0</v>
      </c>
      <c r="R69" s="95">
        <f t="shared" si="33"/>
        <v>0</v>
      </c>
      <c r="S69" s="95">
        <f t="shared" si="33"/>
        <v>0</v>
      </c>
      <c r="T69" s="95">
        <f t="shared" si="33"/>
        <v>0</v>
      </c>
      <c r="U69" s="95">
        <f t="shared" si="33"/>
        <v>0</v>
      </c>
      <c r="V69" s="95">
        <f t="shared" si="33"/>
        <v>0</v>
      </c>
      <c r="W69" s="95">
        <f t="shared" si="33"/>
        <v>0</v>
      </c>
      <c r="X69" s="95">
        <f t="shared" si="33"/>
        <v>0</v>
      </c>
      <c r="Y69" s="95">
        <f t="shared" si="34"/>
        <v>0</v>
      </c>
      <c r="Z69" s="95">
        <f t="shared" si="34"/>
        <v>0</v>
      </c>
      <c r="AA69" s="95">
        <f t="shared" si="34"/>
        <v>0</v>
      </c>
      <c r="AB69" s="95">
        <f t="shared" si="34"/>
        <v>0</v>
      </c>
      <c r="AC69" s="95">
        <f t="shared" si="34"/>
        <v>0</v>
      </c>
      <c r="AD69" s="95">
        <f t="shared" si="34"/>
        <v>0</v>
      </c>
      <c r="AE69" s="95">
        <f t="shared" si="34"/>
        <v>0</v>
      </c>
      <c r="AF69" s="95">
        <f t="shared" si="34"/>
        <v>0</v>
      </c>
      <c r="AG69" s="95">
        <f t="shared" si="34"/>
        <v>0</v>
      </c>
      <c r="AH69" s="95">
        <f t="shared" si="34"/>
        <v>0</v>
      </c>
      <c r="AI69" s="95">
        <f t="shared" si="35"/>
        <v>0</v>
      </c>
      <c r="AJ69" s="95">
        <f t="shared" si="35"/>
        <v>0</v>
      </c>
      <c r="AK69" s="95">
        <f t="shared" si="35"/>
        <v>0</v>
      </c>
      <c r="AL69" s="95">
        <f t="shared" si="35"/>
        <v>0</v>
      </c>
      <c r="AM69" s="95">
        <f t="shared" si="35"/>
        <v>0</v>
      </c>
      <c r="AN69" s="95">
        <f t="shared" si="35"/>
        <v>0</v>
      </c>
      <c r="AO69" s="95">
        <f t="shared" si="35"/>
        <v>0</v>
      </c>
      <c r="AP69" s="95">
        <f t="shared" si="35"/>
        <v>0</v>
      </c>
      <c r="AQ69" s="95">
        <f t="shared" si="35"/>
        <v>0</v>
      </c>
      <c r="AR69" s="96">
        <f t="shared" si="35"/>
        <v>0</v>
      </c>
    </row>
    <row r="70" spans="2:44" s="45" customFormat="1" x14ac:dyDescent="0.15">
      <c r="B70" s="35"/>
      <c r="C70" s="88" t="str">
        <f t="shared" si="18"/>
        <v/>
      </c>
      <c r="D70" s="160">
        <f t="shared" ca="1" si="19"/>
        <v>0</v>
      </c>
      <c r="E70" s="94">
        <f t="shared" si="32"/>
        <v>0</v>
      </c>
      <c r="F70" s="95">
        <f t="shared" si="32"/>
        <v>0</v>
      </c>
      <c r="G70" s="95">
        <f t="shared" si="32"/>
        <v>0</v>
      </c>
      <c r="H70" s="95">
        <f t="shared" si="32"/>
        <v>0</v>
      </c>
      <c r="I70" s="95">
        <f t="shared" si="32"/>
        <v>0</v>
      </c>
      <c r="J70" s="95">
        <f t="shared" si="32"/>
        <v>0</v>
      </c>
      <c r="K70" s="95">
        <f t="shared" si="32"/>
        <v>0</v>
      </c>
      <c r="L70" s="95">
        <f t="shared" si="32"/>
        <v>0</v>
      </c>
      <c r="M70" s="95">
        <f t="shared" si="32"/>
        <v>0</v>
      </c>
      <c r="N70" s="95">
        <f t="shared" si="32"/>
        <v>0</v>
      </c>
      <c r="O70" s="95">
        <f t="shared" si="33"/>
        <v>0</v>
      </c>
      <c r="P70" s="95">
        <f t="shared" si="33"/>
        <v>0</v>
      </c>
      <c r="Q70" s="95">
        <f t="shared" si="33"/>
        <v>0</v>
      </c>
      <c r="R70" s="95">
        <f t="shared" si="33"/>
        <v>0</v>
      </c>
      <c r="S70" s="95">
        <f t="shared" si="33"/>
        <v>0</v>
      </c>
      <c r="T70" s="95">
        <f t="shared" si="33"/>
        <v>0</v>
      </c>
      <c r="U70" s="95">
        <f t="shared" si="33"/>
        <v>0</v>
      </c>
      <c r="V70" s="95">
        <f t="shared" si="33"/>
        <v>0</v>
      </c>
      <c r="W70" s="95">
        <f t="shared" si="33"/>
        <v>0</v>
      </c>
      <c r="X70" s="95">
        <f t="shared" si="33"/>
        <v>0</v>
      </c>
      <c r="Y70" s="95">
        <f t="shared" si="34"/>
        <v>0</v>
      </c>
      <c r="Z70" s="95">
        <f t="shared" si="34"/>
        <v>0</v>
      </c>
      <c r="AA70" s="95">
        <f t="shared" si="34"/>
        <v>0</v>
      </c>
      <c r="AB70" s="95">
        <f t="shared" si="34"/>
        <v>0</v>
      </c>
      <c r="AC70" s="95">
        <f t="shared" si="34"/>
        <v>0</v>
      </c>
      <c r="AD70" s="95">
        <f t="shared" si="34"/>
        <v>0</v>
      </c>
      <c r="AE70" s="95">
        <f t="shared" si="34"/>
        <v>0</v>
      </c>
      <c r="AF70" s="95">
        <f t="shared" si="34"/>
        <v>0</v>
      </c>
      <c r="AG70" s="95">
        <f t="shared" si="34"/>
        <v>0</v>
      </c>
      <c r="AH70" s="95">
        <f t="shared" si="34"/>
        <v>0</v>
      </c>
      <c r="AI70" s="95">
        <f t="shared" si="35"/>
        <v>0</v>
      </c>
      <c r="AJ70" s="95">
        <f t="shared" si="35"/>
        <v>0</v>
      </c>
      <c r="AK70" s="95">
        <f t="shared" si="35"/>
        <v>0</v>
      </c>
      <c r="AL70" s="95">
        <f t="shared" si="35"/>
        <v>0</v>
      </c>
      <c r="AM70" s="95">
        <f t="shared" si="35"/>
        <v>0</v>
      </c>
      <c r="AN70" s="95">
        <f t="shared" si="35"/>
        <v>0</v>
      </c>
      <c r="AO70" s="95">
        <f t="shared" si="35"/>
        <v>0</v>
      </c>
      <c r="AP70" s="95">
        <f t="shared" si="35"/>
        <v>0</v>
      </c>
      <c r="AQ70" s="95">
        <f t="shared" si="35"/>
        <v>0</v>
      </c>
      <c r="AR70" s="96">
        <f t="shared" si="35"/>
        <v>0</v>
      </c>
    </row>
    <row r="71" spans="2:44" s="45" customFormat="1" x14ac:dyDescent="0.15">
      <c r="B71" s="35"/>
      <c r="C71" s="88" t="str">
        <f t="shared" si="18"/>
        <v/>
      </c>
      <c r="D71" s="160">
        <f t="shared" ca="1" si="19"/>
        <v>0</v>
      </c>
      <c r="E71" s="94">
        <f t="shared" si="32"/>
        <v>0</v>
      </c>
      <c r="F71" s="95">
        <f t="shared" si="32"/>
        <v>0</v>
      </c>
      <c r="G71" s="95">
        <f t="shared" si="32"/>
        <v>0</v>
      </c>
      <c r="H71" s="95">
        <f t="shared" si="32"/>
        <v>0</v>
      </c>
      <c r="I71" s="95">
        <f t="shared" si="32"/>
        <v>0</v>
      </c>
      <c r="J71" s="95">
        <f t="shared" si="32"/>
        <v>0</v>
      </c>
      <c r="K71" s="95">
        <f t="shared" si="32"/>
        <v>0</v>
      </c>
      <c r="L71" s="95">
        <f t="shared" si="32"/>
        <v>0</v>
      </c>
      <c r="M71" s="95">
        <f t="shared" si="32"/>
        <v>0</v>
      </c>
      <c r="N71" s="95">
        <f t="shared" si="32"/>
        <v>0</v>
      </c>
      <c r="O71" s="95">
        <f t="shared" si="33"/>
        <v>0</v>
      </c>
      <c r="P71" s="95">
        <f t="shared" si="33"/>
        <v>0</v>
      </c>
      <c r="Q71" s="95">
        <f t="shared" si="33"/>
        <v>0</v>
      </c>
      <c r="R71" s="95">
        <f t="shared" si="33"/>
        <v>0</v>
      </c>
      <c r="S71" s="95">
        <f t="shared" si="33"/>
        <v>0</v>
      </c>
      <c r="T71" s="95">
        <f t="shared" si="33"/>
        <v>0</v>
      </c>
      <c r="U71" s="95">
        <f t="shared" si="33"/>
        <v>0</v>
      </c>
      <c r="V71" s="95">
        <f t="shared" si="33"/>
        <v>0</v>
      </c>
      <c r="W71" s="95">
        <f t="shared" si="33"/>
        <v>0</v>
      </c>
      <c r="X71" s="95">
        <f t="shared" si="33"/>
        <v>0</v>
      </c>
      <c r="Y71" s="95">
        <f t="shared" si="34"/>
        <v>0</v>
      </c>
      <c r="Z71" s="95">
        <f t="shared" si="34"/>
        <v>0</v>
      </c>
      <c r="AA71" s="95">
        <f t="shared" si="34"/>
        <v>0</v>
      </c>
      <c r="AB71" s="95">
        <f t="shared" si="34"/>
        <v>0</v>
      </c>
      <c r="AC71" s="95">
        <f t="shared" si="34"/>
        <v>0</v>
      </c>
      <c r="AD71" s="95">
        <f t="shared" si="34"/>
        <v>0</v>
      </c>
      <c r="AE71" s="95">
        <f t="shared" si="34"/>
        <v>0</v>
      </c>
      <c r="AF71" s="95">
        <f t="shared" si="34"/>
        <v>0</v>
      </c>
      <c r="AG71" s="95">
        <f t="shared" si="34"/>
        <v>0</v>
      </c>
      <c r="AH71" s="95">
        <f t="shared" si="34"/>
        <v>0</v>
      </c>
      <c r="AI71" s="95">
        <f t="shared" si="35"/>
        <v>0</v>
      </c>
      <c r="AJ71" s="95">
        <f t="shared" si="35"/>
        <v>0</v>
      </c>
      <c r="AK71" s="95">
        <f t="shared" si="35"/>
        <v>0</v>
      </c>
      <c r="AL71" s="95">
        <f t="shared" si="35"/>
        <v>0</v>
      </c>
      <c r="AM71" s="95">
        <f t="shared" si="35"/>
        <v>0</v>
      </c>
      <c r="AN71" s="95">
        <f t="shared" si="35"/>
        <v>0</v>
      </c>
      <c r="AO71" s="95">
        <f t="shared" si="35"/>
        <v>0</v>
      </c>
      <c r="AP71" s="95">
        <f t="shared" si="35"/>
        <v>0</v>
      </c>
      <c r="AQ71" s="95">
        <f t="shared" si="35"/>
        <v>0</v>
      </c>
      <c r="AR71" s="96">
        <f t="shared" si="35"/>
        <v>0</v>
      </c>
    </row>
    <row r="72" spans="2:44" s="45" customFormat="1" x14ac:dyDescent="0.15">
      <c r="B72" s="35"/>
      <c r="C72" s="88" t="str">
        <f t="shared" si="18"/>
        <v/>
      </c>
      <c r="D72" s="161">
        <f t="shared" ca="1" si="19"/>
        <v>0</v>
      </c>
      <c r="E72" s="98">
        <f t="shared" si="32"/>
        <v>0</v>
      </c>
      <c r="F72" s="83">
        <f t="shared" si="32"/>
        <v>0</v>
      </c>
      <c r="G72" s="83">
        <f t="shared" si="32"/>
        <v>0</v>
      </c>
      <c r="H72" s="83">
        <f t="shared" si="32"/>
        <v>0</v>
      </c>
      <c r="I72" s="83">
        <f t="shared" si="32"/>
        <v>0</v>
      </c>
      <c r="J72" s="83">
        <f t="shared" si="32"/>
        <v>0</v>
      </c>
      <c r="K72" s="83">
        <f t="shared" si="32"/>
        <v>0</v>
      </c>
      <c r="L72" s="83">
        <f t="shared" si="32"/>
        <v>0</v>
      </c>
      <c r="M72" s="83">
        <f t="shared" si="32"/>
        <v>0</v>
      </c>
      <c r="N72" s="83">
        <f t="shared" si="32"/>
        <v>0</v>
      </c>
      <c r="O72" s="83">
        <f t="shared" si="33"/>
        <v>0</v>
      </c>
      <c r="P72" s="83">
        <f t="shared" si="33"/>
        <v>0</v>
      </c>
      <c r="Q72" s="83">
        <f t="shared" si="33"/>
        <v>0</v>
      </c>
      <c r="R72" s="83">
        <f t="shared" si="33"/>
        <v>0</v>
      </c>
      <c r="S72" s="83">
        <f t="shared" si="33"/>
        <v>0</v>
      </c>
      <c r="T72" s="83">
        <f t="shared" si="33"/>
        <v>0</v>
      </c>
      <c r="U72" s="83">
        <f t="shared" si="33"/>
        <v>0</v>
      </c>
      <c r="V72" s="83">
        <f t="shared" si="33"/>
        <v>0</v>
      </c>
      <c r="W72" s="83">
        <f t="shared" si="33"/>
        <v>0</v>
      </c>
      <c r="X72" s="83">
        <f t="shared" si="33"/>
        <v>0</v>
      </c>
      <c r="Y72" s="83">
        <f t="shared" si="34"/>
        <v>0</v>
      </c>
      <c r="Z72" s="83">
        <f t="shared" si="34"/>
        <v>0</v>
      </c>
      <c r="AA72" s="83">
        <f t="shared" si="34"/>
        <v>0</v>
      </c>
      <c r="AB72" s="83">
        <f t="shared" si="34"/>
        <v>0</v>
      </c>
      <c r="AC72" s="83">
        <f t="shared" si="34"/>
        <v>0</v>
      </c>
      <c r="AD72" s="83">
        <f t="shared" si="34"/>
        <v>0</v>
      </c>
      <c r="AE72" s="83">
        <f t="shared" si="34"/>
        <v>0</v>
      </c>
      <c r="AF72" s="83">
        <f t="shared" si="34"/>
        <v>0</v>
      </c>
      <c r="AG72" s="83">
        <f t="shared" si="34"/>
        <v>0</v>
      </c>
      <c r="AH72" s="83">
        <f t="shared" si="34"/>
        <v>0</v>
      </c>
      <c r="AI72" s="83">
        <f t="shared" si="35"/>
        <v>0</v>
      </c>
      <c r="AJ72" s="83">
        <f t="shared" si="35"/>
        <v>0</v>
      </c>
      <c r="AK72" s="83">
        <f t="shared" si="35"/>
        <v>0</v>
      </c>
      <c r="AL72" s="83">
        <f t="shared" si="35"/>
        <v>0</v>
      </c>
      <c r="AM72" s="83">
        <f t="shared" si="35"/>
        <v>0</v>
      </c>
      <c r="AN72" s="83">
        <f t="shared" si="35"/>
        <v>0</v>
      </c>
      <c r="AO72" s="83">
        <f t="shared" si="35"/>
        <v>0</v>
      </c>
      <c r="AP72" s="83">
        <f t="shared" si="35"/>
        <v>0</v>
      </c>
      <c r="AQ72" s="83">
        <f t="shared" si="35"/>
        <v>0</v>
      </c>
      <c r="AR72" s="84">
        <f t="shared" si="35"/>
        <v>0</v>
      </c>
    </row>
    <row r="73" spans="2:44" s="45" customFormat="1" x14ac:dyDescent="0.15">
      <c r="C73" s="75" t="s">
        <v>32</v>
      </c>
      <c r="D73" s="161">
        <f t="shared" ref="D73:AR73" ca="1" si="36">SUM(D33:D72)</f>
        <v>0.26222303774991262</v>
      </c>
      <c r="E73" s="98">
        <f t="shared" si="36"/>
        <v>1.3872826597967309E-4</v>
      </c>
      <c r="F73" s="83">
        <f t="shared" si="36"/>
        <v>3.5602220663530191E-4</v>
      </c>
      <c r="G73" s="83">
        <f t="shared" si="36"/>
        <v>9.1452594281673898E-4</v>
      </c>
      <c r="H73" s="83">
        <f t="shared" si="36"/>
        <v>2.2307241015880799E-3</v>
      </c>
      <c r="I73" s="83">
        <f t="shared" si="36"/>
        <v>4.6211383386462017E-3</v>
      </c>
      <c r="J73" s="83">
        <f t="shared" si="36"/>
        <v>7.8109083896619582E-3</v>
      </c>
      <c r="K73" s="83">
        <f t="shared" si="36"/>
        <v>1.0400296738193799E-2</v>
      </c>
      <c r="L73" s="83">
        <f t="shared" si="36"/>
        <v>1.192980796508292E-2</v>
      </c>
      <c r="M73" s="83">
        <f t="shared" si="36"/>
        <v>1.2646821920745066E-2</v>
      </c>
      <c r="N73" s="83">
        <f t="shared" si="36"/>
        <v>1.3111151887495631E-2</v>
      </c>
      <c r="O73" s="83">
        <f t="shared" si="36"/>
        <v>1.3111151887495631E-2</v>
      </c>
      <c r="P73" s="83">
        <f t="shared" si="36"/>
        <v>1.3111151887495631E-2</v>
      </c>
      <c r="Q73" s="83">
        <f t="shared" si="36"/>
        <v>1.3111151887495631E-2</v>
      </c>
      <c r="R73" s="83">
        <f t="shared" si="36"/>
        <v>1.3111151887495631E-2</v>
      </c>
      <c r="S73" s="83">
        <f t="shared" si="36"/>
        <v>1.3111151887495631E-2</v>
      </c>
      <c r="T73" s="83">
        <f t="shared" si="36"/>
        <v>1.3111151887495631E-2</v>
      </c>
      <c r="U73" s="83">
        <f t="shared" si="36"/>
        <v>1.3111151887495631E-2</v>
      </c>
      <c r="V73" s="83">
        <f t="shared" si="36"/>
        <v>1.3111151887495631E-2</v>
      </c>
      <c r="W73" s="83">
        <f t="shared" si="36"/>
        <v>1.3111151887495631E-2</v>
      </c>
      <c r="X73" s="83">
        <f t="shared" si="36"/>
        <v>1.3111151887495631E-2</v>
      </c>
      <c r="Y73" s="83">
        <f t="shared" si="36"/>
        <v>0</v>
      </c>
      <c r="Z73" s="83">
        <f t="shared" si="36"/>
        <v>0</v>
      </c>
      <c r="AA73" s="83">
        <f t="shared" si="36"/>
        <v>0</v>
      </c>
      <c r="AB73" s="83">
        <f t="shared" si="36"/>
        <v>0</v>
      </c>
      <c r="AC73" s="83">
        <f t="shared" si="36"/>
        <v>0</v>
      </c>
      <c r="AD73" s="83">
        <f t="shared" si="36"/>
        <v>0</v>
      </c>
      <c r="AE73" s="83">
        <f t="shared" si="36"/>
        <v>0</v>
      </c>
      <c r="AF73" s="83">
        <f t="shared" si="36"/>
        <v>0</v>
      </c>
      <c r="AG73" s="83">
        <f t="shared" si="36"/>
        <v>0</v>
      </c>
      <c r="AH73" s="83">
        <f t="shared" si="36"/>
        <v>0</v>
      </c>
      <c r="AI73" s="83">
        <f t="shared" si="36"/>
        <v>0</v>
      </c>
      <c r="AJ73" s="83">
        <f t="shared" si="36"/>
        <v>0</v>
      </c>
      <c r="AK73" s="83">
        <f t="shared" si="36"/>
        <v>0</v>
      </c>
      <c r="AL73" s="83">
        <f t="shared" si="36"/>
        <v>0</v>
      </c>
      <c r="AM73" s="83">
        <f t="shared" si="36"/>
        <v>0</v>
      </c>
      <c r="AN73" s="83">
        <f t="shared" si="36"/>
        <v>0</v>
      </c>
      <c r="AO73" s="83">
        <f t="shared" si="36"/>
        <v>0</v>
      </c>
      <c r="AP73" s="83">
        <f t="shared" si="36"/>
        <v>0</v>
      </c>
      <c r="AQ73" s="83">
        <f t="shared" si="36"/>
        <v>0</v>
      </c>
      <c r="AR73" s="84">
        <f t="shared" si="36"/>
        <v>0</v>
      </c>
    </row>
    <row r="74" spans="2:44" s="45" customFormat="1" x14ac:dyDescent="0.15">
      <c r="B74" s="75"/>
      <c r="C74" s="35"/>
      <c r="D74" s="99"/>
      <c r="F74" s="86"/>
      <c r="G74" s="86"/>
      <c r="H74" s="86"/>
      <c r="I74" s="86"/>
      <c r="J74" s="86"/>
      <c r="K74" s="86"/>
      <c r="L74" s="86"/>
      <c r="M74" s="86"/>
      <c r="N74" s="86"/>
      <c r="O74" s="86"/>
      <c r="P74" s="86"/>
      <c r="Q74" s="86"/>
      <c r="R74" s="86"/>
      <c r="S74" s="86"/>
      <c r="T74" s="86"/>
      <c r="U74" s="86"/>
      <c r="V74" s="86"/>
      <c r="W74" s="86"/>
      <c r="X74" s="86"/>
      <c r="Y74" s="86"/>
      <c r="Z74" s="86"/>
      <c r="AA74" s="86"/>
      <c r="AB74" s="86"/>
      <c r="AC74" s="86"/>
      <c r="AD74" s="86"/>
      <c r="AE74" s="86"/>
      <c r="AF74" s="86"/>
      <c r="AG74" s="86"/>
      <c r="AH74" s="86"/>
      <c r="AI74" s="86"/>
      <c r="AJ74" s="86"/>
      <c r="AK74" s="86"/>
      <c r="AL74" s="86"/>
      <c r="AM74" s="86"/>
      <c r="AN74" s="86"/>
      <c r="AO74" s="86"/>
      <c r="AP74" s="86"/>
      <c r="AQ74" s="86"/>
      <c r="AR74" s="86"/>
    </row>
    <row r="75" spans="2:44" s="45" customFormat="1" x14ac:dyDescent="0.15">
      <c r="B75" s="81" t="s">
        <v>33</v>
      </c>
      <c r="E75" s="100">
        <f>INDEX($D$33:$D$72,Year,1)</f>
        <v>2.7745653195934616E-3</v>
      </c>
      <c r="F75" s="91">
        <f t="shared" ref="F75:AR75" si="37">IF(Year&gt;Contract_Length,,E75-E76+INDEX($D$33:$D$72,Year,1))</f>
        <v>6.9817158667263655E-3</v>
      </c>
      <c r="G75" s="91">
        <f t="shared" si="37"/>
        <v>1.7795768383719802E-2</v>
      </c>
      <c r="H75" s="91">
        <f t="shared" si="37"/>
        <v>4.3205205616329886E-2</v>
      </c>
      <c r="I75" s="91">
        <f t="shared" si="37"/>
        <v>8.8782766255904227E-2</v>
      </c>
      <c r="J75" s="91">
        <f t="shared" si="37"/>
        <v>0.14795702893757315</v>
      </c>
      <c r="K75" s="91">
        <f t="shared" si="37"/>
        <v>0.19193388751854804</v>
      </c>
      <c r="L75" s="91">
        <f t="shared" si="37"/>
        <v>0.21212381531813665</v>
      </c>
      <c r="M75" s="91">
        <f t="shared" si="37"/>
        <v>0.21453428646629666</v>
      </c>
      <c r="N75" s="91">
        <f t="shared" si="37"/>
        <v>0.2111740638805629</v>
      </c>
      <c r="O75" s="91">
        <f t="shared" si="37"/>
        <v>0.19806291199306728</v>
      </c>
      <c r="P75" s="91">
        <f t="shared" si="37"/>
        <v>0.18495176010557166</v>
      </c>
      <c r="Q75" s="91">
        <f t="shared" si="37"/>
        <v>0.17184060821807604</v>
      </c>
      <c r="R75" s="91">
        <f t="shared" si="37"/>
        <v>0.15872945633058042</v>
      </c>
      <c r="S75" s="91">
        <f t="shared" si="37"/>
        <v>0.1456183044430848</v>
      </c>
      <c r="T75" s="91">
        <f t="shared" si="37"/>
        <v>0.13250715255558917</v>
      </c>
      <c r="U75" s="91">
        <f t="shared" si="37"/>
        <v>0.11939600066809354</v>
      </c>
      <c r="V75" s="91">
        <f t="shared" si="37"/>
        <v>0.10628484878059791</v>
      </c>
      <c r="W75" s="91">
        <f t="shared" si="37"/>
        <v>9.3173696893102273E-2</v>
      </c>
      <c r="X75" s="91">
        <f t="shared" si="37"/>
        <v>8.0062545005606639E-2</v>
      </c>
      <c r="Y75" s="91">
        <f t="shared" si="37"/>
        <v>0</v>
      </c>
      <c r="Z75" s="91">
        <f t="shared" si="37"/>
        <v>0</v>
      </c>
      <c r="AA75" s="91">
        <f t="shared" si="37"/>
        <v>0</v>
      </c>
      <c r="AB75" s="91">
        <f t="shared" si="37"/>
        <v>0</v>
      </c>
      <c r="AC75" s="91">
        <f t="shared" si="37"/>
        <v>0</v>
      </c>
      <c r="AD75" s="91">
        <f t="shared" si="37"/>
        <v>0</v>
      </c>
      <c r="AE75" s="91">
        <f t="shared" si="37"/>
        <v>0</v>
      </c>
      <c r="AF75" s="91">
        <f t="shared" si="37"/>
        <v>0</v>
      </c>
      <c r="AG75" s="91">
        <f t="shared" si="37"/>
        <v>0</v>
      </c>
      <c r="AH75" s="91">
        <f t="shared" si="37"/>
        <v>0</v>
      </c>
      <c r="AI75" s="91">
        <f t="shared" si="37"/>
        <v>0</v>
      </c>
      <c r="AJ75" s="91">
        <f t="shared" si="37"/>
        <v>0</v>
      </c>
      <c r="AK75" s="91">
        <f t="shared" si="37"/>
        <v>0</v>
      </c>
      <c r="AL75" s="91">
        <f t="shared" si="37"/>
        <v>0</v>
      </c>
      <c r="AM75" s="91">
        <f t="shared" si="37"/>
        <v>0</v>
      </c>
      <c r="AN75" s="91">
        <f t="shared" si="37"/>
        <v>0</v>
      </c>
      <c r="AO75" s="91">
        <f t="shared" si="37"/>
        <v>0</v>
      </c>
      <c r="AP75" s="91">
        <f t="shared" si="37"/>
        <v>0</v>
      </c>
      <c r="AQ75" s="91">
        <f t="shared" si="37"/>
        <v>0</v>
      </c>
      <c r="AR75" s="92">
        <f t="shared" si="37"/>
        <v>0</v>
      </c>
    </row>
    <row r="76" spans="2:44" s="45" customFormat="1" x14ac:dyDescent="0.15">
      <c r="B76" s="81" t="s">
        <v>34</v>
      </c>
      <c r="E76" s="101">
        <f>E73</f>
        <v>1.3872826597967309E-4</v>
      </c>
      <c r="F76" s="102">
        <f>F73</f>
        <v>3.5602220663530191E-4</v>
      </c>
      <c r="G76" s="102">
        <f>G73</f>
        <v>9.1452594281673898E-4</v>
      </c>
      <c r="H76" s="102">
        <f t="shared" ref="H76:AR76" si="38">H73</f>
        <v>2.2307241015880799E-3</v>
      </c>
      <c r="I76" s="102">
        <f t="shared" si="38"/>
        <v>4.6211383386462017E-3</v>
      </c>
      <c r="J76" s="102">
        <f t="shared" si="38"/>
        <v>7.8109083896619582E-3</v>
      </c>
      <c r="K76" s="102">
        <f t="shared" si="38"/>
        <v>1.0400296738193799E-2</v>
      </c>
      <c r="L76" s="102">
        <f t="shared" si="38"/>
        <v>1.192980796508292E-2</v>
      </c>
      <c r="M76" s="102">
        <f t="shared" si="38"/>
        <v>1.2646821920745066E-2</v>
      </c>
      <c r="N76" s="102">
        <f t="shared" si="38"/>
        <v>1.3111151887495631E-2</v>
      </c>
      <c r="O76" s="102">
        <f t="shared" si="38"/>
        <v>1.3111151887495631E-2</v>
      </c>
      <c r="P76" s="102">
        <f t="shared" si="38"/>
        <v>1.3111151887495631E-2</v>
      </c>
      <c r="Q76" s="102">
        <f t="shared" si="38"/>
        <v>1.3111151887495631E-2</v>
      </c>
      <c r="R76" s="102">
        <f t="shared" si="38"/>
        <v>1.3111151887495631E-2</v>
      </c>
      <c r="S76" s="102">
        <f t="shared" si="38"/>
        <v>1.3111151887495631E-2</v>
      </c>
      <c r="T76" s="102">
        <f t="shared" si="38"/>
        <v>1.3111151887495631E-2</v>
      </c>
      <c r="U76" s="102">
        <f t="shared" si="38"/>
        <v>1.3111151887495631E-2</v>
      </c>
      <c r="V76" s="102">
        <f t="shared" si="38"/>
        <v>1.3111151887495631E-2</v>
      </c>
      <c r="W76" s="102">
        <f t="shared" si="38"/>
        <v>1.3111151887495631E-2</v>
      </c>
      <c r="X76" s="102">
        <f t="shared" si="38"/>
        <v>1.3111151887495631E-2</v>
      </c>
      <c r="Y76" s="102">
        <f t="shared" si="38"/>
        <v>0</v>
      </c>
      <c r="Z76" s="102">
        <f t="shared" si="38"/>
        <v>0</v>
      </c>
      <c r="AA76" s="102">
        <f t="shared" si="38"/>
        <v>0</v>
      </c>
      <c r="AB76" s="102">
        <f t="shared" si="38"/>
        <v>0</v>
      </c>
      <c r="AC76" s="102">
        <f t="shared" si="38"/>
        <v>0</v>
      </c>
      <c r="AD76" s="102">
        <f t="shared" si="38"/>
        <v>0</v>
      </c>
      <c r="AE76" s="102">
        <f t="shared" si="38"/>
        <v>0</v>
      </c>
      <c r="AF76" s="102">
        <f t="shared" si="38"/>
        <v>0</v>
      </c>
      <c r="AG76" s="102">
        <f t="shared" si="38"/>
        <v>0</v>
      </c>
      <c r="AH76" s="102">
        <f t="shared" si="38"/>
        <v>0</v>
      </c>
      <c r="AI76" s="102">
        <f t="shared" si="38"/>
        <v>0</v>
      </c>
      <c r="AJ76" s="102">
        <f t="shared" si="38"/>
        <v>0</v>
      </c>
      <c r="AK76" s="102">
        <f t="shared" si="38"/>
        <v>0</v>
      </c>
      <c r="AL76" s="102">
        <f t="shared" si="38"/>
        <v>0</v>
      </c>
      <c r="AM76" s="102">
        <f t="shared" si="38"/>
        <v>0</v>
      </c>
      <c r="AN76" s="102">
        <f t="shared" si="38"/>
        <v>0</v>
      </c>
      <c r="AO76" s="102">
        <f t="shared" si="38"/>
        <v>0</v>
      </c>
      <c r="AP76" s="102">
        <f t="shared" si="38"/>
        <v>0</v>
      </c>
      <c r="AQ76" s="102">
        <f t="shared" si="38"/>
        <v>0</v>
      </c>
      <c r="AR76" s="103">
        <f t="shared" si="38"/>
        <v>0</v>
      </c>
    </row>
    <row r="77" spans="2:44" s="45" customFormat="1" x14ac:dyDescent="0.15">
      <c r="B77" s="81" t="s">
        <v>35</v>
      </c>
      <c r="E77" s="82">
        <f t="shared" ref="E77:AR77" si="39">E75*IntRate_Cur</f>
        <v>1.3872826597967309E-4</v>
      </c>
      <c r="F77" s="83">
        <f t="shared" si="39"/>
        <v>3.4908579333631831E-4</v>
      </c>
      <c r="G77" s="83">
        <f t="shared" si="39"/>
        <v>8.8978841918599014E-4</v>
      </c>
      <c r="H77" s="83">
        <f t="shared" si="39"/>
        <v>2.1602602808164944E-3</v>
      </c>
      <c r="I77" s="83">
        <f t="shared" si="39"/>
        <v>4.4391383127952112E-3</v>
      </c>
      <c r="J77" s="83">
        <f t="shared" si="39"/>
        <v>7.3978514468786578E-3</v>
      </c>
      <c r="K77" s="83">
        <f t="shared" si="39"/>
        <v>9.5966943759274032E-3</v>
      </c>
      <c r="L77" s="83">
        <f t="shared" si="39"/>
        <v>1.0606190765906832E-2</v>
      </c>
      <c r="M77" s="83">
        <f t="shared" si="39"/>
        <v>1.0726714323314833E-2</v>
      </c>
      <c r="N77" s="83">
        <f t="shared" si="39"/>
        <v>1.0558703194028145E-2</v>
      </c>
      <c r="O77" s="83">
        <f t="shared" si="39"/>
        <v>9.9031455996533638E-3</v>
      </c>
      <c r="P77" s="83">
        <f t="shared" si="39"/>
        <v>9.2475880052785824E-3</v>
      </c>
      <c r="Q77" s="83">
        <f t="shared" si="39"/>
        <v>8.5920304109038028E-3</v>
      </c>
      <c r="R77" s="83">
        <f t="shared" si="39"/>
        <v>7.9364728165290215E-3</v>
      </c>
      <c r="S77" s="83">
        <f t="shared" si="39"/>
        <v>7.2809152221542401E-3</v>
      </c>
      <c r="T77" s="83">
        <f t="shared" si="39"/>
        <v>6.6253576277794587E-3</v>
      </c>
      <c r="U77" s="83">
        <f t="shared" si="39"/>
        <v>5.9698000334046774E-3</v>
      </c>
      <c r="V77" s="83">
        <f t="shared" si="39"/>
        <v>5.314242439029896E-3</v>
      </c>
      <c r="W77" s="83">
        <f t="shared" si="39"/>
        <v>4.6586848446551138E-3</v>
      </c>
      <c r="X77" s="83">
        <f t="shared" si="39"/>
        <v>4.0031272502803325E-3</v>
      </c>
      <c r="Y77" s="83">
        <f t="shared" si="39"/>
        <v>0</v>
      </c>
      <c r="Z77" s="83">
        <f t="shared" si="39"/>
        <v>0</v>
      </c>
      <c r="AA77" s="83">
        <f t="shared" si="39"/>
        <v>0</v>
      </c>
      <c r="AB77" s="83">
        <f t="shared" si="39"/>
        <v>0</v>
      </c>
      <c r="AC77" s="83">
        <f t="shared" si="39"/>
        <v>0</v>
      </c>
      <c r="AD77" s="83">
        <f t="shared" si="39"/>
        <v>0</v>
      </c>
      <c r="AE77" s="83">
        <f t="shared" si="39"/>
        <v>0</v>
      </c>
      <c r="AF77" s="83">
        <f t="shared" si="39"/>
        <v>0</v>
      </c>
      <c r="AG77" s="83">
        <f t="shared" si="39"/>
        <v>0</v>
      </c>
      <c r="AH77" s="83">
        <f t="shared" si="39"/>
        <v>0</v>
      </c>
      <c r="AI77" s="83">
        <f t="shared" si="39"/>
        <v>0</v>
      </c>
      <c r="AJ77" s="83">
        <f t="shared" si="39"/>
        <v>0</v>
      </c>
      <c r="AK77" s="83">
        <f t="shared" si="39"/>
        <v>0</v>
      </c>
      <c r="AL77" s="83">
        <f t="shared" si="39"/>
        <v>0</v>
      </c>
      <c r="AM77" s="83">
        <f t="shared" si="39"/>
        <v>0</v>
      </c>
      <c r="AN77" s="83">
        <f t="shared" si="39"/>
        <v>0</v>
      </c>
      <c r="AO77" s="83">
        <f t="shared" si="39"/>
        <v>0</v>
      </c>
      <c r="AP77" s="83">
        <f t="shared" si="39"/>
        <v>0</v>
      </c>
      <c r="AQ77" s="83">
        <f t="shared" si="39"/>
        <v>0</v>
      </c>
      <c r="AR77" s="84">
        <f t="shared" si="39"/>
        <v>0</v>
      </c>
    </row>
    <row r="78" spans="2:44" s="45" customFormat="1" x14ac:dyDescent="0.15">
      <c r="B78" s="75"/>
      <c r="C78" s="104"/>
      <c r="D78" s="105"/>
      <c r="E78" s="106"/>
      <c r="F78" s="106"/>
      <c r="G78" s="106"/>
      <c r="H78" s="106"/>
      <c r="I78" s="106"/>
      <c r="J78" s="106"/>
      <c r="K78" s="106"/>
      <c r="L78" s="106"/>
      <c r="M78" s="106"/>
      <c r="N78" s="106"/>
      <c r="O78" s="105"/>
      <c r="P78" s="105"/>
      <c r="Q78" s="105"/>
      <c r="R78" s="105"/>
      <c r="S78" s="105"/>
      <c r="T78" s="105"/>
      <c r="U78" s="105"/>
      <c r="V78" s="105"/>
      <c r="W78" s="105"/>
      <c r="X78" s="105"/>
      <c r="Y78" s="105"/>
      <c r="Z78" s="105"/>
      <c r="AA78" s="105"/>
      <c r="AB78" s="105"/>
      <c r="AC78" s="105"/>
      <c r="AD78" s="105"/>
      <c r="AE78" s="105"/>
      <c r="AF78" s="105"/>
      <c r="AG78" s="105"/>
      <c r="AH78" s="105"/>
      <c r="AI78" s="105"/>
      <c r="AJ78" s="105"/>
      <c r="AK78" s="105"/>
      <c r="AL78" s="105"/>
      <c r="AM78" s="105"/>
      <c r="AN78" s="105"/>
      <c r="AO78" s="105"/>
      <c r="AP78" s="105"/>
      <c r="AQ78" s="105"/>
      <c r="AR78" s="105"/>
    </row>
    <row r="79" spans="2:44" s="45" customFormat="1" x14ac:dyDescent="0.15">
      <c r="B79" s="74" t="s">
        <v>36</v>
      </c>
      <c r="C79" s="35"/>
      <c r="D79" s="107"/>
      <c r="E79" s="107"/>
      <c r="F79" s="107"/>
      <c r="G79" s="107"/>
      <c r="H79" s="107"/>
      <c r="I79" s="107"/>
      <c r="J79" s="107"/>
      <c r="K79" s="107"/>
      <c r="L79" s="107"/>
      <c r="M79" s="107"/>
      <c r="N79" s="107"/>
    </row>
    <row r="80" spans="2:44" s="45" customFormat="1" x14ac:dyDescent="0.15">
      <c r="B80" s="68" t="s">
        <v>37</v>
      </c>
      <c r="C80" s="35"/>
      <c r="D80" s="107"/>
      <c r="E80" s="107"/>
      <c r="F80" s="107"/>
      <c r="G80" s="107"/>
      <c r="H80" s="107"/>
      <c r="I80" s="107"/>
      <c r="J80" s="107"/>
      <c r="K80" s="107"/>
      <c r="L80" s="107"/>
      <c r="M80" s="107"/>
      <c r="N80" s="107"/>
    </row>
    <row r="81" spans="1:44" s="45" customFormat="1" x14ac:dyDescent="0.15">
      <c r="B81" s="35"/>
      <c r="C81" s="81" t="s">
        <v>33</v>
      </c>
      <c r="E81" s="100">
        <f t="shared" ref="E81:AR81" si="40">IF(Year&lt;=Grace_Period,,INDEX(75:75,1,COLUMN()-Grace_Period))*IF(ServExt_LoanIntDen=lbl_Dom,1,INDEX(RealExRate_Risk,1,COLUMN()))*ServExt_LoanPct</f>
        <v>0</v>
      </c>
      <c r="F81" s="91">
        <f t="shared" si="40"/>
        <v>0</v>
      </c>
      <c r="G81" s="91">
        <f t="shared" si="40"/>
        <v>0</v>
      </c>
      <c r="H81" s="91">
        <f t="shared" si="40"/>
        <v>0</v>
      </c>
      <c r="I81" s="91">
        <f t="shared" si="40"/>
        <v>0</v>
      </c>
      <c r="J81" s="91">
        <f t="shared" si="40"/>
        <v>0.2030606826864659</v>
      </c>
      <c r="K81" s="91">
        <f t="shared" si="40"/>
        <v>0.54234542181146617</v>
      </c>
      <c r="L81" s="91">
        <f t="shared" si="40"/>
        <v>1.3832581389446337</v>
      </c>
      <c r="M81" s="91">
        <f t="shared" si="40"/>
        <v>3.4018387866581392</v>
      </c>
      <c r="N81" s="91">
        <f t="shared" si="40"/>
        <v>7.3759860719518135</v>
      </c>
      <c r="O81" s="91">
        <f t="shared" si="40"/>
        <v>12.482760473938159</v>
      </c>
      <c r="P81" s="91">
        <f t="shared" si="40"/>
        <v>16.483445145948632</v>
      </c>
      <c r="Q81" s="91">
        <f t="shared" si="40"/>
        <v>18.202515775574906</v>
      </c>
      <c r="R81" s="91">
        <f t="shared" si="40"/>
        <v>19.951954026939127</v>
      </c>
      <c r="S81" s="91">
        <f t="shared" si="40"/>
        <v>21.74456759860918</v>
      </c>
      <c r="T81" s="91">
        <f t="shared" si="40"/>
        <v>21.950291814717129</v>
      </c>
      <c r="U81" s="91">
        <f t="shared" si="40"/>
        <v>20.714955849920809</v>
      </c>
      <c r="V81" s="91">
        <f t="shared" si="40"/>
        <v>20.724177313650856</v>
      </c>
      <c r="W81" s="91">
        <f t="shared" si="40"/>
        <v>20.220891928167383</v>
      </c>
      <c r="X81" s="91">
        <f t="shared" si="40"/>
        <v>18.407001046171022</v>
      </c>
      <c r="Y81" s="91">
        <f t="shared" ca="1" si="40"/>
        <v>17.038585512963781</v>
      </c>
      <c r="Z81" s="91">
        <f t="shared" ca="1" si="40"/>
        <v>15.179764109194936</v>
      </c>
      <c r="AA81" s="91">
        <f t="shared" ca="1" si="40"/>
        <v>13.860361337942193</v>
      </c>
      <c r="AB81" s="91">
        <f t="shared" ca="1" si="40"/>
        <v>13.329094666357225</v>
      </c>
      <c r="AC81" s="91">
        <f t="shared" ca="1" si="40"/>
        <v>11.536531530533177</v>
      </c>
      <c r="AD81" s="91">
        <f t="shared" ca="1" si="40"/>
        <v>0</v>
      </c>
      <c r="AE81" s="91">
        <f t="shared" ca="1" si="40"/>
        <v>0</v>
      </c>
      <c r="AF81" s="91">
        <f t="shared" ca="1" si="40"/>
        <v>0</v>
      </c>
      <c r="AG81" s="91">
        <f t="shared" ca="1" si="40"/>
        <v>0</v>
      </c>
      <c r="AH81" s="91">
        <f t="shared" ca="1" si="40"/>
        <v>0</v>
      </c>
      <c r="AI81" s="91">
        <f t="shared" ca="1" si="40"/>
        <v>0</v>
      </c>
      <c r="AJ81" s="91">
        <f t="shared" ca="1" si="40"/>
        <v>0</v>
      </c>
      <c r="AK81" s="91">
        <f t="shared" ca="1" si="40"/>
        <v>0</v>
      </c>
      <c r="AL81" s="91">
        <f t="shared" ca="1" si="40"/>
        <v>0</v>
      </c>
      <c r="AM81" s="91">
        <f t="shared" ca="1" si="40"/>
        <v>0</v>
      </c>
      <c r="AN81" s="91">
        <f t="shared" ca="1" si="40"/>
        <v>0</v>
      </c>
      <c r="AO81" s="91">
        <f t="shared" ca="1" si="40"/>
        <v>0</v>
      </c>
      <c r="AP81" s="91">
        <f t="shared" ca="1" si="40"/>
        <v>0</v>
      </c>
      <c r="AQ81" s="91">
        <f t="shared" ca="1" si="40"/>
        <v>0</v>
      </c>
      <c r="AR81" s="92">
        <f t="shared" ca="1" si="40"/>
        <v>0</v>
      </c>
    </row>
    <row r="82" spans="1:44" s="45" customFormat="1" x14ac:dyDescent="0.15">
      <c r="B82" s="35"/>
      <c r="C82" s="81" t="s">
        <v>34</v>
      </c>
      <c r="E82" s="101">
        <f t="shared" ref="E82:AR82" si="41">IF(Year&lt;=Grace_Period,,INDEX(76:76,1,COLUMN()-Grace_Period))*IF(ServExt_LoanIntDen=lbl_Dom,1,INDEX(RealExRate_Risk,1,COLUMN()))*ServExt_LoanPct</f>
        <v>0</v>
      </c>
      <c r="F82" s="102">
        <f t="shared" si="41"/>
        <v>0</v>
      </c>
      <c r="G82" s="102">
        <f t="shared" si="41"/>
        <v>0</v>
      </c>
      <c r="H82" s="102">
        <f t="shared" si="41"/>
        <v>0</v>
      </c>
      <c r="I82" s="102">
        <f t="shared" si="41"/>
        <v>0</v>
      </c>
      <c r="J82" s="102">
        <f t="shared" si="41"/>
        <v>1.0153034134323296E-2</v>
      </c>
      <c r="K82" s="102">
        <f t="shared" si="41"/>
        <v>2.7656097371720704E-2</v>
      </c>
      <c r="L82" s="102">
        <f t="shared" si="41"/>
        <v>7.1085745015346383E-2</v>
      </c>
      <c r="M82" s="102">
        <f t="shared" si="41"/>
        <v>0.17564003371499473</v>
      </c>
      <c r="N82" s="102">
        <f t="shared" si="41"/>
        <v>0.38391968914519126</v>
      </c>
      <c r="O82" s="102">
        <f t="shared" si="41"/>
        <v>0.65898659368973078</v>
      </c>
      <c r="P82" s="102">
        <f t="shared" si="41"/>
        <v>0.89318631015088013</v>
      </c>
      <c r="Q82" s="102">
        <f t="shared" si="41"/>
        <v>1.0237064487941747</v>
      </c>
      <c r="R82" s="102">
        <f t="shared" si="41"/>
        <v>1.1761700831406845</v>
      </c>
      <c r="S82" s="102">
        <f t="shared" si="41"/>
        <v>1.3500537105471797</v>
      </c>
      <c r="T82" s="102">
        <f t="shared" si="41"/>
        <v>1.4530413950880512</v>
      </c>
      <c r="U82" s="102">
        <f t="shared" si="41"/>
        <v>1.4684744407733594</v>
      </c>
      <c r="V82" s="102">
        <f t="shared" si="41"/>
        <v>1.5812201744411967</v>
      </c>
      <c r="W82" s="102">
        <f t="shared" si="41"/>
        <v>1.6702582589250623</v>
      </c>
      <c r="X82" s="102">
        <f t="shared" si="41"/>
        <v>1.6573258934213608</v>
      </c>
      <c r="Y82" s="102">
        <f t="shared" ca="1" si="41"/>
        <v>1.685912634148804</v>
      </c>
      <c r="Z82" s="102">
        <f t="shared" ca="1" si="41"/>
        <v>1.6669251209282363</v>
      </c>
      <c r="AA82" s="102">
        <f t="shared" ca="1" si="41"/>
        <v>1.7097949971445585</v>
      </c>
      <c r="AB82" s="102">
        <f t="shared" ca="1" si="41"/>
        <v>1.8756343315852166</v>
      </c>
      <c r="AC82" s="102">
        <f t="shared" ca="1" si="41"/>
        <v>1.8892381842359698</v>
      </c>
      <c r="AD82" s="102">
        <f t="shared" ca="1" si="41"/>
        <v>0</v>
      </c>
      <c r="AE82" s="102">
        <f t="shared" ca="1" si="41"/>
        <v>0</v>
      </c>
      <c r="AF82" s="102">
        <f t="shared" ca="1" si="41"/>
        <v>0</v>
      </c>
      <c r="AG82" s="102">
        <f t="shared" ca="1" si="41"/>
        <v>0</v>
      </c>
      <c r="AH82" s="102">
        <f t="shared" ca="1" si="41"/>
        <v>0</v>
      </c>
      <c r="AI82" s="102">
        <f t="shared" ca="1" si="41"/>
        <v>0</v>
      </c>
      <c r="AJ82" s="102">
        <f t="shared" ca="1" si="41"/>
        <v>0</v>
      </c>
      <c r="AK82" s="102">
        <f t="shared" ca="1" si="41"/>
        <v>0</v>
      </c>
      <c r="AL82" s="102">
        <f t="shared" ca="1" si="41"/>
        <v>0</v>
      </c>
      <c r="AM82" s="102">
        <f t="shared" ca="1" si="41"/>
        <v>0</v>
      </c>
      <c r="AN82" s="102">
        <f t="shared" ca="1" si="41"/>
        <v>0</v>
      </c>
      <c r="AO82" s="102">
        <f t="shared" ca="1" si="41"/>
        <v>0</v>
      </c>
      <c r="AP82" s="102">
        <f t="shared" ca="1" si="41"/>
        <v>0</v>
      </c>
      <c r="AQ82" s="102">
        <f t="shared" ca="1" si="41"/>
        <v>0</v>
      </c>
      <c r="AR82" s="103">
        <f t="shared" ca="1" si="41"/>
        <v>0</v>
      </c>
    </row>
    <row r="83" spans="1:44" s="45" customFormat="1" x14ac:dyDescent="0.15">
      <c r="B83" s="35"/>
      <c r="C83" s="81" t="s">
        <v>35</v>
      </c>
      <c r="E83" s="82">
        <f t="shared" ref="E83:AR83" si="42">IF(Year&lt;=Grace_Period,,INDEX(77:77,1,COLUMN()-Grace_Period))*IF(ServExt_LoanIntDen=lbl_Dom,1,INDEX(RealExRate_Risk,1,COLUMN()))*ServExt_LoanPct</f>
        <v>0</v>
      </c>
      <c r="F83" s="83">
        <f t="shared" si="42"/>
        <v>0</v>
      </c>
      <c r="G83" s="83">
        <f t="shared" si="42"/>
        <v>0</v>
      </c>
      <c r="H83" s="83">
        <f t="shared" si="42"/>
        <v>0</v>
      </c>
      <c r="I83" s="83">
        <f t="shared" si="42"/>
        <v>0</v>
      </c>
      <c r="J83" s="83">
        <f t="shared" si="42"/>
        <v>1.0153034134323296E-2</v>
      </c>
      <c r="K83" s="83">
        <f t="shared" si="42"/>
        <v>2.7117271090573308E-2</v>
      </c>
      <c r="L83" s="83">
        <f t="shared" si="42"/>
        <v>6.9162906947231678E-2</v>
      </c>
      <c r="M83" s="83">
        <f t="shared" si="42"/>
        <v>0.17009193933290698</v>
      </c>
      <c r="N83" s="83">
        <f t="shared" si="42"/>
        <v>0.36879930359759067</v>
      </c>
      <c r="O83" s="83">
        <f t="shared" si="42"/>
        <v>0.62413802369690796</v>
      </c>
      <c r="P83" s="83">
        <f t="shared" si="42"/>
        <v>0.82417225729743171</v>
      </c>
      <c r="Q83" s="83">
        <f t="shared" si="42"/>
        <v>0.91012578877874528</v>
      </c>
      <c r="R83" s="83">
        <f t="shared" si="42"/>
        <v>0.99759770134695636</v>
      </c>
      <c r="S83" s="83">
        <f t="shared" si="42"/>
        <v>1.087228379930459</v>
      </c>
      <c r="T83" s="83">
        <f t="shared" si="42"/>
        <v>1.0975145907358566</v>
      </c>
      <c r="U83" s="83">
        <f t="shared" si="42"/>
        <v>1.0357477924960405</v>
      </c>
      <c r="V83" s="83">
        <f t="shared" si="42"/>
        <v>1.0362088656825428</v>
      </c>
      <c r="W83" s="83">
        <f t="shared" si="42"/>
        <v>1.0110445964083692</v>
      </c>
      <c r="X83" s="83">
        <f t="shared" si="42"/>
        <v>0.92035005230855105</v>
      </c>
      <c r="Y83" s="83">
        <f t="shared" ca="1" si="42"/>
        <v>0.85192927564818899</v>
      </c>
      <c r="Z83" s="83">
        <f t="shared" ca="1" si="42"/>
        <v>0.75898820545974677</v>
      </c>
      <c r="AA83" s="83">
        <f t="shared" ca="1" si="42"/>
        <v>0.69301806689710965</v>
      </c>
      <c r="AB83" s="83">
        <f t="shared" ca="1" si="42"/>
        <v>0.6664547333178612</v>
      </c>
      <c r="AC83" s="83">
        <f t="shared" ca="1" si="42"/>
        <v>0.57682657652665892</v>
      </c>
      <c r="AD83" s="83">
        <f t="shared" ca="1" si="42"/>
        <v>0</v>
      </c>
      <c r="AE83" s="83">
        <f t="shared" ca="1" si="42"/>
        <v>0</v>
      </c>
      <c r="AF83" s="83">
        <f t="shared" ca="1" si="42"/>
        <v>0</v>
      </c>
      <c r="AG83" s="83">
        <f t="shared" ca="1" si="42"/>
        <v>0</v>
      </c>
      <c r="AH83" s="83">
        <f t="shared" ca="1" si="42"/>
        <v>0</v>
      </c>
      <c r="AI83" s="83">
        <f t="shared" ca="1" si="42"/>
        <v>0</v>
      </c>
      <c r="AJ83" s="83">
        <f t="shared" ca="1" si="42"/>
        <v>0</v>
      </c>
      <c r="AK83" s="83">
        <f t="shared" ca="1" si="42"/>
        <v>0</v>
      </c>
      <c r="AL83" s="83">
        <f t="shared" ca="1" si="42"/>
        <v>0</v>
      </c>
      <c r="AM83" s="83">
        <f t="shared" ca="1" si="42"/>
        <v>0</v>
      </c>
      <c r="AN83" s="83">
        <f t="shared" ca="1" si="42"/>
        <v>0</v>
      </c>
      <c r="AO83" s="83">
        <f t="shared" ca="1" si="42"/>
        <v>0</v>
      </c>
      <c r="AP83" s="83">
        <f t="shared" ca="1" si="42"/>
        <v>0</v>
      </c>
      <c r="AQ83" s="83">
        <f t="shared" ca="1" si="42"/>
        <v>0</v>
      </c>
      <c r="AR83" s="84">
        <f t="shared" ca="1" si="42"/>
        <v>0</v>
      </c>
    </row>
    <row r="84" spans="1:44" s="45" customFormat="1" x14ac:dyDescent="0.15">
      <c r="B84" s="68" t="s">
        <v>38</v>
      </c>
      <c r="C84" s="81"/>
    </row>
    <row r="85" spans="1:44" s="45" customFormat="1" x14ac:dyDescent="0.15">
      <c r="B85" s="35"/>
      <c r="C85" s="81" t="s">
        <v>33</v>
      </c>
      <c r="E85" s="100">
        <f t="shared" ref="E85:AR85" si="43">IF(Year&lt;=Grace_Period,,INDEX(75:75,1,COLUMN()-Grace_Period))*IF(ServExt_LoanIntDen=lbl_Dom,1,INDEX(RealExRate_Risk,1,COLUMN()))*ServExt_CAPct</f>
        <v>0</v>
      </c>
      <c r="F85" s="91">
        <f t="shared" si="43"/>
        <v>0</v>
      </c>
      <c r="G85" s="91">
        <f t="shared" si="43"/>
        <v>0</v>
      </c>
      <c r="H85" s="91">
        <f t="shared" si="43"/>
        <v>0</v>
      </c>
      <c r="I85" s="91">
        <f t="shared" si="43"/>
        <v>0</v>
      </c>
      <c r="J85" s="91">
        <f t="shared" si="43"/>
        <v>0.2030606826864659</v>
      </c>
      <c r="K85" s="91">
        <f t="shared" si="43"/>
        <v>0.54234542181146617</v>
      </c>
      <c r="L85" s="91">
        <f t="shared" si="43"/>
        <v>1.3832581389446337</v>
      </c>
      <c r="M85" s="91">
        <f t="shared" si="43"/>
        <v>3.4018387866581392</v>
      </c>
      <c r="N85" s="91">
        <f t="shared" si="43"/>
        <v>7.3759860719518135</v>
      </c>
      <c r="O85" s="91">
        <f t="shared" si="43"/>
        <v>12.482760473938159</v>
      </c>
      <c r="P85" s="91">
        <f t="shared" si="43"/>
        <v>16.483445145948632</v>
      </c>
      <c r="Q85" s="91">
        <f t="shared" si="43"/>
        <v>18.202515775574906</v>
      </c>
      <c r="R85" s="91">
        <f t="shared" si="43"/>
        <v>19.951954026939127</v>
      </c>
      <c r="S85" s="91">
        <f t="shared" si="43"/>
        <v>21.74456759860918</v>
      </c>
      <c r="T85" s="91">
        <f t="shared" si="43"/>
        <v>21.950291814717129</v>
      </c>
      <c r="U85" s="91">
        <f t="shared" si="43"/>
        <v>20.714955849920809</v>
      </c>
      <c r="V85" s="91">
        <f t="shared" si="43"/>
        <v>20.724177313650856</v>
      </c>
      <c r="W85" s="91">
        <f t="shared" si="43"/>
        <v>20.220891928167383</v>
      </c>
      <c r="X85" s="91">
        <f t="shared" si="43"/>
        <v>18.407001046171022</v>
      </c>
      <c r="Y85" s="91">
        <f t="shared" ca="1" si="43"/>
        <v>17.038585512963781</v>
      </c>
      <c r="Z85" s="91">
        <f t="shared" ca="1" si="43"/>
        <v>15.179764109194936</v>
      </c>
      <c r="AA85" s="91">
        <f t="shared" ca="1" si="43"/>
        <v>13.860361337942193</v>
      </c>
      <c r="AB85" s="91">
        <f t="shared" ca="1" si="43"/>
        <v>13.329094666357225</v>
      </c>
      <c r="AC85" s="91">
        <f t="shared" ca="1" si="43"/>
        <v>11.536531530533177</v>
      </c>
      <c r="AD85" s="91">
        <f t="shared" ca="1" si="43"/>
        <v>0</v>
      </c>
      <c r="AE85" s="91">
        <f t="shared" ca="1" si="43"/>
        <v>0</v>
      </c>
      <c r="AF85" s="91">
        <f t="shared" ca="1" si="43"/>
        <v>0</v>
      </c>
      <c r="AG85" s="91">
        <f t="shared" ca="1" si="43"/>
        <v>0</v>
      </c>
      <c r="AH85" s="91">
        <f t="shared" ca="1" si="43"/>
        <v>0</v>
      </c>
      <c r="AI85" s="91">
        <f t="shared" ca="1" si="43"/>
        <v>0</v>
      </c>
      <c r="AJ85" s="91">
        <f t="shared" ca="1" si="43"/>
        <v>0</v>
      </c>
      <c r="AK85" s="91">
        <f t="shared" ca="1" si="43"/>
        <v>0</v>
      </c>
      <c r="AL85" s="91">
        <f t="shared" ca="1" si="43"/>
        <v>0</v>
      </c>
      <c r="AM85" s="91">
        <f t="shared" ca="1" si="43"/>
        <v>0</v>
      </c>
      <c r="AN85" s="91">
        <f t="shared" ca="1" si="43"/>
        <v>0</v>
      </c>
      <c r="AO85" s="91">
        <f t="shared" ca="1" si="43"/>
        <v>0</v>
      </c>
      <c r="AP85" s="91">
        <f t="shared" ca="1" si="43"/>
        <v>0</v>
      </c>
      <c r="AQ85" s="91">
        <f t="shared" ca="1" si="43"/>
        <v>0</v>
      </c>
      <c r="AR85" s="92">
        <f t="shared" ca="1" si="43"/>
        <v>0</v>
      </c>
    </row>
    <row r="86" spans="1:44" s="45" customFormat="1" x14ac:dyDescent="0.15">
      <c r="B86" s="35"/>
      <c r="C86" s="81" t="s">
        <v>34</v>
      </c>
      <c r="E86" s="101">
        <f t="shared" ref="E86:AR86" si="44">IF(Year&lt;=Grace_Period,,INDEX(76:76,1,COLUMN()-Grace_Period))*IF(ServExt_LoanIntDen=lbl_Dom,1,INDEX(RealExRate_Risk,1,COLUMN()))*ServExt_CAPct</f>
        <v>0</v>
      </c>
      <c r="F86" s="102">
        <f t="shared" si="44"/>
        <v>0</v>
      </c>
      <c r="G86" s="102">
        <f t="shared" si="44"/>
        <v>0</v>
      </c>
      <c r="H86" s="102">
        <f t="shared" si="44"/>
        <v>0</v>
      </c>
      <c r="I86" s="102">
        <f t="shared" si="44"/>
        <v>0</v>
      </c>
      <c r="J86" s="102">
        <f t="shared" si="44"/>
        <v>1.0153034134323296E-2</v>
      </c>
      <c r="K86" s="102">
        <f t="shared" si="44"/>
        <v>2.7656097371720704E-2</v>
      </c>
      <c r="L86" s="102">
        <f t="shared" si="44"/>
        <v>7.1085745015346383E-2</v>
      </c>
      <c r="M86" s="102">
        <f t="shared" si="44"/>
        <v>0.17564003371499473</v>
      </c>
      <c r="N86" s="102">
        <f t="shared" si="44"/>
        <v>0.38391968914519126</v>
      </c>
      <c r="O86" s="102">
        <f t="shared" si="44"/>
        <v>0.65898659368973078</v>
      </c>
      <c r="P86" s="102">
        <f t="shared" si="44"/>
        <v>0.89318631015088013</v>
      </c>
      <c r="Q86" s="102">
        <f t="shared" si="44"/>
        <v>1.0237064487941747</v>
      </c>
      <c r="R86" s="102">
        <f t="shared" si="44"/>
        <v>1.1761700831406845</v>
      </c>
      <c r="S86" s="102">
        <f t="shared" si="44"/>
        <v>1.3500537105471797</v>
      </c>
      <c r="T86" s="102">
        <f t="shared" si="44"/>
        <v>1.4530413950880512</v>
      </c>
      <c r="U86" s="102">
        <f t="shared" si="44"/>
        <v>1.4684744407733594</v>
      </c>
      <c r="V86" s="102">
        <f t="shared" si="44"/>
        <v>1.5812201744411967</v>
      </c>
      <c r="W86" s="102">
        <f t="shared" si="44"/>
        <v>1.6702582589250623</v>
      </c>
      <c r="X86" s="102">
        <f t="shared" si="44"/>
        <v>1.6573258934213608</v>
      </c>
      <c r="Y86" s="102">
        <f t="shared" ca="1" si="44"/>
        <v>1.685912634148804</v>
      </c>
      <c r="Z86" s="102">
        <f t="shared" ca="1" si="44"/>
        <v>1.6669251209282363</v>
      </c>
      <c r="AA86" s="102">
        <f t="shared" ca="1" si="44"/>
        <v>1.7097949971445585</v>
      </c>
      <c r="AB86" s="102">
        <f t="shared" ca="1" si="44"/>
        <v>1.8756343315852166</v>
      </c>
      <c r="AC86" s="102">
        <f t="shared" ca="1" si="44"/>
        <v>1.8892381842359698</v>
      </c>
      <c r="AD86" s="102">
        <f t="shared" ca="1" si="44"/>
        <v>0</v>
      </c>
      <c r="AE86" s="102">
        <f t="shared" ca="1" si="44"/>
        <v>0</v>
      </c>
      <c r="AF86" s="102">
        <f t="shared" ca="1" si="44"/>
        <v>0</v>
      </c>
      <c r="AG86" s="102">
        <f t="shared" ca="1" si="44"/>
        <v>0</v>
      </c>
      <c r="AH86" s="102">
        <f t="shared" ca="1" si="44"/>
        <v>0</v>
      </c>
      <c r="AI86" s="102">
        <f t="shared" ca="1" si="44"/>
        <v>0</v>
      </c>
      <c r="AJ86" s="102">
        <f t="shared" ca="1" si="44"/>
        <v>0</v>
      </c>
      <c r="AK86" s="102">
        <f t="shared" ca="1" si="44"/>
        <v>0</v>
      </c>
      <c r="AL86" s="102">
        <f t="shared" ca="1" si="44"/>
        <v>0</v>
      </c>
      <c r="AM86" s="102">
        <f t="shared" ca="1" si="44"/>
        <v>0</v>
      </c>
      <c r="AN86" s="102">
        <f t="shared" ca="1" si="44"/>
        <v>0</v>
      </c>
      <c r="AO86" s="102">
        <f t="shared" ca="1" si="44"/>
        <v>0</v>
      </c>
      <c r="AP86" s="102">
        <f t="shared" ca="1" si="44"/>
        <v>0</v>
      </c>
      <c r="AQ86" s="102">
        <f t="shared" ca="1" si="44"/>
        <v>0</v>
      </c>
      <c r="AR86" s="103">
        <f t="shared" ca="1" si="44"/>
        <v>0</v>
      </c>
    </row>
    <row r="87" spans="1:44" s="45" customFormat="1" x14ac:dyDescent="0.15">
      <c r="B87" s="35"/>
      <c r="C87" s="81" t="s">
        <v>35</v>
      </c>
      <c r="E87" s="82">
        <f t="shared" ref="E87:AR87" si="45">IF(Year&lt;=Grace_Period,,INDEX(77:77,1,COLUMN()-Grace_Period))*IF(ServExt_LoanIntDen=lbl_Dom,1,INDEX(RealExRate_Risk,1,COLUMN()))*ServExt_CAPct</f>
        <v>0</v>
      </c>
      <c r="F87" s="83">
        <f t="shared" si="45"/>
        <v>0</v>
      </c>
      <c r="G87" s="83">
        <f t="shared" si="45"/>
        <v>0</v>
      </c>
      <c r="H87" s="83">
        <f t="shared" si="45"/>
        <v>0</v>
      </c>
      <c r="I87" s="83">
        <f t="shared" si="45"/>
        <v>0</v>
      </c>
      <c r="J87" s="83">
        <f t="shared" si="45"/>
        <v>1.0153034134323296E-2</v>
      </c>
      <c r="K87" s="83">
        <f t="shared" si="45"/>
        <v>2.7117271090573308E-2</v>
      </c>
      <c r="L87" s="83">
        <f t="shared" si="45"/>
        <v>6.9162906947231678E-2</v>
      </c>
      <c r="M87" s="83">
        <f t="shared" si="45"/>
        <v>0.17009193933290698</v>
      </c>
      <c r="N87" s="83">
        <f t="shared" si="45"/>
        <v>0.36879930359759067</v>
      </c>
      <c r="O87" s="83">
        <f t="shared" si="45"/>
        <v>0.62413802369690796</v>
      </c>
      <c r="P87" s="83">
        <f t="shared" si="45"/>
        <v>0.82417225729743171</v>
      </c>
      <c r="Q87" s="83">
        <f t="shared" si="45"/>
        <v>0.91012578877874528</v>
      </c>
      <c r="R87" s="83">
        <f t="shared" si="45"/>
        <v>0.99759770134695636</v>
      </c>
      <c r="S87" s="83">
        <f t="shared" si="45"/>
        <v>1.087228379930459</v>
      </c>
      <c r="T87" s="83">
        <f t="shared" si="45"/>
        <v>1.0975145907358566</v>
      </c>
      <c r="U87" s="83">
        <f t="shared" si="45"/>
        <v>1.0357477924960405</v>
      </c>
      <c r="V87" s="83">
        <f t="shared" si="45"/>
        <v>1.0362088656825428</v>
      </c>
      <c r="W87" s="83">
        <f t="shared" si="45"/>
        <v>1.0110445964083692</v>
      </c>
      <c r="X87" s="83">
        <f t="shared" si="45"/>
        <v>0.92035005230855105</v>
      </c>
      <c r="Y87" s="83">
        <f t="shared" ca="1" si="45"/>
        <v>0.85192927564818899</v>
      </c>
      <c r="Z87" s="83">
        <f t="shared" ca="1" si="45"/>
        <v>0.75898820545974677</v>
      </c>
      <c r="AA87" s="83">
        <f t="shared" ca="1" si="45"/>
        <v>0.69301806689710965</v>
      </c>
      <c r="AB87" s="83">
        <f t="shared" ca="1" si="45"/>
        <v>0.6664547333178612</v>
      </c>
      <c r="AC87" s="83">
        <f t="shared" ca="1" si="45"/>
        <v>0.57682657652665892</v>
      </c>
      <c r="AD87" s="83">
        <f t="shared" ca="1" si="45"/>
        <v>0</v>
      </c>
      <c r="AE87" s="83">
        <f t="shared" ca="1" si="45"/>
        <v>0</v>
      </c>
      <c r="AF87" s="83">
        <f t="shared" ca="1" si="45"/>
        <v>0</v>
      </c>
      <c r="AG87" s="83">
        <f t="shared" ca="1" si="45"/>
        <v>0</v>
      </c>
      <c r="AH87" s="83">
        <f t="shared" ca="1" si="45"/>
        <v>0</v>
      </c>
      <c r="AI87" s="83">
        <f t="shared" ca="1" si="45"/>
        <v>0</v>
      </c>
      <c r="AJ87" s="83">
        <f t="shared" ca="1" si="45"/>
        <v>0</v>
      </c>
      <c r="AK87" s="83">
        <f t="shared" ca="1" si="45"/>
        <v>0</v>
      </c>
      <c r="AL87" s="83">
        <f t="shared" ca="1" si="45"/>
        <v>0</v>
      </c>
      <c r="AM87" s="83">
        <f t="shared" ca="1" si="45"/>
        <v>0</v>
      </c>
      <c r="AN87" s="83">
        <f t="shared" ca="1" si="45"/>
        <v>0</v>
      </c>
      <c r="AO87" s="83">
        <f t="shared" ca="1" si="45"/>
        <v>0</v>
      </c>
      <c r="AP87" s="83">
        <f t="shared" ca="1" si="45"/>
        <v>0</v>
      </c>
      <c r="AQ87" s="83">
        <f t="shared" ca="1" si="45"/>
        <v>0</v>
      </c>
      <c r="AR87" s="84">
        <f t="shared" ca="1" si="45"/>
        <v>0</v>
      </c>
    </row>
    <row r="88" spans="1:44" s="43" customFormat="1" x14ac:dyDescent="0.15"/>
    <row r="89" spans="1:44" s="43" customFormat="1" ht="13.5" customHeight="1" x14ac:dyDescent="0.15"/>
    <row r="90" spans="1:44" s="26" customFormat="1" ht="18" x14ac:dyDescent="0.2">
      <c r="A90" s="24" t="s">
        <v>39</v>
      </c>
      <c r="B90" s="25"/>
      <c r="C90" s="25"/>
      <c r="E90" s="43"/>
      <c r="F90" s="43"/>
      <c r="G90" s="43"/>
      <c r="H90" s="43"/>
      <c r="I90" s="43"/>
      <c r="J90" s="43"/>
      <c r="K90" s="43"/>
      <c r="L90" s="43"/>
      <c r="M90" s="43"/>
      <c r="N90" s="43"/>
    </row>
    <row r="91" spans="1:44" s="43" customFormat="1" x14ac:dyDescent="0.15">
      <c r="B91" s="207" t="s">
        <v>40</v>
      </c>
      <c r="C91" s="208"/>
    </row>
    <row r="92" spans="1:44" s="45" customFormat="1" x14ac:dyDescent="0.15">
      <c r="B92" s="209"/>
      <c r="C92" s="206" t="s">
        <v>41</v>
      </c>
      <c r="D92" s="162">
        <f>IF(Year="",,IF(OR(Tariff_Period=1,MOD(Year,Tariff_Period)=0),Inflation_Risk,C92*EXP(Inflation_Speed*(Inflation_LT-C92))))</f>
        <v>0.05</v>
      </c>
      <c r="E92" s="162">
        <f>IF(Year="",,D92*EXP(Inflation_Speed*(Inflation_LT-D92)))</f>
        <v>5.8091712136414154E-2</v>
      </c>
      <c r="F92" s="162">
        <f t="shared" ref="F92:AR92" si="46">IF(Year="",,IF(OR(Tariff_Period=1,MOD(Year,Tariff_Period)=1),Inflation_Risk,E92*EXP(Inflation_Speed*(Inflation_LT-E92))))</f>
        <v>6.4816775092882944E-2</v>
      </c>
      <c r="G92" s="162">
        <f t="shared" si="46"/>
        <v>6.9929008928705308E-2</v>
      </c>
      <c r="H92" s="162">
        <f t="shared" si="46"/>
        <v>7.3540444827524018E-2</v>
      </c>
      <c r="I92" s="162">
        <f t="shared" si="46"/>
        <v>7.5954410655356047E-2</v>
      </c>
      <c r="J92" s="162">
        <f t="shared" si="46"/>
        <v>7.6503068255899837E-2</v>
      </c>
      <c r="K92" s="162">
        <f t="shared" si="46"/>
        <v>7.785246075196911E-2</v>
      </c>
      <c r="L92" s="162">
        <f t="shared" si="46"/>
        <v>7.8692921055517409E-2</v>
      </c>
      <c r="M92" s="162">
        <f t="shared" si="46"/>
        <v>7.9208894565257204E-2</v>
      </c>
      <c r="N92" s="162">
        <f t="shared" si="46"/>
        <v>7.9522827976858237E-2</v>
      </c>
      <c r="O92" s="162">
        <f t="shared" si="46"/>
        <v>7.8784564619480135E-2</v>
      </c>
      <c r="P92" s="32">
        <f t="shared" si="46"/>
        <v>7.9264810146340792E-2</v>
      </c>
      <c r="Q92" s="32">
        <f t="shared" si="46"/>
        <v>7.9556719760962166E-2</v>
      </c>
      <c r="R92" s="32">
        <f t="shared" si="46"/>
        <v>7.9733244922751467E-2</v>
      </c>
      <c r="S92" s="32">
        <f t="shared" si="46"/>
        <v>7.9839662114834453E-2</v>
      </c>
      <c r="T92" s="32">
        <f t="shared" si="46"/>
        <v>8.1136523868512972E-2</v>
      </c>
      <c r="U92" s="32">
        <f t="shared" si="46"/>
        <v>8.0676763447540725E-2</v>
      </c>
      <c r="V92" s="32">
        <f t="shared" si="46"/>
        <v>8.0404229387477794E-2</v>
      </c>
      <c r="W92" s="32">
        <f t="shared" si="46"/>
        <v>8.0241884741955011E-2</v>
      </c>
      <c r="X92" s="32">
        <f t="shared" si="46"/>
        <v>8.0144896965511289E-2</v>
      </c>
      <c r="Y92" s="32">
        <f t="shared" si="46"/>
        <v>0</v>
      </c>
      <c r="Z92" s="32">
        <f t="shared" si="46"/>
        <v>0</v>
      </c>
      <c r="AA92" s="32">
        <f t="shared" si="46"/>
        <v>0</v>
      </c>
      <c r="AB92" s="32">
        <f t="shared" si="46"/>
        <v>0</v>
      </c>
      <c r="AC92" s="32">
        <f t="shared" si="46"/>
        <v>0</v>
      </c>
      <c r="AD92" s="32">
        <f t="shared" si="46"/>
        <v>0</v>
      </c>
      <c r="AE92" s="32">
        <f t="shared" si="46"/>
        <v>0</v>
      </c>
      <c r="AF92" s="32">
        <f t="shared" si="46"/>
        <v>0</v>
      </c>
      <c r="AG92" s="32">
        <f t="shared" si="46"/>
        <v>0</v>
      </c>
      <c r="AH92" s="32">
        <f t="shared" si="46"/>
        <v>0</v>
      </c>
      <c r="AI92" s="32">
        <f t="shared" si="46"/>
        <v>0</v>
      </c>
      <c r="AJ92" s="32">
        <f t="shared" si="46"/>
        <v>0</v>
      </c>
      <c r="AK92" s="32">
        <f t="shared" si="46"/>
        <v>0</v>
      </c>
      <c r="AL92" s="32">
        <f t="shared" si="46"/>
        <v>0</v>
      </c>
      <c r="AM92" s="32">
        <f t="shared" si="46"/>
        <v>0</v>
      </c>
      <c r="AN92" s="32">
        <f t="shared" si="46"/>
        <v>0</v>
      </c>
      <c r="AO92" s="32">
        <f t="shared" si="46"/>
        <v>0</v>
      </c>
      <c r="AP92" s="32">
        <f t="shared" si="46"/>
        <v>0</v>
      </c>
      <c r="AQ92" s="32">
        <f t="shared" si="46"/>
        <v>0</v>
      </c>
      <c r="AR92" s="33">
        <f t="shared" si="46"/>
        <v>0</v>
      </c>
    </row>
    <row r="93" spans="1:44" s="27" customFormat="1" x14ac:dyDescent="0.15">
      <c r="B93" s="210"/>
      <c r="C93" s="211" t="s">
        <v>8</v>
      </c>
      <c r="D93" s="40">
        <f>1</f>
        <v>1</v>
      </c>
      <c r="E93" s="41">
        <f>D93*EXP(-E92)</f>
        <v>0.94356340725254528</v>
      </c>
      <c r="F93" s="41">
        <f t="shared" ref="F93:AR93" si="47">E93*EXP(-F92)</f>
        <v>0.88434458768139823</v>
      </c>
      <c r="G93" s="41">
        <f t="shared" si="47"/>
        <v>0.82461596651440661</v>
      </c>
      <c r="H93" s="41">
        <f t="shared" si="47"/>
        <v>0.76614951347377813</v>
      </c>
      <c r="I93" s="41">
        <f t="shared" si="47"/>
        <v>0.71011215854508192</v>
      </c>
      <c r="J93" s="163">
        <f t="shared" si="47"/>
        <v>0.65781244920013815</v>
      </c>
      <c r="K93" s="163">
        <f t="shared" si="47"/>
        <v>0.6085428921853111</v>
      </c>
      <c r="L93" s="41">
        <f t="shared" si="47"/>
        <v>0.56249063062763449</v>
      </c>
      <c r="M93" s="41">
        <f t="shared" si="47"/>
        <v>0.5196552353328886</v>
      </c>
      <c r="N93" s="41">
        <f t="shared" si="47"/>
        <v>0.47993119733175221</v>
      </c>
      <c r="O93" s="41">
        <f t="shared" si="47"/>
        <v>0.44357113794530117</v>
      </c>
      <c r="P93" s="41">
        <f t="shared" si="47"/>
        <v>0.40976891545785821</v>
      </c>
      <c r="Q93" s="41">
        <f t="shared" si="47"/>
        <v>0.37843209839634612</v>
      </c>
      <c r="R93" s="41">
        <f t="shared" si="47"/>
        <v>0.34943005583728676</v>
      </c>
      <c r="S93" s="41">
        <f t="shared" si="47"/>
        <v>0.32261631993392553</v>
      </c>
      <c r="T93" s="41">
        <f t="shared" si="47"/>
        <v>0.2974741199101073</v>
      </c>
      <c r="U93" s="41">
        <f t="shared" si="47"/>
        <v>0.27441744416344471</v>
      </c>
      <c r="V93" s="41">
        <f t="shared" si="47"/>
        <v>0.25321685005793826</v>
      </c>
      <c r="W93" s="41">
        <f t="shared" si="47"/>
        <v>0.23369208008352257</v>
      </c>
      <c r="X93" s="41">
        <f t="shared" si="47"/>
        <v>0.21569372351580887</v>
      </c>
      <c r="Y93" s="41">
        <f t="shared" si="47"/>
        <v>0.21569372351580887</v>
      </c>
      <c r="Z93" s="41">
        <f t="shared" si="47"/>
        <v>0.21569372351580887</v>
      </c>
      <c r="AA93" s="41">
        <f t="shared" si="47"/>
        <v>0.21569372351580887</v>
      </c>
      <c r="AB93" s="41">
        <f t="shared" si="47"/>
        <v>0.21569372351580887</v>
      </c>
      <c r="AC93" s="41">
        <f t="shared" si="47"/>
        <v>0.21569372351580887</v>
      </c>
      <c r="AD93" s="41">
        <f t="shared" si="47"/>
        <v>0.21569372351580887</v>
      </c>
      <c r="AE93" s="41">
        <f t="shared" si="47"/>
        <v>0.21569372351580887</v>
      </c>
      <c r="AF93" s="41">
        <f t="shared" si="47"/>
        <v>0.21569372351580887</v>
      </c>
      <c r="AG93" s="41">
        <f t="shared" si="47"/>
        <v>0.21569372351580887</v>
      </c>
      <c r="AH93" s="41">
        <f t="shared" si="47"/>
        <v>0.21569372351580887</v>
      </c>
      <c r="AI93" s="41">
        <f t="shared" si="47"/>
        <v>0.21569372351580887</v>
      </c>
      <c r="AJ93" s="41">
        <f t="shared" si="47"/>
        <v>0.21569372351580887</v>
      </c>
      <c r="AK93" s="41">
        <f t="shared" si="47"/>
        <v>0.21569372351580887</v>
      </c>
      <c r="AL93" s="41">
        <f t="shared" si="47"/>
        <v>0.21569372351580887</v>
      </c>
      <c r="AM93" s="41">
        <f t="shared" si="47"/>
        <v>0.21569372351580887</v>
      </c>
      <c r="AN93" s="41">
        <f t="shared" si="47"/>
        <v>0.21569372351580887</v>
      </c>
      <c r="AO93" s="41">
        <f t="shared" si="47"/>
        <v>0.21569372351580887</v>
      </c>
      <c r="AP93" s="41">
        <f t="shared" si="47"/>
        <v>0.21569372351580887</v>
      </c>
      <c r="AQ93" s="41">
        <f t="shared" si="47"/>
        <v>0.21569372351580887</v>
      </c>
      <c r="AR93" s="42">
        <f t="shared" si="47"/>
        <v>0.21569372351580887</v>
      </c>
    </row>
    <row r="94" spans="1:44" s="43" customFormat="1" x14ac:dyDescent="0.15"/>
    <row r="95" spans="1:44" s="43" customFormat="1" x14ac:dyDescent="0.15">
      <c r="B95" s="74" t="s">
        <v>42</v>
      </c>
      <c r="C95" s="28"/>
    </row>
    <row r="96" spans="1:44" s="45" customFormat="1" x14ac:dyDescent="0.15">
      <c r="C96" s="35" t="s">
        <v>43</v>
      </c>
      <c r="D96" s="46"/>
      <c r="E96" s="47">
        <f>D99</f>
        <v>100</v>
      </c>
      <c r="F96" s="47">
        <f t="shared" ref="F96:AR96" si="48">E99</f>
        <v>105.98121888933633</v>
      </c>
      <c r="G96" s="47">
        <f>F99</f>
        <v>113.07809353159843</v>
      </c>
      <c r="H96" s="47">
        <f t="shared" si="48"/>
        <v>121.26857114190128</v>
      </c>
      <c r="I96" s="47">
        <f t="shared" si="48"/>
        <v>130.52282647363782</v>
      </c>
      <c r="J96" s="47">
        <f t="shared" si="48"/>
        <v>140.82282467164859</v>
      </c>
      <c r="K96" s="47">
        <f t="shared" si="48"/>
        <v>152.01901411503266</v>
      </c>
      <c r="L96" s="47">
        <f t="shared" si="48"/>
        <v>164.32695424458001</v>
      </c>
      <c r="M96" s="47">
        <f t="shared" si="48"/>
        <v>177.78073901145464</v>
      </c>
      <c r="N96" s="47">
        <f t="shared" si="48"/>
        <v>192.43527862456827</v>
      </c>
      <c r="O96" s="47">
        <f t="shared" si="48"/>
        <v>208.36319988357636</v>
      </c>
      <c r="P96" s="47">
        <f t="shared" si="48"/>
        <v>225.44298184777631</v>
      </c>
      <c r="Q96" s="47">
        <f t="shared" si="48"/>
        <v>244.03998504441046</v>
      </c>
      <c r="R96" s="47">
        <f t="shared" si="48"/>
        <v>264.24819782402881</v>
      </c>
      <c r="S96" s="47">
        <f t="shared" si="48"/>
        <v>286.18030512683015</v>
      </c>
      <c r="T96" s="47">
        <f t="shared" si="48"/>
        <v>309.96572033454731</v>
      </c>
      <c r="U96" s="47">
        <f t="shared" si="48"/>
        <v>336.16369729984797</v>
      </c>
      <c r="V96" s="47">
        <f t="shared" si="48"/>
        <v>364.40832070587822</v>
      </c>
      <c r="W96" s="47">
        <f t="shared" si="48"/>
        <v>394.91842654672899</v>
      </c>
      <c r="X96" s="47">
        <f t="shared" si="48"/>
        <v>427.91351749815203</v>
      </c>
      <c r="Y96" s="47">
        <f t="shared" si="48"/>
        <v>463.62035190454054</v>
      </c>
      <c r="Z96" s="47">
        <f t="shared" si="48"/>
        <v>0</v>
      </c>
      <c r="AA96" s="47">
        <f t="shared" si="48"/>
        <v>0</v>
      </c>
      <c r="AB96" s="47">
        <f t="shared" si="48"/>
        <v>0</v>
      </c>
      <c r="AC96" s="47">
        <f t="shared" si="48"/>
        <v>0</v>
      </c>
      <c r="AD96" s="47">
        <f t="shared" si="48"/>
        <v>0</v>
      </c>
      <c r="AE96" s="47">
        <f t="shared" si="48"/>
        <v>0</v>
      </c>
      <c r="AF96" s="47">
        <f t="shared" si="48"/>
        <v>0</v>
      </c>
      <c r="AG96" s="47">
        <f t="shared" si="48"/>
        <v>0</v>
      </c>
      <c r="AH96" s="47">
        <f t="shared" si="48"/>
        <v>0</v>
      </c>
      <c r="AI96" s="47">
        <f t="shared" si="48"/>
        <v>0</v>
      </c>
      <c r="AJ96" s="47">
        <f t="shared" si="48"/>
        <v>0</v>
      </c>
      <c r="AK96" s="47">
        <f t="shared" si="48"/>
        <v>0</v>
      </c>
      <c r="AL96" s="47">
        <f t="shared" si="48"/>
        <v>0</v>
      </c>
      <c r="AM96" s="47">
        <f t="shared" si="48"/>
        <v>0</v>
      </c>
      <c r="AN96" s="47">
        <f t="shared" si="48"/>
        <v>0</v>
      </c>
      <c r="AO96" s="47">
        <f t="shared" si="48"/>
        <v>0</v>
      </c>
      <c r="AP96" s="47">
        <f t="shared" si="48"/>
        <v>0</v>
      </c>
      <c r="AQ96" s="47">
        <f t="shared" si="48"/>
        <v>0</v>
      </c>
      <c r="AR96" s="48">
        <f t="shared" si="48"/>
        <v>0</v>
      </c>
    </row>
    <row r="97" spans="2:44" s="45" customFormat="1" x14ac:dyDescent="0.15">
      <c r="C97" s="45" t="s">
        <v>44</v>
      </c>
      <c r="D97" s="109"/>
      <c r="E97" s="61">
        <f>E96*DepRate</f>
        <v>5</v>
      </c>
      <c r="F97" s="61">
        <f t="shared" ref="F97:AR97" si="49">F96*DepRate</f>
        <v>5.2990609444668166</v>
      </c>
      <c r="G97" s="61">
        <f>G96*DepRate</f>
        <v>5.6539046765799217</v>
      </c>
      <c r="H97" s="61">
        <f t="shared" si="49"/>
        <v>6.0634285570950643</v>
      </c>
      <c r="I97" s="61">
        <f t="shared" si="49"/>
        <v>6.526141323681891</v>
      </c>
      <c r="J97" s="61">
        <f t="shared" si="49"/>
        <v>7.0411412335824295</v>
      </c>
      <c r="K97" s="61">
        <f t="shared" si="49"/>
        <v>7.6009507057516332</v>
      </c>
      <c r="L97" s="61">
        <f t="shared" si="49"/>
        <v>8.2163477122290001</v>
      </c>
      <c r="M97" s="61">
        <f t="shared" si="49"/>
        <v>8.8890369505727325</v>
      </c>
      <c r="N97" s="61">
        <f t="shared" si="49"/>
        <v>9.6217639312284149</v>
      </c>
      <c r="O97" s="61">
        <f t="shared" si="49"/>
        <v>10.418159994178819</v>
      </c>
      <c r="P97" s="61">
        <f t="shared" si="49"/>
        <v>11.272149092388815</v>
      </c>
      <c r="Q97" s="61">
        <f t="shared" si="49"/>
        <v>12.201999252220524</v>
      </c>
      <c r="R97" s="61">
        <f t="shared" si="49"/>
        <v>13.212409891201441</v>
      </c>
      <c r="S97" s="61">
        <f t="shared" si="49"/>
        <v>14.309015256341509</v>
      </c>
      <c r="T97" s="61">
        <f t="shared" si="49"/>
        <v>15.498286016727366</v>
      </c>
      <c r="U97" s="61">
        <f t="shared" si="49"/>
        <v>16.808184864992398</v>
      </c>
      <c r="V97" s="61">
        <f t="shared" si="49"/>
        <v>18.220416035293912</v>
      </c>
      <c r="W97" s="61">
        <f t="shared" si="49"/>
        <v>19.74592132733645</v>
      </c>
      <c r="X97" s="61">
        <f t="shared" si="49"/>
        <v>21.395675874907603</v>
      </c>
      <c r="Y97" s="61">
        <f t="shared" si="49"/>
        <v>23.181017595227029</v>
      </c>
      <c r="Z97" s="61">
        <f t="shared" si="49"/>
        <v>0</v>
      </c>
      <c r="AA97" s="61">
        <f t="shared" si="49"/>
        <v>0</v>
      </c>
      <c r="AB97" s="61">
        <f t="shared" si="49"/>
        <v>0</v>
      </c>
      <c r="AC97" s="61">
        <f t="shared" si="49"/>
        <v>0</v>
      </c>
      <c r="AD97" s="61">
        <f t="shared" si="49"/>
        <v>0</v>
      </c>
      <c r="AE97" s="61">
        <f t="shared" si="49"/>
        <v>0</v>
      </c>
      <c r="AF97" s="61">
        <f t="shared" si="49"/>
        <v>0</v>
      </c>
      <c r="AG97" s="61">
        <f t="shared" si="49"/>
        <v>0</v>
      </c>
      <c r="AH97" s="61">
        <f t="shared" si="49"/>
        <v>0</v>
      </c>
      <c r="AI97" s="61">
        <f t="shared" si="49"/>
        <v>0</v>
      </c>
      <c r="AJ97" s="61">
        <f t="shared" si="49"/>
        <v>0</v>
      </c>
      <c r="AK97" s="61">
        <f t="shared" si="49"/>
        <v>0</v>
      </c>
      <c r="AL97" s="61">
        <f t="shared" si="49"/>
        <v>0</v>
      </c>
      <c r="AM97" s="61">
        <f t="shared" si="49"/>
        <v>0</v>
      </c>
      <c r="AN97" s="61">
        <f t="shared" si="49"/>
        <v>0</v>
      </c>
      <c r="AO97" s="61">
        <f t="shared" si="49"/>
        <v>0</v>
      </c>
      <c r="AP97" s="61">
        <f t="shared" si="49"/>
        <v>0</v>
      </c>
      <c r="AQ97" s="61">
        <f t="shared" si="49"/>
        <v>0</v>
      </c>
      <c r="AR97" s="62">
        <f t="shared" si="49"/>
        <v>0</v>
      </c>
    </row>
    <row r="98" spans="2:44" s="45" customFormat="1" x14ac:dyDescent="0.15">
      <c r="C98" s="35" t="s">
        <v>45</v>
      </c>
      <c r="D98" s="109"/>
      <c r="E98" s="61">
        <f>E99-E96+E97</f>
        <v>10.981218889336333</v>
      </c>
      <c r="F98" s="61">
        <f t="shared" ref="F98:AR98" si="50">F99-F96+F97</f>
        <v>12.39593558672891</v>
      </c>
      <c r="G98" s="61">
        <f>G99-G96+G97</f>
        <v>13.844382286882771</v>
      </c>
      <c r="H98" s="61">
        <f t="shared" si="50"/>
        <v>15.31768388883161</v>
      </c>
      <c r="I98" s="61">
        <f t="shared" si="50"/>
        <v>16.82613952169266</v>
      </c>
      <c r="J98" s="61">
        <f t="shared" si="50"/>
        <v>18.237330676966501</v>
      </c>
      <c r="K98" s="61">
        <f t="shared" si="50"/>
        <v>19.90889083529898</v>
      </c>
      <c r="L98" s="61">
        <f t="shared" si="50"/>
        <v>21.670132479103636</v>
      </c>
      <c r="M98" s="61">
        <f t="shared" si="50"/>
        <v>23.543576563686358</v>
      </c>
      <c r="N98" s="61">
        <f t="shared" si="50"/>
        <v>25.549685190236502</v>
      </c>
      <c r="O98" s="61">
        <f t="shared" si="50"/>
        <v>27.497941958378771</v>
      </c>
      <c r="P98" s="61">
        <f t="shared" si="50"/>
        <v>29.869152289022963</v>
      </c>
      <c r="Q98" s="61">
        <f t="shared" si="50"/>
        <v>32.410212031838874</v>
      </c>
      <c r="R98" s="61">
        <f t="shared" si="50"/>
        <v>35.144517194002781</v>
      </c>
      <c r="S98" s="61">
        <f t="shared" si="50"/>
        <v>38.094430464058675</v>
      </c>
      <c r="T98" s="61">
        <f t="shared" si="50"/>
        <v>41.696262982028017</v>
      </c>
      <c r="U98" s="61">
        <f t="shared" si="50"/>
        <v>45.052808271022656</v>
      </c>
      <c r="V98" s="61">
        <f t="shared" si="50"/>
        <v>48.730521876144678</v>
      </c>
      <c r="W98" s="61">
        <f t="shared" si="50"/>
        <v>52.741012278759484</v>
      </c>
      <c r="X98" s="61">
        <f t="shared" si="50"/>
        <v>57.102510281296112</v>
      </c>
      <c r="Y98" s="61">
        <f t="shared" si="50"/>
        <v>-440.43933430931349</v>
      </c>
      <c r="Z98" s="61">
        <f t="shared" si="50"/>
        <v>0</v>
      </c>
      <c r="AA98" s="61">
        <f t="shared" si="50"/>
        <v>0</v>
      </c>
      <c r="AB98" s="61">
        <f t="shared" si="50"/>
        <v>0</v>
      </c>
      <c r="AC98" s="61">
        <f t="shared" si="50"/>
        <v>0</v>
      </c>
      <c r="AD98" s="61">
        <f t="shared" si="50"/>
        <v>0</v>
      </c>
      <c r="AE98" s="61">
        <f t="shared" si="50"/>
        <v>0</v>
      </c>
      <c r="AF98" s="61">
        <f t="shared" si="50"/>
        <v>0</v>
      </c>
      <c r="AG98" s="61">
        <f t="shared" si="50"/>
        <v>0</v>
      </c>
      <c r="AH98" s="61">
        <f t="shared" si="50"/>
        <v>0</v>
      </c>
      <c r="AI98" s="61">
        <f t="shared" si="50"/>
        <v>0</v>
      </c>
      <c r="AJ98" s="61">
        <f t="shared" si="50"/>
        <v>0</v>
      </c>
      <c r="AK98" s="61">
        <f t="shared" si="50"/>
        <v>0</v>
      </c>
      <c r="AL98" s="61">
        <f t="shared" si="50"/>
        <v>0</v>
      </c>
      <c r="AM98" s="61">
        <f t="shared" si="50"/>
        <v>0</v>
      </c>
      <c r="AN98" s="61">
        <f t="shared" si="50"/>
        <v>0</v>
      </c>
      <c r="AO98" s="61">
        <f t="shared" si="50"/>
        <v>0</v>
      </c>
      <c r="AP98" s="61">
        <f t="shared" si="50"/>
        <v>0</v>
      </c>
      <c r="AQ98" s="61">
        <f t="shared" si="50"/>
        <v>0</v>
      </c>
      <c r="AR98" s="62">
        <f t="shared" si="50"/>
        <v>0</v>
      </c>
    </row>
    <row r="99" spans="2:44" s="45" customFormat="1" x14ac:dyDescent="0.15">
      <c r="C99" s="35" t="s">
        <v>46</v>
      </c>
      <c r="D99" s="49">
        <f>InitAssetBase/MonDenValue</f>
        <v>100</v>
      </c>
      <c r="E99" s="50">
        <f>IF(Year="",,E96*EXP(Inflation_TariffSetting))</f>
        <v>105.98121888933633</v>
      </c>
      <c r="F99" s="50">
        <f t="shared" ref="F99:AR99" si="51">IF(Year="",,IF(MOD(Year,Tariff_Period)=1,E99*EXP(Inflation_Risk),E99*EXP(Inflation_TariffSetting)))</f>
        <v>113.07809353159843</v>
      </c>
      <c r="G99" s="50">
        <f t="shared" si="51"/>
        <v>121.26857114190128</v>
      </c>
      <c r="H99" s="50">
        <f t="shared" si="51"/>
        <v>130.52282647363782</v>
      </c>
      <c r="I99" s="50">
        <f t="shared" si="51"/>
        <v>140.82282467164859</v>
      </c>
      <c r="J99" s="50">
        <f t="shared" si="51"/>
        <v>152.01901411503266</v>
      </c>
      <c r="K99" s="50">
        <f t="shared" si="51"/>
        <v>164.32695424458001</v>
      </c>
      <c r="L99" s="50">
        <f t="shared" si="51"/>
        <v>177.78073901145464</v>
      </c>
      <c r="M99" s="50">
        <f t="shared" si="51"/>
        <v>192.43527862456827</v>
      </c>
      <c r="N99" s="50">
        <f t="shared" si="51"/>
        <v>208.36319988357636</v>
      </c>
      <c r="O99" s="50">
        <f t="shared" si="51"/>
        <v>225.44298184777631</v>
      </c>
      <c r="P99" s="50">
        <f t="shared" si="51"/>
        <v>244.03998504441046</v>
      </c>
      <c r="Q99" s="50">
        <f t="shared" si="51"/>
        <v>264.24819782402881</v>
      </c>
      <c r="R99" s="50">
        <f t="shared" si="51"/>
        <v>286.18030512683015</v>
      </c>
      <c r="S99" s="50">
        <f t="shared" si="51"/>
        <v>309.96572033454731</v>
      </c>
      <c r="T99" s="50">
        <f t="shared" si="51"/>
        <v>336.16369729984797</v>
      </c>
      <c r="U99" s="50">
        <f t="shared" si="51"/>
        <v>364.40832070587822</v>
      </c>
      <c r="V99" s="50">
        <f t="shared" si="51"/>
        <v>394.91842654672899</v>
      </c>
      <c r="W99" s="50">
        <f t="shared" si="51"/>
        <v>427.91351749815203</v>
      </c>
      <c r="X99" s="50">
        <f t="shared" si="51"/>
        <v>463.62035190454054</v>
      </c>
      <c r="Y99" s="50">
        <f t="shared" si="51"/>
        <v>0</v>
      </c>
      <c r="Z99" s="50">
        <f t="shared" si="51"/>
        <v>0</v>
      </c>
      <c r="AA99" s="50">
        <f t="shared" si="51"/>
        <v>0</v>
      </c>
      <c r="AB99" s="50">
        <f t="shared" si="51"/>
        <v>0</v>
      </c>
      <c r="AC99" s="50">
        <f t="shared" si="51"/>
        <v>0</v>
      </c>
      <c r="AD99" s="50">
        <f t="shared" si="51"/>
        <v>0</v>
      </c>
      <c r="AE99" s="50">
        <f t="shared" si="51"/>
        <v>0</v>
      </c>
      <c r="AF99" s="50">
        <f t="shared" si="51"/>
        <v>0</v>
      </c>
      <c r="AG99" s="50">
        <f t="shared" si="51"/>
        <v>0</v>
      </c>
      <c r="AH99" s="50">
        <f t="shared" si="51"/>
        <v>0</v>
      </c>
      <c r="AI99" s="50">
        <f t="shared" si="51"/>
        <v>0</v>
      </c>
      <c r="AJ99" s="50">
        <f t="shared" si="51"/>
        <v>0</v>
      </c>
      <c r="AK99" s="50">
        <f t="shared" si="51"/>
        <v>0</v>
      </c>
      <c r="AL99" s="50">
        <f t="shared" si="51"/>
        <v>0</v>
      </c>
      <c r="AM99" s="50">
        <f t="shared" si="51"/>
        <v>0</v>
      </c>
      <c r="AN99" s="50">
        <f t="shared" si="51"/>
        <v>0</v>
      </c>
      <c r="AO99" s="50">
        <f t="shared" si="51"/>
        <v>0</v>
      </c>
      <c r="AP99" s="50">
        <f t="shared" si="51"/>
        <v>0</v>
      </c>
      <c r="AQ99" s="50">
        <f t="shared" si="51"/>
        <v>0</v>
      </c>
      <c r="AR99" s="51">
        <f t="shared" si="51"/>
        <v>0</v>
      </c>
    </row>
    <row r="100" spans="2:44" s="43" customFormat="1" x14ac:dyDescent="0.15">
      <c r="B100" s="74" t="s">
        <v>47</v>
      </c>
      <c r="C100" s="28"/>
      <c r="E100" s="108"/>
      <c r="F100" s="108"/>
      <c r="G100" s="108"/>
      <c r="H100" s="108"/>
      <c r="I100" s="108"/>
      <c r="J100" s="108"/>
      <c r="K100" s="108"/>
      <c r="L100" s="108"/>
      <c r="M100" s="108"/>
      <c r="N100" s="108"/>
    </row>
    <row r="101" spans="2:44" s="45" customFormat="1" x14ac:dyDescent="0.15">
      <c r="C101" s="35" t="s">
        <v>48</v>
      </c>
      <c r="D101" s="46"/>
      <c r="E101" s="47">
        <f>D104</f>
        <v>0</v>
      </c>
      <c r="F101" s="47">
        <f>E104</f>
        <v>0.55173822553788499</v>
      </c>
      <c r="G101" s="47">
        <f t="shared" ref="G101:AR101" si="52">F104</f>
        <v>1.5081568841729602</v>
      </c>
      <c r="H101" s="47">
        <f t="shared" si="52"/>
        <v>4.1147247593386007</v>
      </c>
      <c r="I101" s="47">
        <f t="shared" si="52"/>
        <v>10.515531906161323</v>
      </c>
      <c r="J101" s="47">
        <f t="shared" si="52"/>
        <v>23.041496347070989</v>
      </c>
      <c r="K101" s="47">
        <f t="shared" si="52"/>
        <v>39.574857574817997</v>
      </c>
      <c r="L101" s="47">
        <f t="shared" si="52"/>
        <v>52.826265469373261</v>
      </c>
      <c r="M101" s="47">
        <f t="shared" si="52"/>
        <v>59.183502081708383</v>
      </c>
      <c r="N101" s="47">
        <f t="shared" si="52"/>
        <v>60.480225599683912</v>
      </c>
      <c r="O101" s="47">
        <f t="shared" si="52"/>
        <v>60.358088604478283</v>
      </c>
      <c r="P101" s="47">
        <f t="shared" si="52"/>
        <v>57.340184174254368</v>
      </c>
      <c r="Q101" s="47">
        <f t="shared" si="52"/>
        <v>54.473174965541652</v>
      </c>
      <c r="R101" s="47">
        <f t="shared" si="52"/>
        <v>51.749516217264571</v>
      </c>
      <c r="S101" s="47">
        <f t="shared" si="52"/>
        <v>49.162040406401346</v>
      </c>
      <c r="T101" s="47">
        <f t="shared" si="52"/>
        <v>46.703938386081276</v>
      </c>
      <c r="U101" s="47">
        <f t="shared" si="52"/>
        <v>44.368741466777209</v>
      </c>
      <c r="V101" s="47">
        <f t="shared" si="52"/>
        <v>42.150304393438347</v>
      </c>
      <c r="W101" s="47">
        <f t="shared" si="52"/>
        <v>40.04278917376643</v>
      </c>
      <c r="X101" s="47">
        <f t="shared" si="52"/>
        <v>38.040649715078111</v>
      </c>
      <c r="Y101" s="47">
        <f t="shared" si="52"/>
        <v>36.138617229324204</v>
      </c>
      <c r="Z101" s="47">
        <f t="shared" si="52"/>
        <v>34.331686367857991</v>
      </c>
      <c r="AA101" s="47">
        <f t="shared" si="52"/>
        <v>32.615102049465094</v>
      </c>
      <c r="AB101" s="47">
        <f t="shared" si="52"/>
        <v>30.984346946991838</v>
      </c>
      <c r="AC101" s="47">
        <f t="shared" si="52"/>
        <v>29.435129599642245</v>
      </c>
      <c r="AD101" s="47">
        <f t="shared" si="52"/>
        <v>27.963373119660133</v>
      </c>
      <c r="AE101" s="47">
        <f t="shared" si="52"/>
        <v>26.565204463677127</v>
      </c>
      <c r="AF101" s="47">
        <f t="shared" si="52"/>
        <v>25.236944240493269</v>
      </c>
      <c r="AG101" s="47">
        <f t="shared" si="52"/>
        <v>23.975097028468607</v>
      </c>
      <c r="AH101" s="47">
        <f t="shared" si="52"/>
        <v>22.776342177045176</v>
      </c>
      <c r="AI101" s="47">
        <f t="shared" si="52"/>
        <v>21.637525068192918</v>
      </c>
      <c r="AJ101" s="47">
        <f t="shared" si="52"/>
        <v>20.555648814783272</v>
      </c>
      <c r="AK101" s="47">
        <f t="shared" si="52"/>
        <v>19.527866374044109</v>
      </c>
      <c r="AL101" s="47">
        <f t="shared" si="52"/>
        <v>18.551473055341905</v>
      </c>
      <c r="AM101" s="47">
        <f t="shared" si="52"/>
        <v>17.623899402574811</v>
      </c>
      <c r="AN101" s="47">
        <f t="shared" si="52"/>
        <v>16.742704432446072</v>
      </c>
      <c r="AO101" s="47">
        <f t="shared" si="52"/>
        <v>15.905569210823767</v>
      </c>
      <c r="AP101" s="47">
        <f t="shared" si="52"/>
        <v>15.110290750282578</v>
      </c>
      <c r="AQ101" s="47">
        <f t="shared" si="52"/>
        <v>14.354776212768449</v>
      </c>
      <c r="AR101" s="48">
        <f t="shared" si="52"/>
        <v>13.637037402130026</v>
      </c>
    </row>
    <row r="102" spans="2:44" s="45" customFormat="1" x14ac:dyDescent="0.15">
      <c r="C102" s="45" t="s">
        <v>49</v>
      </c>
      <c r="D102" s="109"/>
      <c r="E102" s="61">
        <f>Connections_New*InvestPerConnection/(DeflateFactor_TariffSetting*MonDenValue)</f>
        <v>0.58077707951356317</v>
      </c>
      <c r="F102" s="61">
        <f t="shared" ref="F102:AR102" si="53">Connections_New*InvestPerConnection/(DeflateFactor_TariffSetting*MonDenValue)</f>
        <v>1.0357953367494417</v>
      </c>
      <c r="G102" s="61">
        <f t="shared" si="53"/>
        <v>2.8231323361834617</v>
      </c>
      <c r="H102" s="61">
        <f t="shared" si="53"/>
        <v>6.9542561945154242</v>
      </c>
      <c r="I102" s="61">
        <f t="shared" si="53"/>
        <v>13.738674774966036</v>
      </c>
      <c r="J102" s="61">
        <f t="shared" si="53"/>
        <v>18.616248468526901</v>
      </c>
      <c r="K102" s="61">
        <f t="shared" si="53"/>
        <v>16.031737656101225</v>
      </c>
      <c r="L102" s="61">
        <f t="shared" si="53"/>
        <v>9.4721577745303023</v>
      </c>
      <c r="M102" s="61">
        <f t="shared" si="53"/>
        <v>4.4798932863799488</v>
      </c>
      <c r="N102" s="61">
        <f t="shared" si="53"/>
        <v>3.0546045102932289</v>
      </c>
      <c r="O102" s="61">
        <f t="shared" si="53"/>
        <v>0</v>
      </c>
      <c r="P102" s="61">
        <f t="shared" si="53"/>
        <v>0</v>
      </c>
      <c r="Q102" s="61">
        <f t="shared" si="53"/>
        <v>0</v>
      </c>
      <c r="R102" s="61">
        <f t="shared" si="53"/>
        <v>0</v>
      </c>
      <c r="S102" s="61">
        <f t="shared" si="53"/>
        <v>0</v>
      </c>
      <c r="T102" s="61">
        <f t="shared" si="53"/>
        <v>0</v>
      </c>
      <c r="U102" s="61">
        <f t="shared" si="53"/>
        <v>0</v>
      </c>
      <c r="V102" s="61">
        <f t="shared" si="53"/>
        <v>0</v>
      </c>
      <c r="W102" s="61">
        <f t="shared" si="53"/>
        <v>0</v>
      </c>
      <c r="X102" s="61">
        <f t="shared" si="53"/>
        <v>0</v>
      </c>
      <c r="Y102" s="61">
        <f t="shared" si="53"/>
        <v>0</v>
      </c>
      <c r="Z102" s="61">
        <f t="shared" si="53"/>
        <v>0</v>
      </c>
      <c r="AA102" s="61">
        <f t="shared" si="53"/>
        <v>0</v>
      </c>
      <c r="AB102" s="61">
        <f t="shared" si="53"/>
        <v>0</v>
      </c>
      <c r="AC102" s="61">
        <f t="shared" si="53"/>
        <v>0</v>
      </c>
      <c r="AD102" s="61">
        <f t="shared" si="53"/>
        <v>0</v>
      </c>
      <c r="AE102" s="61">
        <f t="shared" si="53"/>
        <v>0</v>
      </c>
      <c r="AF102" s="61">
        <f t="shared" si="53"/>
        <v>0</v>
      </c>
      <c r="AG102" s="61">
        <f t="shared" si="53"/>
        <v>0</v>
      </c>
      <c r="AH102" s="61">
        <f t="shared" si="53"/>
        <v>0</v>
      </c>
      <c r="AI102" s="61">
        <f t="shared" si="53"/>
        <v>0</v>
      </c>
      <c r="AJ102" s="61">
        <f t="shared" si="53"/>
        <v>0</v>
      </c>
      <c r="AK102" s="61">
        <f t="shared" si="53"/>
        <v>0</v>
      </c>
      <c r="AL102" s="61">
        <f t="shared" si="53"/>
        <v>0</v>
      </c>
      <c r="AM102" s="61">
        <f t="shared" si="53"/>
        <v>0</v>
      </c>
      <c r="AN102" s="61">
        <f t="shared" si="53"/>
        <v>0</v>
      </c>
      <c r="AO102" s="61">
        <f t="shared" si="53"/>
        <v>0</v>
      </c>
      <c r="AP102" s="61">
        <f t="shared" si="53"/>
        <v>0</v>
      </c>
      <c r="AQ102" s="61">
        <f t="shared" si="53"/>
        <v>0</v>
      </c>
      <c r="AR102" s="62">
        <f t="shared" si="53"/>
        <v>0</v>
      </c>
    </row>
    <row r="103" spans="2:44" s="45" customFormat="1" x14ac:dyDescent="0.15">
      <c r="C103" s="35" t="s">
        <v>44</v>
      </c>
      <c r="D103" s="109"/>
      <c r="E103" s="61">
        <f>(E101+E102)*DepRate</f>
        <v>2.903885397567816E-2</v>
      </c>
      <c r="F103" s="61">
        <f t="shared" ref="F103:AR103" si="54">(F101+F102)*DepRate</f>
        <v>7.9376678114366328E-2</v>
      </c>
      <c r="G103" s="61">
        <f t="shared" si="54"/>
        <v>0.21656446101782112</v>
      </c>
      <c r="H103" s="61">
        <f t="shared" si="54"/>
        <v>0.55344904769270131</v>
      </c>
      <c r="I103" s="61">
        <f t="shared" si="54"/>
        <v>1.2127103340563679</v>
      </c>
      <c r="J103" s="61">
        <f t="shared" si="54"/>
        <v>2.0828872407798946</v>
      </c>
      <c r="K103" s="61">
        <f t="shared" si="54"/>
        <v>2.7803297615459615</v>
      </c>
      <c r="L103" s="61">
        <f t="shared" si="54"/>
        <v>3.1149211621951785</v>
      </c>
      <c r="M103" s="61">
        <f t="shared" si="54"/>
        <v>3.1831697684044169</v>
      </c>
      <c r="N103" s="61">
        <f t="shared" si="54"/>
        <v>3.1767415054988573</v>
      </c>
      <c r="O103" s="61">
        <f t="shared" si="54"/>
        <v>3.0179044302239144</v>
      </c>
      <c r="P103" s="61">
        <f t="shared" si="54"/>
        <v>2.8670092087127186</v>
      </c>
      <c r="Q103" s="61">
        <f t="shared" si="54"/>
        <v>2.7236587482770829</v>
      </c>
      <c r="R103" s="61">
        <f t="shared" si="54"/>
        <v>2.5874758108632285</v>
      </c>
      <c r="S103" s="61">
        <f t="shared" si="54"/>
        <v>2.4581020203200676</v>
      </c>
      <c r="T103" s="61">
        <f t="shared" si="54"/>
        <v>2.3351969193040638</v>
      </c>
      <c r="U103" s="61">
        <f t="shared" si="54"/>
        <v>2.2184370733388605</v>
      </c>
      <c r="V103" s="61">
        <f t="shared" si="54"/>
        <v>2.1075152196719174</v>
      </c>
      <c r="W103" s="61">
        <f t="shared" si="54"/>
        <v>2.0021394586883217</v>
      </c>
      <c r="X103" s="61">
        <f t="shared" si="54"/>
        <v>1.9020324857539057</v>
      </c>
      <c r="Y103" s="61">
        <f t="shared" si="54"/>
        <v>1.8069308614662103</v>
      </c>
      <c r="Z103" s="61">
        <f t="shared" si="54"/>
        <v>1.7165843183928997</v>
      </c>
      <c r="AA103" s="61">
        <f t="shared" si="54"/>
        <v>1.6307551024732547</v>
      </c>
      <c r="AB103" s="61">
        <f t="shared" si="54"/>
        <v>1.549217347349592</v>
      </c>
      <c r="AC103" s="61">
        <f t="shared" si="54"/>
        <v>1.4717564799821123</v>
      </c>
      <c r="AD103" s="61">
        <f t="shared" si="54"/>
        <v>1.3981686559830067</v>
      </c>
      <c r="AE103" s="61">
        <f t="shared" si="54"/>
        <v>1.3282602231838565</v>
      </c>
      <c r="AF103" s="61">
        <f t="shared" si="54"/>
        <v>1.2618472120246635</v>
      </c>
      <c r="AG103" s="61">
        <f t="shared" si="54"/>
        <v>1.1987548514234303</v>
      </c>
      <c r="AH103" s="61">
        <f t="shared" si="54"/>
        <v>1.138817108852259</v>
      </c>
      <c r="AI103" s="61">
        <f t="shared" si="54"/>
        <v>1.081876253409646</v>
      </c>
      <c r="AJ103" s="61">
        <f t="shared" si="54"/>
        <v>1.0277824407391636</v>
      </c>
      <c r="AK103" s="61">
        <f t="shared" si="54"/>
        <v>0.97639331870220547</v>
      </c>
      <c r="AL103" s="61">
        <f t="shared" si="54"/>
        <v>0.92757365276709525</v>
      </c>
      <c r="AM103" s="61">
        <f t="shared" si="54"/>
        <v>0.8811949701287406</v>
      </c>
      <c r="AN103" s="61">
        <f t="shared" si="54"/>
        <v>0.83713522162230358</v>
      </c>
      <c r="AO103" s="61">
        <f t="shared" si="54"/>
        <v>0.79527846054118845</v>
      </c>
      <c r="AP103" s="61">
        <f t="shared" si="54"/>
        <v>0.755514537514129</v>
      </c>
      <c r="AQ103" s="61">
        <f t="shared" si="54"/>
        <v>0.71773881063842249</v>
      </c>
      <c r="AR103" s="62">
        <f t="shared" si="54"/>
        <v>0.68185187010650139</v>
      </c>
    </row>
    <row r="104" spans="2:44" s="45" customFormat="1" x14ac:dyDescent="0.15">
      <c r="C104" s="35" t="s">
        <v>50</v>
      </c>
      <c r="D104" s="49">
        <v>0</v>
      </c>
      <c r="E104" s="50">
        <f>E101+E102-E103</f>
        <v>0.55173822553788499</v>
      </c>
      <c r="F104" s="50">
        <f>F101+F102-F103</f>
        <v>1.5081568841729602</v>
      </c>
      <c r="G104" s="50">
        <f t="shared" ref="G104:AR104" si="55">G101+G102-G103</f>
        <v>4.1147247593386007</v>
      </c>
      <c r="H104" s="50">
        <f t="shared" si="55"/>
        <v>10.515531906161323</v>
      </c>
      <c r="I104" s="50">
        <f t="shared" si="55"/>
        <v>23.041496347070989</v>
      </c>
      <c r="J104" s="50">
        <f t="shared" si="55"/>
        <v>39.574857574817997</v>
      </c>
      <c r="K104" s="50">
        <f t="shared" si="55"/>
        <v>52.826265469373261</v>
      </c>
      <c r="L104" s="50">
        <f t="shared" si="55"/>
        <v>59.183502081708383</v>
      </c>
      <c r="M104" s="50">
        <f t="shared" si="55"/>
        <v>60.480225599683912</v>
      </c>
      <c r="N104" s="50">
        <f t="shared" si="55"/>
        <v>60.358088604478283</v>
      </c>
      <c r="O104" s="50">
        <f t="shared" si="55"/>
        <v>57.340184174254368</v>
      </c>
      <c r="P104" s="50">
        <f t="shared" si="55"/>
        <v>54.473174965541652</v>
      </c>
      <c r="Q104" s="50">
        <f t="shared" si="55"/>
        <v>51.749516217264571</v>
      </c>
      <c r="R104" s="50">
        <f t="shared" si="55"/>
        <v>49.162040406401346</v>
      </c>
      <c r="S104" s="50">
        <f t="shared" si="55"/>
        <v>46.703938386081276</v>
      </c>
      <c r="T104" s="50">
        <f t="shared" si="55"/>
        <v>44.368741466777209</v>
      </c>
      <c r="U104" s="50">
        <f t="shared" si="55"/>
        <v>42.150304393438347</v>
      </c>
      <c r="V104" s="50">
        <f t="shared" si="55"/>
        <v>40.04278917376643</v>
      </c>
      <c r="W104" s="50">
        <f t="shared" si="55"/>
        <v>38.040649715078111</v>
      </c>
      <c r="X104" s="50">
        <f t="shared" si="55"/>
        <v>36.138617229324204</v>
      </c>
      <c r="Y104" s="50">
        <f t="shared" si="55"/>
        <v>34.331686367857991</v>
      </c>
      <c r="Z104" s="50">
        <f t="shared" si="55"/>
        <v>32.615102049465094</v>
      </c>
      <c r="AA104" s="50">
        <f t="shared" si="55"/>
        <v>30.984346946991838</v>
      </c>
      <c r="AB104" s="50">
        <f t="shared" si="55"/>
        <v>29.435129599642245</v>
      </c>
      <c r="AC104" s="50">
        <f t="shared" si="55"/>
        <v>27.963373119660133</v>
      </c>
      <c r="AD104" s="50">
        <f t="shared" si="55"/>
        <v>26.565204463677127</v>
      </c>
      <c r="AE104" s="50">
        <f t="shared" si="55"/>
        <v>25.236944240493269</v>
      </c>
      <c r="AF104" s="50">
        <f t="shared" si="55"/>
        <v>23.975097028468607</v>
      </c>
      <c r="AG104" s="50">
        <f t="shared" si="55"/>
        <v>22.776342177045176</v>
      </c>
      <c r="AH104" s="50">
        <f t="shared" si="55"/>
        <v>21.637525068192918</v>
      </c>
      <c r="AI104" s="50">
        <f t="shared" si="55"/>
        <v>20.555648814783272</v>
      </c>
      <c r="AJ104" s="50">
        <f t="shared" si="55"/>
        <v>19.527866374044109</v>
      </c>
      <c r="AK104" s="50">
        <f t="shared" si="55"/>
        <v>18.551473055341905</v>
      </c>
      <c r="AL104" s="50">
        <f t="shared" si="55"/>
        <v>17.623899402574811</v>
      </c>
      <c r="AM104" s="50">
        <f t="shared" si="55"/>
        <v>16.742704432446072</v>
      </c>
      <c r="AN104" s="50">
        <f t="shared" si="55"/>
        <v>15.905569210823767</v>
      </c>
      <c r="AO104" s="50">
        <f t="shared" si="55"/>
        <v>15.110290750282578</v>
      </c>
      <c r="AP104" s="50">
        <f t="shared" si="55"/>
        <v>14.354776212768449</v>
      </c>
      <c r="AQ104" s="50">
        <f t="shared" si="55"/>
        <v>13.637037402130026</v>
      </c>
      <c r="AR104" s="51">
        <f t="shared" si="55"/>
        <v>12.955185532023526</v>
      </c>
    </row>
    <row r="105" spans="2:44" s="43" customFormat="1" x14ac:dyDescent="0.15">
      <c r="B105" s="74" t="s">
        <v>4</v>
      </c>
      <c r="E105" s="69"/>
      <c r="F105" s="69"/>
      <c r="G105" s="69"/>
      <c r="H105" s="69"/>
      <c r="I105" s="69"/>
      <c r="J105" s="69"/>
      <c r="K105" s="69"/>
      <c r="L105" s="69"/>
      <c r="M105" s="69"/>
      <c r="N105" s="69"/>
      <c r="O105" s="69"/>
      <c r="P105" s="69"/>
      <c r="Q105" s="69"/>
      <c r="R105" s="69"/>
      <c r="S105" s="69"/>
    </row>
    <row r="106" spans="2:44" s="45" customFormat="1" x14ac:dyDescent="0.15">
      <c r="C106" s="206" t="str">
        <f>INDEX(lbl_ResetTypes,4,1)</f>
        <v>No reset</v>
      </c>
      <c r="E106" s="199">
        <f>BilledDemand_Det</f>
        <v>1.4117051345640335</v>
      </c>
      <c r="F106" s="200">
        <f>IF(Year="",,IF('[1]Analysis - No risk'!E21=0,E106,(E106/('[1]Analysis - No risk'!E$17)*EXP(Demand_Growth)*Connections)))</f>
        <v>1.4663223205731397</v>
      </c>
      <c r="G106" s="200">
        <f>IF(Year="",,IF('[1]Analysis - No risk'!F21=0,F106,(F106/('[1]Analysis - No risk'!F$17)*EXP(Demand_Growth)*Connections)))</f>
        <v>1.5636137776346486</v>
      </c>
      <c r="H106" s="200">
        <f>IF(Year="",,IF('[1]Analysis - No risk'!G21=0,G106,(G106/('[1]Analysis - No risk'!G$17)*EXP(Demand_Growth)*Connections)))</f>
        <v>1.7532026231958298</v>
      </c>
      <c r="I106" s="200">
        <f>IF(Year="",,IF('[1]Analysis - No risk'!H21=0,H106,(H106/('[1]Analysis - No risk'!H$17)*EXP(Demand_Growth)*Connections)))</f>
        <v>2.083778215198731</v>
      </c>
      <c r="J106" s="200">
        <f>IF(Year="",,IF('[1]Analysis - No risk'!I21=0,I106,(I106/('[1]Analysis - No risk'!I$17)*EXP(Demand_Growth)*Connections)))</f>
        <v>2.5038488888808801</v>
      </c>
      <c r="K106" s="200">
        <f>IF(Year="",,IF('[1]Analysis - No risk'!J21=0,J106,(J106/('[1]Analysis - No risk'!J$17)*EXP(Demand_Growth)*Connections)))</f>
        <v>2.8616341902584765</v>
      </c>
      <c r="L106" s="200">
        <f>IF(Year="",,IF('[1]Analysis - No risk'!K21=0,K106,(K106/('[1]Analysis - No risk'!K$17)*EXP(Demand_Growth)*Connections)))</f>
        <v>3.0906042901457171</v>
      </c>
      <c r="M106" s="200">
        <f>IF(Year="",,IF('[1]Analysis - No risk'!L21=0,L106,(L106/('[1]Analysis - No risk'!L$17)*EXP(Demand_Growth)*Connections)))</f>
        <v>3.2293361036334907</v>
      </c>
      <c r="N106" s="200">
        <f>IF(Year="",,IF('[1]Analysis - No risk'!M21=0,M106,(M106/('[1]Analysis - No risk'!M$17)*EXP(Demand_Growth)*Connections)))</f>
        <v>3.3435900504634635</v>
      </c>
      <c r="O106" s="200">
        <f>IF(Year="",,IF('[1]Analysis - No risk'!N21=0,N106,(N106/('[1]Analysis - No risk'!N$17)*EXP(Demand_Growth)*Connections)))</f>
        <v>3.4111350499829531</v>
      </c>
      <c r="P106" s="200">
        <f>IF(Year="",,IF('[1]Analysis - No risk'!O21=0,O106,(O106/('[1]Analysis - No risk'!O$17)*EXP(Demand_Growth)*Connections)))</f>
        <v>3.4800445490048433</v>
      </c>
      <c r="Q106" s="200">
        <f>IF(Year="",,IF('[1]Analysis - No risk'!P21=0,P106,(P106/('[1]Analysis - No risk'!P$17)*EXP(Demand_Growth)*Connections)))</f>
        <v>3.5503461122475484</v>
      </c>
      <c r="R106" s="200">
        <f>IF(Year="",,IF('[1]Analysis - No risk'!Q21=0,Q106,(Q106/('[1]Analysis - No risk'!Q$17)*EXP(Demand_Growth)*Connections)))</f>
        <v>3.6220678612737314</v>
      </c>
      <c r="S106" s="200">
        <f>IF(Year="",,IF('[1]Analysis - No risk'!R21=0,R106,(R106/('[1]Analysis - No risk'!R$17)*EXP(Demand_Growth)*Connections)))</f>
        <v>3.6952384857393059</v>
      </c>
      <c r="T106" s="200">
        <f>IF(Year="",,IF('[1]Analysis - No risk'!S21=0,S106,(S106/('[1]Analysis - No risk'!S$17)*EXP(Demand_Growth)*Connections)))</f>
        <v>3.7698872548696798</v>
      </c>
      <c r="U106" s="200">
        <f>IF(Year="",,IF('[1]Analysis - No risk'!T21=0,T106,(T106/('[1]Analysis - No risk'!T$17)*EXP(Demand_Growth)*Connections)))</f>
        <v>3.8460440291678353</v>
      </c>
      <c r="V106" s="200">
        <f>IF(Year="",,IF('[1]Analysis - No risk'!U21=0,U106,(U106/('[1]Analysis - No risk'!U$17)*EXP(Demand_Growth)*Connections)))</f>
        <v>3.9237392723589291</v>
      </c>
      <c r="W106" s="200">
        <f>IF(Year="",,IF('[1]Analysis - No risk'!V21=0,V106,(V106/('[1]Analysis - No risk'!V$17)*EXP(Demand_Growth)*Connections)))</f>
        <v>4.0030040635761868</v>
      </c>
      <c r="X106" s="200">
        <f>IF(Year="",,IF('[1]Analysis - No risk'!W21=0,W106,(W106/('[1]Analysis - No risk'!W$17)*EXP(Demand_Growth)*Connections)))</f>
        <v>4.0838701097929739</v>
      </c>
      <c r="Y106" s="200">
        <f>IF(Year="",,IF('[1]Analysis - No risk'!X21=0,X106,(X106/('[1]Analysis - No risk'!X$17)*EXP(Demand_Growth)*Connections)))</f>
        <v>0</v>
      </c>
      <c r="Z106" s="200">
        <f>IF(Year="",,IF('[1]Analysis - No risk'!Y21=0,Y106,(Y106/('[1]Analysis - No risk'!Y$17)*EXP(Demand_Growth)*Connections)))</f>
        <v>0</v>
      </c>
      <c r="AA106" s="200">
        <f>IF(Year="",,IF('[1]Analysis - No risk'!Z21=0,Z106,(Z106/('[1]Analysis - No risk'!Z$17)*EXP(Demand_Growth)*Connections)))</f>
        <v>0</v>
      </c>
      <c r="AB106" s="200">
        <f>IF(Year="",,IF('[1]Analysis - No risk'!AA21=0,AA106,(AA106/('[1]Analysis - No risk'!AA$17)*EXP(Demand_Growth)*Connections)))</f>
        <v>0</v>
      </c>
      <c r="AC106" s="200">
        <f>IF(Year="",,IF('[1]Analysis - No risk'!AB21=0,AB106,(AB106/('[1]Analysis - No risk'!AB$17)*EXP(Demand_Growth)*Connections)))</f>
        <v>0</v>
      </c>
      <c r="AD106" s="200">
        <f>IF(Year="",,IF('[1]Analysis - No risk'!AC21=0,AC106,(AC106/('[1]Analysis - No risk'!AC$17)*EXP(Demand_Growth)*Connections)))</f>
        <v>0</v>
      </c>
      <c r="AE106" s="200">
        <f>IF(Year="",,IF('[1]Analysis - No risk'!AD21=0,AD106,(AD106/('[1]Analysis - No risk'!AD$17)*EXP(Demand_Growth)*Connections)))</f>
        <v>0</v>
      </c>
      <c r="AF106" s="200">
        <f>IF(Year="",,IF('[1]Analysis - No risk'!AE21=0,AE106,(AE106/('[1]Analysis - No risk'!AE$17)*EXP(Demand_Growth)*Connections)))</f>
        <v>0</v>
      </c>
      <c r="AG106" s="200">
        <f>IF(Year="",,IF('[1]Analysis - No risk'!AF21=0,AF106,(AF106/('[1]Analysis - No risk'!AF$17)*EXP(Demand_Growth)*Connections)))</f>
        <v>0</v>
      </c>
      <c r="AH106" s="200">
        <f>IF(Year="",,IF('[1]Analysis - No risk'!AG21=0,AG106,(AG106/('[1]Analysis - No risk'!AG$17)*EXP(Demand_Growth)*Connections)))</f>
        <v>0</v>
      </c>
      <c r="AI106" s="200">
        <f>IF(Year="",,IF('[1]Analysis - No risk'!AH21=0,AH106,(AH106/('[1]Analysis - No risk'!AH$17)*EXP(Demand_Growth)*Connections)))</f>
        <v>0</v>
      </c>
      <c r="AJ106" s="200">
        <f>IF(Year="",,IF('[1]Analysis - No risk'!AI21=0,AI106,(AI106/('[1]Analysis - No risk'!AI$17)*EXP(Demand_Growth)*Connections)))</f>
        <v>0</v>
      </c>
      <c r="AK106" s="200">
        <f>IF(Year="",,IF('[1]Analysis - No risk'!AJ21=0,AJ106,(AJ106/('[1]Analysis - No risk'!AJ$17)*EXP(Demand_Growth)*Connections)))</f>
        <v>0</v>
      </c>
      <c r="AL106" s="200">
        <f>IF(Year="",,IF('[1]Analysis - No risk'!AK21=0,AK106,(AK106/('[1]Analysis - No risk'!AK$17)*EXP(Demand_Growth)*Connections)))</f>
        <v>0</v>
      </c>
      <c r="AM106" s="200">
        <f>IF(Year="",,IF('[1]Analysis - No risk'!AL21=0,AL106,(AL106/('[1]Analysis - No risk'!AL$17)*EXP(Demand_Growth)*Connections)))</f>
        <v>0</v>
      </c>
      <c r="AN106" s="200">
        <f>IF(Year="",,IF('[1]Analysis - No risk'!AM21=0,AM106,(AM106/('[1]Analysis - No risk'!AM$17)*EXP(Demand_Growth)*Connections)))</f>
        <v>0</v>
      </c>
      <c r="AO106" s="200">
        <f>IF(Year="",,IF('[1]Analysis - No risk'!AN21=0,AN106,(AN106/('[1]Analysis - No risk'!AN$17)*EXP(Demand_Growth)*Connections)))</f>
        <v>0</v>
      </c>
      <c r="AP106" s="200">
        <f>IF(Year="",,IF('[1]Analysis - No risk'!AO21=0,AO106,(AO106/('[1]Analysis - No risk'!AO$17)*EXP(Demand_Growth)*Connections)))</f>
        <v>0</v>
      </c>
      <c r="AQ106" s="200">
        <f>IF(Year="",,IF('[1]Analysis - No risk'!AP21=0,AP106,(AP106/('[1]Analysis - No risk'!AP$17)*EXP(Demand_Growth)*Connections)))</f>
        <v>0</v>
      </c>
      <c r="AR106" s="201">
        <f>IF(Year="",,IF('[1]Analysis - No risk'!AQ21=0,AQ106,(AQ106/('[1]Analysis - No risk'!AQ$17)*EXP(Demand_Growth)*Connections)))</f>
        <v>0</v>
      </c>
    </row>
    <row r="107" spans="2:44" s="45" customFormat="1" x14ac:dyDescent="0.15">
      <c r="C107" s="206" t="str">
        <f>INDEX(lbl_ResetTypes,1,1)</f>
        <v>Full reset</v>
      </c>
      <c r="E107" s="216">
        <f>BilledDemand_Det</f>
        <v>1.4117051345640335</v>
      </c>
      <c r="F107" s="217">
        <f>IF(Year="",,IF(MOD(Year,Tariff_Period)=1,BilledDemand_Risk,(E107/('[1]Analysis - No risk'!E$17)*EXP(Demand_Growth)*Connections)))</f>
        <v>1.4663223205731397</v>
      </c>
      <c r="G107" s="217">
        <f>IF(Year="",,IF(MOD(Year,Tariff_Period)=1,BilledDemand_Risk,(F107/('[1]Analysis - No risk'!F$17)*EXP(Demand_Growth)*Connections)))</f>
        <v>1.5636137776346486</v>
      </c>
      <c r="H107" s="217">
        <f>IF(Year="",,IF(MOD(Year,Tariff_Period)=1,BilledDemand_Risk,(G107/('[1]Analysis - No risk'!G$17)*EXP(Demand_Growth)*Connections)))</f>
        <v>1.7532026231958298</v>
      </c>
      <c r="I107" s="217">
        <f>IF(Year="",,IF(MOD(Year,Tariff_Period)=1,BilledDemand_Risk,(H107/('[1]Analysis - No risk'!H$17)*EXP(Demand_Growth)*Connections)))</f>
        <v>2.083778215198731</v>
      </c>
      <c r="J107" s="217">
        <f>IF(Year="",,IF(MOD(Year,Tariff_Period)=1,BilledDemand_Risk,(I107/('[1]Analysis - No risk'!I$17)*EXP(Demand_Growth)*Connections)))</f>
        <v>2.436336555314826</v>
      </c>
      <c r="K107" s="217">
        <f>IF(Year="",,IF(MOD(Year,Tariff_Period)=1,BilledDemand_Risk,(J107/('[1]Analysis - No risk'!J$17)*EXP(Demand_Growth)*Connections)))</f>
        <v>2.7844747407187294</v>
      </c>
      <c r="L107" s="217">
        <f>IF(Year="",,IF(MOD(Year,Tariff_Period)=1,BilledDemand_Risk,(K107/('[1]Analysis - No risk'!K$17)*EXP(Demand_Growth)*Connections)))</f>
        <v>3.0072710232366839</v>
      </c>
      <c r="M107" s="217">
        <f>IF(Year="",,IF(MOD(Year,Tariff_Period)=1,BilledDemand_Risk,(L107/('[1]Analysis - No risk'!L$17)*EXP(Demand_Growth)*Connections)))</f>
        <v>3.1422621523285246</v>
      </c>
      <c r="N107" s="217">
        <f>IF(Year="",,IF(MOD(Year,Tariff_Period)=1,BilledDemand_Risk,(M107/('[1]Analysis - No risk'!M$17)*EXP(Demand_Growth)*Connections)))</f>
        <v>3.2534354218045736</v>
      </c>
      <c r="O107" s="217">
        <f>IF(Year="",,IF(MOD(Year,Tariff_Period)=1,BilledDemand_Risk,(N107/('[1]Analysis - No risk'!N$17)*EXP(Demand_Growth)*Connections)))</f>
        <v>3.3204931496738461</v>
      </c>
      <c r="P107" s="217">
        <f>IF(Year="",,IF(MOD(Year,Tariff_Period)=1,BilledDemand_Risk,(O107/('[1]Analysis - No risk'!O$17)*EXP(Demand_Growth)*Connections)))</f>
        <v>3.3875715608469208</v>
      </c>
      <c r="Q107" s="217">
        <f>IF(Year="",,IF(MOD(Year,Tariff_Period)=1,BilledDemand_Risk,(P107/('[1]Analysis - No risk'!P$17)*EXP(Demand_Growth)*Connections)))</f>
        <v>3.4560050458125575</v>
      </c>
      <c r="R107" s="217">
        <f>IF(Year="",,IF(MOD(Year,Tariff_Period)=1,BilledDemand_Risk,(Q107/('[1]Analysis - No risk'!Q$17)*EXP(Demand_Growth)*Connections)))</f>
        <v>3.5258209788772006</v>
      </c>
      <c r="S107" s="217">
        <f>IF(Year="",,IF(MOD(Year,Tariff_Period)=1,BilledDemand_Risk,(R107/('[1]Analysis - No risk'!R$17)*EXP(Demand_Growth)*Connections)))</f>
        <v>3.5970472873449677</v>
      </c>
      <c r="T107" s="217">
        <f>IF(Year="",,IF(MOD(Year,Tariff_Period)=1,BilledDemand_Risk,(S107/('[1]Analysis - No risk'!S$17)*EXP(Demand_Growth)*Connections)))</f>
        <v>3.371696960097307</v>
      </c>
      <c r="U107" s="217">
        <f>IF(Year="",,IF(MOD(Year,Tariff_Period)=1,BilledDemand_Risk,(T107/('[1]Analysis - No risk'!T$17)*EXP(Demand_Growth)*Connections)))</f>
        <v>3.439809756855412</v>
      </c>
      <c r="V107" s="217">
        <f>IF(Year="",,IF(MOD(Year,Tariff_Period)=1,BilledDemand_Risk,(U107/('[1]Analysis - No risk'!U$17)*EXP(Demand_Growth)*Connections)))</f>
        <v>3.5092985233810006</v>
      </c>
      <c r="W107" s="217">
        <f>IF(Year="",,IF(MOD(Year,Tariff_Period)=1,BilledDemand_Risk,(V107/('[1]Analysis - No risk'!V$17)*EXP(Demand_Growth)*Connections)))</f>
        <v>3.5801910561072119</v>
      </c>
      <c r="X107" s="217">
        <f>IF(Year="",,IF(MOD(Year,Tariff_Period)=1,BilledDemand_Risk,(W107/('[1]Analysis - No risk'!W$17)*EXP(Demand_Growth)*Connections)))</f>
        <v>3.6525157129923831</v>
      </c>
      <c r="Y107" s="217">
        <f>IF(Year="",,IF(MOD(Year,Tariff_Period)=1,BilledDemand_Risk,(X107/('[1]Analysis - No risk'!X$17)*EXP(Demand_Growth)*Connections)))</f>
        <v>0</v>
      </c>
      <c r="Z107" s="217">
        <f>IF(Year="",,IF(MOD(Year,Tariff_Period)=1,BilledDemand_Risk,(Y107/('[1]Analysis - No risk'!Y$17)*EXP(Demand_Growth)*Connections)))</f>
        <v>0</v>
      </c>
      <c r="AA107" s="217">
        <f>IF(Year="",,IF(MOD(Year,Tariff_Period)=1,BilledDemand_Risk,(Z107/('[1]Analysis - No risk'!Z$17)*EXP(Demand_Growth)*Connections)))</f>
        <v>0</v>
      </c>
      <c r="AB107" s="217">
        <f>IF(Year="",,IF(MOD(Year,Tariff_Period)=1,BilledDemand_Risk,(AA107/('[1]Analysis - No risk'!AA$17)*EXP(Demand_Growth)*Connections)))</f>
        <v>0</v>
      </c>
      <c r="AC107" s="217">
        <f>IF(Year="",,IF(MOD(Year,Tariff_Period)=1,BilledDemand_Risk,(AB107/('[1]Analysis - No risk'!AB$17)*EXP(Demand_Growth)*Connections)))</f>
        <v>0</v>
      </c>
      <c r="AD107" s="217">
        <f>IF(Year="",,IF(MOD(Year,Tariff_Period)=1,BilledDemand_Risk,(AC107/('[1]Analysis - No risk'!AC$17)*EXP(Demand_Growth)*Connections)))</f>
        <v>0</v>
      </c>
      <c r="AE107" s="217">
        <f>IF(Year="",,IF(MOD(Year,Tariff_Period)=1,BilledDemand_Risk,(AD107/('[1]Analysis - No risk'!AD$17)*EXP(Demand_Growth)*Connections)))</f>
        <v>0</v>
      </c>
      <c r="AF107" s="217">
        <f>IF(Year="",,IF(MOD(Year,Tariff_Period)=1,BilledDemand_Risk,(AE107/('[1]Analysis - No risk'!AE$17)*EXP(Demand_Growth)*Connections)))</f>
        <v>0</v>
      </c>
      <c r="AG107" s="217">
        <f>IF(Year="",,IF(MOD(Year,Tariff_Period)=1,BilledDemand_Risk,(AF107/('[1]Analysis - No risk'!AF$17)*EXP(Demand_Growth)*Connections)))</f>
        <v>0</v>
      </c>
      <c r="AH107" s="217">
        <f>IF(Year="",,IF(MOD(Year,Tariff_Period)=1,BilledDemand_Risk,(AG107/('[1]Analysis - No risk'!AG$17)*EXP(Demand_Growth)*Connections)))</f>
        <v>0</v>
      </c>
      <c r="AI107" s="217">
        <f>IF(Year="",,IF(MOD(Year,Tariff_Period)=1,BilledDemand_Risk,(AH107/('[1]Analysis - No risk'!AH$17)*EXP(Demand_Growth)*Connections)))</f>
        <v>0</v>
      </c>
      <c r="AJ107" s="217">
        <f>IF(Year="",,IF(MOD(Year,Tariff_Period)=1,BilledDemand_Risk,(AI107/('[1]Analysis - No risk'!AI$17)*EXP(Demand_Growth)*Connections)))</f>
        <v>0</v>
      </c>
      <c r="AK107" s="217">
        <f>IF(Year="",,IF(MOD(Year,Tariff_Period)=1,BilledDemand_Risk,(AJ107/('[1]Analysis - No risk'!AJ$17)*EXP(Demand_Growth)*Connections)))</f>
        <v>0</v>
      </c>
      <c r="AL107" s="217">
        <f>IF(Year="",,IF(MOD(Year,Tariff_Period)=1,BilledDemand_Risk,(AK107/('[1]Analysis - No risk'!AK$17)*EXP(Demand_Growth)*Connections)))</f>
        <v>0</v>
      </c>
      <c r="AM107" s="217">
        <f>IF(Year="",,IF(MOD(Year,Tariff_Period)=1,BilledDemand_Risk,(AL107/('[1]Analysis - No risk'!AL$17)*EXP(Demand_Growth)*Connections)))</f>
        <v>0</v>
      </c>
      <c r="AN107" s="217">
        <f>IF(Year="",,IF(MOD(Year,Tariff_Period)=1,BilledDemand_Risk,(AM107/('[1]Analysis - No risk'!AM$17)*EXP(Demand_Growth)*Connections)))</f>
        <v>0</v>
      </c>
      <c r="AO107" s="217">
        <f>IF(Year="",,IF(MOD(Year,Tariff_Period)=1,BilledDemand_Risk,(AN107/('[1]Analysis - No risk'!AN$17)*EXP(Demand_Growth)*Connections)))</f>
        <v>0</v>
      </c>
      <c r="AP107" s="217">
        <f>IF(Year="",,IF(MOD(Year,Tariff_Period)=1,BilledDemand_Risk,(AO107/('[1]Analysis - No risk'!AO$17)*EXP(Demand_Growth)*Connections)))</f>
        <v>0</v>
      </c>
      <c r="AQ107" s="217">
        <f>IF(Year="",,IF(MOD(Year,Tariff_Period)=1,BilledDemand_Risk,(AP107/('[1]Analysis - No risk'!AP$17)*EXP(Demand_Growth)*Connections)))</f>
        <v>0</v>
      </c>
      <c r="AR107" s="218">
        <f>IF(Year="",,IF(MOD(Year,Tariff_Period)=1,BilledDemand_Risk,(AQ107/('[1]Analysis - No risk'!AQ$17)*EXP(Demand_Growth)*Connections)))</f>
        <v>0</v>
      </c>
    </row>
    <row r="108" spans="2:44" s="67" customFormat="1" x14ac:dyDescent="0.15">
      <c r="C108" s="164" t="s">
        <v>51</v>
      </c>
      <c r="E108" s="132"/>
      <c r="F108" s="132"/>
      <c r="G108" s="132"/>
      <c r="H108" s="132"/>
      <c r="I108" s="132"/>
      <c r="J108" s="132"/>
      <c r="K108" s="132"/>
      <c r="L108" s="132"/>
      <c r="M108" s="132"/>
      <c r="N108" s="132"/>
      <c r="O108" s="132"/>
      <c r="P108" s="132"/>
      <c r="Q108" s="132"/>
      <c r="R108" s="132"/>
      <c r="S108" s="132"/>
    </row>
    <row r="109" spans="2:44" s="45" customFormat="1" x14ac:dyDescent="0.15">
      <c r="C109" s="165" t="s">
        <v>51</v>
      </c>
      <c r="D109" s="111"/>
      <c r="E109" s="112">
        <f t="shared" ref="E109:AR109" si="56">E107*DiscountFactor</f>
        <v>1.3162651429969998</v>
      </c>
      <c r="F109" s="47">
        <f t="shared" si="56"/>
        <v>1.2747593851393468</v>
      </c>
      <c r="G109" s="47">
        <f t="shared" si="56"/>
        <v>1.2674406949325776</v>
      </c>
      <c r="H109" s="47">
        <f t="shared" si="56"/>
        <v>1.3250420380889369</v>
      </c>
      <c r="I109" s="47">
        <f t="shared" si="56"/>
        <v>1.4684136898658642</v>
      </c>
      <c r="J109" s="47">
        <f t="shared" si="56"/>
        <v>1.600787185668777</v>
      </c>
      <c r="K109" s="47">
        <f t="shared" si="56"/>
        <v>1.7058427201041024</v>
      </c>
      <c r="L109" s="47">
        <f t="shared" si="56"/>
        <v>1.7177804659226945</v>
      </c>
      <c r="M109" s="47">
        <f t="shared" si="56"/>
        <v>1.6735430589444587</v>
      </c>
      <c r="N109" s="47">
        <f t="shared" si="56"/>
        <v>1.6156082173025574</v>
      </c>
      <c r="O109" s="47">
        <f t="shared" si="56"/>
        <v>1.5374317215369022</v>
      </c>
      <c r="P109" s="47">
        <f t="shared" si="56"/>
        <v>1.4624502916866893</v>
      </c>
      <c r="Q109" s="47">
        <f t="shared" si="56"/>
        <v>1.391125749322031</v>
      </c>
      <c r="R109" s="47">
        <f t="shared" si="56"/>
        <v>1.32327974593572</v>
      </c>
      <c r="S109" s="47">
        <f t="shared" si="56"/>
        <v>1.2587426311798859</v>
      </c>
      <c r="T109" s="47">
        <f t="shared" si="56"/>
        <v>1.1001165916716766</v>
      </c>
      <c r="U109" s="47">
        <f t="shared" si="56"/>
        <v>1.046463272379536</v>
      </c>
      <c r="V109" s="47">
        <f t="shared" si="56"/>
        <v>0.99542665634672001</v>
      </c>
      <c r="W109" s="47">
        <f t="shared" si="56"/>
        <v>0.94687912544936037</v>
      </c>
      <c r="X109" s="47">
        <f t="shared" si="56"/>
        <v>0.90069928557293433</v>
      </c>
      <c r="Y109" s="47">
        <f t="shared" si="56"/>
        <v>0</v>
      </c>
      <c r="Z109" s="47">
        <f t="shared" si="56"/>
        <v>0</v>
      </c>
      <c r="AA109" s="47">
        <f t="shared" si="56"/>
        <v>0</v>
      </c>
      <c r="AB109" s="47">
        <f t="shared" si="56"/>
        <v>0</v>
      </c>
      <c r="AC109" s="47">
        <f t="shared" si="56"/>
        <v>0</v>
      </c>
      <c r="AD109" s="47">
        <f t="shared" si="56"/>
        <v>0</v>
      </c>
      <c r="AE109" s="47">
        <f t="shared" si="56"/>
        <v>0</v>
      </c>
      <c r="AF109" s="47">
        <f t="shared" si="56"/>
        <v>0</v>
      </c>
      <c r="AG109" s="47">
        <f t="shared" si="56"/>
        <v>0</v>
      </c>
      <c r="AH109" s="47">
        <f t="shared" si="56"/>
        <v>0</v>
      </c>
      <c r="AI109" s="47">
        <f t="shared" si="56"/>
        <v>0</v>
      </c>
      <c r="AJ109" s="47">
        <f t="shared" si="56"/>
        <v>0</v>
      </c>
      <c r="AK109" s="47">
        <f t="shared" si="56"/>
        <v>0</v>
      </c>
      <c r="AL109" s="47">
        <f t="shared" si="56"/>
        <v>0</v>
      </c>
      <c r="AM109" s="47">
        <f t="shared" si="56"/>
        <v>0</v>
      </c>
      <c r="AN109" s="47">
        <f t="shared" si="56"/>
        <v>0</v>
      </c>
      <c r="AO109" s="47">
        <f t="shared" si="56"/>
        <v>0</v>
      </c>
      <c r="AP109" s="47">
        <f t="shared" si="56"/>
        <v>0</v>
      </c>
      <c r="AQ109" s="47">
        <f t="shared" si="56"/>
        <v>0</v>
      </c>
      <c r="AR109" s="48">
        <f t="shared" si="56"/>
        <v>0</v>
      </c>
    </row>
    <row r="110" spans="2:44" s="45" customFormat="1" x14ac:dyDescent="0.15">
      <c r="C110" s="165" t="s">
        <v>52</v>
      </c>
      <c r="D110" s="113"/>
      <c r="E110" s="114">
        <f t="shared" ref="E110:AR110" si="57">IF(Year="","",IF(OR(Tariff_Period=1,MOD(Year,Tariff_Period)=1),E109,D110+E109))</f>
        <v>1.3162651429969998</v>
      </c>
      <c r="F110" s="50">
        <f t="shared" si="57"/>
        <v>2.5910245281363466</v>
      </c>
      <c r="G110" s="50">
        <f t="shared" si="57"/>
        <v>3.858465223068924</v>
      </c>
      <c r="H110" s="50">
        <f t="shared" si="57"/>
        <v>5.1835072611578612</v>
      </c>
      <c r="I110" s="50">
        <f t="shared" si="57"/>
        <v>6.6519209510237252</v>
      </c>
      <c r="J110" s="50">
        <f t="shared" si="57"/>
        <v>1.600787185668777</v>
      </c>
      <c r="K110" s="50">
        <f t="shared" si="57"/>
        <v>3.3066299057728794</v>
      </c>
      <c r="L110" s="50">
        <f t="shared" si="57"/>
        <v>5.0244103716955735</v>
      </c>
      <c r="M110" s="50">
        <f t="shared" si="57"/>
        <v>6.6979534306400321</v>
      </c>
      <c r="N110" s="50">
        <f t="shared" si="57"/>
        <v>8.3135616479425902</v>
      </c>
      <c r="O110" s="50">
        <f t="shared" si="57"/>
        <v>1.5374317215369022</v>
      </c>
      <c r="P110" s="50">
        <f t="shared" si="57"/>
        <v>2.9998820132235915</v>
      </c>
      <c r="Q110" s="50">
        <f t="shared" si="57"/>
        <v>4.3910077625456223</v>
      </c>
      <c r="R110" s="50">
        <f t="shared" si="57"/>
        <v>5.714287508481342</v>
      </c>
      <c r="S110" s="50">
        <f t="shared" si="57"/>
        <v>6.973030139661228</v>
      </c>
      <c r="T110" s="50">
        <f t="shared" si="57"/>
        <v>1.1001165916716766</v>
      </c>
      <c r="U110" s="50">
        <f t="shared" si="57"/>
        <v>2.1465798640512128</v>
      </c>
      <c r="V110" s="50">
        <f t="shared" si="57"/>
        <v>3.142006520397933</v>
      </c>
      <c r="W110" s="50">
        <f t="shared" si="57"/>
        <v>4.0888856458472933</v>
      </c>
      <c r="X110" s="50">
        <f t="shared" si="57"/>
        <v>4.9895849314202279</v>
      </c>
      <c r="Y110" s="50" t="str">
        <f t="shared" si="57"/>
        <v/>
      </c>
      <c r="Z110" s="50" t="str">
        <f t="shared" si="57"/>
        <v/>
      </c>
      <c r="AA110" s="50" t="str">
        <f t="shared" si="57"/>
        <v/>
      </c>
      <c r="AB110" s="50" t="str">
        <f t="shared" si="57"/>
        <v/>
      </c>
      <c r="AC110" s="50" t="str">
        <f t="shared" si="57"/>
        <v/>
      </c>
      <c r="AD110" s="50" t="str">
        <f t="shared" si="57"/>
        <v/>
      </c>
      <c r="AE110" s="50" t="str">
        <f t="shared" si="57"/>
        <v/>
      </c>
      <c r="AF110" s="50" t="str">
        <f t="shared" si="57"/>
        <v/>
      </c>
      <c r="AG110" s="50" t="str">
        <f t="shared" si="57"/>
        <v/>
      </c>
      <c r="AH110" s="50" t="str">
        <f t="shared" si="57"/>
        <v/>
      </c>
      <c r="AI110" s="50" t="str">
        <f t="shared" si="57"/>
        <v/>
      </c>
      <c r="AJ110" s="50" t="str">
        <f t="shared" si="57"/>
        <v/>
      </c>
      <c r="AK110" s="50" t="str">
        <f t="shared" si="57"/>
        <v/>
      </c>
      <c r="AL110" s="50" t="str">
        <f t="shared" si="57"/>
        <v/>
      </c>
      <c r="AM110" s="50" t="str">
        <f t="shared" si="57"/>
        <v/>
      </c>
      <c r="AN110" s="50" t="str">
        <f t="shared" si="57"/>
        <v/>
      </c>
      <c r="AO110" s="50" t="str">
        <f t="shared" si="57"/>
        <v/>
      </c>
      <c r="AP110" s="50" t="str">
        <f t="shared" si="57"/>
        <v/>
      </c>
      <c r="AQ110" s="50" t="str">
        <f t="shared" si="57"/>
        <v/>
      </c>
      <c r="AR110" s="51" t="str">
        <f t="shared" si="57"/>
        <v/>
      </c>
    </row>
    <row r="111" spans="2:44" s="45" customFormat="1" x14ac:dyDescent="0.15">
      <c r="B111" s="35"/>
      <c r="C111" s="88" t="str">
        <f>CONCATENATE(Tariff_Period," year discounted demand")</f>
        <v>5 year discounted demand</v>
      </c>
      <c r="D111" s="115">
        <f>IF(Year&gt;Contract_Length,"",IF(Year&lt;INT(Contract_Length/Tariff_Period)*Tariff_Period,IF(MOD(Year,Tariff_Period)=0,INDEX(110:110,1,COLUMN()+Tariff_Period),),IF(Year=INT(Contract_Length/Tariff_Period)*Tariff_Period,INDEX(110:110,1,Contract_Length+4),)))</f>
        <v>6.6519209510237252</v>
      </c>
      <c r="E111" s="50">
        <f t="shared" ref="E111:AR111" si="58">IF(Year&gt;Contract_Length,"",IF(Year&lt;INT(Contract_Length/Tariff_Period)*Tariff_Period,IF(MOD(Year,Tariff_Period)=0,INDEX(110:110,1,COLUMN()+Tariff_Period),),IF(Year=INT(Contract_Length/Tariff_Period)*Tariff_Period,INDEX(110:110,1,Contract_Length+4),)))</f>
        <v>0</v>
      </c>
      <c r="F111" s="50">
        <f t="shared" si="58"/>
        <v>0</v>
      </c>
      <c r="G111" s="50">
        <f t="shared" si="58"/>
        <v>0</v>
      </c>
      <c r="H111" s="50">
        <f t="shared" si="58"/>
        <v>0</v>
      </c>
      <c r="I111" s="50">
        <f t="shared" si="58"/>
        <v>8.3135616479425902</v>
      </c>
      <c r="J111" s="50">
        <f t="shared" si="58"/>
        <v>0</v>
      </c>
      <c r="K111" s="50">
        <f t="shared" si="58"/>
        <v>0</v>
      </c>
      <c r="L111" s="50">
        <f t="shared" si="58"/>
        <v>0</v>
      </c>
      <c r="M111" s="50">
        <f t="shared" si="58"/>
        <v>0</v>
      </c>
      <c r="N111" s="50">
        <f t="shared" si="58"/>
        <v>6.973030139661228</v>
      </c>
      <c r="O111" s="50">
        <f t="shared" si="58"/>
        <v>0</v>
      </c>
      <c r="P111" s="50">
        <f t="shared" si="58"/>
        <v>0</v>
      </c>
      <c r="Q111" s="50">
        <f t="shared" si="58"/>
        <v>0</v>
      </c>
      <c r="R111" s="50">
        <f t="shared" si="58"/>
        <v>0</v>
      </c>
      <c r="S111" s="50">
        <f t="shared" si="58"/>
        <v>4.9895849314202279</v>
      </c>
      <c r="T111" s="50">
        <f t="shared" si="58"/>
        <v>0</v>
      </c>
      <c r="U111" s="50">
        <f t="shared" si="58"/>
        <v>0</v>
      </c>
      <c r="V111" s="50">
        <f t="shared" si="58"/>
        <v>0</v>
      </c>
      <c r="W111" s="50">
        <f t="shared" si="58"/>
        <v>0</v>
      </c>
      <c r="X111" s="50">
        <f t="shared" si="58"/>
        <v>4.9895849314202279</v>
      </c>
      <c r="Y111" s="222" t="str">
        <f t="shared" si="58"/>
        <v/>
      </c>
      <c r="Z111" s="222" t="str">
        <f t="shared" si="58"/>
        <v/>
      </c>
      <c r="AA111" s="222" t="str">
        <f t="shared" si="58"/>
        <v/>
      </c>
      <c r="AB111" s="222" t="str">
        <f t="shared" si="58"/>
        <v/>
      </c>
      <c r="AC111" s="222" t="str">
        <f t="shared" si="58"/>
        <v/>
      </c>
      <c r="AD111" s="222" t="str">
        <f t="shared" si="58"/>
        <v/>
      </c>
      <c r="AE111" s="222" t="str">
        <f t="shared" si="58"/>
        <v/>
      </c>
      <c r="AF111" s="222" t="str">
        <f t="shared" si="58"/>
        <v/>
      </c>
      <c r="AG111" s="222" t="str">
        <f t="shared" si="58"/>
        <v/>
      </c>
      <c r="AH111" s="222" t="str">
        <f t="shared" si="58"/>
        <v/>
      </c>
      <c r="AI111" s="222" t="str">
        <f t="shared" si="58"/>
        <v/>
      </c>
      <c r="AJ111" s="222" t="str">
        <f t="shared" si="58"/>
        <v/>
      </c>
      <c r="AK111" s="222" t="str">
        <f t="shared" si="58"/>
        <v/>
      </c>
      <c r="AL111" s="222" t="str">
        <f t="shared" si="58"/>
        <v/>
      </c>
      <c r="AM111" s="222" t="str">
        <f t="shared" si="58"/>
        <v/>
      </c>
      <c r="AN111" s="222" t="str">
        <f t="shared" si="58"/>
        <v/>
      </c>
      <c r="AO111" s="222" t="str">
        <f t="shared" si="58"/>
        <v/>
      </c>
      <c r="AP111" s="222" t="str">
        <f t="shared" si="58"/>
        <v/>
      </c>
      <c r="AQ111" s="222" t="str">
        <f t="shared" si="58"/>
        <v/>
      </c>
      <c r="AR111" s="223" t="str">
        <f t="shared" si="58"/>
        <v/>
      </c>
    </row>
    <row r="112" spans="2:44" s="67" customFormat="1" x14ac:dyDescent="0.15">
      <c r="C112" s="153"/>
      <c r="O112" s="132"/>
      <c r="P112" s="132"/>
      <c r="Q112" s="132"/>
      <c r="R112" s="132"/>
      <c r="S112" s="132"/>
    </row>
    <row r="113" spans="2:44" s="43" customFormat="1" x14ac:dyDescent="0.15">
      <c r="B113" s="74" t="s">
        <v>53</v>
      </c>
    </row>
    <row r="114" spans="2:44" s="45" customFormat="1" x14ac:dyDescent="0.15">
      <c r="C114" s="35" t="s">
        <v>38</v>
      </c>
      <c r="E114" s="46">
        <f t="shared" ref="E114:AR114" si="59">IF(Year="",,DisRate_Cur*SUM(E101:E102)*ServExt_CAPct)</f>
        <v>2.0327197782974711E-2</v>
      </c>
      <c r="F114" s="47">
        <f t="shared" si="59"/>
        <v>5.5563674680056435E-2</v>
      </c>
      <c r="G114" s="47">
        <f t="shared" si="59"/>
        <v>0.15159512271247477</v>
      </c>
      <c r="H114" s="47">
        <f t="shared" si="59"/>
        <v>0.3874143333848909</v>
      </c>
      <c r="I114" s="47">
        <f t="shared" si="59"/>
        <v>0.84889723383945759</v>
      </c>
      <c r="J114" s="47">
        <f t="shared" si="59"/>
        <v>1.4580210685459265</v>
      </c>
      <c r="K114" s="47">
        <f t="shared" si="59"/>
        <v>1.9462308330821732</v>
      </c>
      <c r="L114" s="47">
        <f t="shared" si="59"/>
        <v>2.1804448135366248</v>
      </c>
      <c r="M114" s="47">
        <f t="shared" si="59"/>
        <v>2.2282188378830918</v>
      </c>
      <c r="N114" s="47">
        <f t="shared" si="59"/>
        <v>2.2237190538492002</v>
      </c>
      <c r="O114" s="47">
        <f t="shared" si="59"/>
        <v>2.1125331011567403</v>
      </c>
      <c r="P114" s="47">
        <f t="shared" si="59"/>
        <v>2.006906446098903</v>
      </c>
      <c r="Q114" s="47">
        <f t="shared" si="59"/>
        <v>1.9065611237939579</v>
      </c>
      <c r="R114" s="47">
        <f t="shared" si="59"/>
        <v>1.8112330676042601</v>
      </c>
      <c r="S114" s="47">
        <f t="shared" si="59"/>
        <v>1.7206714142240473</v>
      </c>
      <c r="T114" s="47">
        <f t="shared" si="59"/>
        <v>1.6346378435128448</v>
      </c>
      <c r="U114" s="47">
        <f t="shared" si="59"/>
        <v>1.5529059513372026</v>
      </c>
      <c r="V114" s="47">
        <f t="shared" si="59"/>
        <v>1.4752606537703423</v>
      </c>
      <c r="W114" s="47">
        <f t="shared" si="59"/>
        <v>1.4014976210818251</v>
      </c>
      <c r="X114" s="47">
        <f t="shared" si="59"/>
        <v>1.3314227400277341</v>
      </c>
      <c r="Y114" s="47">
        <f t="shared" si="59"/>
        <v>0</v>
      </c>
      <c r="Z114" s="47">
        <f t="shared" si="59"/>
        <v>0</v>
      </c>
      <c r="AA114" s="47">
        <f t="shared" si="59"/>
        <v>0</v>
      </c>
      <c r="AB114" s="47">
        <f t="shared" si="59"/>
        <v>0</v>
      </c>
      <c r="AC114" s="47">
        <f t="shared" si="59"/>
        <v>0</v>
      </c>
      <c r="AD114" s="47">
        <f t="shared" si="59"/>
        <v>0</v>
      </c>
      <c r="AE114" s="47">
        <f t="shared" si="59"/>
        <v>0</v>
      </c>
      <c r="AF114" s="47">
        <f t="shared" si="59"/>
        <v>0</v>
      </c>
      <c r="AG114" s="47">
        <f t="shared" si="59"/>
        <v>0</v>
      </c>
      <c r="AH114" s="47">
        <f t="shared" si="59"/>
        <v>0</v>
      </c>
      <c r="AI114" s="47">
        <f t="shared" si="59"/>
        <v>0</v>
      </c>
      <c r="AJ114" s="47">
        <f t="shared" si="59"/>
        <v>0</v>
      </c>
      <c r="AK114" s="47">
        <f t="shared" si="59"/>
        <v>0</v>
      </c>
      <c r="AL114" s="47">
        <f t="shared" si="59"/>
        <v>0</v>
      </c>
      <c r="AM114" s="47">
        <f t="shared" si="59"/>
        <v>0</v>
      </c>
      <c r="AN114" s="47">
        <f t="shared" si="59"/>
        <v>0</v>
      </c>
      <c r="AO114" s="47">
        <f t="shared" si="59"/>
        <v>0</v>
      </c>
      <c r="AP114" s="47">
        <f t="shared" si="59"/>
        <v>0</v>
      </c>
      <c r="AQ114" s="47">
        <f t="shared" si="59"/>
        <v>0</v>
      </c>
      <c r="AR114" s="48">
        <f t="shared" si="59"/>
        <v>0</v>
      </c>
    </row>
    <row r="115" spans="2:44" s="45" customFormat="1" x14ac:dyDescent="0.15">
      <c r="C115" s="35" t="s">
        <v>37</v>
      </c>
      <c r="E115" s="117">
        <f t="shared" ref="E115:AR115" si="60">IF(Year="",,DisRate_Cur*SUM(E101:E102)*ServExt_LoanPct)</f>
        <v>2.0327197782974711E-2</v>
      </c>
      <c r="F115" s="118">
        <f t="shared" si="60"/>
        <v>5.5563674680056435E-2</v>
      </c>
      <c r="G115" s="118">
        <f t="shared" si="60"/>
        <v>0.15159512271247477</v>
      </c>
      <c r="H115" s="118">
        <f t="shared" si="60"/>
        <v>0.3874143333848909</v>
      </c>
      <c r="I115" s="118">
        <f t="shared" si="60"/>
        <v>0.84889723383945759</v>
      </c>
      <c r="J115" s="118">
        <f t="shared" si="60"/>
        <v>1.4580210685459265</v>
      </c>
      <c r="K115" s="118">
        <f t="shared" si="60"/>
        <v>1.9462308330821732</v>
      </c>
      <c r="L115" s="118">
        <f t="shared" si="60"/>
        <v>2.1804448135366248</v>
      </c>
      <c r="M115" s="118">
        <f t="shared" si="60"/>
        <v>2.2282188378830918</v>
      </c>
      <c r="N115" s="118">
        <f t="shared" si="60"/>
        <v>2.2237190538492002</v>
      </c>
      <c r="O115" s="118">
        <f t="shared" si="60"/>
        <v>2.1125331011567403</v>
      </c>
      <c r="P115" s="118">
        <f t="shared" si="60"/>
        <v>2.006906446098903</v>
      </c>
      <c r="Q115" s="118">
        <f t="shared" si="60"/>
        <v>1.9065611237939579</v>
      </c>
      <c r="R115" s="118">
        <f t="shared" si="60"/>
        <v>1.8112330676042601</v>
      </c>
      <c r="S115" s="118">
        <f t="shared" si="60"/>
        <v>1.7206714142240473</v>
      </c>
      <c r="T115" s="118">
        <f t="shared" si="60"/>
        <v>1.6346378435128448</v>
      </c>
      <c r="U115" s="118">
        <f t="shared" si="60"/>
        <v>1.5529059513372026</v>
      </c>
      <c r="V115" s="118">
        <f t="shared" si="60"/>
        <v>1.4752606537703423</v>
      </c>
      <c r="W115" s="118">
        <f t="shared" si="60"/>
        <v>1.4014976210818251</v>
      </c>
      <c r="X115" s="118">
        <f t="shared" si="60"/>
        <v>1.3314227400277341</v>
      </c>
      <c r="Y115" s="118">
        <f t="shared" si="60"/>
        <v>0</v>
      </c>
      <c r="Z115" s="118">
        <f t="shared" si="60"/>
        <v>0</v>
      </c>
      <c r="AA115" s="118">
        <f t="shared" si="60"/>
        <v>0</v>
      </c>
      <c r="AB115" s="118">
        <f t="shared" si="60"/>
        <v>0</v>
      </c>
      <c r="AC115" s="118">
        <f t="shared" si="60"/>
        <v>0</v>
      </c>
      <c r="AD115" s="118">
        <f t="shared" si="60"/>
        <v>0</v>
      </c>
      <c r="AE115" s="118">
        <f t="shared" si="60"/>
        <v>0</v>
      </c>
      <c r="AF115" s="118">
        <f t="shared" si="60"/>
        <v>0</v>
      </c>
      <c r="AG115" s="118">
        <f t="shared" si="60"/>
        <v>0</v>
      </c>
      <c r="AH115" s="118">
        <f t="shared" si="60"/>
        <v>0</v>
      </c>
      <c r="AI115" s="118">
        <f t="shared" si="60"/>
        <v>0</v>
      </c>
      <c r="AJ115" s="118">
        <f t="shared" si="60"/>
        <v>0</v>
      </c>
      <c r="AK115" s="118">
        <f t="shared" si="60"/>
        <v>0</v>
      </c>
      <c r="AL115" s="118">
        <f t="shared" si="60"/>
        <v>0</v>
      </c>
      <c r="AM115" s="118">
        <f t="shared" si="60"/>
        <v>0</v>
      </c>
      <c r="AN115" s="118">
        <f t="shared" si="60"/>
        <v>0</v>
      </c>
      <c r="AO115" s="118">
        <f t="shared" si="60"/>
        <v>0</v>
      </c>
      <c r="AP115" s="118">
        <f t="shared" si="60"/>
        <v>0</v>
      </c>
      <c r="AQ115" s="118">
        <f t="shared" si="60"/>
        <v>0</v>
      </c>
      <c r="AR115" s="119">
        <f t="shared" si="60"/>
        <v>0</v>
      </c>
    </row>
    <row r="116" spans="2:44" s="43" customFormat="1" x14ac:dyDescent="0.15">
      <c r="B116" s="74" t="s">
        <v>54</v>
      </c>
      <c r="E116" s="45"/>
      <c r="F116" s="45"/>
      <c r="G116" s="45"/>
      <c r="H116" s="45"/>
      <c r="I116" s="45"/>
      <c r="J116" s="45"/>
      <c r="K116" s="45"/>
      <c r="L116" s="45"/>
      <c r="M116" s="45"/>
      <c r="N116" s="45"/>
    </row>
    <row r="117" spans="2:44" s="45" customFormat="1" x14ac:dyDescent="0.15">
      <c r="C117" s="35" t="s">
        <v>38</v>
      </c>
      <c r="E117" s="46">
        <f t="shared" ref="E117:AR117" si="61">IF(Year="",,E103*ServExt_CAPct*DeflateFactor_TariffSetting)</f>
        <v>1.3700000000000002E-2</v>
      </c>
      <c r="F117" s="47">
        <f t="shared" si="61"/>
        <v>3.5098167839284176E-2</v>
      </c>
      <c r="G117" s="47">
        <f t="shared" si="61"/>
        <v>8.9291256167441047E-2</v>
      </c>
      <c r="H117" s="47">
        <f t="shared" si="61"/>
        <v>0.21201235931114448</v>
      </c>
      <c r="I117" s="47">
        <f t="shared" si="61"/>
        <v>0.4305801765033474</v>
      </c>
      <c r="J117" s="47">
        <f t="shared" si="61"/>
        <v>0.68507457863257015</v>
      </c>
      <c r="K117" s="47">
        <f t="shared" si="61"/>
        <v>0.8459749571600379</v>
      </c>
      <c r="L117" s="47">
        <f t="shared" si="61"/>
        <v>0.87605698443926505</v>
      </c>
      <c r="M117" s="47">
        <f t="shared" si="61"/>
        <v>0.82707541755236691</v>
      </c>
      <c r="N117" s="47">
        <f t="shared" si="61"/>
        <v>0.76230867717376982</v>
      </c>
      <c r="O117" s="47">
        <f t="shared" si="61"/>
        <v>0.66932765116229376</v>
      </c>
      <c r="P117" s="47">
        <f t="shared" si="61"/>
        <v>0.58740562703095145</v>
      </c>
      <c r="Q117" s="47">
        <f t="shared" si="61"/>
        <v>0.51535994771303095</v>
      </c>
      <c r="R117" s="47">
        <f t="shared" si="61"/>
        <v>0.4520709085337834</v>
      </c>
      <c r="S117" s="47">
        <f t="shared" si="61"/>
        <v>0.39651191390890383</v>
      </c>
      <c r="T117" s="47">
        <f t="shared" si="61"/>
        <v>0.34733032419338511</v>
      </c>
      <c r="U117" s="47">
        <f t="shared" si="61"/>
        <v>0.30438891585154121</v>
      </c>
      <c r="V117" s="47">
        <f t="shared" si="61"/>
        <v>0.26682918268724337</v>
      </c>
      <c r="W117" s="47">
        <f t="shared" si="61"/>
        <v>0.2339420673590859</v>
      </c>
      <c r="X117" s="47">
        <f t="shared" si="61"/>
        <v>0.20512823455014481</v>
      </c>
      <c r="Y117" s="47">
        <f t="shared" si="61"/>
        <v>0</v>
      </c>
      <c r="Z117" s="47">
        <f t="shared" si="61"/>
        <v>0</v>
      </c>
      <c r="AA117" s="47">
        <f t="shared" si="61"/>
        <v>0</v>
      </c>
      <c r="AB117" s="47">
        <f t="shared" si="61"/>
        <v>0</v>
      </c>
      <c r="AC117" s="47">
        <f t="shared" si="61"/>
        <v>0</v>
      </c>
      <c r="AD117" s="47">
        <f t="shared" si="61"/>
        <v>0</v>
      </c>
      <c r="AE117" s="47">
        <f t="shared" si="61"/>
        <v>0</v>
      </c>
      <c r="AF117" s="47">
        <f t="shared" si="61"/>
        <v>0</v>
      </c>
      <c r="AG117" s="47">
        <f t="shared" si="61"/>
        <v>0</v>
      </c>
      <c r="AH117" s="47">
        <f t="shared" si="61"/>
        <v>0</v>
      </c>
      <c r="AI117" s="47">
        <f t="shared" si="61"/>
        <v>0</v>
      </c>
      <c r="AJ117" s="47">
        <f t="shared" si="61"/>
        <v>0</v>
      </c>
      <c r="AK117" s="47">
        <f t="shared" si="61"/>
        <v>0</v>
      </c>
      <c r="AL117" s="47">
        <f t="shared" si="61"/>
        <v>0</v>
      </c>
      <c r="AM117" s="47">
        <f t="shared" si="61"/>
        <v>0</v>
      </c>
      <c r="AN117" s="47">
        <f t="shared" si="61"/>
        <v>0</v>
      </c>
      <c r="AO117" s="47">
        <f t="shared" si="61"/>
        <v>0</v>
      </c>
      <c r="AP117" s="47">
        <f t="shared" si="61"/>
        <v>0</v>
      </c>
      <c r="AQ117" s="47">
        <f t="shared" si="61"/>
        <v>0</v>
      </c>
      <c r="AR117" s="48">
        <f t="shared" si="61"/>
        <v>0</v>
      </c>
    </row>
    <row r="118" spans="2:44" s="45" customFormat="1" x14ac:dyDescent="0.15">
      <c r="C118" s="35" t="s">
        <v>37</v>
      </c>
      <c r="E118" s="49">
        <f>IF(Year="",,E103*ServExt_LoanPct*DeflateFactor_TariffSetting)</f>
        <v>1.3700000000000002E-2</v>
      </c>
      <c r="F118" s="50">
        <f t="shared" ref="F118:AR118" si="62">IF(Year="",,F103*ServExt_LoanPct*DeflateFactor_TariffSetting)</f>
        <v>3.5098167839284176E-2</v>
      </c>
      <c r="G118" s="50">
        <f t="shared" si="62"/>
        <v>8.9291256167441047E-2</v>
      </c>
      <c r="H118" s="50">
        <f t="shared" si="62"/>
        <v>0.21201235931114448</v>
      </c>
      <c r="I118" s="50">
        <f t="shared" si="62"/>
        <v>0.4305801765033474</v>
      </c>
      <c r="J118" s="50">
        <f t="shared" si="62"/>
        <v>0.68507457863257015</v>
      </c>
      <c r="K118" s="50">
        <f t="shared" si="62"/>
        <v>0.8459749571600379</v>
      </c>
      <c r="L118" s="50">
        <f t="shared" si="62"/>
        <v>0.87605698443926505</v>
      </c>
      <c r="M118" s="50">
        <f t="shared" si="62"/>
        <v>0.82707541755236691</v>
      </c>
      <c r="N118" s="50">
        <f t="shared" si="62"/>
        <v>0.76230867717376982</v>
      </c>
      <c r="O118" s="50">
        <f t="shared" si="62"/>
        <v>0.66932765116229376</v>
      </c>
      <c r="P118" s="50">
        <f t="shared" si="62"/>
        <v>0.58740562703095145</v>
      </c>
      <c r="Q118" s="50">
        <f t="shared" si="62"/>
        <v>0.51535994771303095</v>
      </c>
      <c r="R118" s="50">
        <f t="shared" si="62"/>
        <v>0.4520709085337834</v>
      </c>
      <c r="S118" s="50">
        <f t="shared" si="62"/>
        <v>0.39651191390890383</v>
      </c>
      <c r="T118" s="50">
        <f t="shared" si="62"/>
        <v>0.34733032419338511</v>
      </c>
      <c r="U118" s="50">
        <f t="shared" si="62"/>
        <v>0.30438891585154121</v>
      </c>
      <c r="V118" s="50">
        <f t="shared" si="62"/>
        <v>0.26682918268724337</v>
      </c>
      <c r="W118" s="50">
        <f t="shared" si="62"/>
        <v>0.2339420673590859</v>
      </c>
      <c r="X118" s="50">
        <f t="shared" si="62"/>
        <v>0.20512823455014481</v>
      </c>
      <c r="Y118" s="50">
        <f t="shared" si="62"/>
        <v>0</v>
      </c>
      <c r="Z118" s="50">
        <f t="shared" si="62"/>
        <v>0</v>
      </c>
      <c r="AA118" s="50">
        <f t="shared" si="62"/>
        <v>0</v>
      </c>
      <c r="AB118" s="50">
        <f t="shared" si="62"/>
        <v>0</v>
      </c>
      <c r="AC118" s="50">
        <f t="shared" si="62"/>
        <v>0</v>
      </c>
      <c r="AD118" s="50">
        <f t="shared" si="62"/>
        <v>0</v>
      </c>
      <c r="AE118" s="50">
        <f t="shared" si="62"/>
        <v>0</v>
      </c>
      <c r="AF118" s="50">
        <f t="shared" si="62"/>
        <v>0</v>
      </c>
      <c r="AG118" s="50">
        <f t="shared" si="62"/>
        <v>0</v>
      </c>
      <c r="AH118" s="50">
        <f t="shared" si="62"/>
        <v>0</v>
      </c>
      <c r="AI118" s="50">
        <f t="shared" si="62"/>
        <v>0</v>
      </c>
      <c r="AJ118" s="50">
        <f t="shared" si="62"/>
        <v>0</v>
      </c>
      <c r="AK118" s="50">
        <f t="shared" si="62"/>
        <v>0</v>
      </c>
      <c r="AL118" s="50">
        <f t="shared" si="62"/>
        <v>0</v>
      </c>
      <c r="AM118" s="50">
        <f t="shared" si="62"/>
        <v>0</v>
      </c>
      <c r="AN118" s="50">
        <f t="shared" si="62"/>
        <v>0</v>
      </c>
      <c r="AO118" s="50">
        <f t="shared" si="62"/>
        <v>0</v>
      </c>
      <c r="AP118" s="50">
        <f t="shared" si="62"/>
        <v>0</v>
      </c>
      <c r="AQ118" s="50">
        <f t="shared" si="62"/>
        <v>0</v>
      </c>
      <c r="AR118" s="51">
        <f t="shared" si="62"/>
        <v>0</v>
      </c>
    </row>
    <row r="119" spans="2:44" s="45" customFormat="1" x14ac:dyDescent="0.15">
      <c r="B119" s="74" t="s">
        <v>55</v>
      </c>
      <c r="E119" s="117">
        <f t="shared" ref="E119:AR119" si="63">IF(Year="",,E98*DeflateFactor_TariffSetting)</f>
        <v>10.361476311008202</v>
      </c>
      <c r="F119" s="118">
        <f t="shared" si="63"/>
        <v>10.96227854537095</v>
      </c>
      <c r="G119" s="118">
        <f t="shared" si="63"/>
        <v>11.416298680292767</v>
      </c>
      <c r="H119" s="118">
        <f t="shared" si="63"/>
        <v>11.735636058973467</v>
      </c>
      <c r="I119" s="118">
        <f t="shared" si="63"/>
        <v>11.948446255729888</v>
      </c>
      <c r="J119" s="118">
        <f t="shared" si="63"/>
        <v>11.996743159488148</v>
      </c>
      <c r="K119" s="118">
        <f t="shared" si="63"/>
        <v>12.115414009114476</v>
      </c>
      <c r="L119" s="118">
        <f t="shared" si="63"/>
        <v>12.189246483955388</v>
      </c>
      <c r="M119" s="118">
        <f t="shared" si="63"/>
        <v>12.234542819780314</v>
      </c>
      <c r="N119" s="118">
        <f t="shared" si="63"/>
        <v>12.262091004799542</v>
      </c>
      <c r="O119" s="118">
        <f t="shared" si="63"/>
        <v>12.197293405631916</v>
      </c>
      <c r="P119" s="118">
        <f t="shared" si="63"/>
        <v>12.239450139118542</v>
      </c>
      <c r="Q119" s="118">
        <f t="shared" si="63"/>
        <v>12.265064548679289</v>
      </c>
      <c r="R119" s="118">
        <f t="shared" si="63"/>
        <v>12.280550605474875</v>
      </c>
      <c r="S119" s="118">
        <f t="shared" si="63"/>
        <v>12.289884966293434</v>
      </c>
      <c r="T119" s="118">
        <f t="shared" si="63"/>
        <v>12.40355913411917</v>
      </c>
      <c r="U119" s="118">
        <f t="shared" si="63"/>
        <v>12.36327649811974</v>
      </c>
      <c r="V119" s="118">
        <f t="shared" si="63"/>
        <v>12.339389251156808</v>
      </c>
      <c r="W119" s="118">
        <f t="shared" si="63"/>
        <v>12.325156865133909</v>
      </c>
      <c r="X119" s="118">
        <f t="shared" si="63"/>
        <v>12.316653064672517</v>
      </c>
      <c r="Y119" s="118">
        <f t="shared" si="63"/>
        <v>0</v>
      </c>
      <c r="Z119" s="118">
        <f t="shared" si="63"/>
        <v>0</v>
      </c>
      <c r="AA119" s="118">
        <f t="shared" si="63"/>
        <v>0</v>
      </c>
      <c r="AB119" s="118">
        <f t="shared" si="63"/>
        <v>0</v>
      </c>
      <c r="AC119" s="118">
        <f t="shared" si="63"/>
        <v>0</v>
      </c>
      <c r="AD119" s="118">
        <f t="shared" si="63"/>
        <v>0</v>
      </c>
      <c r="AE119" s="118">
        <f t="shared" si="63"/>
        <v>0</v>
      </c>
      <c r="AF119" s="118">
        <f t="shared" si="63"/>
        <v>0</v>
      </c>
      <c r="AG119" s="118">
        <f t="shared" si="63"/>
        <v>0</v>
      </c>
      <c r="AH119" s="118">
        <f t="shared" si="63"/>
        <v>0</v>
      </c>
      <c r="AI119" s="118">
        <f t="shared" si="63"/>
        <v>0</v>
      </c>
      <c r="AJ119" s="118">
        <f t="shared" si="63"/>
        <v>0</v>
      </c>
      <c r="AK119" s="118">
        <f t="shared" si="63"/>
        <v>0</v>
      </c>
      <c r="AL119" s="118">
        <f t="shared" si="63"/>
        <v>0</v>
      </c>
      <c r="AM119" s="118">
        <f t="shared" si="63"/>
        <v>0</v>
      </c>
      <c r="AN119" s="118">
        <f t="shared" si="63"/>
        <v>0</v>
      </c>
      <c r="AO119" s="118">
        <f t="shared" si="63"/>
        <v>0</v>
      </c>
      <c r="AP119" s="118">
        <f t="shared" si="63"/>
        <v>0</v>
      </c>
      <c r="AQ119" s="118">
        <f t="shared" si="63"/>
        <v>0</v>
      </c>
      <c r="AR119" s="119">
        <f t="shared" si="63"/>
        <v>0</v>
      </c>
    </row>
    <row r="120" spans="2:44" s="45" customFormat="1" x14ac:dyDescent="0.15">
      <c r="B120" s="207" t="s">
        <v>56</v>
      </c>
      <c r="C120" s="209"/>
    </row>
    <row r="121" spans="2:44" s="45" customFormat="1" x14ac:dyDescent="0.15">
      <c r="B121" s="209"/>
      <c r="C121" s="206" t="str">
        <f>INDEX(lbl_ResetTypes,4,1)</f>
        <v>No reset</v>
      </c>
      <c r="E121" s="224">
        <f>RealExRate_Det</f>
        <v>105.12710963760242</v>
      </c>
      <c r="F121" s="225">
        <f t="shared" ref="F121:AR121" si="64">IF(Year="",,E121*EXP(ExRate_Growth))</f>
        <v>110.51709180756478</v>
      </c>
      <c r="G121" s="47">
        <f t="shared" si="64"/>
        <v>116.18342427282835</v>
      </c>
      <c r="H121" s="47">
        <f t="shared" si="64"/>
        <v>122.14027581601702</v>
      </c>
      <c r="I121" s="47">
        <f t="shared" si="64"/>
        <v>128.40254166877421</v>
      </c>
      <c r="J121" s="47">
        <f t="shared" si="64"/>
        <v>134.98588075760037</v>
      </c>
      <c r="K121" s="47">
        <f t="shared" si="64"/>
        <v>141.90675485932579</v>
      </c>
      <c r="L121" s="47">
        <f t="shared" si="64"/>
        <v>149.18246976412712</v>
      </c>
      <c r="M121" s="47">
        <f t="shared" si="64"/>
        <v>156.831218549017</v>
      </c>
      <c r="N121" s="47">
        <f t="shared" si="64"/>
        <v>164.87212707001294</v>
      </c>
      <c r="O121" s="47">
        <f t="shared" si="64"/>
        <v>173.32530178673966</v>
      </c>
      <c r="P121" s="47">
        <f t="shared" si="64"/>
        <v>182.21188003905104</v>
      </c>
      <c r="Q121" s="47">
        <f t="shared" si="64"/>
        <v>191.55408290138976</v>
      </c>
      <c r="R121" s="47">
        <f t="shared" si="64"/>
        <v>201.37527074704784</v>
      </c>
      <c r="S121" s="47">
        <f t="shared" si="64"/>
        <v>211.70000166126766</v>
      </c>
      <c r="T121" s="47">
        <f t="shared" si="64"/>
        <v>222.55409284924698</v>
      </c>
      <c r="U121" s="47">
        <f t="shared" si="64"/>
        <v>233.96468519259935</v>
      </c>
      <c r="V121" s="47">
        <f t="shared" si="64"/>
        <v>245.96031111569525</v>
      </c>
      <c r="W121" s="47">
        <f t="shared" si="64"/>
        <v>258.57096593158491</v>
      </c>
      <c r="X121" s="47">
        <f t="shared" si="64"/>
        <v>271.82818284590485</v>
      </c>
      <c r="Y121" s="47">
        <f t="shared" si="64"/>
        <v>0</v>
      </c>
      <c r="Z121" s="47">
        <f t="shared" si="64"/>
        <v>0</v>
      </c>
      <c r="AA121" s="47">
        <f t="shared" si="64"/>
        <v>0</v>
      </c>
      <c r="AB121" s="47">
        <f t="shared" si="64"/>
        <v>0</v>
      </c>
      <c r="AC121" s="47">
        <f t="shared" si="64"/>
        <v>0</v>
      </c>
      <c r="AD121" s="47">
        <f t="shared" si="64"/>
        <v>0</v>
      </c>
      <c r="AE121" s="47">
        <f t="shared" si="64"/>
        <v>0</v>
      </c>
      <c r="AF121" s="47">
        <f t="shared" si="64"/>
        <v>0</v>
      </c>
      <c r="AG121" s="47">
        <f t="shared" si="64"/>
        <v>0</v>
      </c>
      <c r="AH121" s="47">
        <f t="shared" si="64"/>
        <v>0</v>
      </c>
      <c r="AI121" s="47">
        <f t="shared" si="64"/>
        <v>0</v>
      </c>
      <c r="AJ121" s="47">
        <f t="shared" si="64"/>
        <v>0</v>
      </c>
      <c r="AK121" s="47">
        <f t="shared" si="64"/>
        <v>0</v>
      </c>
      <c r="AL121" s="47">
        <f t="shared" si="64"/>
        <v>0</v>
      </c>
      <c r="AM121" s="47">
        <f t="shared" si="64"/>
        <v>0</v>
      </c>
      <c r="AN121" s="47">
        <f t="shared" si="64"/>
        <v>0</v>
      </c>
      <c r="AO121" s="47">
        <f t="shared" si="64"/>
        <v>0</v>
      </c>
      <c r="AP121" s="47">
        <f t="shared" si="64"/>
        <v>0</v>
      </c>
      <c r="AQ121" s="47">
        <f t="shared" si="64"/>
        <v>0</v>
      </c>
      <c r="AR121" s="48">
        <f t="shared" si="64"/>
        <v>0</v>
      </c>
    </row>
    <row r="122" spans="2:44" s="45" customFormat="1" x14ac:dyDescent="0.15">
      <c r="B122" s="209"/>
      <c r="C122" s="206" t="str">
        <f>INDEX(lbl_ResetTypes,1,1)</f>
        <v>Full reset</v>
      </c>
      <c r="E122" s="226">
        <f>RealExRate_Det</f>
        <v>105.12710963760242</v>
      </c>
      <c r="F122" s="227">
        <f t="shared" ref="F122:AR122" si="65">IF(Year="",,IF(MOD(Year,Tariff_Period)=1,RealExRate_Risk,E122*EXP(ExRate_Growth)))</f>
        <v>110.51709180756478</v>
      </c>
      <c r="G122" s="118">
        <f t="shared" si="65"/>
        <v>116.18342427282835</v>
      </c>
      <c r="H122" s="118">
        <f t="shared" si="65"/>
        <v>122.14027581601702</v>
      </c>
      <c r="I122" s="118">
        <f t="shared" si="65"/>
        <v>128.40254166877421</v>
      </c>
      <c r="J122" s="118">
        <f t="shared" si="65"/>
        <v>146.37296967023218</v>
      </c>
      <c r="K122" s="118">
        <f t="shared" si="65"/>
        <v>153.87767230503951</v>
      </c>
      <c r="L122" s="118">
        <f t="shared" si="65"/>
        <v>161.76714927190946</v>
      </c>
      <c r="M122" s="118">
        <f t="shared" si="65"/>
        <v>170.06112837270422</v>
      </c>
      <c r="N122" s="118">
        <f t="shared" si="65"/>
        <v>178.78034887531655</v>
      </c>
      <c r="O122" s="118">
        <f t="shared" si="65"/>
        <v>168.73494370051125</v>
      </c>
      <c r="P122" s="118">
        <f t="shared" si="65"/>
        <v>177.38616926098317</v>
      </c>
      <c r="Q122" s="118">
        <f t="shared" si="65"/>
        <v>186.48095264093675</v>
      </c>
      <c r="R122" s="118">
        <f t="shared" si="65"/>
        <v>196.04203553608301</v>
      </c>
      <c r="S122" s="118">
        <f t="shared" si="65"/>
        <v>206.09332563380545</v>
      </c>
      <c r="T122" s="118">
        <f t="shared" si="65"/>
        <v>221.649692957008</v>
      </c>
      <c r="U122" s="118">
        <f t="shared" si="65"/>
        <v>233.01391572632292</v>
      </c>
      <c r="V122" s="118">
        <f t="shared" si="65"/>
        <v>244.96079465648199</v>
      </c>
      <c r="W122" s="118">
        <f t="shared" si="65"/>
        <v>257.52020316766192</v>
      </c>
      <c r="X122" s="118">
        <f t="shared" si="65"/>
        <v>270.72354632304445</v>
      </c>
      <c r="Y122" s="118">
        <f t="shared" si="65"/>
        <v>0</v>
      </c>
      <c r="Z122" s="118">
        <f t="shared" si="65"/>
        <v>0</v>
      </c>
      <c r="AA122" s="118">
        <f t="shared" si="65"/>
        <v>0</v>
      </c>
      <c r="AB122" s="118">
        <f t="shared" si="65"/>
        <v>0</v>
      </c>
      <c r="AC122" s="118">
        <f t="shared" si="65"/>
        <v>0</v>
      </c>
      <c r="AD122" s="118">
        <f t="shared" si="65"/>
        <v>0</v>
      </c>
      <c r="AE122" s="118">
        <f t="shared" si="65"/>
        <v>0</v>
      </c>
      <c r="AF122" s="118">
        <f t="shared" si="65"/>
        <v>0</v>
      </c>
      <c r="AG122" s="118">
        <f t="shared" si="65"/>
        <v>0</v>
      </c>
      <c r="AH122" s="118">
        <f t="shared" si="65"/>
        <v>0</v>
      </c>
      <c r="AI122" s="118">
        <f t="shared" si="65"/>
        <v>0</v>
      </c>
      <c r="AJ122" s="118">
        <f t="shared" si="65"/>
        <v>0</v>
      </c>
      <c r="AK122" s="118">
        <f t="shared" si="65"/>
        <v>0</v>
      </c>
      <c r="AL122" s="118">
        <f t="shared" si="65"/>
        <v>0</v>
      </c>
      <c r="AM122" s="118">
        <f t="shared" si="65"/>
        <v>0</v>
      </c>
      <c r="AN122" s="118">
        <f t="shared" si="65"/>
        <v>0</v>
      </c>
      <c r="AO122" s="118">
        <f t="shared" si="65"/>
        <v>0</v>
      </c>
      <c r="AP122" s="118">
        <f t="shared" si="65"/>
        <v>0</v>
      </c>
      <c r="AQ122" s="118">
        <f t="shared" si="65"/>
        <v>0</v>
      </c>
      <c r="AR122" s="119">
        <f t="shared" si="65"/>
        <v>0</v>
      </c>
    </row>
    <row r="123" spans="2:44" s="45" customFormat="1" x14ac:dyDescent="0.15">
      <c r="B123" s="74" t="s">
        <v>57</v>
      </c>
      <c r="C123" s="35"/>
      <c r="E123" s="115">
        <f t="shared" ref="E123:AR123" si="66">IF(Year="",,Man_Fee)</f>
        <v>0</v>
      </c>
      <c r="F123" s="50">
        <f t="shared" si="66"/>
        <v>0</v>
      </c>
      <c r="G123" s="230">
        <f t="shared" si="66"/>
        <v>0</v>
      </c>
      <c r="H123" s="50">
        <f t="shared" si="66"/>
        <v>0</v>
      </c>
      <c r="I123" s="50">
        <f t="shared" si="66"/>
        <v>0</v>
      </c>
      <c r="J123" s="50">
        <f t="shared" si="66"/>
        <v>0</v>
      </c>
      <c r="K123" s="50">
        <f t="shared" si="66"/>
        <v>0</v>
      </c>
      <c r="L123" s="50">
        <f t="shared" si="66"/>
        <v>0</v>
      </c>
      <c r="M123" s="50">
        <f t="shared" si="66"/>
        <v>0</v>
      </c>
      <c r="N123" s="50">
        <f t="shared" si="66"/>
        <v>0</v>
      </c>
      <c r="O123" s="50">
        <f t="shared" si="66"/>
        <v>0</v>
      </c>
      <c r="P123" s="50">
        <f t="shared" si="66"/>
        <v>0</v>
      </c>
      <c r="Q123" s="50">
        <f t="shared" si="66"/>
        <v>0</v>
      </c>
      <c r="R123" s="50">
        <f t="shared" si="66"/>
        <v>0</v>
      </c>
      <c r="S123" s="50">
        <f t="shared" si="66"/>
        <v>0</v>
      </c>
      <c r="T123" s="50">
        <f t="shared" si="66"/>
        <v>0</v>
      </c>
      <c r="U123" s="50">
        <f t="shared" si="66"/>
        <v>0</v>
      </c>
      <c r="V123" s="50">
        <f t="shared" si="66"/>
        <v>0</v>
      </c>
      <c r="W123" s="50">
        <f t="shared" si="66"/>
        <v>0</v>
      </c>
      <c r="X123" s="50">
        <f t="shared" si="66"/>
        <v>0</v>
      </c>
      <c r="Y123" s="50">
        <f t="shared" si="66"/>
        <v>0</v>
      </c>
      <c r="Z123" s="50">
        <f t="shared" si="66"/>
        <v>0</v>
      </c>
      <c r="AA123" s="50">
        <f t="shared" si="66"/>
        <v>0</v>
      </c>
      <c r="AB123" s="50">
        <f t="shared" si="66"/>
        <v>0</v>
      </c>
      <c r="AC123" s="50">
        <f t="shared" si="66"/>
        <v>0</v>
      </c>
      <c r="AD123" s="50">
        <f t="shared" si="66"/>
        <v>0</v>
      </c>
      <c r="AE123" s="50">
        <f t="shared" si="66"/>
        <v>0</v>
      </c>
      <c r="AF123" s="50">
        <f t="shared" si="66"/>
        <v>0</v>
      </c>
      <c r="AG123" s="50">
        <f t="shared" si="66"/>
        <v>0</v>
      </c>
      <c r="AH123" s="50">
        <f t="shared" si="66"/>
        <v>0</v>
      </c>
      <c r="AI123" s="50">
        <f t="shared" si="66"/>
        <v>0</v>
      </c>
      <c r="AJ123" s="50">
        <f t="shared" si="66"/>
        <v>0</v>
      </c>
      <c r="AK123" s="50">
        <f t="shared" si="66"/>
        <v>0</v>
      </c>
      <c r="AL123" s="50">
        <f t="shared" si="66"/>
        <v>0</v>
      </c>
      <c r="AM123" s="50">
        <f t="shared" si="66"/>
        <v>0</v>
      </c>
      <c r="AN123" s="50">
        <f t="shared" si="66"/>
        <v>0</v>
      </c>
      <c r="AO123" s="50">
        <f t="shared" si="66"/>
        <v>0</v>
      </c>
      <c r="AP123" s="50">
        <f t="shared" si="66"/>
        <v>0</v>
      </c>
      <c r="AQ123" s="50">
        <f t="shared" si="66"/>
        <v>0</v>
      </c>
      <c r="AR123" s="51">
        <f t="shared" si="66"/>
        <v>0</v>
      </c>
    </row>
    <row r="124" spans="2:44" s="43" customFormat="1" x14ac:dyDescent="0.15">
      <c r="E124" s="45"/>
      <c r="F124" s="45"/>
      <c r="G124" s="45"/>
      <c r="H124" s="45"/>
      <c r="I124" s="45"/>
      <c r="J124" s="45"/>
      <c r="K124" s="45"/>
      <c r="L124" s="45"/>
      <c r="M124" s="45"/>
      <c r="N124" s="45"/>
      <c r="AB124" s="45"/>
      <c r="AC124" s="45"/>
      <c r="AD124" s="45"/>
      <c r="AE124" s="45"/>
      <c r="AF124" s="45"/>
      <c r="AG124" s="45"/>
      <c r="AH124" s="45"/>
      <c r="AI124" s="45"/>
      <c r="AJ124" s="45"/>
      <c r="AK124" s="45"/>
      <c r="AL124" s="45"/>
      <c r="AM124" s="45"/>
      <c r="AN124" s="45"/>
      <c r="AO124" s="45"/>
      <c r="AP124" s="45"/>
      <c r="AQ124" s="45"/>
      <c r="AR124" s="45"/>
    </row>
    <row r="125" spans="2:44" s="43" customFormat="1" x14ac:dyDescent="0.15">
      <c r="B125" s="74" t="s">
        <v>58</v>
      </c>
      <c r="E125" s="45"/>
    </row>
    <row r="126" spans="2:44" s="43" customFormat="1" x14ac:dyDescent="0.15">
      <c r="B126" s="110" t="s">
        <v>38</v>
      </c>
      <c r="E126" s="45"/>
    </row>
    <row r="127" spans="2:44" s="45" customFormat="1" x14ac:dyDescent="0.15">
      <c r="B127" s="110"/>
      <c r="C127" s="45" t="s">
        <v>59</v>
      </c>
      <c r="E127" s="197">
        <f t="shared" ref="E127:AR127" si="67">IF(Year="",,SUM(E$114,E$117,-E123))</f>
        <v>3.4027197782974715E-2</v>
      </c>
      <c r="F127" s="198">
        <f t="shared" si="67"/>
        <v>9.0661842519340619E-2</v>
      </c>
      <c r="G127" s="198">
        <f t="shared" si="67"/>
        <v>0.24088637887991582</v>
      </c>
      <c r="H127" s="198">
        <f t="shared" si="67"/>
        <v>0.59942669269603543</v>
      </c>
      <c r="I127" s="198">
        <f t="shared" si="67"/>
        <v>1.279477410342805</v>
      </c>
      <c r="J127" s="198">
        <f t="shared" si="67"/>
        <v>2.1430956471784968</v>
      </c>
      <c r="K127" s="198">
        <f t="shared" si="67"/>
        <v>2.7922057902422113</v>
      </c>
      <c r="L127" s="198">
        <f t="shared" si="67"/>
        <v>3.0565017979758897</v>
      </c>
      <c r="M127" s="198">
        <f t="shared" si="67"/>
        <v>3.0552942554354585</v>
      </c>
      <c r="N127" s="198">
        <f t="shared" si="67"/>
        <v>2.9860277310229701</v>
      </c>
      <c r="O127" s="198">
        <f t="shared" si="67"/>
        <v>2.7818607523190342</v>
      </c>
      <c r="P127" s="198">
        <f t="shared" si="67"/>
        <v>2.5943120731298546</v>
      </c>
      <c r="Q127" s="198">
        <f t="shared" si="67"/>
        <v>2.421921071506989</v>
      </c>
      <c r="R127" s="198">
        <f t="shared" si="67"/>
        <v>2.2633039761380433</v>
      </c>
      <c r="S127" s="198">
        <f t="shared" si="67"/>
        <v>2.1171833281329513</v>
      </c>
      <c r="T127" s="198">
        <f t="shared" si="67"/>
        <v>1.98196816770623</v>
      </c>
      <c r="U127" s="198">
        <f t="shared" si="67"/>
        <v>1.8572948671887437</v>
      </c>
      <c r="V127" s="198">
        <f t="shared" si="67"/>
        <v>1.7420898364575856</v>
      </c>
      <c r="W127" s="198">
        <f t="shared" si="67"/>
        <v>1.635439688440911</v>
      </c>
      <c r="X127" s="198">
        <f t="shared" si="67"/>
        <v>1.5365509745778789</v>
      </c>
      <c r="Y127" s="198">
        <f t="shared" si="67"/>
        <v>0</v>
      </c>
      <c r="Z127" s="198">
        <f t="shared" si="67"/>
        <v>0</v>
      </c>
      <c r="AA127" s="198">
        <f t="shared" si="67"/>
        <v>0</v>
      </c>
      <c r="AB127" s="198">
        <f t="shared" si="67"/>
        <v>0</v>
      </c>
      <c r="AC127" s="198">
        <f t="shared" si="67"/>
        <v>0</v>
      </c>
      <c r="AD127" s="198">
        <f t="shared" si="67"/>
        <v>0</v>
      </c>
      <c r="AE127" s="198">
        <f t="shared" si="67"/>
        <v>0</v>
      </c>
      <c r="AF127" s="198">
        <f t="shared" si="67"/>
        <v>0</v>
      </c>
      <c r="AG127" s="198">
        <f t="shared" si="67"/>
        <v>0</v>
      </c>
      <c r="AH127" s="198">
        <f t="shared" si="67"/>
        <v>0</v>
      </c>
      <c r="AI127" s="198">
        <f t="shared" si="67"/>
        <v>0</v>
      </c>
      <c r="AJ127" s="198">
        <f t="shared" si="67"/>
        <v>0</v>
      </c>
      <c r="AK127" s="198">
        <f t="shared" si="67"/>
        <v>0</v>
      </c>
      <c r="AL127" s="198">
        <f t="shared" si="67"/>
        <v>0</v>
      </c>
      <c r="AM127" s="198">
        <f t="shared" si="67"/>
        <v>0</v>
      </c>
      <c r="AN127" s="198">
        <f t="shared" si="67"/>
        <v>0</v>
      </c>
      <c r="AO127" s="198">
        <f t="shared" si="67"/>
        <v>0</v>
      </c>
      <c r="AP127" s="198">
        <f t="shared" si="67"/>
        <v>0</v>
      </c>
      <c r="AQ127" s="198">
        <f t="shared" si="67"/>
        <v>0</v>
      </c>
      <c r="AR127" s="240">
        <f t="shared" si="67"/>
        <v>0</v>
      </c>
    </row>
    <row r="128" spans="2:44" s="45" customFormat="1" x14ac:dyDescent="0.15">
      <c r="B128" s="68"/>
      <c r="C128" s="35" t="s">
        <v>60</v>
      </c>
      <c r="E128" s="241">
        <f t="shared" ref="E128:AR128" si="68">IF(Year="",,E127*DiscountFactor)</f>
        <v>3.1726748921563006E-2</v>
      </c>
      <c r="F128" s="242">
        <f t="shared" si="68"/>
        <v>7.8817619430618394E-2</v>
      </c>
      <c r="G128" s="242">
        <f t="shared" si="68"/>
        <v>0.1952587037888654</v>
      </c>
      <c r="H128" s="242">
        <f t="shared" si="68"/>
        <v>0.45303694853424109</v>
      </c>
      <c r="I128" s="242">
        <f t="shared" si="68"/>
        <v>0.9016324921327179</v>
      </c>
      <c r="J128" s="242">
        <f t="shared" si="68"/>
        <v>1.4081141795381227</v>
      </c>
      <c r="K128" s="242">
        <f t="shared" si="68"/>
        <v>1.7105789650969343</v>
      </c>
      <c r="L128" s="242">
        <f t="shared" si="68"/>
        <v>1.7459015306740282</v>
      </c>
      <c r="M128" s="242">
        <f t="shared" si="68"/>
        <v>1.6272246701083986</v>
      </c>
      <c r="N128" s="242">
        <f t="shared" si="68"/>
        <v>1.4828174879396157</v>
      </c>
      <c r="O128" s="242">
        <f t="shared" si="68"/>
        <v>1.2880378825458179</v>
      </c>
      <c r="P128" s="242">
        <f t="shared" si="68"/>
        <v>1.1199918230292709</v>
      </c>
      <c r="Q128" s="242">
        <f t="shared" si="68"/>
        <v>0.97488189997906349</v>
      </c>
      <c r="R128" s="242">
        <f t="shared" si="68"/>
        <v>0.84944310231911124</v>
      </c>
      <c r="S128" s="242">
        <f t="shared" si="68"/>
        <v>0.74088236830250997</v>
      </c>
      <c r="T128" s="242">
        <f t="shared" si="68"/>
        <v>0.64667616670859096</v>
      </c>
      <c r="U128" s="242">
        <f t="shared" si="68"/>
        <v>0.56502859224076118</v>
      </c>
      <c r="V128" s="242">
        <f t="shared" si="68"/>
        <v>0.49415079663552097</v>
      </c>
      <c r="W128" s="242">
        <f t="shared" si="68"/>
        <v>0.43253660981988978</v>
      </c>
      <c r="X128" s="242">
        <f t="shared" si="68"/>
        <v>0.37890880527242171</v>
      </c>
      <c r="Y128" s="242">
        <f t="shared" si="68"/>
        <v>0</v>
      </c>
      <c r="Z128" s="242">
        <f t="shared" si="68"/>
        <v>0</v>
      </c>
      <c r="AA128" s="242">
        <f t="shared" si="68"/>
        <v>0</v>
      </c>
      <c r="AB128" s="242">
        <f t="shared" si="68"/>
        <v>0</v>
      </c>
      <c r="AC128" s="242">
        <f t="shared" si="68"/>
        <v>0</v>
      </c>
      <c r="AD128" s="242">
        <f t="shared" si="68"/>
        <v>0</v>
      </c>
      <c r="AE128" s="242">
        <f t="shared" si="68"/>
        <v>0</v>
      </c>
      <c r="AF128" s="242">
        <f t="shared" si="68"/>
        <v>0</v>
      </c>
      <c r="AG128" s="242">
        <f t="shared" si="68"/>
        <v>0</v>
      </c>
      <c r="AH128" s="242">
        <f t="shared" si="68"/>
        <v>0</v>
      </c>
      <c r="AI128" s="242">
        <f t="shared" si="68"/>
        <v>0</v>
      </c>
      <c r="AJ128" s="242">
        <f t="shared" si="68"/>
        <v>0</v>
      </c>
      <c r="AK128" s="242">
        <f t="shared" si="68"/>
        <v>0</v>
      </c>
      <c r="AL128" s="242">
        <f t="shared" si="68"/>
        <v>0</v>
      </c>
      <c r="AM128" s="242">
        <f t="shared" si="68"/>
        <v>0</v>
      </c>
      <c r="AN128" s="242">
        <f t="shared" si="68"/>
        <v>0</v>
      </c>
      <c r="AO128" s="242">
        <f t="shared" si="68"/>
        <v>0</v>
      </c>
      <c r="AP128" s="242">
        <f t="shared" si="68"/>
        <v>0</v>
      </c>
      <c r="AQ128" s="242">
        <f t="shared" si="68"/>
        <v>0</v>
      </c>
      <c r="AR128" s="243">
        <f t="shared" si="68"/>
        <v>0</v>
      </c>
    </row>
    <row r="129" spans="2:44" s="45" customFormat="1" x14ac:dyDescent="0.15">
      <c r="C129" s="110" t="s">
        <v>61</v>
      </c>
      <c r="D129" s="111"/>
      <c r="E129" s="244">
        <f t="shared" ref="E129:AR129" si="69">IF(Year="","",IF(OR(Tariff_Period=1,MOD(Year,Tariff_Period)=1),E128,D129+E128))</f>
        <v>3.1726748921563006E-2</v>
      </c>
      <c r="F129" s="245">
        <f t="shared" si="69"/>
        <v>0.1105443683521814</v>
      </c>
      <c r="G129" s="245">
        <f t="shared" si="69"/>
        <v>0.30580307214104679</v>
      </c>
      <c r="H129" s="245">
        <f t="shared" si="69"/>
        <v>0.75884002067528789</v>
      </c>
      <c r="I129" s="245">
        <f t="shared" si="69"/>
        <v>1.6604725128080058</v>
      </c>
      <c r="J129" s="245">
        <f t="shared" si="69"/>
        <v>1.4081141795381227</v>
      </c>
      <c r="K129" s="245">
        <f t="shared" si="69"/>
        <v>3.1186931446350572</v>
      </c>
      <c r="L129" s="245">
        <f t="shared" si="69"/>
        <v>4.8645946753090854</v>
      </c>
      <c r="M129" s="245">
        <f t="shared" si="69"/>
        <v>6.4918193454174844</v>
      </c>
      <c r="N129" s="245">
        <f t="shared" si="69"/>
        <v>7.9746368333571001</v>
      </c>
      <c r="O129" s="245">
        <f t="shared" si="69"/>
        <v>1.2880378825458179</v>
      </c>
      <c r="P129" s="245">
        <f t="shared" si="69"/>
        <v>2.408029705575089</v>
      </c>
      <c r="Q129" s="245">
        <f t="shared" si="69"/>
        <v>3.3829116055541526</v>
      </c>
      <c r="R129" s="245">
        <f t="shared" si="69"/>
        <v>4.232354707873264</v>
      </c>
      <c r="S129" s="245">
        <f t="shared" si="69"/>
        <v>4.9732370761757743</v>
      </c>
      <c r="T129" s="245">
        <f t="shared" si="69"/>
        <v>0.64667616670859096</v>
      </c>
      <c r="U129" s="245">
        <f t="shared" si="69"/>
        <v>1.2117047589493521</v>
      </c>
      <c r="V129" s="245">
        <f t="shared" si="69"/>
        <v>1.7058555555848731</v>
      </c>
      <c r="W129" s="245">
        <f t="shared" si="69"/>
        <v>2.1383921654047628</v>
      </c>
      <c r="X129" s="245">
        <f t="shared" si="69"/>
        <v>2.5173009706771845</v>
      </c>
      <c r="Y129" s="245" t="str">
        <f t="shared" si="69"/>
        <v/>
      </c>
      <c r="Z129" s="245" t="str">
        <f t="shared" si="69"/>
        <v/>
      </c>
      <c r="AA129" s="245" t="str">
        <f t="shared" si="69"/>
        <v/>
      </c>
      <c r="AB129" s="245" t="str">
        <f t="shared" si="69"/>
        <v/>
      </c>
      <c r="AC129" s="245" t="str">
        <f t="shared" si="69"/>
        <v/>
      </c>
      <c r="AD129" s="245" t="str">
        <f t="shared" si="69"/>
        <v/>
      </c>
      <c r="AE129" s="245" t="str">
        <f t="shared" si="69"/>
        <v/>
      </c>
      <c r="AF129" s="245" t="str">
        <f t="shared" si="69"/>
        <v/>
      </c>
      <c r="AG129" s="245" t="str">
        <f t="shared" si="69"/>
        <v/>
      </c>
      <c r="AH129" s="245" t="str">
        <f t="shared" si="69"/>
        <v/>
      </c>
      <c r="AI129" s="245" t="str">
        <f t="shared" si="69"/>
        <v/>
      </c>
      <c r="AJ129" s="245" t="str">
        <f t="shared" si="69"/>
        <v/>
      </c>
      <c r="AK129" s="245" t="str">
        <f t="shared" si="69"/>
        <v/>
      </c>
      <c r="AL129" s="245" t="str">
        <f t="shared" si="69"/>
        <v/>
      </c>
      <c r="AM129" s="245" t="str">
        <f t="shared" si="69"/>
        <v/>
      </c>
      <c r="AN129" s="245" t="str">
        <f t="shared" si="69"/>
        <v/>
      </c>
      <c r="AO129" s="245" t="str">
        <f t="shared" si="69"/>
        <v/>
      </c>
      <c r="AP129" s="245" t="str">
        <f t="shared" si="69"/>
        <v/>
      </c>
      <c r="AQ129" s="245" t="str">
        <f t="shared" si="69"/>
        <v/>
      </c>
      <c r="AR129" s="246" t="str">
        <f t="shared" si="69"/>
        <v/>
      </c>
    </row>
    <row r="130" spans="2:44" s="43" customFormat="1" x14ac:dyDescent="0.15">
      <c r="B130" s="110" t="s">
        <v>37</v>
      </c>
      <c r="D130" s="45"/>
      <c r="E130" s="126"/>
      <c r="F130" s="126"/>
      <c r="G130" s="126"/>
      <c r="H130" s="126"/>
      <c r="I130" s="126"/>
      <c r="J130" s="126"/>
      <c r="K130" s="126"/>
    </row>
    <row r="131" spans="2:44" s="45" customFormat="1" x14ac:dyDescent="0.15">
      <c r="C131" s="45" t="s">
        <v>59</v>
      </c>
      <c r="E131" s="199">
        <f t="shared" ref="E131:AR131" si="70">IF(Year="",,SUM(E$115,E$118,E$119,E$21,E$24*E107/(1-UFW_FC),E$22*E122,E$25*(E107/(1-UFW_FC))*E122))</f>
        <v>61.685086379300451</v>
      </c>
      <c r="F131" s="200">
        <f t="shared" si="70"/>
        <v>66.594819839450182</v>
      </c>
      <c r="G131" s="200">
        <f t="shared" si="70"/>
        <v>73.052324209478442</v>
      </c>
      <c r="H131" s="200">
        <f t="shared" si="70"/>
        <v>82.53954046170098</v>
      </c>
      <c r="I131" s="200">
        <f t="shared" si="70"/>
        <v>96.771076889453084</v>
      </c>
      <c r="J131" s="200">
        <f t="shared" si="70"/>
        <v>117.72126490221734</v>
      </c>
      <c r="K131" s="200">
        <f t="shared" si="70"/>
        <v>136.1358602124503</v>
      </c>
      <c r="L131" s="200">
        <f t="shared" si="70"/>
        <v>151.69126518928556</v>
      </c>
      <c r="M131" s="200">
        <f t="shared" si="70"/>
        <v>165.26890367611543</v>
      </c>
      <c r="N131" s="200">
        <f t="shared" si="70"/>
        <v>179.0974320325418</v>
      </c>
      <c r="O131" s="200">
        <f t="shared" si="70"/>
        <v>180.3187224121092</v>
      </c>
      <c r="P131" s="200">
        <f t="shared" si="70"/>
        <v>193.44287371473973</v>
      </c>
      <c r="Q131" s="200">
        <f t="shared" si="70"/>
        <v>207.75519581671449</v>
      </c>
      <c r="R131" s="200">
        <f t="shared" si="70"/>
        <v>223.37455223426767</v>
      </c>
      <c r="S131" s="200">
        <f t="shared" si="70"/>
        <v>240.42877543677665</v>
      </c>
      <c r="T131" s="200">
        <f t="shared" si="70"/>
        <v>247.05117488754448</v>
      </c>
      <c r="U131" s="200">
        <f t="shared" si="70"/>
        <v>266.33673347618469</v>
      </c>
      <c r="V131" s="200">
        <f t="shared" si="70"/>
        <v>287.43648570582957</v>
      </c>
      <c r="W131" s="200">
        <f t="shared" si="70"/>
        <v>310.51634123787517</v>
      </c>
      <c r="X131" s="200">
        <f t="shared" si="70"/>
        <v>335.76250269948082</v>
      </c>
      <c r="Y131" s="200">
        <f t="shared" si="70"/>
        <v>0</v>
      </c>
      <c r="Z131" s="200">
        <f t="shared" si="70"/>
        <v>0</v>
      </c>
      <c r="AA131" s="200">
        <f t="shared" si="70"/>
        <v>0</v>
      </c>
      <c r="AB131" s="200">
        <f t="shared" si="70"/>
        <v>0</v>
      </c>
      <c r="AC131" s="200">
        <f t="shared" si="70"/>
        <v>0</v>
      </c>
      <c r="AD131" s="200">
        <f t="shared" si="70"/>
        <v>0</v>
      </c>
      <c r="AE131" s="200">
        <f t="shared" si="70"/>
        <v>0</v>
      </c>
      <c r="AF131" s="200">
        <f t="shared" si="70"/>
        <v>0</v>
      </c>
      <c r="AG131" s="200">
        <f t="shared" si="70"/>
        <v>0</v>
      </c>
      <c r="AH131" s="200">
        <f t="shared" si="70"/>
        <v>0</v>
      </c>
      <c r="AI131" s="200">
        <f t="shared" si="70"/>
        <v>0</v>
      </c>
      <c r="AJ131" s="200">
        <f t="shared" si="70"/>
        <v>0</v>
      </c>
      <c r="AK131" s="200">
        <f t="shared" si="70"/>
        <v>0</v>
      </c>
      <c r="AL131" s="200">
        <f t="shared" si="70"/>
        <v>0</v>
      </c>
      <c r="AM131" s="200">
        <f t="shared" si="70"/>
        <v>0</v>
      </c>
      <c r="AN131" s="200">
        <f t="shared" si="70"/>
        <v>0</v>
      </c>
      <c r="AO131" s="200">
        <f t="shared" si="70"/>
        <v>0</v>
      </c>
      <c r="AP131" s="200">
        <f t="shared" si="70"/>
        <v>0</v>
      </c>
      <c r="AQ131" s="200">
        <f t="shared" si="70"/>
        <v>0</v>
      </c>
      <c r="AR131" s="201">
        <f t="shared" si="70"/>
        <v>0</v>
      </c>
    </row>
    <row r="132" spans="2:44" s="45" customFormat="1" x14ac:dyDescent="0.15">
      <c r="B132" s="68"/>
      <c r="C132" s="35" t="s">
        <v>60</v>
      </c>
      <c r="E132" s="247">
        <f t="shared" ref="E132:AR132" si="71">IF(Year="",,E131*DiscountFactor)</f>
        <v>57.514793320424324</v>
      </c>
      <c r="F132" s="248">
        <f t="shared" si="71"/>
        <v>57.8947550623258</v>
      </c>
      <c r="G132" s="248">
        <f t="shared" si="71"/>
        <v>59.215063135709734</v>
      </c>
      <c r="H132" s="248">
        <f t="shared" si="71"/>
        <v>62.382042708180613</v>
      </c>
      <c r="I132" s="248">
        <f t="shared" si="71"/>
        <v>68.193425313251439</v>
      </c>
      <c r="J132" s="248">
        <f t="shared" si="71"/>
        <v>77.348382728607788</v>
      </c>
      <c r="K132" s="248">
        <f t="shared" si="71"/>
        <v>83.400421161147165</v>
      </c>
      <c r="L132" s="248">
        <f t="shared" si="71"/>
        <v>86.647425582814151</v>
      </c>
      <c r="M132" s="248">
        <f t="shared" si="71"/>
        <v>88.020863059297767</v>
      </c>
      <c r="N132" s="248">
        <f t="shared" si="71"/>
        <v>88.937152694141133</v>
      </c>
      <c r="O132" s="248">
        <f t="shared" si="71"/>
        <v>83.489924937991333</v>
      </c>
      <c r="P132" s="248">
        <f t="shared" si="71"/>
        <v>83.511324265015688</v>
      </c>
      <c r="Q132" s="248">
        <f t="shared" si="71"/>
        <v>83.626498985079138</v>
      </c>
      <c r="R132" s="248">
        <f t="shared" si="71"/>
        <v>83.834948654482389</v>
      </c>
      <c r="S132" s="248">
        <f t="shared" si="71"/>
        <v>84.135104497897103</v>
      </c>
      <c r="T132" s="248">
        <f t="shared" si="71"/>
        <v>80.607806603688672</v>
      </c>
      <c r="U132" s="248">
        <f t="shared" si="71"/>
        <v>81.02529772552181</v>
      </c>
      <c r="V132" s="248">
        <f t="shared" si="71"/>
        <v>81.532516533402301</v>
      </c>
      <c r="W132" s="248">
        <f t="shared" si="71"/>
        <v>82.124511519434861</v>
      </c>
      <c r="X132" s="248">
        <f t="shared" si="71"/>
        <v>82.798013771127472</v>
      </c>
      <c r="Y132" s="248">
        <f t="shared" si="71"/>
        <v>0</v>
      </c>
      <c r="Z132" s="248">
        <f t="shared" si="71"/>
        <v>0</v>
      </c>
      <c r="AA132" s="248">
        <f t="shared" si="71"/>
        <v>0</v>
      </c>
      <c r="AB132" s="248">
        <f t="shared" si="71"/>
        <v>0</v>
      </c>
      <c r="AC132" s="248">
        <f t="shared" si="71"/>
        <v>0</v>
      </c>
      <c r="AD132" s="248">
        <f t="shared" si="71"/>
        <v>0</v>
      </c>
      <c r="AE132" s="248">
        <f t="shared" si="71"/>
        <v>0</v>
      </c>
      <c r="AF132" s="248">
        <f t="shared" si="71"/>
        <v>0</v>
      </c>
      <c r="AG132" s="248">
        <f t="shared" si="71"/>
        <v>0</v>
      </c>
      <c r="AH132" s="248">
        <f t="shared" si="71"/>
        <v>0</v>
      </c>
      <c r="AI132" s="248">
        <f t="shared" si="71"/>
        <v>0</v>
      </c>
      <c r="AJ132" s="248">
        <f t="shared" si="71"/>
        <v>0</v>
      </c>
      <c r="AK132" s="248">
        <f t="shared" si="71"/>
        <v>0</v>
      </c>
      <c r="AL132" s="248">
        <f t="shared" si="71"/>
        <v>0</v>
      </c>
      <c r="AM132" s="248">
        <f t="shared" si="71"/>
        <v>0</v>
      </c>
      <c r="AN132" s="248">
        <f t="shared" si="71"/>
        <v>0</v>
      </c>
      <c r="AO132" s="248">
        <f t="shared" si="71"/>
        <v>0</v>
      </c>
      <c r="AP132" s="248">
        <f t="shared" si="71"/>
        <v>0</v>
      </c>
      <c r="AQ132" s="248">
        <f t="shared" si="71"/>
        <v>0</v>
      </c>
      <c r="AR132" s="249">
        <f t="shared" si="71"/>
        <v>0</v>
      </c>
    </row>
    <row r="133" spans="2:44" s="45" customFormat="1" x14ac:dyDescent="0.15">
      <c r="C133" s="110" t="s">
        <v>61</v>
      </c>
      <c r="D133" s="111"/>
      <c r="E133" s="250">
        <f t="shared" ref="E133:AR133" si="72">IF(Year="","",IF(OR(Tariff_Period=1,MOD(Year,Tariff_Period)=1),E132,D133+E132))</f>
        <v>57.514793320424324</v>
      </c>
      <c r="F133" s="236">
        <f t="shared" si="72"/>
        <v>115.40954838275013</v>
      </c>
      <c r="G133" s="236">
        <f t="shared" si="72"/>
        <v>174.62461151845986</v>
      </c>
      <c r="H133" s="236">
        <f t="shared" si="72"/>
        <v>237.00665422664048</v>
      </c>
      <c r="I133" s="236">
        <f t="shared" si="72"/>
        <v>305.20007953989193</v>
      </c>
      <c r="J133" s="236">
        <f t="shared" si="72"/>
        <v>77.348382728607788</v>
      </c>
      <c r="K133" s="236">
        <f t="shared" si="72"/>
        <v>160.74880388975495</v>
      </c>
      <c r="L133" s="236">
        <f t="shared" si="72"/>
        <v>247.3962294725691</v>
      </c>
      <c r="M133" s="236">
        <f t="shared" si="72"/>
        <v>335.41709253186684</v>
      </c>
      <c r="N133" s="236">
        <f t="shared" si="72"/>
        <v>424.35424522600795</v>
      </c>
      <c r="O133" s="236">
        <f t="shared" si="72"/>
        <v>83.489924937991333</v>
      </c>
      <c r="P133" s="236">
        <f t="shared" si="72"/>
        <v>167.00124920300703</v>
      </c>
      <c r="Q133" s="236">
        <f t="shared" si="72"/>
        <v>250.62774818808617</v>
      </c>
      <c r="R133" s="236">
        <f t="shared" si="72"/>
        <v>334.46269684256856</v>
      </c>
      <c r="S133" s="236">
        <f t="shared" si="72"/>
        <v>418.59780134046565</v>
      </c>
      <c r="T133" s="236">
        <f t="shared" si="72"/>
        <v>80.607806603688672</v>
      </c>
      <c r="U133" s="236">
        <f t="shared" si="72"/>
        <v>161.63310432921048</v>
      </c>
      <c r="V133" s="236">
        <f t="shared" si="72"/>
        <v>243.1656208626128</v>
      </c>
      <c r="W133" s="236">
        <f t="shared" si="72"/>
        <v>325.29013238204766</v>
      </c>
      <c r="X133" s="236">
        <f t="shared" si="72"/>
        <v>408.0881461531751</v>
      </c>
      <c r="Y133" s="236" t="str">
        <f t="shared" si="72"/>
        <v/>
      </c>
      <c r="Z133" s="236" t="str">
        <f t="shared" si="72"/>
        <v/>
      </c>
      <c r="AA133" s="236" t="str">
        <f t="shared" si="72"/>
        <v/>
      </c>
      <c r="AB133" s="236" t="str">
        <f t="shared" si="72"/>
        <v/>
      </c>
      <c r="AC133" s="236" t="str">
        <f t="shared" si="72"/>
        <v/>
      </c>
      <c r="AD133" s="236" t="str">
        <f t="shared" si="72"/>
        <v/>
      </c>
      <c r="AE133" s="236" t="str">
        <f t="shared" si="72"/>
        <v/>
      </c>
      <c r="AF133" s="236" t="str">
        <f t="shared" si="72"/>
        <v/>
      </c>
      <c r="AG133" s="236" t="str">
        <f t="shared" si="72"/>
        <v/>
      </c>
      <c r="AH133" s="236" t="str">
        <f t="shared" si="72"/>
        <v/>
      </c>
      <c r="AI133" s="236" t="str">
        <f t="shared" si="72"/>
        <v/>
      </c>
      <c r="AJ133" s="236" t="str">
        <f t="shared" si="72"/>
        <v/>
      </c>
      <c r="AK133" s="236" t="str">
        <f t="shared" si="72"/>
        <v/>
      </c>
      <c r="AL133" s="236" t="str">
        <f t="shared" si="72"/>
        <v/>
      </c>
      <c r="AM133" s="236" t="str">
        <f t="shared" si="72"/>
        <v/>
      </c>
      <c r="AN133" s="236" t="str">
        <f t="shared" si="72"/>
        <v/>
      </c>
      <c r="AO133" s="236" t="str">
        <f t="shared" si="72"/>
        <v/>
      </c>
      <c r="AP133" s="236" t="str">
        <f t="shared" si="72"/>
        <v/>
      </c>
      <c r="AQ133" s="236" t="str">
        <f t="shared" si="72"/>
        <v/>
      </c>
      <c r="AR133" s="251" t="str">
        <f t="shared" si="72"/>
        <v/>
      </c>
    </row>
    <row r="134" spans="2:44" s="43" customFormat="1" x14ac:dyDescent="0.15"/>
    <row r="135" spans="2:44" s="43" customFormat="1" x14ac:dyDescent="0.15">
      <c r="B135" s="74" t="s">
        <v>60</v>
      </c>
      <c r="E135" s="69"/>
    </row>
    <row r="136" spans="2:44" s="45" customFormat="1" x14ac:dyDescent="0.15">
      <c r="C136" s="110" t="s">
        <v>38</v>
      </c>
      <c r="D136" s="199">
        <f t="shared" ref="D136:AR136" si="73">IF(Year&gt;Contract_Length,"",IF(Year&lt;INT(Contract_Length/Tariff_Period)*Tariff_Period,IF(MOD(Year,Tariff_Period)=0,INDEX(129:129,1,COLUMN()+Tariff_Period),),IF(Year=INT(Contract_Length/Tariff_Period)*Tariff_Period,INDEX(129:129,1,Contract_Length+4),)))</f>
        <v>1.6604725128080058</v>
      </c>
      <c r="E136" s="47">
        <f t="shared" si="73"/>
        <v>0</v>
      </c>
      <c r="F136" s="47">
        <f t="shared" si="73"/>
        <v>0</v>
      </c>
      <c r="G136" s="47">
        <f t="shared" si="73"/>
        <v>0</v>
      </c>
      <c r="H136" s="47">
        <f t="shared" si="73"/>
        <v>0</v>
      </c>
      <c r="I136" s="47">
        <f t="shared" si="73"/>
        <v>7.9746368333571001</v>
      </c>
      <c r="J136" s="47">
        <f t="shared" si="73"/>
        <v>0</v>
      </c>
      <c r="K136" s="47">
        <f t="shared" si="73"/>
        <v>0</v>
      </c>
      <c r="L136" s="47">
        <f t="shared" si="73"/>
        <v>0</v>
      </c>
      <c r="M136" s="47">
        <f t="shared" si="73"/>
        <v>0</v>
      </c>
      <c r="N136" s="47">
        <f t="shared" si="73"/>
        <v>4.9732370761757743</v>
      </c>
      <c r="O136" s="47">
        <f t="shared" si="73"/>
        <v>0</v>
      </c>
      <c r="P136" s="47">
        <f t="shared" si="73"/>
        <v>0</v>
      </c>
      <c r="Q136" s="47">
        <f t="shared" si="73"/>
        <v>0</v>
      </c>
      <c r="R136" s="47">
        <f t="shared" si="73"/>
        <v>0</v>
      </c>
      <c r="S136" s="47">
        <f t="shared" si="73"/>
        <v>2.5173009706771845</v>
      </c>
      <c r="T136" s="47">
        <f t="shared" si="73"/>
        <v>0</v>
      </c>
      <c r="U136" s="47">
        <f t="shared" si="73"/>
        <v>0</v>
      </c>
      <c r="V136" s="47">
        <f t="shared" si="73"/>
        <v>0</v>
      </c>
      <c r="W136" s="47">
        <f t="shared" si="73"/>
        <v>0</v>
      </c>
      <c r="X136" s="47">
        <f t="shared" si="73"/>
        <v>2.5173009706771845</v>
      </c>
      <c r="Y136" s="47" t="str">
        <f t="shared" si="73"/>
        <v/>
      </c>
      <c r="Z136" s="47" t="str">
        <f t="shared" si="73"/>
        <v/>
      </c>
      <c r="AA136" s="47" t="str">
        <f t="shared" si="73"/>
        <v/>
      </c>
      <c r="AB136" s="47" t="str">
        <f t="shared" si="73"/>
        <v/>
      </c>
      <c r="AC136" s="47" t="str">
        <f t="shared" si="73"/>
        <v/>
      </c>
      <c r="AD136" s="47" t="str">
        <f t="shared" si="73"/>
        <v/>
      </c>
      <c r="AE136" s="47" t="str">
        <f t="shared" si="73"/>
        <v/>
      </c>
      <c r="AF136" s="47" t="str">
        <f t="shared" si="73"/>
        <v/>
      </c>
      <c r="AG136" s="47" t="str">
        <f t="shared" si="73"/>
        <v/>
      </c>
      <c r="AH136" s="47" t="str">
        <f t="shared" si="73"/>
        <v/>
      </c>
      <c r="AI136" s="47" t="str">
        <f t="shared" si="73"/>
        <v/>
      </c>
      <c r="AJ136" s="47" t="str">
        <f t="shared" si="73"/>
        <v/>
      </c>
      <c r="AK136" s="47" t="str">
        <f t="shared" si="73"/>
        <v/>
      </c>
      <c r="AL136" s="47" t="str">
        <f t="shared" si="73"/>
        <v/>
      </c>
      <c r="AM136" s="47" t="str">
        <f t="shared" si="73"/>
        <v/>
      </c>
      <c r="AN136" s="47" t="str">
        <f t="shared" si="73"/>
        <v/>
      </c>
      <c r="AO136" s="47" t="str">
        <f t="shared" si="73"/>
        <v/>
      </c>
      <c r="AP136" s="47" t="str">
        <f t="shared" si="73"/>
        <v/>
      </c>
      <c r="AQ136" s="47" t="str">
        <f t="shared" si="73"/>
        <v/>
      </c>
      <c r="AR136" s="48" t="str">
        <f t="shared" si="73"/>
        <v/>
      </c>
    </row>
    <row r="137" spans="2:44" s="45" customFormat="1" x14ac:dyDescent="0.15">
      <c r="C137" s="110" t="s">
        <v>37</v>
      </c>
      <c r="D137" s="235">
        <f t="shared" ref="D137:AR137" si="74">IF(Year&gt;Contract_Length,"",IF(Year&lt;INT(Contract_Length/Tariff_Period)*Tariff_Period,IF(MOD(Year,Tariff_Period)=0,INDEX(133:133,1,COLUMN()+Tariff_Period),),IF(Year=INT(Contract_Length/Tariff_Period)*Tariff_Period,INDEX(133:133,1,Contract_Length+4),)))</f>
        <v>305.20007953989193</v>
      </c>
      <c r="E137" s="50">
        <f t="shared" si="74"/>
        <v>0</v>
      </c>
      <c r="F137" s="50">
        <f t="shared" si="74"/>
        <v>0</v>
      </c>
      <c r="G137" s="50">
        <f t="shared" si="74"/>
        <v>0</v>
      </c>
      <c r="H137" s="50">
        <f t="shared" si="74"/>
        <v>0</v>
      </c>
      <c r="I137" s="50">
        <f t="shared" si="74"/>
        <v>424.35424522600795</v>
      </c>
      <c r="J137" s="50">
        <f t="shared" si="74"/>
        <v>0</v>
      </c>
      <c r="K137" s="50">
        <f t="shared" si="74"/>
        <v>0</v>
      </c>
      <c r="L137" s="50">
        <f t="shared" si="74"/>
        <v>0</v>
      </c>
      <c r="M137" s="50">
        <f t="shared" si="74"/>
        <v>0</v>
      </c>
      <c r="N137" s="50">
        <f t="shared" si="74"/>
        <v>418.59780134046565</v>
      </c>
      <c r="O137" s="50">
        <f t="shared" si="74"/>
        <v>0</v>
      </c>
      <c r="P137" s="50">
        <f t="shared" si="74"/>
        <v>0</v>
      </c>
      <c r="Q137" s="50">
        <f t="shared" si="74"/>
        <v>0</v>
      </c>
      <c r="R137" s="50">
        <f t="shared" si="74"/>
        <v>0</v>
      </c>
      <c r="S137" s="50">
        <f t="shared" si="74"/>
        <v>408.0881461531751</v>
      </c>
      <c r="T137" s="50">
        <f t="shared" si="74"/>
        <v>0</v>
      </c>
      <c r="U137" s="50">
        <f t="shared" si="74"/>
        <v>0</v>
      </c>
      <c r="V137" s="50">
        <f t="shared" si="74"/>
        <v>0</v>
      </c>
      <c r="W137" s="50">
        <f t="shared" si="74"/>
        <v>0</v>
      </c>
      <c r="X137" s="50">
        <f t="shared" si="74"/>
        <v>408.0881461531751</v>
      </c>
      <c r="Y137" s="50" t="str">
        <f t="shared" si="74"/>
        <v/>
      </c>
      <c r="Z137" s="50" t="str">
        <f t="shared" si="74"/>
        <v/>
      </c>
      <c r="AA137" s="50" t="str">
        <f t="shared" si="74"/>
        <v/>
      </c>
      <c r="AB137" s="50" t="str">
        <f t="shared" si="74"/>
        <v/>
      </c>
      <c r="AC137" s="50" t="str">
        <f t="shared" si="74"/>
        <v/>
      </c>
      <c r="AD137" s="50" t="str">
        <f t="shared" si="74"/>
        <v/>
      </c>
      <c r="AE137" s="50" t="str">
        <f t="shared" si="74"/>
        <v/>
      </c>
      <c r="AF137" s="50" t="str">
        <f t="shared" si="74"/>
        <v/>
      </c>
      <c r="AG137" s="50" t="str">
        <f t="shared" si="74"/>
        <v/>
      </c>
      <c r="AH137" s="50" t="str">
        <f t="shared" si="74"/>
        <v/>
      </c>
      <c r="AI137" s="50" t="str">
        <f t="shared" si="74"/>
        <v/>
      </c>
      <c r="AJ137" s="50" t="str">
        <f t="shared" si="74"/>
        <v/>
      </c>
      <c r="AK137" s="50" t="str">
        <f t="shared" si="74"/>
        <v/>
      </c>
      <c r="AL137" s="50" t="str">
        <f t="shared" si="74"/>
        <v/>
      </c>
      <c r="AM137" s="50" t="str">
        <f t="shared" si="74"/>
        <v/>
      </c>
      <c r="AN137" s="50" t="str">
        <f t="shared" si="74"/>
        <v/>
      </c>
      <c r="AO137" s="50" t="str">
        <f t="shared" si="74"/>
        <v/>
      </c>
      <c r="AP137" s="50" t="str">
        <f t="shared" si="74"/>
        <v/>
      </c>
      <c r="AQ137" s="50" t="str">
        <f t="shared" si="74"/>
        <v/>
      </c>
      <c r="AR137" s="51" t="str">
        <f t="shared" si="74"/>
        <v/>
      </c>
    </row>
    <row r="138" spans="2:44" s="45" customFormat="1" x14ac:dyDescent="0.15">
      <c r="C138" s="127"/>
      <c r="H138" s="231"/>
    </row>
    <row r="139" spans="2:44" s="45" customFormat="1" ht="15" x14ac:dyDescent="0.15">
      <c r="B139" s="128" t="s">
        <v>122</v>
      </c>
      <c r="H139" s="231"/>
    </row>
    <row r="140" spans="2:44" s="45" customFormat="1" x14ac:dyDescent="0.15">
      <c r="B140" s="35" t="s">
        <v>62</v>
      </c>
      <c r="H140" s="231"/>
    </row>
    <row r="141" spans="2:44" s="45" customFormat="1" x14ac:dyDescent="0.15">
      <c r="C141" s="110" t="s">
        <v>38</v>
      </c>
      <c r="E141" s="232">
        <f t="shared" ref="E141:AR141" si="75">IF(Year="","",IF(SUM(109:109)=0,,SUM(128:128)/SUM(109:109)))</f>
        <v>0.63597687452192309</v>
      </c>
      <c r="F141" s="233">
        <f t="shared" si="75"/>
        <v>0.63597687452192309</v>
      </c>
      <c r="G141" s="233">
        <f t="shared" si="75"/>
        <v>0.63597687452192309</v>
      </c>
      <c r="H141" s="233">
        <f t="shared" si="75"/>
        <v>0.63597687452192309</v>
      </c>
      <c r="I141" s="233">
        <f t="shared" si="75"/>
        <v>0.63597687452192309</v>
      </c>
      <c r="J141" s="233">
        <f t="shared" si="75"/>
        <v>0.63597687452192309</v>
      </c>
      <c r="K141" s="233">
        <f t="shared" si="75"/>
        <v>0.63597687452192309</v>
      </c>
      <c r="L141" s="233">
        <f t="shared" si="75"/>
        <v>0.63597687452192309</v>
      </c>
      <c r="M141" s="233">
        <f t="shared" si="75"/>
        <v>0.63597687452192309</v>
      </c>
      <c r="N141" s="233">
        <f t="shared" si="75"/>
        <v>0.63597687452192309</v>
      </c>
      <c r="O141" s="233">
        <f t="shared" si="75"/>
        <v>0.63597687452192309</v>
      </c>
      <c r="P141" s="233">
        <f t="shared" si="75"/>
        <v>0.63597687452192309</v>
      </c>
      <c r="Q141" s="233">
        <f t="shared" si="75"/>
        <v>0.63597687452192309</v>
      </c>
      <c r="R141" s="233">
        <f t="shared" si="75"/>
        <v>0.63597687452192309</v>
      </c>
      <c r="S141" s="233">
        <f t="shared" si="75"/>
        <v>0.63597687452192309</v>
      </c>
      <c r="T141" s="233">
        <f t="shared" si="75"/>
        <v>0.63597687452192309</v>
      </c>
      <c r="U141" s="233">
        <f t="shared" si="75"/>
        <v>0.63597687452192309</v>
      </c>
      <c r="V141" s="233">
        <f t="shared" si="75"/>
        <v>0.63597687452192309</v>
      </c>
      <c r="W141" s="233">
        <f t="shared" si="75"/>
        <v>0.63597687452192309</v>
      </c>
      <c r="X141" s="233">
        <f t="shared" si="75"/>
        <v>0.63597687452192309</v>
      </c>
      <c r="Y141" s="233" t="str">
        <f t="shared" si="75"/>
        <v/>
      </c>
      <c r="Z141" s="233" t="str">
        <f t="shared" si="75"/>
        <v/>
      </c>
      <c r="AA141" s="233" t="str">
        <f t="shared" si="75"/>
        <v/>
      </c>
      <c r="AB141" s="233" t="str">
        <f t="shared" si="75"/>
        <v/>
      </c>
      <c r="AC141" s="233" t="str">
        <f t="shared" si="75"/>
        <v/>
      </c>
      <c r="AD141" s="233" t="str">
        <f t="shared" si="75"/>
        <v/>
      </c>
      <c r="AE141" s="233" t="str">
        <f t="shared" si="75"/>
        <v/>
      </c>
      <c r="AF141" s="233" t="str">
        <f t="shared" si="75"/>
        <v/>
      </c>
      <c r="AG141" s="233" t="str">
        <f t="shared" si="75"/>
        <v/>
      </c>
      <c r="AH141" s="233" t="str">
        <f t="shared" si="75"/>
        <v/>
      </c>
      <c r="AI141" s="233" t="str">
        <f t="shared" si="75"/>
        <v/>
      </c>
      <c r="AJ141" s="233" t="str">
        <f t="shared" si="75"/>
        <v/>
      </c>
      <c r="AK141" s="233" t="str">
        <f t="shared" si="75"/>
        <v/>
      </c>
      <c r="AL141" s="233" t="str">
        <f t="shared" si="75"/>
        <v/>
      </c>
      <c r="AM141" s="233" t="str">
        <f t="shared" si="75"/>
        <v/>
      </c>
      <c r="AN141" s="233" t="str">
        <f t="shared" si="75"/>
        <v/>
      </c>
      <c r="AO141" s="233" t="str">
        <f t="shared" si="75"/>
        <v/>
      </c>
      <c r="AP141" s="233" t="str">
        <f t="shared" si="75"/>
        <v/>
      </c>
      <c r="AQ141" s="233" t="str">
        <f t="shared" si="75"/>
        <v/>
      </c>
      <c r="AR141" s="234" t="str">
        <f t="shared" si="75"/>
        <v/>
      </c>
    </row>
    <row r="142" spans="2:44" s="45" customFormat="1" x14ac:dyDescent="0.15">
      <c r="C142" s="110" t="s">
        <v>37</v>
      </c>
      <c r="E142" s="237">
        <f t="shared" ref="E142:AR142" si="76">IF(Year="","",IF(SUM(109:109)=0,,SUM(132:132)/SUM(109:109)))</f>
        <v>57.792432697187991</v>
      </c>
      <c r="F142" s="238">
        <f t="shared" si="76"/>
        <v>57.792432697187991</v>
      </c>
      <c r="G142" s="238">
        <f t="shared" si="76"/>
        <v>57.792432697187991</v>
      </c>
      <c r="H142" s="238">
        <f t="shared" si="76"/>
        <v>57.792432697187991</v>
      </c>
      <c r="I142" s="238">
        <f t="shared" si="76"/>
        <v>57.792432697187991</v>
      </c>
      <c r="J142" s="238">
        <f t="shared" si="76"/>
        <v>57.792432697187991</v>
      </c>
      <c r="K142" s="238">
        <f t="shared" si="76"/>
        <v>57.792432697187991</v>
      </c>
      <c r="L142" s="238">
        <f t="shared" si="76"/>
        <v>57.792432697187991</v>
      </c>
      <c r="M142" s="238">
        <f t="shared" si="76"/>
        <v>57.792432697187991</v>
      </c>
      <c r="N142" s="238">
        <f t="shared" si="76"/>
        <v>57.792432697187991</v>
      </c>
      <c r="O142" s="238">
        <f t="shared" si="76"/>
        <v>57.792432697187991</v>
      </c>
      <c r="P142" s="238">
        <f t="shared" si="76"/>
        <v>57.792432697187991</v>
      </c>
      <c r="Q142" s="238">
        <f t="shared" si="76"/>
        <v>57.792432697187991</v>
      </c>
      <c r="R142" s="238">
        <f t="shared" si="76"/>
        <v>57.792432697187991</v>
      </c>
      <c r="S142" s="238">
        <f t="shared" si="76"/>
        <v>57.792432697187991</v>
      </c>
      <c r="T142" s="238">
        <f t="shared" si="76"/>
        <v>57.792432697187991</v>
      </c>
      <c r="U142" s="238">
        <f t="shared" si="76"/>
        <v>57.792432697187991</v>
      </c>
      <c r="V142" s="238">
        <f t="shared" si="76"/>
        <v>57.792432697187991</v>
      </c>
      <c r="W142" s="238">
        <f t="shared" si="76"/>
        <v>57.792432697187991</v>
      </c>
      <c r="X142" s="238">
        <f t="shared" si="76"/>
        <v>57.792432697187991</v>
      </c>
      <c r="Y142" s="238" t="str">
        <f t="shared" si="76"/>
        <v/>
      </c>
      <c r="Z142" s="238" t="str">
        <f t="shared" si="76"/>
        <v/>
      </c>
      <c r="AA142" s="238" t="str">
        <f t="shared" si="76"/>
        <v/>
      </c>
      <c r="AB142" s="238" t="str">
        <f t="shared" si="76"/>
        <v/>
      </c>
      <c r="AC142" s="238" t="str">
        <f t="shared" si="76"/>
        <v/>
      </c>
      <c r="AD142" s="238" t="str">
        <f t="shared" si="76"/>
        <v/>
      </c>
      <c r="AE142" s="238" t="str">
        <f t="shared" si="76"/>
        <v/>
      </c>
      <c r="AF142" s="238" t="str">
        <f t="shared" si="76"/>
        <v/>
      </c>
      <c r="AG142" s="238" t="str">
        <f t="shared" si="76"/>
        <v/>
      </c>
      <c r="AH142" s="238" t="str">
        <f t="shared" si="76"/>
        <v/>
      </c>
      <c r="AI142" s="238" t="str">
        <f t="shared" si="76"/>
        <v/>
      </c>
      <c r="AJ142" s="238" t="str">
        <f t="shared" si="76"/>
        <v/>
      </c>
      <c r="AK142" s="238" t="str">
        <f t="shared" si="76"/>
        <v/>
      </c>
      <c r="AL142" s="238" t="str">
        <f t="shared" si="76"/>
        <v/>
      </c>
      <c r="AM142" s="238" t="str">
        <f t="shared" si="76"/>
        <v/>
      </c>
      <c r="AN142" s="238" t="str">
        <f t="shared" si="76"/>
        <v/>
      </c>
      <c r="AO142" s="238" t="str">
        <f t="shared" si="76"/>
        <v/>
      </c>
      <c r="AP142" s="238" t="str">
        <f t="shared" si="76"/>
        <v/>
      </c>
      <c r="AQ142" s="238" t="str">
        <f t="shared" si="76"/>
        <v/>
      </c>
      <c r="AR142" s="239" t="str">
        <f t="shared" si="76"/>
        <v/>
      </c>
    </row>
    <row r="143" spans="2:44" s="43" customFormat="1" x14ac:dyDescent="0.15">
      <c r="B143" s="43" t="str">
        <f>CONCATENATE(Tariff_Period," year reset period")</f>
        <v>5 year reset period</v>
      </c>
      <c r="E143" s="69"/>
      <c r="F143" s="69"/>
      <c r="G143" s="69"/>
      <c r="H143" s="69"/>
      <c r="I143" s="69"/>
      <c r="J143" s="69"/>
      <c r="K143" s="69"/>
      <c r="L143" s="69"/>
      <c r="M143" s="69"/>
      <c r="N143" s="69"/>
      <c r="O143" s="69"/>
      <c r="P143" s="69"/>
      <c r="Q143" s="69"/>
      <c r="R143" s="69"/>
      <c r="S143" s="69"/>
      <c r="T143" s="69"/>
      <c r="U143" s="69"/>
      <c r="V143" s="69"/>
      <c r="W143" s="69"/>
      <c r="X143" s="69"/>
      <c r="Y143" s="69"/>
      <c r="Z143" s="69"/>
      <c r="AA143" s="69"/>
      <c r="AB143" s="69"/>
      <c r="AC143" s="69"/>
      <c r="AD143" s="69"/>
      <c r="AE143" s="69"/>
      <c r="AF143" s="69"/>
      <c r="AG143" s="69"/>
      <c r="AH143" s="69"/>
      <c r="AI143" s="69"/>
      <c r="AJ143" s="69"/>
      <c r="AK143" s="69"/>
      <c r="AL143" s="69"/>
      <c r="AM143" s="69"/>
      <c r="AN143" s="69"/>
      <c r="AO143" s="69"/>
      <c r="AP143" s="69"/>
      <c r="AQ143" s="69"/>
      <c r="AR143" s="69"/>
    </row>
    <row r="144" spans="2:44" s="45" customFormat="1" x14ac:dyDescent="0.15">
      <c r="C144" s="110" t="s">
        <v>38</v>
      </c>
      <c r="E144" s="199">
        <f>IF(Year&gt;Contract_Length,"",IF(OR(Tariff_Period=1,MOD(Year,Tariff_Period)=1),IF(D111=0,,D136/D111),D144))</f>
        <v>0.24962300740396809</v>
      </c>
      <c r="F144" s="200">
        <f t="shared" ref="F144:AR144" si="77">IF(Year&gt;Contract_Length,"",IF(OR(Tariff_Period=1,MOD(Year,Tariff_Period)=1),IF(E111=0,,E136/E111),E144))</f>
        <v>0.24962300740396809</v>
      </c>
      <c r="G144" s="130">
        <f t="shared" si="77"/>
        <v>0.24962300740396809</v>
      </c>
      <c r="H144" s="130">
        <f t="shared" si="77"/>
        <v>0.24962300740396809</v>
      </c>
      <c r="I144" s="130">
        <f t="shared" si="77"/>
        <v>0.24962300740396809</v>
      </c>
      <c r="J144" s="130">
        <f t="shared" si="77"/>
        <v>0.95923229670530363</v>
      </c>
      <c r="K144" s="130">
        <f t="shared" si="77"/>
        <v>0.95923229670530363</v>
      </c>
      <c r="L144" s="130">
        <f t="shared" si="77"/>
        <v>0.95923229670530363</v>
      </c>
      <c r="M144" s="130">
        <f t="shared" si="77"/>
        <v>0.95923229670530363</v>
      </c>
      <c r="N144" s="130">
        <f t="shared" si="77"/>
        <v>0.95923229670530363</v>
      </c>
      <c r="O144" s="130">
        <f t="shared" si="77"/>
        <v>0.71321032271020557</v>
      </c>
      <c r="P144" s="130">
        <f t="shared" si="77"/>
        <v>0.71321032271020557</v>
      </c>
      <c r="Q144" s="130">
        <f t="shared" si="77"/>
        <v>0.71321032271020557</v>
      </c>
      <c r="R144" s="130">
        <f t="shared" si="77"/>
        <v>0.71321032271020557</v>
      </c>
      <c r="S144" s="130">
        <f t="shared" si="77"/>
        <v>0.71321032271020557</v>
      </c>
      <c r="T144" s="130">
        <f t="shared" si="77"/>
        <v>0.50451109767173841</v>
      </c>
      <c r="U144" s="130">
        <f t="shared" si="77"/>
        <v>0.50451109767173841</v>
      </c>
      <c r="V144" s="130">
        <f t="shared" si="77"/>
        <v>0.50451109767173841</v>
      </c>
      <c r="W144" s="130">
        <f t="shared" si="77"/>
        <v>0.50451109767173841</v>
      </c>
      <c r="X144" s="130">
        <f t="shared" si="77"/>
        <v>0.50451109767173841</v>
      </c>
      <c r="Y144" s="130" t="str">
        <f t="shared" si="77"/>
        <v/>
      </c>
      <c r="Z144" s="130" t="str">
        <f t="shared" si="77"/>
        <v/>
      </c>
      <c r="AA144" s="130" t="str">
        <f t="shared" si="77"/>
        <v/>
      </c>
      <c r="AB144" s="130" t="str">
        <f t="shared" si="77"/>
        <v/>
      </c>
      <c r="AC144" s="130" t="str">
        <f t="shared" si="77"/>
        <v/>
      </c>
      <c r="AD144" s="130" t="str">
        <f t="shared" si="77"/>
        <v/>
      </c>
      <c r="AE144" s="130" t="str">
        <f t="shared" si="77"/>
        <v/>
      </c>
      <c r="AF144" s="130" t="str">
        <f t="shared" si="77"/>
        <v/>
      </c>
      <c r="AG144" s="130" t="str">
        <f t="shared" si="77"/>
        <v/>
      </c>
      <c r="AH144" s="130" t="str">
        <f t="shared" si="77"/>
        <v/>
      </c>
      <c r="AI144" s="130" t="str">
        <f t="shared" si="77"/>
        <v/>
      </c>
      <c r="AJ144" s="130" t="str">
        <f t="shared" si="77"/>
        <v/>
      </c>
      <c r="AK144" s="130" t="str">
        <f t="shared" si="77"/>
        <v/>
      </c>
      <c r="AL144" s="130" t="str">
        <f t="shared" si="77"/>
        <v/>
      </c>
      <c r="AM144" s="130" t="str">
        <f t="shared" si="77"/>
        <v/>
      </c>
      <c r="AN144" s="130" t="str">
        <f t="shared" si="77"/>
        <v/>
      </c>
      <c r="AO144" s="130" t="str">
        <f t="shared" si="77"/>
        <v/>
      </c>
      <c r="AP144" s="130" t="str">
        <f t="shared" si="77"/>
        <v/>
      </c>
      <c r="AQ144" s="130" t="str">
        <f t="shared" si="77"/>
        <v/>
      </c>
      <c r="AR144" s="131" t="str">
        <f t="shared" si="77"/>
        <v/>
      </c>
    </row>
    <row r="145" spans="1:44" s="45" customFormat="1" x14ac:dyDescent="0.15">
      <c r="C145" s="110" t="s">
        <v>37</v>
      </c>
      <c r="E145" s="235">
        <f>IF(Year&gt;Contract_Length,"",IF(OR(Tariff_Period=1,MOD(Year,Tariff_Period)=1),IF(D111=0,,D137/D111),D144))</f>
        <v>45.881495253325568</v>
      </c>
      <c r="F145" s="236">
        <f t="shared" ref="F145:AR145" si="78">IF(Year&gt;Contract_Length,"",IF(OR(Tariff_Period=1,MOD(Year,Tariff_Period)=1),IF(E111=0,,E137/E111),E145))</f>
        <v>45.881495253325568</v>
      </c>
      <c r="G145" s="124">
        <f t="shared" si="78"/>
        <v>45.881495253325568</v>
      </c>
      <c r="H145" s="124">
        <f t="shared" si="78"/>
        <v>45.881495253325568</v>
      </c>
      <c r="I145" s="124">
        <f t="shared" si="78"/>
        <v>45.881495253325568</v>
      </c>
      <c r="J145" s="124">
        <f t="shared" si="78"/>
        <v>51.043615624240374</v>
      </c>
      <c r="K145" s="124">
        <f t="shared" si="78"/>
        <v>51.043615624240374</v>
      </c>
      <c r="L145" s="124">
        <f t="shared" si="78"/>
        <v>51.043615624240374</v>
      </c>
      <c r="M145" s="124">
        <f t="shared" si="78"/>
        <v>51.043615624240374</v>
      </c>
      <c r="N145" s="124">
        <f t="shared" si="78"/>
        <v>51.043615624240374</v>
      </c>
      <c r="O145" s="124">
        <f t="shared" si="78"/>
        <v>60.03097548074021</v>
      </c>
      <c r="P145" s="124">
        <f t="shared" si="78"/>
        <v>60.03097548074021</v>
      </c>
      <c r="Q145" s="124">
        <f t="shared" si="78"/>
        <v>60.03097548074021</v>
      </c>
      <c r="R145" s="124">
        <f t="shared" si="78"/>
        <v>60.03097548074021</v>
      </c>
      <c r="S145" s="124">
        <f t="shared" si="78"/>
        <v>60.03097548074021</v>
      </c>
      <c r="T145" s="124">
        <f t="shared" si="78"/>
        <v>81.78799474549028</v>
      </c>
      <c r="U145" s="124">
        <f t="shared" si="78"/>
        <v>81.78799474549028</v>
      </c>
      <c r="V145" s="124">
        <f t="shared" si="78"/>
        <v>81.78799474549028</v>
      </c>
      <c r="W145" s="124">
        <f t="shared" si="78"/>
        <v>81.78799474549028</v>
      </c>
      <c r="X145" s="124">
        <f t="shared" si="78"/>
        <v>81.78799474549028</v>
      </c>
      <c r="Y145" s="124" t="str">
        <f t="shared" si="78"/>
        <v/>
      </c>
      <c r="Z145" s="124" t="str">
        <f t="shared" si="78"/>
        <v/>
      </c>
      <c r="AA145" s="124" t="str">
        <f t="shared" si="78"/>
        <v/>
      </c>
      <c r="AB145" s="124" t="str">
        <f t="shared" si="78"/>
        <v/>
      </c>
      <c r="AC145" s="124" t="str">
        <f t="shared" si="78"/>
        <v/>
      </c>
      <c r="AD145" s="124" t="str">
        <f t="shared" si="78"/>
        <v/>
      </c>
      <c r="AE145" s="124" t="str">
        <f t="shared" si="78"/>
        <v/>
      </c>
      <c r="AF145" s="124" t="str">
        <f t="shared" si="78"/>
        <v/>
      </c>
      <c r="AG145" s="124" t="str">
        <f t="shared" si="78"/>
        <v/>
      </c>
      <c r="AH145" s="124" t="str">
        <f t="shared" si="78"/>
        <v/>
      </c>
      <c r="AI145" s="124" t="str">
        <f t="shared" si="78"/>
        <v/>
      </c>
      <c r="AJ145" s="124" t="str">
        <f t="shared" si="78"/>
        <v/>
      </c>
      <c r="AK145" s="124" t="str">
        <f t="shared" si="78"/>
        <v/>
      </c>
      <c r="AL145" s="124" t="str">
        <f t="shared" si="78"/>
        <v/>
      </c>
      <c r="AM145" s="124" t="str">
        <f t="shared" si="78"/>
        <v/>
      </c>
      <c r="AN145" s="124" t="str">
        <f t="shared" si="78"/>
        <v/>
      </c>
      <c r="AO145" s="124" t="str">
        <f t="shared" si="78"/>
        <v/>
      </c>
      <c r="AP145" s="124" t="str">
        <f t="shared" si="78"/>
        <v/>
      </c>
      <c r="AQ145" s="124" t="str">
        <f t="shared" si="78"/>
        <v/>
      </c>
      <c r="AR145" s="125" t="str">
        <f t="shared" si="78"/>
        <v/>
      </c>
    </row>
    <row r="146" spans="1:44" s="43" customFormat="1" x14ac:dyDescent="0.15">
      <c r="C146" s="28"/>
      <c r="E146" s="69"/>
      <c r="F146" s="69"/>
      <c r="G146" s="69"/>
      <c r="H146" s="69"/>
      <c r="I146" s="69"/>
      <c r="J146" s="69"/>
      <c r="K146" s="69"/>
      <c r="L146" s="69"/>
      <c r="M146" s="69"/>
      <c r="N146" s="69"/>
    </row>
    <row r="147" spans="1:44" s="43" customFormat="1" x14ac:dyDescent="0.15">
      <c r="A147" s="28" t="s">
        <v>150</v>
      </c>
      <c r="C147" s="28"/>
    </row>
    <row r="148" spans="1:44" s="26" customFormat="1" ht="18" x14ac:dyDescent="0.2">
      <c r="A148" s="24" t="s">
        <v>63</v>
      </c>
      <c r="B148" s="25"/>
      <c r="C148" s="25"/>
    </row>
    <row r="149" spans="1:44" s="45" customFormat="1" x14ac:dyDescent="0.15">
      <c r="B149" s="35" t="s">
        <v>64</v>
      </c>
      <c r="D149" s="43"/>
      <c r="E149" s="133">
        <f t="shared" ref="E149:AR149" si="79">IF(DeflateFactor_Risk=0,,1/DeflateFactor_Risk)</f>
        <v>1.0589621730641179</v>
      </c>
      <c r="F149" s="134">
        <f t="shared" si="79"/>
        <v>1.1303698230271051</v>
      </c>
      <c r="G149" s="134">
        <f t="shared" si="79"/>
        <v>1.2165285196810569</v>
      </c>
      <c r="H149" s="134">
        <f t="shared" si="79"/>
        <v>1.3098830392143477</v>
      </c>
      <c r="I149" s="134">
        <f t="shared" si="79"/>
        <v>1.4127364027000262</v>
      </c>
      <c r="J149" s="134">
        <f t="shared" si="79"/>
        <v>1.5250567203408272</v>
      </c>
      <c r="K149" s="134">
        <f t="shared" si="79"/>
        <v>1.6494121630360021</v>
      </c>
      <c r="L149" s="134">
        <f t="shared" si="79"/>
        <v>1.7851097807770793</v>
      </c>
      <c r="M149" s="134">
        <f t="shared" si="79"/>
        <v>1.940047091724548</v>
      </c>
      <c r="N149" s="134">
        <f t="shared" si="79"/>
        <v>2.1051068531679666</v>
      </c>
      <c r="O149" s="134">
        <f t="shared" si="79"/>
        <v>2.2776649924341221</v>
      </c>
      <c r="P149" s="134">
        <f t="shared" si="79"/>
        <v>2.4757841933184381</v>
      </c>
      <c r="Q149" s="134">
        <f t="shared" si="79"/>
        <v>2.6913805562808784</v>
      </c>
      <c r="R149" s="134">
        <f t="shared" si="79"/>
        <v>2.9228429907830464</v>
      </c>
      <c r="S149" s="134">
        <f t="shared" si="79"/>
        <v>3.1688009291683419</v>
      </c>
      <c r="T149" s="134">
        <f t="shared" si="79"/>
        <v>3.4366246538704668</v>
      </c>
      <c r="U149" s="134">
        <f t="shared" si="79"/>
        <v>3.7193135716732053</v>
      </c>
      <c r="V149" s="134">
        <f t="shared" si="79"/>
        <v>4.0303459915965272</v>
      </c>
      <c r="W149" s="134">
        <f t="shared" si="79"/>
        <v>4.3679415610257912</v>
      </c>
      <c r="X149" s="134">
        <f t="shared" si="79"/>
        <v>4.7478406173456085</v>
      </c>
      <c r="Y149" s="134">
        <f t="shared" ca="1" si="79"/>
        <v>5.158078145893592</v>
      </c>
      <c r="Z149" s="134">
        <f t="shared" ca="1" si="79"/>
        <v>5.5846065537935541</v>
      </c>
      <c r="AA149" s="134">
        <f t="shared" ca="1" si="79"/>
        <v>6.061053828687025</v>
      </c>
      <c r="AB149" s="134">
        <f t="shared" ca="1" si="79"/>
        <v>6.5874631094881106</v>
      </c>
      <c r="AC149" s="134">
        <f t="shared" ca="1" si="79"/>
        <v>7.1801224323321344</v>
      </c>
      <c r="AD149" s="134">
        <f t="shared" ca="1" si="79"/>
        <v>7.8060619944116816</v>
      </c>
      <c r="AE149" s="134">
        <f t="shared" ca="1" si="79"/>
        <v>8.4950330939517205</v>
      </c>
      <c r="AF149" s="134">
        <f t="shared" ca="1" si="79"/>
        <v>9.2209167866188686</v>
      </c>
      <c r="AG149" s="134">
        <f t="shared" ca="1" si="79"/>
        <v>10.000544228510121</v>
      </c>
      <c r="AH149" s="134">
        <f t="shared" ca="1" si="79"/>
        <v>10.840667665332088</v>
      </c>
      <c r="AI149" s="134">
        <f t="shared" ca="1" si="79"/>
        <v>11.742739322659389</v>
      </c>
      <c r="AJ149" s="134">
        <f t="shared" ca="1" si="79"/>
        <v>12.731348494808078</v>
      </c>
      <c r="AK149" s="134">
        <f t="shared" ca="1" si="79"/>
        <v>13.817369135255893</v>
      </c>
      <c r="AL149" s="134">
        <f t="shared" ca="1" si="79"/>
        <v>14.972842889818219</v>
      </c>
      <c r="AM149" s="134">
        <f t="shared" ca="1" si="79"/>
        <v>16.207492649920276</v>
      </c>
      <c r="AN149" s="134">
        <f t="shared" ca="1" si="79"/>
        <v>17.601428673766659</v>
      </c>
      <c r="AO149" s="134">
        <f t="shared" ca="1" si="79"/>
        <v>19.105198057906456</v>
      </c>
      <c r="AP149" s="134">
        <f t="shared" ca="1" si="79"/>
        <v>20.720027318394479</v>
      </c>
      <c r="AQ149" s="134">
        <f t="shared" ca="1" si="79"/>
        <v>22.470851459066658</v>
      </c>
      <c r="AR149" s="135">
        <f t="shared" ca="1" si="79"/>
        <v>24.350854481002347</v>
      </c>
    </row>
    <row r="150" spans="1:44" s="45" customFormat="1" x14ac:dyDescent="0.15">
      <c r="B150" s="75" t="s">
        <v>62</v>
      </c>
      <c r="E150" s="107"/>
    </row>
    <row r="151" spans="1:44" s="45" customFormat="1" x14ac:dyDescent="0.15">
      <c r="C151" s="110" t="s">
        <v>38</v>
      </c>
      <c r="E151" s="129">
        <f t="shared" ref="E151:AR151" si="80">IF(Year="",,E141*TariffIndex_Risk)</f>
        <v>0.67347545306226153</v>
      </c>
      <c r="F151" s="130">
        <f t="shared" si="80"/>
        <v>0.71888906710267764</v>
      </c>
      <c r="G151" s="130">
        <f t="shared" si="80"/>
        <v>0.77368400571354035</v>
      </c>
      <c r="H151" s="130">
        <f t="shared" si="80"/>
        <v>0.83305532126881843</v>
      </c>
      <c r="I151" s="130">
        <f t="shared" si="80"/>
        <v>0.89846768191250759</v>
      </c>
      <c r="J151" s="130">
        <f t="shared" si="80"/>
        <v>0.96990080647101384</v>
      </c>
      <c r="K151" s="130">
        <f t="shared" si="80"/>
        <v>1.0489879922460812</v>
      </c>
      <c r="L151" s="130">
        <f t="shared" si="80"/>
        <v>1.1352885390571221</v>
      </c>
      <c r="M151" s="130">
        <f t="shared" si="80"/>
        <v>1.2338250858203248</v>
      </c>
      <c r="N151" s="130">
        <f t="shared" si="80"/>
        <v>1.3387992770124444</v>
      </c>
      <c r="O151" s="130">
        <f t="shared" si="80"/>
        <v>1.4485422630962526</v>
      </c>
      <c r="P151" s="130">
        <f t="shared" si="80"/>
        <v>1.5745414932574409</v>
      </c>
      <c r="Q151" s="130">
        <f t="shared" si="80"/>
        <v>1.7116557943325876</v>
      </c>
      <c r="R151" s="130">
        <f t="shared" si="80"/>
        <v>1.8588605499965118</v>
      </c>
      <c r="S151" s="130">
        <f t="shared" si="80"/>
        <v>2.015284110914648</v>
      </c>
      <c r="T151" s="130">
        <f t="shared" si="80"/>
        <v>2.1856138062735253</v>
      </c>
      <c r="U151" s="130">
        <f t="shared" si="80"/>
        <v>2.3653974206796957</v>
      </c>
      <c r="V151" s="130">
        <f t="shared" si="80"/>
        <v>2.5632068469775202</v>
      </c>
      <c r="W151" s="130">
        <f t="shared" si="80"/>
        <v>2.7779098220755927</v>
      </c>
      <c r="X151" s="130">
        <f t="shared" si="80"/>
        <v>3.0195168365476981</v>
      </c>
      <c r="Y151" s="130">
        <f t="shared" si="80"/>
        <v>0</v>
      </c>
      <c r="Z151" s="130">
        <f t="shared" si="80"/>
        <v>0</v>
      </c>
      <c r="AA151" s="130">
        <f t="shared" si="80"/>
        <v>0</v>
      </c>
      <c r="AB151" s="130">
        <f t="shared" si="80"/>
        <v>0</v>
      </c>
      <c r="AC151" s="130">
        <f t="shared" si="80"/>
        <v>0</v>
      </c>
      <c r="AD151" s="130">
        <f t="shared" si="80"/>
        <v>0</v>
      </c>
      <c r="AE151" s="130">
        <f t="shared" si="80"/>
        <v>0</v>
      </c>
      <c r="AF151" s="130">
        <f t="shared" si="80"/>
        <v>0</v>
      </c>
      <c r="AG151" s="130">
        <f t="shared" si="80"/>
        <v>0</v>
      </c>
      <c r="AH151" s="130">
        <f t="shared" si="80"/>
        <v>0</v>
      </c>
      <c r="AI151" s="130">
        <f t="shared" si="80"/>
        <v>0</v>
      </c>
      <c r="AJ151" s="130">
        <f t="shared" si="80"/>
        <v>0</v>
      </c>
      <c r="AK151" s="130">
        <f t="shared" si="80"/>
        <v>0</v>
      </c>
      <c r="AL151" s="130">
        <f t="shared" si="80"/>
        <v>0</v>
      </c>
      <c r="AM151" s="130">
        <f t="shared" si="80"/>
        <v>0</v>
      </c>
      <c r="AN151" s="130">
        <f t="shared" si="80"/>
        <v>0</v>
      </c>
      <c r="AO151" s="130">
        <f t="shared" si="80"/>
        <v>0</v>
      </c>
      <c r="AP151" s="130">
        <f t="shared" si="80"/>
        <v>0</v>
      </c>
      <c r="AQ151" s="130">
        <f t="shared" si="80"/>
        <v>0</v>
      </c>
      <c r="AR151" s="131">
        <f t="shared" si="80"/>
        <v>0</v>
      </c>
    </row>
    <row r="152" spans="1:44" s="45" customFormat="1" x14ac:dyDescent="0.15">
      <c r="C152" s="110" t="s">
        <v>37</v>
      </c>
      <c r="E152" s="123">
        <f t="shared" ref="E152:AR152" si="81">IF(Year="",,E142*TariffIndex_Risk)</f>
        <v>61.200000115675977</v>
      </c>
      <c r="F152" s="124">
        <f t="shared" si="81"/>
        <v>65.326821920226266</v>
      </c>
      <c r="G152" s="124">
        <f t="shared" si="81"/>
        <v>70.306142597877212</v>
      </c>
      <c r="H152" s="124">
        <f t="shared" si="81"/>
        <v>75.701327384983244</v>
      </c>
      <c r="I152" s="124">
        <f t="shared" si="81"/>
        <v>81.64547347190873</v>
      </c>
      <c r="J152" s="124">
        <f t="shared" si="81"/>
        <v>88.136737869691501</v>
      </c>
      <c r="K152" s="124">
        <f t="shared" si="81"/>
        <v>95.323541422181421</v>
      </c>
      <c r="L152" s="124">
        <f t="shared" si="81"/>
        <v>103.16583686265136</v>
      </c>
      <c r="M152" s="124">
        <f t="shared" si="81"/>
        <v>112.12004097786624</v>
      </c>
      <c r="N152" s="124">
        <f t="shared" si="81"/>
        <v>121.65924613209891</v>
      </c>
      <c r="O152" s="124">
        <f t="shared" si="81"/>
        <v>131.63180078199019</v>
      </c>
      <c r="P152" s="124">
        <f t="shared" si="81"/>
        <v>143.0815913651177</v>
      </c>
      <c r="Q152" s="124">
        <f t="shared" si="81"/>
        <v>155.54142966138303</v>
      </c>
      <c r="R152" s="124">
        <f t="shared" si="81"/>
        <v>168.91820682927687</v>
      </c>
      <c r="S152" s="124">
        <f t="shared" si="81"/>
        <v>183.13271442974818</v>
      </c>
      <c r="T152" s="124">
        <f t="shared" si="81"/>
        <v>198.61089901430591</v>
      </c>
      <c r="U152" s="124">
        <f t="shared" si="81"/>
        <v>214.9481792706616</v>
      </c>
      <c r="V152" s="124">
        <f t="shared" si="81"/>
        <v>232.92349946572369</v>
      </c>
      <c r="W152" s="124">
        <f t="shared" si="81"/>
        <v>252.4339686908333</v>
      </c>
      <c r="X152" s="124">
        <f t="shared" si="81"/>
        <v>274.38925933492158</v>
      </c>
      <c r="Y152" s="124">
        <f t="shared" si="81"/>
        <v>0</v>
      </c>
      <c r="Z152" s="124">
        <f t="shared" si="81"/>
        <v>0</v>
      </c>
      <c r="AA152" s="124">
        <f t="shared" si="81"/>
        <v>0</v>
      </c>
      <c r="AB152" s="124">
        <f t="shared" si="81"/>
        <v>0</v>
      </c>
      <c r="AC152" s="124">
        <f t="shared" si="81"/>
        <v>0</v>
      </c>
      <c r="AD152" s="124">
        <f t="shared" si="81"/>
        <v>0</v>
      </c>
      <c r="AE152" s="124">
        <f t="shared" si="81"/>
        <v>0</v>
      </c>
      <c r="AF152" s="124">
        <f t="shared" si="81"/>
        <v>0</v>
      </c>
      <c r="AG152" s="124">
        <f t="shared" si="81"/>
        <v>0</v>
      </c>
      <c r="AH152" s="124">
        <f t="shared" si="81"/>
        <v>0</v>
      </c>
      <c r="AI152" s="124">
        <f t="shared" si="81"/>
        <v>0</v>
      </c>
      <c r="AJ152" s="124">
        <f t="shared" si="81"/>
        <v>0</v>
      </c>
      <c r="AK152" s="124">
        <f t="shared" si="81"/>
        <v>0</v>
      </c>
      <c r="AL152" s="124">
        <f t="shared" si="81"/>
        <v>0</v>
      </c>
      <c r="AM152" s="124">
        <f t="shared" si="81"/>
        <v>0</v>
      </c>
      <c r="AN152" s="124">
        <f t="shared" si="81"/>
        <v>0</v>
      </c>
      <c r="AO152" s="124">
        <f t="shared" si="81"/>
        <v>0</v>
      </c>
      <c r="AP152" s="124">
        <f t="shared" si="81"/>
        <v>0</v>
      </c>
      <c r="AQ152" s="124">
        <f t="shared" si="81"/>
        <v>0</v>
      </c>
      <c r="AR152" s="125">
        <f t="shared" si="81"/>
        <v>0</v>
      </c>
    </row>
    <row r="153" spans="1:44" s="45" customFormat="1" x14ac:dyDescent="0.15">
      <c r="B153" s="68" t="str">
        <f>CONCATENATE(Tariff_Period," year reset period")</f>
        <v>5 year reset period</v>
      </c>
      <c r="C153" s="43"/>
      <c r="F153" s="69"/>
      <c r="G153" s="69"/>
      <c r="H153" s="69"/>
      <c r="I153" s="69"/>
      <c r="J153" s="69"/>
      <c r="K153" s="69"/>
      <c r="L153" s="69"/>
      <c r="M153" s="69"/>
      <c r="N153" s="69"/>
      <c r="O153" s="69"/>
      <c r="P153" s="69"/>
      <c r="Q153" s="69"/>
      <c r="R153" s="69"/>
      <c r="S153" s="69"/>
      <c r="T153" s="69"/>
      <c r="U153" s="69"/>
      <c r="V153" s="69"/>
      <c r="W153" s="69"/>
      <c r="X153" s="69"/>
      <c r="Y153" s="69"/>
      <c r="Z153" s="69"/>
      <c r="AA153" s="69"/>
      <c r="AB153" s="69"/>
      <c r="AC153" s="69"/>
      <c r="AD153" s="69"/>
      <c r="AE153" s="69"/>
      <c r="AF153" s="69"/>
      <c r="AG153" s="69"/>
      <c r="AH153" s="69"/>
      <c r="AI153" s="69"/>
      <c r="AJ153" s="69"/>
      <c r="AK153" s="69"/>
      <c r="AL153" s="69"/>
      <c r="AM153" s="69"/>
      <c r="AN153" s="69"/>
      <c r="AO153" s="69"/>
      <c r="AP153" s="69"/>
      <c r="AQ153" s="69"/>
      <c r="AR153" s="69"/>
    </row>
    <row r="154" spans="1:44" s="45" customFormat="1" x14ac:dyDescent="0.15">
      <c r="C154" s="110" t="s">
        <v>38</v>
      </c>
      <c r="E154" s="129">
        <f t="shared" ref="E154:AR154" si="82">IF(Year="",,E144*TariffIndex_Risk)</f>
        <v>0.26434132236730645</v>
      </c>
      <c r="F154" s="130">
        <f t="shared" si="82"/>
        <v>0.28216631470271714</v>
      </c>
      <c r="G154" s="130">
        <f t="shared" si="82"/>
        <v>0.30367350767548279</v>
      </c>
      <c r="H154" s="130">
        <f t="shared" si="82"/>
        <v>0.32697694359613533</v>
      </c>
      <c r="I154" s="130">
        <f t="shared" si="82"/>
        <v>0.3526515095110439</v>
      </c>
      <c r="J154" s="130">
        <f t="shared" si="82"/>
        <v>1.4628836604583897</v>
      </c>
      <c r="K154" s="130">
        <f t="shared" si="82"/>
        <v>1.582169417362687</v>
      </c>
      <c r="L154" s="130">
        <f t="shared" si="82"/>
        <v>1.7123349548858988</v>
      </c>
      <c r="M154" s="130">
        <f t="shared" si="82"/>
        <v>1.8609558275113831</v>
      </c>
      <c r="N154" s="130">
        <f t="shared" si="82"/>
        <v>2.0192864815743832</v>
      </c>
      <c r="O154" s="130">
        <f t="shared" si="82"/>
        <v>1.6244541842796782</v>
      </c>
      <c r="P154" s="130">
        <f t="shared" si="82"/>
        <v>1.7657548434774692</v>
      </c>
      <c r="Q154" s="130">
        <f t="shared" si="82"/>
        <v>1.9195203950810578</v>
      </c>
      <c r="R154" s="130">
        <f t="shared" si="82"/>
        <v>2.0846017926876388</v>
      </c>
      <c r="S154" s="130">
        <f t="shared" si="82"/>
        <v>2.2600215332965523</v>
      </c>
      <c r="T154" s="130">
        <f t="shared" si="82"/>
        <v>1.7338152764099473</v>
      </c>
      <c r="U154" s="130">
        <f t="shared" si="82"/>
        <v>1.8764349726302427</v>
      </c>
      <c r="V154" s="130">
        <f t="shared" si="82"/>
        <v>2.0333542802172548</v>
      </c>
      <c r="W154" s="130">
        <f t="shared" si="82"/>
        <v>2.2036749915191285</v>
      </c>
      <c r="X154" s="130">
        <f t="shared" si="82"/>
        <v>2.3953382814274971</v>
      </c>
      <c r="Y154" s="130">
        <f t="shared" si="82"/>
        <v>0</v>
      </c>
      <c r="Z154" s="130">
        <f t="shared" si="82"/>
        <v>0</v>
      </c>
      <c r="AA154" s="130">
        <f t="shared" si="82"/>
        <v>0</v>
      </c>
      <c r="AB154" s="130">
        <f t="shared" si="82"/>
        <v>0</v>
      </c>
      <c r="AC154" s="130">
        <f t="shared" si="82"/>
        <v>0</v>
      </c>
      <c r="AD154" s="130">
        <f t="shared" si="82"/>
        <v>0</v>
      </c>
      <c r="AE154" s="130">
        <f t="shared" si="82"/>
        <v>0</v>
      </c>
      <c r="AF154" s="130">
        <f t="shared" si="82"/>
        <v>0</v>
      </c>
      <c r="AG154" s="130">
        <f t="shared" si="82"/>
        <v>0</v>
      </c>
      <c r="AH154" s="130">
        <f t="shared" si="82"/>
        <v>0</v>
      </c>
      <c r="AI154" s="130">
        <f t="shared" si="82"/>
        <v>0</v>
      </c>
      <c r="AJ154" s="130">
        <f t="shared" si="82"/>
        <v>0</v>
      </c>
      <c r="AK154" s="130">
        <f t="shared" si="82"/>
        <v>0</v>
      </c>
      <c r="AL154" s="130">
        <f t="shared" si="82"/>
        <v>0</v>
      </c>
      <c r="AM154" s="130">
        <f t="shared" si="82"/>
        <v>0</v>
      </c>
      <c r="AN154" s="130">
        <f t="shared" si="82"/>
        <v>0</v>
      </c>
      <c r="AO154" s="130">
        <f t="shared" si="82"/>
        <v>0</v>
      </c>
      <c r="AP154" s="130">
        <f t="shared" si="82"/>
        <v>0</v>
      </c>
      <c r="AQ154" s="130">
        <f t="shared" si="82"/>
        <v>0</v>
      </c>
      <c r="AR154" s="131">
        <f t="shared" si="82"/>
        <v>0</v>
      </c>
    </row>
    <row r="155" spans="1:44" s="45" customFormat="1" x14ac:dyDescent="0.15">
      <c r="C155" s="110" t="s">
        <v>37</v>
      </c>
      <c r="E155" s="123">
        <f t="shared" ref="E155:AR155" si="83">IF(Year="",,E145*TariffIndex_Risk)</f>
        <v>48.586767916892654</v>
      </c>
      <c r="F155" s="124">
        <f t="shared" si="83"/>
        <v>51.863057669720583</v>
      </c>
      <c r="G155" s="124">
        <f t="shared" si="83"/>
        <v>55.816147501281591</v>
      </c>
      <c r="H155" s="124">
        <f t="shared" si="83"/>
        <v>60.09939244612476</v>
      </c>
      <c r="I155" s="124">
        <f t="shared" si="83"/>
        <v>64.818458554681484</v>
      </c>
      <c r="J155" s="124">
        <f t="shared" si="83"/>
        <v>77.844409038241835</v>
      </c>
      <c r="K155" s="124">
        <f t="shared" si="83"/>
        <v>84.19196045595659</v>
      </c>
      <c r="L155" s="124">
        <f t="shared" si="83"/>
        <v>91.118457497057236</v>
      </c>
      <c r="M155" s="124">
        <f t="shared" si="83"/>
        <v>99.027018042913241</v>
      </c>
      <c r="N155" s="124">
        <f t="shared" si="83"/>
        <v>107.4522650610599</v>
      </c>
      <c r="O155" s="124">
        <f t="shared" si="83"/>
        <v>136.73045131415313</v>
      </c>
      <c r="P155" s="124">
        <f t="shared" si="83"/>
        <v>148.62374020470335</v>
      </c>
      <c r="Q155" s="124">
        <f t="shared" si="83"/>
        <v>161.56620018343835</v>
      </c>
      <c r="R155" s="124">
        <f t="shared" si="83"/>
        <v>175.46111591375043</v>
      </c>
      <c r="S155" s="124">
        <f t="shared" si="83"/>
        <v>190.22621088225154</v>
      </c>
      <c r="T155" s="124">
        <f t="shared" si="83"/>
        <v>281.07463913298011</v>
      </c>
      <c r="U155" s="124">
        <f t="shared" si="83"/>
        <v>304.19519885683883</v>
      </c>
      <c r="V155" s="124">
        <f t="shared" si="83"/>
        <v>329.6339167832046</v>
      </c>
      <c r="W155" s="124">
        <f t="shared" si="83"/>
        <v>357.24518144178603</v>
      </c>
      <c r="X155" s="124">
        <f t="shared" si="83"/>
        <v>388.31636346388797</v>
      </c>
      <c r="Y155" s="124">
        <f t="shared" si="83"/>
        <v>0</v>
      </c>
      <c r="Z155" s="124">
        <f t="shared" si="83"/>
        <v>0</v>
      </c>
      <c r="AA155" s="124">
        <f t="shared" si="83"/>
        <v>0</v>
      </c>
      <c r="AB155" s="124">
        <f t="shared" si="83"/>
        <v>0</v>
      </c>
      <c r="AC155" s="124">
        <f t="shared" si="83"/>
        <v>0</v>
      </c>
      <c r="AD155" s="124">
        <f t="shared" si="83"/>
        <v>0</v>
      </c>
      <c r="AE155" s="124">
        <f t="shared" si="83"/>
        <v>0</v>
      </c>
      <c r="AF155" s="124">
        <f t="shared" si="83"/>
        <v>0</v>
      </c>
      <c r="AG155" s="124">
        <f t="shared" si="83"/>
        <v>0</v>
      </c>
      <c r="AH155" s="124">
        <f t="shared" si="83"/>
        <v>0</v>
      </c>
      <c r="AI155" s="124">
        <f t="shared" si="83"/>
        <v>0</v>
      </c>
      <c r="AJ155" s="124">
        <f t="shared" si="83"/>
        <v>0</v>
      </c>
      <c r="AK155" s="124">
        <f t="shared" si="83"/>
        <v>0</v>
      </c>
      <c r="AL155" s="124">
        <f t="shared" si="83"/>
        <v>0</v>
      </c>
      <c r="AM155" s="124">
        <f t="shared" si="83"/>
        <v>0</v>
      </c>
      <c r="AN155" s="124">
        <f t="shared" si="83"/>
        <v>0</v>
      </c>
      <c r="AO155" s="124">
        <f t="shared" si="83"/>
        <v>0</v>
      </c>
      <c r="AP155" s="124">
        <f t="shared" si="83"/>
        <v>0</v>
      </c>
      <c r="AQ155" s="124">
        <f t="shared" si="83"/>
        <v>0</v>
      </c>
      <c r="AR155" s="125">
        <f t="shared" si="83"/>
        <v>0</v>
      </c>
    </row>
    <row r="156" spans="1:44" s="43" customFormat="1" x14ac:dyDescent="0.15">
      <c r="C156" s="28"/>
    </row>
    <row r="157" spans="1:44" s="43" customFormat="1" x14ac:dyDescent="0.15">
      <c r="C157" s="28"/>
    </row>
    <row r="158" spans="1:44" s="26" customFormat="1" ht="18" x14ac:dyDescent="0.2">
      <c r="A158" s="24" t="str">
        <f>CONCATENATE("Profit (",MonDenomination,")")</f>
        <v>Profit (Millions)</v>
      </c>
      <c r="B158" s="25"/>
      <c r="C158" s="25"/>
      <c r="D158" s="43"/>
      <c r="E158" s="43"/>
      <c r="F158" s="43"/>
      <c r="G158" s="43"/>
      <c r="H158" s="43"/>
      <c r="I158" s="43"/>
      <c r="J158" s="43"/>
      <c r="K158" s="43"/>
      <c r="L158" s="43"/>
      <c r="M158" s="43"/>
      <c r="N158" s="43"/>
    </row>
    <row r="159" spans="1:44" s="45" customFormat="1" x14ac:dyDescent="0.15">
      <c r="A159" s="75"/>
      <c r="B159" s="77" t="s">
        <v>65</v>
      </c>
    </row>
    <row r="160" spans="1:44" s="45" customFormat="1" x14ac:dyDescent="0.15">
      <c r="C160" s="35" t="s">
        <v>62</v>
      </c>
      <c r="E160" s="46">
        <f t="shared" ref="E160:AR160" si="84">IF(Year="",,(E151+E152)*BilledDemand_Risk*Collection_FC)</f>
        <v>85.673660340226974</v>
      </c>
      <c r="F160" s="47">
        <f t="shared" si="84"/>
        <v>93.678882323581632</v>
      </c>
      <c r="G160" s="47">
        <f t="shared" si="84"/>
        <v>107.34103323441671</v>
      </c>
      <c r="H160" s="47">
        <f t="shared" si="84"/>
        <v>130.63287645079905</v>
      </c>
      <c r="I160" s="47">
        <f t="shared" si="84"/>
        <v>171.31994010376187</v>
      </c>
      <c r="J160" s="47">
        <f t="shared" si="84"/>
        <v>217.09376112796463</v>
      </c>
      <c r="K160" s="47">
        <f t="shared" si="84"/>
        <v>263.03085265680107</v>
      </c>
      <c r="L160" s="47">
        <f t="shared" si="84"/>
        <v>308.82526852291539</v>
      </c>
      <c r="M160" s="47">
        <f t="shared" si="84"/>
        <v>343.00985243435071</v>
      </c>
      <c r="N160" s="47">
        <f t="shared" si="84"/>
        <v>400.12171733213177</v>
      </c>
      <c r="O160" s="47">
        <f t="shared" si="84"/>
        <v>441.89236743745499</v>
      </c>
      <c r="P160" s="47">
        <f t="shared" si="84"/>
        <v>496.00472955468439</v>
      </c>
      <c r="Q160" s="47">
        <f t="shared" si="84"/>
        <v>541.00787312697764</v>
      </c>
      <c r="R160" s="47">
        <f t="shared" si="84"/>
        <v>606.56442707391636</v>
      </c>
      <c r="S160" s="47">
        <f t="shared" si="84"/>
        <v>628.56672311980833</v>
      </c>
      <c r="T160" s="47">
        <f t="shared" si="84"/>
        <v>677.02499187528758</v>
      </c>
      <c r="U160" s="47">
        <f t="shared" si="84"/>
        <v>756.77443942544335</v>
      </c>
      <c r="V160" s="47">
        <f t="shared" si="84"/>
        <v>839.06552202082446</v>
      </c>
      <c r="W160" s="47">
        <f t="shared" si="84"/>
        <v>911.27026814215196</v>
      </c>
      <c r="X160" s="47">
        <f t="shared" si="84"/>
        <v>1032.2877883969029</v>
      </c>
      <c r="Y160" s="47">
        <f t="shared" si="84"/>
        <v>0</v>
      </c>
      <c r="Z160" s="47">
        <f t="shared" si="84"/>
        <v>0</v>
      </c>
      <c r="AA160" s="47">
        <f t="shared" si="84"/>
        <v>0</v>
      </c>
      <c r="AB160" s="47">
        <f t="shared" si="84"/>
        <v>0</v>
      </c>
      <c r="AC160" s="47">
        <f t="shared" si="84"/>
        <v>0</v>
      </c>
      <c r="AD160" s="47">
        <f t="shared" si="84"/>
        <v>0</v>
      </c>
      <c r="AE160" s="47">
        <f t="shared" si="84"/>
        <v>0</v>
      </c>
      <c r="AF160" s="47">
        <f t="shared" si="84"/>
        <v>0</v>
      </c>
      <c r="AG160" s="47">
        <f t="shared" si="84"/>
        <v>0</v>
      </c>
      <c r="AH160" s="47">
        <f t="shared" si="84"/>
        <v>0</v>
      </c>
      <c r="AI160" s="47">
        <f t="shared" si="84"/>
        <v>0</v>
      </c>
      <c r="AJ160" s="47">
        <f t="shared" si="84"/>
        <v>0</v>
      </c>
      <c r="AK160" s="47">
        <f t="shared" si="84"/>
        <v>0</v>
      </c>
      <c r="AL160" s="47">
        <f t="shared" si="84"/>
        <v>0</v>
      </c>
      <c r="AM160" s="47">
        <f t="shared" si="84"/>
        <v>0</v>
      </c>
      <c r="AN160" s="47">
        <f t="shared" si="84"/>
        <v>0</v>
      </c>
      <c r="AO160" s="47">
        <f t="shared" si="84"/>
        <v>0</v>
      </c>
      <c r="AP160" s="47">
        <f t="shared" si="84"/>
        <v>0</v>
      </c>
      <c r="AQ160" s="47">
        <f t="shared" si="84"/>
        <v>0</v>
      </c>
      <c r="AR160" s="48">
        <f t="shared" si="84"/>
        <v>0</v>
      </c>
    </row>
    <row r="161" spans="1:64" s="45" customFormat="1" x14ac:dyDescent="0.15">
      <c r="B161" s="35"/>
      <c r="C161" s="43" t="str">
        <f>CONCATENATE(Tariff_Period," year reset period")</f>
        <v>5 year reset period</v>
      </c>
      <c r="E161" s="49">
        <f t="shared" ref="E161:AR161" si="85">IF(Year="",,(E154+E155)*BilledDemand_Risk*Collection_FC)</f>
        <v>67.642124541041525</v>
      </c>
      <c r="F161" s="50">
        <f t="shared" si="85"/>
        <v>73.962506093859432</v>
      </c>
      <c r="G161" s="50">
        <f t="shared" si="85"/>
        <v>84.749215915049319</v>
      </c>
      <c r="H161" s="50">
        <f t="shared" si="85"/>
        <v>103.13887912514548</v>
      </c>
      <c r="I161" s="50">
        <f t="shared" si="85"/>
        <v>135.26263123161121</v>
      </c>
      <c r="J161" s="50">
        <f t="shared" si="85"/>
        <v>193.21925630489594</v>
      </c>
      <c r="K161" s="50">
        <f t="shared" si="85"/>
        <v>234.10449693039624</v>
      </c>
      <c r="L161" s="50">
        <f t="shared" si="85"/>
        <v>274.86275239842013</v>
      </c>
      <c r="M161" s="50">
        <f t="shared" si="85"/>
        <v>305.28794677591532</v>
      </c>
      <c r="N161" s="50">
        <f t="shared" si="85"/>
        <v>356.11903470953115</v>
      </c>
      <c r="O161" s="50">
        <f t="shared" si="85"/>
        <v>459.40651593131844</v>
      </c>
      <c r="P161" s="50">
        <f t="shared" si="85"/>
        <v>515.66359023484517</v>
      </c>
      <c r="Q161" s="50">
        <f t="shared" si="85"/>
        <v>562.4504073830966</v>
      </c>
      <c r="R161" s="50">
        <f t="shared" si="85"/>
        <v>630.6052574427988</v>
      </c>
      <c r="S161" s="50">
        <f t="shared" si="85"/>
        <v>653.4796017713719</v>
      </c>
      <c r="T161" s="50">
        <f t="shared" si="85"/>
        <v>953.54440602195825</v>
      </c>
      <c r="U161" s="50">
        <f t="shared" si="85"/>
        <v>1065.86616741537</v>
      </c>
      <c r="V161" s="50">
        <f t="shared" si="85"/>
        <v>1181.7676517268546</v>
      </c>
      <c r="W161" s="50">
        <f t="shared" si="85"/>
        <v>1283.4632059212704</v>
      </c>
      <c r="X161" s="50">
        <f t="shared" si="85"/>
        <v>1453.9082867593252</v>
      </c>
      <c r="Y161" s="50">
        <f t="shared" si="85"/>
        <v>0</v>
      </c>
      <c r="Z161" s="50">
        <f t="shared" si="85"/>
        <v>0</v>
      </c>
      <c r="AA161" s="50">
        <f t="shared" si="85"/>
        <v>0</v>
      </c>
      <c r="AB161" s="50">
        <f t="shared" si="85"/>
        <v>0</v>
      </c>
      <c r="AC161" s="50">
        <f t="shared" si="85"/>
        <v>0</v>
      </c>
      <c r="AD161" s="50">
        <f t="shared" si="85"/>
        <v>0</v>
      </c>
      <c r="AE161" s="50">
        <f t="shared" si="85"/>
        <v>0</v>
      </c>
      <c r="AF161" s="50">
        <f t="shared" si="85"/>
        <v>0</v>
      </c>
      <c r="AG161" s="50">
        <f t="shared" si="85"/>
        <v>0</v>
      </c>
      <c r="AH161" s="50">
        <f t="shared" si="85"/>
        <v>0</v>
      </c>
      <c r="AI161" s="50">
        <f t="shared" si="85"/>
        <v>0</v>
      </c>
      <c r="AJ161" s="50">
        <f t="shared" si="85"/>
        <v>0</v>
      </c>
      <c r="AK161" s="50">
        <f t="shared" si="85"/>
        <v>0</v>
      </c>
      <c r="AL161" s="50">
        <f t="shared" si="85"/>
        <v>0</v>
      </c>
      <c r="AM161" s="50">
        <f t="shared" si="85"/>
        <v>0</v>
      </c>
      <c r="AN161" s="50">
        <f t="shared" si="85"/>
        <v>0</v>
      </c>
      <c r="AO161" s="50">
        <f t="shared" si="85"/>
        <v>0</v>
      </c>
      <c r="AP161" s="50">
        <f t="shared" si="85"/>
        <v>0</v>
      </c>
      <c r="AQ161" s="50">
        <f t="shared" si="85"/>
        <v>0</v>
      </c>
      <c r="AR161" s="51">
        <f t="shared" si="85"/>
        <v>0</v>
      </c>
    </row>
    <row r="162" spans="1:64" s="45" customFormat="1" x14ac:dyDescent="0.15">
      <c r="B162" s="75"/>
    </row>
    <row r="163" spans="1:64" s="45" customFormat="1" x14ac:dyDescent="0.15">
      <c r="A163" s="75"/>
      <c r="B163" s="75"/>
      <c r="C163" s="77" t="s">
        <v>66</v>
      </c>
    </row>
    <row r="164" spans="1:64" s="45" customFormat="1" x14ac:dyDescent="0.15">
      <c r="C164" s="35" t="s">
        <v>24</v>
      </c>
      <c r="E164" s="46">
        <f t="shared" ref="E164:AR164" si="86">IF(Year="",,(E21+E24*BilledDemand_Risk/(1-UFW_FC)+(E22+E25*BilledDemand_Risk/(1-UFW_FC))*RealExRate_Risk)/DeflateFactor_Risk)</f>
        <v>53.557970241294981</v>
      </c>
      <c r="F164" s="47">
        <f t="shared" si="86"/>
        <v>64.074110838970384</v>
      </c>
      <c r="G164" s="47">
        <f t="shared" si="86"/>
        <v>76.699924158450173</v>
      </c>
      <c r="H164" s="47">
        <f t="shared" si="86"/>
        <v>94.636297989631387</v>
      </c>
      <c r="I164" s="47">
        <f t="shared" si="86"/>
        <v>125.81722607551252</v>
      </c>
      <c r="J164" s="47">
        <f t="shared" si="86"/>
        <v>157.96754996950634</v>
      </c>
      <c r="K164" s="47">
        <f t="shared" si="86"/>
        <v>198.16917830030417</v>
      </c>
      <c r="L164" s="47">
        <f t="shared" si="86"/>
        <v>234.92948100039831</v>
      </c>
      <c r="M164" s="47">
        <f t="shared" si="86"/>
        <v>269.56231463340384</v>
      </c>
      <c r="N164" s="47">
        <f t="shared" si="86"/>
        <v>329.27521823599045</v>
      </c>
      <c r="O164" s="47">
        <f t="shared" si="86"/>
        <v>376.58814647666833</v>
      </c>
      <c r="P164" s="47">
        <f t="shared" si="86"/>
        <v>437.33560734056601</v>
      </c>
      <c r="Q164" s="47">
        <f t="shared" si="86"/>
        <v>490.92708825393368</v>
      </c>
      <c r="R164" s="47">
        <f t="shared" si="86"/>
        <v>593.08603266157218</v>
      </c>
      <c r="S164" s="47">
        <f t="shared" si="86"/>
        <v>684.17962435048992</v>
      </c>
      <c r="T164" s="47">
        <f t="shared" si="86"/>
        <v>799.58450060181985</v>
      </c>
      <c r="U164" s="47">
        <f t="shared" si="86"/>
        <v>921.14153670256383</v>
      </c>
      <c r="V164" s="47">
        <f t="shared" si="86"/>
        <v>1102.8032969249773</v>
      </c>
      <c r="W164" s="47">
        <f t="shared" si="86"/>
        <v>1282.728314044241</v>
      </c>
      <c r="X164" s="47">
        <f t="shared" si="86"/>
        <v>1476.1348003372827</v>
      </c>
      <c r="Y164" s="47">
        <f t="shared" si="86"/>
        <v>0</v>
      </c>
      <c r="Z164" s="47">
        <f t="shared" si="86"/>
        <v>0</v>
      </c>
      <c r="AA164" s="47">
        <f t="shared" si="86"/>
        <v>0</v>
      </c>
      <c r="AB164" s="47">
        <f t="shared" si="86"/>
        <v>0</v>
      </c>
      <c r="AC164" s="47">
        <f t="shared" si="86"/>
        <v>0</v>
      </c>
      <c r="AD164" s="47">
        <f t="shared" si="86"/>
        <v>0</v>
      </c>
      <c r="AE164" s="47">
        <f t="shared" si="86"/>
        <v>0</v>
      </c>
      <c r="AF164" s="47">
        <f t="shared" si="86"/>
        <v>0</v>
      </c>
      <c r="AG164" s="47">
        <f t="shared" si="86"/>
        <v>0</v>
      </c>
      <c r="AH164" s="47">
        <f t="shared" si="86"/>
        <v>0</v>
      </c>
      <c r="AI164" s="47">
        <f t="shared" si="86"/>
        <v>0</v>
      </c>
      <c r="AJ164" s="47">
        <f t="shared" si="86"/>
        <v>0</v>
      </c>
      <c r="AK164" s="47">
        <f t="shared" si="86"/>
        <v>0</v>
      </c>
      <c r="AL164" s="47">
        <f t="shared" si="86"/>
        <v>0</v>
      </c>
      <c r="AM164" s="47">
        <f t="shared" si="86"/>
        <v>0</v>
      </c>
      <c r="AN164" s="47">
        <f t="shared" si="86"/>
        <v>0</v>
      </c>
      <c r="AO164" s="47">
        <f t="shared" si="86"/>
        <v>0</v>
      </c>
      <c r="AP164" s="47">
        <f t="shared" si="86"/>
        <v>0</v>
      </c>
      <c r="AQ164" s="47">
        <f t="shared" si="86"/>
        <v>0</v>
      </c>
      <c r="AR164" s="48">
        <f t="shared" si="86"/>
        <v>0</v>
      </c>
    </row>
    <row r="165" spans="1:64" s="45" customFormat="1" x14ac:dyDescent="0.15">
      <c r="C165" s="35" t="s">
        <v>45</v>
      </c>
      <c r="E165" s="109">
        <f t="shared" ref="E165:AR165" si="87">IF(Year="",,E119/DeflateFactor_Risk)</f>
        <v>10.972411470457624</v>
      </c>
      <c r="F165" s="61">
        <f t="shared" si="87"/>
        <v>12.391428859304792</v>
      </c>
      <c r="G165" s="61">
        <f t="shared" si="87"/>
        <v>13.888252933773364</v>
      </c>
      <c r="H165" s="61">
        <f t="shared" si="87"/>
        <v>15.372310628041655</v>
      </c>
      <c r="I165" s="61">
        <f t="shared" si="87"/>
        <v>16.880004981174437</v>
      </c>
      <c r="J165" s="61">
        <f t="shared" si="87"/>
        <v>18.295713777580247</v>
      </c>
      <c r="K165" s="61">
        <f t="shared" si="87"/>
        <v>19.983311226850191</v>
      </c>
      <c r="L165" s="61">
        <f t="shared" si="87"/>
        <v>21.759143118811387</v>
      </c>
      <c r="M165" s="61">
        <f t="shared" si="87"/>
        <v>23.735589216094251</v>
      </c>
      <c r="N165" s="61">
        <f t="shared" si="87"/>
        <v>25.813011808372796</v>
      </c>
      <c r="O165" s="61">
        <f t="shared" si="87"/>
        <v>27.781348192455386</v>
      </c>
      <c r="P165" s="61">
        <f t="shared" si="87"/>
        <v>30.302237189338847</v>
      </c>
      <c r="Q165" s="61">
        <f t="shared" si="87"/>
        <v>33.009956247845345</v>
      </c>
      <c r="R165" s="61">
        <f t="shared" si="87"/>
        <v>35.894121260168731</v>
      </c>
      <c r="S165" s="61">
        <f t="shared" si="87"/>
        <v>38.944198900562668</v>
      </c>
      <c r="T165" s="61">
        <f t="shared" si="87"/>
        <v>42.626377116054158</v>
      </c>
      <c r="U165" s="61">
        <f t="shared" si="87"/>
        <v>45.982902069805128</v>
      </c>
      <c r="V165" s="61">
        <f t="shared" si="87"/>
        <v>49.732008007149112</v>
      </c>
      <c r="W165" s="61">
        <f t="shared" si="87"/>
        <v>53.835564917380751</v>
      </c>
      <c r="X165" s="61">
        <f t="shared" si="87"/>
        <v>58.477505690206442</v>
      </c>
      <c r="Y165" s="61">
        <f t="shared" si="87"/>
        <v>0</v>
      </c>
      <c r="Z165" s="61">
        <f t="shared" si="87"/>
        <v>0</v>
      </c>
      <c r="AA165" s="61">
        <f t="shared" si="87"/>
        <v>0</v>
      </c>
      <c r="AB165" s="61">
        <f t="shared" si="87"/>
        <v>0</v>
      </c>
      <c r="AC165" s="61">
        <f t="shared" si="87"/>
        <v>0</v>
      </c>
      <c r="AD165" s="61">
        <f t="shared" si="87"/>
        <v>0</v>
      </c>
      <c r="AE165" s="61">
        <f t="shared" si="87"/>
        <v>0</v>
      </c>
      <c r="AF165" s="61">
        <f t="shared" si="87"/>
        <v>0</v>
      </c>
      <c r="AG165" s="61">
        <f t="shared" si="87"/>
        <v>0</v>
      </c>
      <c r="AH165" s="61">
        <f t="shared" si="87"/>
        <v>0</v>
      </c>
      <c r="AI165" s="61">
        <f t="shared" si="87"/>
        <v>0</v>
      </c>
      <c r="AJ165" s="61">
        <f t="shared" si="87"/>
        <v>0</v>
      </c>
      <c r="AK165" s="61">
        <f t="shared" si="87"/>
        <v>0</v>
      </c>
      <c r="AL165" s="61">
        <f t="shared" si="87"/>
        <v>0</v>
      </c>
      <c r="AM165" s="61">
        <f t="shared" si="87"/>
        <v>0</v>
      </c>
      <c r="AN165" s="61">
        <f t="shared" si="87"/>
        <v>0</v>
      </c>
      <c r="AO165" s="61">
        <f t="shared" si="87"/>
        <v>0</v>
      </c>
      <c r="AP165" s="61">
        <f t="shared" si="87"/>
        <v>0</v>
      </c>
      <c r="AQ165" s="61">
        <f t="shared" si="87"/>
        <v>0</v>
      </c>
      <c r="AR165" s="62">
        <f t="shared" si="87"/>
        <v>0</v>
      </c>
    </row>
    <row r="166" spans="1:64" s="45" customFormat="1" x14ac:dyDescent="0.15">
      <c r="C166" s="35" t="s">
        <v>67</v>
      </c>
      <c r="E166" s="109">
        <f t="shared" ref="E166:AR166" si="88">IF(Year="",,SUM(E114:E115)/DeflateFactor_Risk)</f>
        <v>4.3051467073126036E-2</v>
      </c>
      <c r="F166" s="61">
        <f t="shared" si="88"/>
        <v>0.12561500222966207</v>
      </c>
      <c r="G166" s="61">
        <f t="shared" si="88"/>
        <v>0.3688395804485502</v>
      </c>
      <c r="H166" s="61">
        <f t="shared" si="88"/>
        <v>1.0149349288988028</v>
      </c>
      <c r="I166" s="61">
        <f t="shared" si="88"/>
        <v>2.3985360487927165</v>
      </c>
      <c r="J166" s="61">
        <f t="shared" si="88"/>
        <v>4.4471296579689579</v>
      </c>
      <c r="K166" s="61">
        <f t="shared" si="88"/>
        <v>6.4202736163228558</v>
      </c>
      <c r="L166" s="61">
        <f t="shared" si="88"/>
        <v>7.7846667261777673</v>
      </c>
      <c r="M166" s="61">
        <f t="shared" si="88"/>
        <v>8.6456989523218883</v>
      </c>
      <c r="N166" s="61">
        <f t="shared" si="88"/>
        <v>9.3623324395562761</v>
      </c>
      <c r="O166" s="61">
        <f t="shared" si="88"/>
        <v>9.6232853797259992</v>
      </c>
      <c r="P166" s="61">
        <f t="shared" si="88"/>
        <v>9.9373345134410922</v>
      </c>
      <c r="Q166" s="61">
        <f t="shared" si="88"/>
        <v>10.262563075880157</v>
      </c>
      <c r="R166" s="61">
        <f t="shared" si="88"/>
        <v>10.587899752643173</v>
      </c>
      <c r="S166" s="61">
        <f t="shared" si="88"/>
        <v>10.904930352373132</v>
      </c>
      <c r="T166" s="61">
        <f t="shared" si="88"/>
        <v>11.235273426331792</v>
      </c>
      <c r="U166" s="61">
        <f t="shared" si="88"/>
        <v>11.551488360681097</v>
      </c>
      <c r="V166" s="61">
        <f t="shared" si="88"/>
        <v>11.891621724966743</v>
      </c>
      <c r="W166" s="61">
        <f t="shared" si="88"/>
        <v>12.243319413604159</v>
      </c>
      <c r="X166" s="61">
        <f t="shared" si="88"/>
        <v>12.642765927922518</v>
      </c>
      <c r="Y166" s="61">
        <f t="shared" si="88"/>
        <v>0</v>
      </c>
      <c r="Z166" s="61">
        <f t="shared" si="88"/>
        <v>0</v>
      </c>
      <c r="AA166" s="61">
        <f t="shared" si="88"/>
        <v>0</v>
      </c>
      <c r="AB166" s="61">
        <f t="shared" si="88"/>
        <v>0</v>
      </c>
      <c r="AC166" s="61">
        <f t="shared" si="88"/>
        <v>0</v>
      </c>
      <c r="AD166" s="61">
        <f t="shared" si="88"/>
        <v>0</v>
      </c>
      <c r="AE166" s="61">
        <f t="shared" si="88"/>
        <v>0</v>
      </c>
      <c r="AF166" s="61">
        <f t="shared" si="88"/>
        <v>0</v>
      </c>
      <c r="AG166" s="61">
        <f t="shared" si="88"/>
        <v>0</v>
      </c>
      <c r="AH166" s="61">
        <f t="shared" si="88"/>
        <v>0</v>
      </c>
      <c r="AI166" s="61">
        <f t="shared" si="88"/>
        <v>0</v>
      </c>
      <c r="AJ166" s="61">
        <f t="shared" si="88"/>
        <v>0</v>
      </c>
      <c r="AK166" s="61">
        <f t="shared" si="88"/>
        <v>0</v>
      </c>
      <c r="AL166" s="61">
        <f t="shared" si="88"/>
        <v>0</v>
      </c>
      <c r="AM166" s="61">
        <f t="shared" si="88"/>
        <v>0</v>
      </c>
      <c r="AN166" s="61">
        <f t="shared" si="88"/>
        <v>0</v>
      </c>
      <c r="AO166" s="61">
        <f t="shared" si="88"/>
        <v>0</v>
      </c>
      <c r="AP166" s="61">
        <f t="shared" si="88"/>
        <v>0</v>
      </c>
      <c r="AQ166" s="61">
        <f t="shared" si="88"/>
        <v>0</v>
      </c>
      <c r="AR166" s="62">
        <f t="shared" si="88"/>
        <v>0</v>
      </c>
    </row>
    <row r="167" spans="1:64" s="45" customFormat="1" x14ac:dyDescent="0.15">
      <c r="C167" s="35" t="s">
        <v>44</v>
      </c>
      <c r="E167" s="109">
        <f t="shared" ref="E167:AR167" si="89">IF(Year="",,SUM(E117:E118)/DeflateFactor_Risk)</f>
        <v>2.9015563541956835E-2</v>
      </c>
      <c r="F167" s="61">
        <f t="shared" si="89"/>
        <v>7.9347819538134579E-2</v>
      </c>
      <c r="G167" s="61">
        <f t="shared" si="89"/>
        <v>0.2172507193716782</v>
      </c>
      <c r="H167" s="61">
        <f t="shared" si="89"/>
        <v>0.55542278713097248</v>
      </c>
      <c r="I167" s="61">
        <f t="shared" si="89"/>
        <v>1.2165925792545627</v>
      </c>
      <c r="J167" s="61">
        <f t="shared" si="89"/>
        <v>2.0895551801565233</v>
      </c>
      <c r="K167" s="61">
        <f t="shared" si="89"/>
        <v>2.7907227679272548</v>
      </c>
      <c r="L167" s="61">
        <f t="shared" si="89"/>
        <v>3.1277157828812112</v>
      </c>
      <c r="M167" s="61">
        <f t="shared" si="89"/>
        <v>3.2091305169186715</v>
      </c>
      <c r="N167" s="61">
        <f t="shared" si="89"/>
        <v>3.2094824410958198</v>
      </c>
      <c r="O167" s="61">
        <f t="shared" si="89"/>
        <v>3.0490083190410293</v>
      </c>
      <c r="P167" s="61">
        <f t="shared" si="89"/>
        <v>2.9085791329390709</v>
      </c>
      <c r="Q167" s="61">
        <f t="shared" si="89"/>
        <v>2.7740594855215632</v>
      </c>
      <c r="R167" s="61">
        <f t="shared" si="89"/>
        <v>2.6426645726897848</v>
      </c>
      <c r="S167" s="61">
        <f t="shared" si="89"/>
        <v>2.5129346424417043</v>
      </c>
      <c r="T167" s="61">
        <f t="shared" si="89"/>
        <v>2.3872879103196181</v>
      </c>
      <c r="U167" s="61">
        <f t="shared" si="89"/>
        <v>2.264235651587061</v>
      </c>
      <c r="V167" s="61">
        <f t="shared" si="89"/>
        <v>2.1508278537690178</v>
      </c>
      <c r="W167" s="61">
        <f t="shared" si="89"/>
        <v>2.043690557780093</v>
      </c>
      <c r="X167" s="61">
        <f t="shared" si="89"/>
        <v>1.9478323275231486</v>
      </c>
      <c r="Y167" s="61">
        <f t="shared" si="89"/>
        <v>0</v>
      </c>
      <c r="Z167" s="61">
        <f t="shared" si="89"/>
        <v>0</v>
      </c>
      <c r="AA167" s="61">
        <f t="shared" si="89"/>
        <v>0</v>
      </c>
      <c r="AB167" s="61">
        <f t="shared" si="89"/>
        <v>0</v>
      </c>
      <c r="AC167" s="61">
        <f t="shared" si="89"/>
        <v>0</v>
      </c>
      <c r="AD167" s="61">
        <f t="shared" si="89"/>
        <v>0</v>
      </c>
      <c r="AE167" s="61">
        <f t="shared" si="89"/>
        <v>0</v>
      </c>
      <c r="AF167" s="61">
        <f t="shared" si="89"/>
        <v>0</v>
      </c>
      <c r="AG167" s="61">
        <f t="shared" si="89"/>
        <v>0</v>
      </c>
      <c r="AH167" s="61">
        <f t="shared" si="89"/>
        <v>0</v>
      </c>
      <c r="AI167" s="61">
        <f t="shared" si="89"/>
        <v>0</v>
      </c>
      <c r="AJ167" s="61">
        <f t="shared" si="89"/>
        <v>0</v>
      </c>
      <c r="AK167" s="61">
        <f t="shared" si="89"/>
        <v>0</v>
      </c>
      <c r="AL167" s="61">
        <f t="shared" si="89"/>
        <v>0</v>
      </c>
      <c r="AM167" s="61">
        <f t="shared" si="89"/>
        <v>0</v>
      </c>
      <c r="AN167" s="61">
        <f t="shared" si="89"/>
        <v>0</v>
      </c>
      <c r="AO167" s="61">
        <f t="shared" si="89"/>
        <v>0</v>
      </c>
      <c r="AP167" s="61">
        <f t="shared" si="89"/>
        <v>0</v>
      </c>
      <c r="AQ167" s="61">
        <f t="shared" si="89"/>
        <v>0</v>
      </c>
      <c r="AR167" s="62">
        <f t="shared" si="89"/>
        <v>0</v>
      </c>
    </row>
    <row r="168" spans="1:64" s="45" customFormat="1" ht="14" thickBot="1" x14ac:dyDescent="0.2">
      <c r="C168" s="35" t="s">
        <v>68</v>
      </c>
      <c r="E168" s="109">
        <f t="shared" ref="E168:AR168" si="90">IF(Year="",,-Man_Fee/DeflateFactor_Risk)</f>
        <v>0</v>
      </c>
      <c r="F168" s="61">
        <f t="shared" si="90"/>
        <v>0</v>
      </c>
      <c r="G168" s="61">
        <f t="shared" si="90"/>
        <v>0</v>
      </c>
      <c r="H168" s="61">
        <f t="shared" si="90"/>
        <v>0</v>
      </c>
      <c r="I168" s="61">
        <f t="shared" si="90"/>
        <v>0</v>
      </c>
      <c r="J168" s="61">
        <f t="shared" si="90"/>
        <v>0</v>
      </c>
      <c r="K168" s="61">
        <f t="shared" si="90"/>
        <v>0</v>
      </c>
      <c r="L168" s="61">
        <f t="shared" si="90"/>
        <v>0</v>
      </c>
      <c r="M168" s="61">
        <f t="shared" si="90"/>
        <v>0</v>
      </c>
      <c r="N168" s="61">
        <f t="shared" si="90"/>
        <v>0</v>
      </c>
      <c r="O168" s="61">
        <f t="shared" si="90"/>
        <v>0</v>
      </c>
      <c r="P168" s="61">
        <f t="shared" si="90"/>
        <v>0</v>
      </c>
      <c r="Q168" s="61">
        <f t="shared" si="90"/>
        <v>0</v>
      </c>
      <c r="R168" s="61">
        <f t="shared" si="90"/>
        <v>0</v>
      </c>
      <c r="S168" s="61">
        <f t="shared" si="90"/>
        <v>0</v>
      </c>
      <c r="T168" s="61">
        <f t="shared" si="90"/>
        <v>0</v>
      </c>
      <c r="U168" s="61">
        <f t="shared" si="90"/>
        <v>0</v>
      </c>
      <c r="V168" s="61">
        <f t="shared" si="90"/>
        <v>0</v>
      </c>
      <c r="W168" s="61">
        <f t="shared" si="90"/>
        <v>0</v>
      </c>
      <c r="X168" s="61">
        <f t="shared" si="90"/>
        <v>0</v>
      </c>
      <c r="Y168" s="61">
        <f t="shared" si="90"/>
        <v>0</v>
      </c>
      <c r="Z168" s="61">
        <f t="shared" si="90"/>
        <v>0</v>
      </c>
      <c r="AA168" s="61">
        <f t="shared" si="90"/>
        <v>0</v>
      </c>
      <c r="AB168" s="61">
        <f t="shared" si="90"/>
        <v>0</v>
      </c>
      <c r="AC168" s="61">
        <f t="shared" si="90"/>
        <v>0</v>
      </c>
      <c r="AD168" s="61">
        <f t="shared" si="90"/>
        <v>0</v>
      </c>
      <c r="AE168" s="61">
        <f t="shared" si="90"/>
        <v>0</v>
      </c>
      <c r="AF168" s="61">
        <f t="shared" si="90"/>
        <v>0</v>
      </c>
      <c r="AG168" s="61">
        <f t="shared" si="90"/>
        <v>0</v>
      </c>
      <c r="AH168" s="61">
        <f t="shared" si="90"/>
        <v>0</v>
      </c>
      <c r="AI168" s="61">
        <f t="shared" si="90"/>
        <v>0</v>
      </c>
      <c r="AJ168" s="61">
        <f t="shared" si="90"/>
        <v>0</v>
      </c>
      <c r="AK168" s="61">
        <f t="shared" si="90"/>
        <v>0</v>
      </c>
      <c r="AL168" s="61">
        <f t="shared" si="90"/>
        <v>0</v>
      </c>
      <c r="AM168" s="61">
        <f t="shared" si="90"/>
        <v>0</v>
      </c>
      <c r="AN168" s="61">
        <f t="shared" si="90"/>
        <v>0</v>
      </c>
      <c r="AO168" s="61">
        <f t="shared" si="90"/>
        <v>0</v>
      </c>
      <c r="AP168" s="61">
        <f t="shared" si="90"/>
        <v>0</v>
      </c>
      <c r="AQ168" s="61">
        <f t="shared" si="90"/>
        <v>0</v>
      </c>
      <c r="AR168" s="62">
        <f t="shared" si="90"/>
        <v>0</v>
      </c>
    </row>
    <row r="169" spans="1:64" s="45" customFormat="1" ht="15" thickTop="1" thickBot="1" x14ac:dyDescent="0.2">
      <c r="C169" s="75" t="s">
        <v>32</v>
      </c>
      <c r="E169" s="140">
        <f>SUM(E164:E168)</f>
        <v>64.602448742367699</v>
      </c>
      <c r="F169" s="141">
        <f t="shared" ref="F169:AR169" si="91">SUM(F164:F168)</f>
        <v>76.670502520042973</v>
      </c>
      <c r="G169" s="141">
        <f t="shared" si="91"/>
        <v>91.17426739204376</v>
      </c>
      <c r="H169" s="141">
        <f t="shared" si="91"/>
        <v>111.57896633370282</v>
      </c>
      <c r="I169" s="141">
        <f t="shared" si="91"/>
        <v>146.31235968473425</v>
      </c>
      <c r="J169" s="141">
        <f t="shared" si="91"/>
        <v>182.79994858521206</v>
      </c>
      <c r="K169" s="141">
        <f t="shared" si="91"/>
        <v>227.36348591140447</v>
      </c>
      <c r="L169" s="141">
        <f t="shared" si="91"/>
        <v>267.60100662826869</v>
      </c>
      <c r="M169" s="141">
        <f t="shared" si="91"/>
        <v>305.15273331873863</v>
      </c>
      <c r="N169" s="141">
        <f t="shared" si="91"/>
        <v>367.66004492501531</v>
      </c>
      <c r="O169" s="141">
        <f t="shared" si="91"/>
        <v>417.04178836789072</v>
      </c>
      <c r="P169" s="141">
        <f t="shared" si="91"/>
        <v>480.48375817628499</v>
      </c>
      <c r="Q169" s="141">
        <f t="shared" si="91"/>
        <v>536.97366706318076</v>
      </c>
      <c r="R169" s="141">
        <f t="shared" si="91"/>
        <v>642.21071824707383</v>
      </c>
      <c r="S169" s="141">
        <f t="shared" si="91"/>
        <v>736.54168824586748</v>
      </c>
      <c r="T169" s="141">
        <f t="shared" si="91"/>
        <v>855.83343905452546</v>
      </c>
      <c r="U169" s="141">
        <f t="shared" si="91"/>
        <v>980.94016278463721</v>
      </c>
      <c r="V169" s="141">
        <f t="shared" si="91"/>
        <v>1166.5777545108622</v>
      </c>
      <c r="W169" s="141">
        <f t="shared" si="91"/>
        <v>1350.850888933006</v>
      </c>
      <c r="X169" s="141">
        <f t="shared" si="91"/>
        <v>1549.2029042829349</v>
      </c>
      <c r="Y169" s="141">
        <f t="shared" si="91"/>
        <v>0</v>
      </c>
      <c r="Z169" s="141">
        <f t="shared" si="91"/>
        <v>0</v>
      </c>
      <c r="AA169" s="141">
        <f t="shared" si="91"/>
        <v>0</v>
      </c>
      <c r="AB169" s="141">
        <f t="shared" si="91"/>
        <v>0</v>
      </c>
      <c r="AC169" s="141">
        <f t="shared" si="91"/>
        <v>0</v>
      </c>
      <c r="AD169" s="141">
        <f t="shared" si="91"/>
        <v>0</v>
      </c>
      <c r="AE169" s="141">
        <f t="shared" si="91"/>
        <v>0</v>
      </c>
      <c r="AF169" s="141">
        <f t="shared" si="91"/>
        <v>0</v>
      </c>
      <c r="AG169" s="141">
        <f t="shared" si="91"/>
        <v>0</v>
      </c>
      <c r="AH169" s="141">
        <f t="shared" si="91"/>
        <v>0</v>
      </c>
      <c r="AI169" s="141">
        <f t="shared" si="91"/>
        <v>0</v>
      </c>
      <c r="AJ169" s="141">
        <f t="shared" si="91"/>
        <v>0</v>
      </c>
      <c r="AK169" s="141">
        <f t="shared" si="91"/>
        <v>0</v>
      </c>
      <c r="AL169" s="141">
        <f t="shared" si="91"/>
        <v>0</v>
      </c>
      <c r="AM169" s="141">
        <f t="shared" si="91"/>
        <v>0</v>
      </c>
      <c r="AN169" s="141">
        <f t="shared" si="91"/>
        <v>0</v>
      </c>
      <c r="AO169" s="141">
        <f t="shared" si="91"/>
        <v>0</v>
      </c>
      <c r="AP169" s="141">
        <f t="shared" si="91"/>
        <v>0</v>
      </c>
      <c r="AQ169" s="141">
        <f t="shared" si="91"/>
        <v>0</v>
      </c>
      <c r="AR169" s="142">
        <f t="shared" si="91"/>
        <v>0</v>
      </c>
      <c r="AS169" s="105"/>
      <c r="AT169" s="105"/>
      <c r="AU169" s="105"/>
      <c r="AV169" s="105"/>
      <c r="AW169" s="105"/>
      <c r="AX169" s="105"/>
      <c r="AY169" s="105"/>
      <c r="AZ169" s="105"/>
      <c r="BA169" s="105"/>
      <c r="BB169" s="105"/>
      <c r="BC169" s="105"/>
      <c r="BD169" s="105"/>
      <c r="BE169" s="105"/>
      <c r="BF169" s="105"/>
      <c r="BG169" s="105"/>
      <c r="BH169" s="105"/>
      <c r="BI169" s="105"/>
      <c r="BJ169" s="105"/>
      <c r="BK169" s="105"/>
      <c r="BL169" s="105"/>
    </row>
    <row r="170" spans="1:64" s="45" customFormat="1" ht="14" thickTop="1" x14ac:dyDescent="0.15">
      <c r="B170" s="75"/>
    </row>
    <row r="171" spans="1:64" s="45" customFormat="1" x14ac:dyDescent="0.15">
      <c r="A171" s="75"/>
      <c r="B171" s="77" t="s">
        <v>69</v>
      </c>
    </row>
    <row r="172" spans="1:64" s="45" customFormat="1" x14ac:dyDescent="0.15">
      <c r="C172" s="35" t="s">
        <v>62</v>
      </c>
      <c r="E172" s="46">
        <f t="shared" ref="E172:AR172" si="92">(E160-E$169)*DiscountFactor*DeflateFactor_Risk</f>
        <v>18.552756624844015</v>
      </c>
      <c r="F172" s="47">
        <f t="shared" si="92"/>
        <v>13.081006544742566</v>
      </c>
      <c r="G172" s="47">
        <f t="shared" si="92"/>
        <v>10.772066160481083</v>
      </c>
      <c r="H172" s="47">
        <f t="shared" si="92"/>
        <v>10.99383307252945</v>
      </c>
      <c r="I172" s="47">
        <f t="shared" si="92"/>
        <v>12.474049681378222</v>
      </c>
      <c r="J172" s="47">
        <f t="shared" si="92"/>
        <v>14.774952413254228</v>
      </c>
      <c r="K172" s="47">
        <f t="shared" si="92"/>
        <v>13.247610736097462</v>
      </c>
      <c r="L172" s="47">
        <f t="shared" si="92"/>
        <v>13.191161853613814</v>
      </c>
      <c r="M172" s="47">
        <f t="shared" si="92"/>
        <v>10.392732906701617</v>
      </c>
      <c r="N172" s="47">
        <f t="shared" si="92"/>
        <v>7.6575635244387916</v>
      </c>
      <c r="O172" s="47">
        <f t="shared" si="92"/>
        <v>5.0517274939600414</v>
      </c>
      <c r="P172" s="47">
        <f t="shared" si="92"/>
        <v>2.7064421430510102</v>
      </c>
      <c r="Q172" s="47">
        <f t="shared" si="92"/>
        <v>0.60335787952098208</v>
      </c>
      <c r="R172" s="47">
        <f t="shared" si="92"/>
        <v>-4.5772040278463662</v>
      </c>
      <c r="S172" s="47">
        <f t="shared" si="92"/>
        <v>-11.923916049369904</v>
      </c>
      <c r="T172" s="47">
        <f t="shared" si="92"/>
        <v>-16.976419975571002</v>
      </c>
      <c r="U172" s="47">
        <f t="shared" si="92"/>
        <v>-18.335635973301869</v>
      </c>
      <c r="V172" s="47">
        <f t="shared" si="92"/>
        <v>-23.050170796112706</v>
      </c>
      <c r="W172" s="47">
        <f t="shared" si="92"/>
        <v>-26.616445546020238</v>
      </c>
      <c r="X172" s="47">
        <f t="shared" si="92"/>
        <v>-26.847931189460226</v>
      </c>
      <c r="Y172" s="47">
        <f t="shared" ca="1" si="92"/>
        <v>0</v>
      </c>
      <c r="Z172" s="47">
        <f t="shared" ca="1" si="92"/>
        <v>0</v>
      </c>
      <c r="AA172" s="47">
        <f t="shared" ca="1" si="92"/>
        <v>0</v>
      </c>
      <c r="AB172" s="47">
        <f t="shared" ca="1" si="92"/>
        <v>0</v>
      </c>
      <c r="AC172" s="47">
        <f t="shared" ca="1" si="92"/>
        <v>0</v>
      </c>
      <c r="AD172" s="47">
        <f t="shared" ca="1" si="92"/>
        <v>0</v>
      </c>
      <c r="AE172" s="47">
        <f t="shared" ca="1" si="92"/>
        <v>0</v>
      </c>
      <c r="AF172" s="47">
        <f t="shared" ca="1" si="92"/>
        <v>0</v>
      </c>
      <c r="AG172" s="47">
        <f t="shared" ca="1" si="92"/>
        <v>0</v>
      </c>
      <c r="AH172" s="47">
        <f t="shared" ca="1" si="92"/>
        <v>0</v>
      </c>
      <c r="AI172" s="47">
        <f t="shared" ca="1" si="92"/>
        <v>0</v>
      </c>
      <c r="AJ172" s="47">
        <f t="shared" ca="1" si="92"/>
        <v>0</v>
      </c>
      <c r="AK172" s="47">
        <f t="shared" ca="1" si="92"/>
        <v>0</v>
      </c>
      <c r="AL172" s="47">
        <f t="shared" ca="1" si="92"/>
        <v>0</v>
      </c>
      <c r="AM172" s="47">
        <f t="shared" ca="1" si="92"/>
        <v>0</v>
      </c>
      <c r="AN172" s="47">
        <f t="shared" ca="1" si="92"/>
        <v>0</v>
      </c>
      <c r="AO172" s="47">
        <f t="shared" ca="1" si="92"/>
        <v>0</v>
      </c>
      <c r="AP172" s="47">
        <f t="shared" ca="1" si="92"/>
        <v>0</v>
      </c>
      <c r="AQ172" s="47">
        <f t="shared" ca="1" si="92"/>
        <v>0</v>
      </c>
      <c r="AR172" s="48">
        <f t="shared" ca="1" si="92"/>
        <v>0</v>
      </c>
    </row>
    <row r="173" spans="1:64" s="45" customFormat="1" x14ac:dyDescent="0.15">
      <c r="B173" s="35"/>
      <c r="C173" s="43" t="str">
        <f>CONCATENATE(Tariff_Period," year reset period")</f>
        <v>5 year reset period</v>
      </c>
      <c r="E173" s="49">
        <f t="shared" ref="E173:AR173" si="93">(E161-E$169)*DiscountFactor*DeflateFactor_Risk</f>
        <v>2.6763703192536514</v>
      </c>
      <c r="F173" s="50">
        <f t="shared" si="93"/>
        <v>-2.0826980219877513</v>
      </c>
      <c r="G173" s="50">
        <f t="shared" si="93"/>
        <v>-4.2810714443131959</v>
      </c>
      <c r="H173" s="50">
        <f t="shared" si="93"/>
        <v>-4.8698093629199581</v>
      </c>
      <c r="I173" s="50">
        <f t="shared" si="93"/>
        <v>-5.5117232207367151</v>
      </c>
      <c r="J173" s="50">
        <f t="shared" si="93"/>
        <v>4.4889956619861255</v>
      </c>
      <c r="K173" s="50">
        <f t="shared" si="93"/>
        <v>2.5037533772765106</v>
      </c>
      <c r="L173" s="50">
        <f t="shared" si="93"/>
        <v>2.3236526111411657</v>
      </c>
      <c r="M173" s="50">
        <f t="shared" si="93"/>
        <v>3.7119500338565377E-2</v>
      </c>
      <c r="N173" s="50">
        <f t="shared" si="93"/>
        <v>-2.7224727596564819</v>
      </c>
      <c r="O173" s="50">
        <f t="shared" si="93"/>
        <v>8.6120753326190833</v>
      </c>
      <c r="P173" s="50">
        <f t="shared" si="93"/>
        <v>6.1344214706336908</v>
      </c>
      <c r="Q173" s="50">
        <f t="shared" si="93"/>
        <v>3.8103140428240301</v>
      </c>
      <c r="R173" s="50">
        <f t="shared" si="93"/>
        <v>-1.4902128718047916</v>
      </c>
      <c r="S173" s="50">
        <f t="shared" si="93"/>
        <v>-9.1727313350004973</v>
      </c>
      <c r="T173" s="50">
        <f t="shared" si="93"/>
        <v>9.2768682779036631</v>
      </c>
      <c r="U173" s="50">
        <f t="shared" si="93"/>
        <v>6.9465227878792026</v>
      </c>
      <c r="V173" s="50">
        <f t="shared" si="93"/>
        <v>1.0690584670441992</v>
      </c>
      <c r="W173" s="50">
        <f t="shared" si="93"/>
        <v>-4.0802995184988182</v>
      </c>
      <c r="X173" s="50">
        <f t="shared" si="93"/>
        <v>-4.9494844615143503</v>
      </c>
      <c r="Y173" s="50">
        <f t="shared" ca="1" si="93"/>
        <v>0</v>
      </c>
      <c r="Z173" s="50">
        <f t="shared" ca="1" si="93"/>
        <v>0</v>
      </c>
      <c r="AA173" s="50">
        <f t="shared" ca="1" si="93"/>
        <v>0</v>
      </c>
      <c r="AB173" s="50">
        <f t="shared" ca="1" si="93"/>
        <v>0</v>
      </c>
      <c r="AC173" s="50">
        <f t="shared" ca="1" si="93"/>
        <v>0</v>
      </c>
      <c r="AD173" s="50">
        <f t="shared" ca="1" si="93"/>
        <v>0</v>
      </c>
      <c r="AE173" s="50">
        <f t="shared" ca="1" si="93"/>
        <v>0</v>
      </c>
      <c r="AF173" s="50">
        <f t="shared" ca="1" si="93"/>
        <v>0</v>
      </c>
      <c r="AG173" s="50">
        <f t="shared" ca="1" si="93"/>
        <v>0</v>
      </c>
      <c r="AH173" s="50">
        <f t="shared" ca="1" si="93"/>
        <v>0</v>
      </c>
      <c r="AI173" s="50">
        <f t="shared" ca="1" si="93"/>
        <v>0</v>
      </c>
      <c r="AJ173" s="50">
        <f t="shared" ca="1" si="93"/>
        <v>0</v>
      </c>
      <c r="AK173" s="50">
        <f t="shared" ca="1" si="93"/>
        <v>0</v>
      </c>
      <c r="AL173" s="50">
        <f t="shared" ca="1" si="93"/>
        <v>0</v>
      </c>
      <c r="AM173" s="50">
        <f t="shared" ca="1" si="93"/>
        <v>0</v>
      </c>
      <c r="AN173" s="50">
        <f t="shared" ca="1" si="93"/>
        <v>0</v>
      </c>
      <c r="AO173" s="50">
        <f t="shared" ca="1" si="93"/>
        <v>0</v>
      </c>
      <c r="AP173" s="50">
        <f t="shared" ca="1" si="93"/>
        <v>0</v>
      </c>
      <c r="AQ173" s="50">
        <f t="shared" ca="1" si="93"/>
        <v>0</v>
      </c>
      <c r="AR173" s="51">
        <f t="shared" ca="1" si="93"/>
        <v>0</v>
      </c>
    </row>
    <row r="174" spans="1:64" s="45" customFormat="1" x14ac:dyDescent="0.15">
      <c r="B174" s="75"/>
    </row>
    <row r="175" spans="1:64" s="45" customFormat="1" x14ac:dyDescent="0.15">
      <c r="B175" s="75"/>
    </row>
    <row r="176" spans="1:64" s="139" customFormat="1" ht="18" x14ac:dyDescent="0.2">
      <c r="A176" s="137" t="str">
        <f>CONCATENATE("Cash flows (",MonDenomination,")")</f>
        <v>Cash flows (Millions)</v>
      </c>
      <c r="B176" s="138"/>
      <c r="C176" s="138"/>
      <c r="D176" s="45"/>
      <c r="E176" s="108">
        <f>CODING_WITH_RISK!CG4</f>
        <v>0.69333835412900735</v>
      </c>
    </row>
    <row r="177" spans="1:44" s="45" customFormat="1" x14ac:dyDescent="0.15">
      <c r="A177" s="75"/>
      <c r="B177" s="77" t="s">
        <v>62</v>
      </c>
      <c r="E177" s="108"/>
    </row>
    <row r="178" spans="1:44" s="45" customFormat="1" x14ac:dyDescent="0.15">
      <c r="C178" s="35" t="s">
        <v>38</v>
      </c>
      <c r="E178" s="224">
        <f>IF(Year="",,(E151*BilledDemand_Risk*Collection_FC-E86-E87-(E29-E30)*ServExt_CAPct)*DiscountFactor*DeflateFactor_Risk)</f>
        <v>0.69333835412900735</v>
      </c>
      <c r="F178" s="47">
        <f t="shared" ref="F178:AR178" si="94">IF(Year="",,(F151*BilledDemand_Risk*Collection_FC-F86-F87-(F29-F30)*ServExt_CAPct)*DiscountFactor*DeflateFactor_Risk)</f>
        <v>0.58513563409557334</v>
      </c>
      <c r="G178" s="47">
        <f t="shared" si="94"/>
        <v>0.3067404665197675</v>
      </c>
      <c r="H178" s="47">
        <f t="shared" si="94"/>
        <v>-0.1862867086770538</v>
      </c>
      <c r="I178" s="47">
        <f t="shared" si="94"/>
        <v>-0.78856716387085224</v>
      </c>
      <c r="J178" s="47">
        <f t="shared" si="94"/>
        <v>-1.0022337594576045</v>
      </c>
      <c r="K178" s="47">
        <f t="shared" si="94"/>
        <v>-0.45115492115119338</v>
      </c>
      <c r="L178" s="47">
        <f t="shared" si="94"/>
        <v>0.26989542056547056</v>
      </c>
      <c r="M178" s="47">
        <f t="shared" si="94"/>
        <v>0.62007740887858975</v>
      </c>
      <c r="N178" s="47">
        <f t="shared" si="94"/>
        <v>0.667813691991193</v>
      </c>
      <c r="O178" s="47">
        <f t="shared" si="94"/>
        <v>0.71693219352863347</v>
      </c>
      <c r="P178" s="47">
        <f t="shared" si="94"/>
        <v>0.64195754243819725</v>
      </c>
      <c r="Q178" s="47">
        <f t="shared" si="94"/>
        <v>0.59149487236170872</v>
      </c>
      <c r="R178" s="47">
        <f t="shared" si="94"/>
        <v>0.56864883245109532</v>
      </c>
      <c r="S178" s="47">
        <f t="shared" si="94"/>
        <v>0.4863977192696502</v>
      </c>
      <c r="T178" s="47">
        <f t="shared" si="94"/>
        <v>0.45749399087511239</v>
      </c>
      <c r="U178" s="47">
        <f t="shared" si="94"/>
        <v>0.46893529853129029</v>
      </c>
      <c r="V178" s="47">
        <f t="shared" si="94"/>
        <v>0.45856261897399175</v>
      </c>
      <c r="W178" s="47">
        <f t="shared" si="94"/>
        <v>0.43823516678702212</v>
      </c>
      <c r="X178" s="47">
        <f t="shared" si="94"/>
        <v>0.44971112301994265</v>
      </c>
      <c r="Y178" s="47">
        <f t="shared" si="94"/>
        <v>0</v>
      </c>
      <c r="Z178" s="47">
        <f t="shared" si="94"/>
        <v>0</v>
      </c>
      <c r="AA178" s="47">
        <f t="shared" si="94"/>
        <v>0</v>
      </c>
      <c r="AB178" s="47">
        <f t="shared" si="94"/>
        <v>0</v>
      </c>
      <c r="AC178" s="47">
        <f t="shared" si="94"/>
        <v>0</v>
      </c>
      <c r="AD178" s="47">
        <f t="shared" si="94"/>
        <v>0</v>
      </c>
      <c r="AE178" s="47">
        <f t="shared" si="94"/>
        <v>0</v>
      </c>
      <c r="AF178" s="47">
        <f t="shared" si="94"/>
        <v>0</v>
      </c>
      <c r="AG178" s="47">
        <f t="shared" si="94"/>
        <v>0</v>
      </c>
      <c r="AH178" s="47">
        <f t="shared" si="94"/>
        <v>0</v>
      </c>
      <c r="AI178" s="47">
        <f t="shared" si="94"/>
        <v>0</v>
      </c>
      <c r="AJ178" s="47">
        <f t="shared" si="94"/>
        <v>0</v>
      </c>
      <c r="AK178" s="47">
        <f t="shared" si="94"/>
        <v>0</v>
      </c>
      <c r="AL178" s="47">
        <f t="shared" si="94"/>
        <v>0</v>
      </c>
      <c r="AM178" s="47">
        <f t="shared" si="94"/>
        <v>0</v>
      </c>
      <c r="AN178" s="47">
        <f t="shared" si="94"/>
        <v>0</v>
      </c>
      <c r="AO178" s="47">
        <f t="shared" si="94"/>
        <v>0</v>
      </c>
      <c r="AP178" s="47">
        <f t="shared" si="94"/>
        <v>0</v>
      </c>
      <c r="AQ178" s="47">
        <f t="shared" si="94"/>
        <v>0</v>
      </c>
      <c r="AR178" s="48">
        <f t="shared" si="94"/>
        <v>0</v>
      </c>
    </row>
    <row r="179" spans="1:44" s="45" customFormat="1" x14ac:dyDescent="0.15">
      <c r="C179" s="43" t="s">
        <v>37</v>
      </c>
      <c r="E179" s="49">
        <f t="shared" ref="E179:AR179" si="95">IF(Year="",,(E152*BilledDemand_Risk*Collection_FC-SUM(E$164,E$165,E82:E83,(E29-E30)*ServExt_LoanPct))*DiscountFactor*DeflateFactor_Risk)</f>
        <v>17.667395861903902</v>
      </c>
      <c r="F179" s="50">
        <f t="shared" si="95"/>
        <v>12.255340077695566</v>
      </c>
      <c r="G179" s="50">
        <f t="shared" si="95"/>
        <v>9.9123230392297579</v>
      </c>
      <c r="H179" s="50">
        <f t="shared" si="95"/>
        <v>10.072785791036949</v>
      </c>
      <c r="I179" s="50">
        <f t="shared" si="95"/>
        <v>11.62841332786663</v>
      </c>
      <c r="J179" s="50">
        <f t="shared" si="95"/>
        <v>14.552819750640115</v>
      </c>
      <c r="K179" s="50">
        <f t="shared" si="95"/>
        <v>14.090844072777056</v>
      </c>
      <c r="L179" s="50">
        <f t="shared" si="95"/>
        <v>14.801613506841518</v>
      </c>
      <c r="M179" s="50">
        <f t="shared" si="95"/>
        <v>12.217343708868743</v>
      </c>
      <c r="N179" s="50">
        <f t="shared" si="95"/>
        <v>9.2362616842044787</v>
      </c>
      <c r="O179" s="50">
        <f t="shared" si="95"/>
        <v>6.389193410472517</v>
      </c>
      <c r="P179" s="50">
        <f t="shared" si="95"/>
        <v>3.7055454745901617</v>
      </c>
      <c r="Q179" s="50">
        <f t="shared" si="95"/>
        <v>1.3831769710110324</v>
      </c>
      <c r="R179" s="50">
        <f t="shared" si="95"/>
        <v>-4.0052170840377306</v>
      </c>
      <c r="S179" s="50">
        <f t="shared" si="95"/>
        <v>-11.466858018780842</v>
      </c>
      <c r="T179" s="50">
        <f t="shared" si="95"/>
        <v>-16.624871074440822</v>
      </c>
      <c r="U179" s="50">
        <f t="shared" si="95"/>
        <v>-18.084179816593398</v>
      </c>
      <c r="V179" s="50">
        <f t="shared" si="95"/>
        <v>-22.888858893762595</v>
      </c>
      <c r="W179" s="50">
        <f t="shared" si="95"/>
        <v>-26.514311304327187</v>
      </c>
      <c r="X179" s="50">
        <f t="shared" si="95"/>
        <v>-26.807587296964336</v>
      </c>
      <c r="Y179" s="50">
        <f t="shared" si="95"/>
        <v>0</v>
      </c>
      <c r="Z179" s="50">
        <f t="shared" si="95"/>
        <v>0</v>
      </c>
      <c r="AA179" s="50">
        <f t="shared" si="95"/>
        <v>0</v>
      </c>
      <c r="AB179" s="50">
        <f t="shared" si="95"/>
        <v>0</v>
      </c>
      <c r="AC179" s="50">
        <f t="shared" si="95"/>
        <v>0</v>
      </c>
      <c r="AD179" s="50">
        <f t="shared" si="95"/>
        <v>0</v>
      </c>
      <c r="AE179" s="50">
        <f t="shared" si="95"/>
        <v>0</v>
      </c>
      <c r="AF179" s="50">
        <f t="shared" si="95"/>
        <v>0</v>
      </c>
      <c r="AG179" s="50">
        <f t="shared" si="95"/>
        <v>0</v>
      </c>
      <c r="AH179" s="50">
        <f t="shared" si="95"/>
        <v>0</v>
      </c>
      <c r="AI179" s="50">
        <f t="shared" si="95"/>
        <v>0</v>
      </c>
      <c r="AJ179" s="50">
        <f t="shared" si="95"/>
        <v>0</v>
      </c>
      <c r="AK179" s="50">
        <f t="shared" si="95"/>
        <v>0</v>
      </c>
      <c r="AL179" s="50">
        <f t="shared" si="95"/>
        <v>0</v>
      </c>
      <c r="AM179" s="50">
        <f t="shared" si="95"/>
        <v>0</v>
      </c>
      <c r="AN179" s="50">
        <f t="shared" si="95"/>
        <v>0</v>
      </c>
      <c r="AO179" s="50">
        <f t="shared" si="95"/>
        <v>0</v>
      </c>
      <c r="AP179" s="50">
        <f t="shared" si="95"/>
        <v>0</v>
      </c>
      <c r="AQ179" s="50">
        <f t="shared" si="95"/>
        <v>0</v>
      </c>
      <c r="AR179" s="51">
        <f t="shared" si="95"/>
        <v>0</v>
      </c>
    </row>
    <row r="180" spans="1:44" s="45" customFormat="1" x14ac:dyDescent="0.15">
      <c r="A180" s="75"/>
      <c r="B180" s="77" t="str">
        <f>CONCATENATE(Tariff_Period," year reset period")</f>
        <v>5 year reset period</v>
      </c>
    </row>
    <row r="181" spans="1:44" s="45" customFormat="1" x14ac:dyDescent="0.15">
      <c r="C181" s="35" t="s">
        <v>38</v>
      </c>
      <c r="E181" s="46">
        <f t="shared" ref="E181:AR181" si="96">IF(Year="",,(E154*BilledDemand_Risk*Collection_FC-E86-E87-(E29-E30)*ServExt_CAPct)*DiscountFactor*DeflateFactor_Risk)</f>
        <v>0.19453718809121845</v>
      </c>
      <c r="F181" s="47">
        <f t="shared" si="96"/>
        <v>0.10872536202539125</v>
      </c>
      <c r="G181" s="47">
        <f t="shared" si="96"/>
        <v>-0.16619603460043963</v>
      </c>
      <c r="H181" s="47">
        <f t="shared" si="96"/>
        <v>-0.68468749032233756</v>
      </c>
      <c r="I181" s="47">
        <f t="shared" si="96"/>
        <v>-1.3536406209526337</v>
      </c>
      <c r="J181" s="47">
        <f t="shared" si="96"/>
        <v>-0.48477062192849829</v>
      </c>
      <c r="K181" s="47">
        <f t="shared" si="96"/>
        <v>8.9344156620571213E-2</v>
      </c>
      <c r="L181" s="47">
        <f t="shared" si="96"/>
        <v>0.81661514394396517</v>
      </c>
      <c r="M181" s="47">
        <f t="shared" si="96"/>
        <v>1.1410448146218088</v>
      </c>
      <c r="N181" s="47">
        <f t="shared" si="96"/>
        <v>1.190009757279112</v>
      </c>
      <c r="O181" s="47">
        <f t="shared" si="96"/>
        <v>0.83567334673697569</v>
      </c>
      <c r="P181" s="47">
        <f t="shared" si="96"/>
        <v>0.75628407371465567</v>
      </c>
      <c r="Q181" s="47">
        <f t="shared" si="96"/>
        <v>0.69845006055551917</v>
      </c>
      <c r="R181" s="47">
        <f t="shared" si="96"/>
        <v>0.67160306794241997</v>
      </c>
      <c r="S181" s="47">
        <f t="shared" si="96"/>
        <v>0.57815247483769794</v>
      </c>
      <c r="T181" s="47">
        <f t="shared" si="96"/>
        <v>0.31286630852521796</v>
      </c>
      <c r="U181" s="47">
        <f t="shared" si="96"/>
        <v>0.32965750631233848</v>
      </c>
      <c r="V181" s="47">
        <f t="shared" si="96"/>
        <v>0.32569133082461293</v>
      </c>
      <c r="W181" s="47">
        <f t="shared" si="96"/>
        <v>0.31408498271901975</v>
      </c>
      <c r="X181" s="47">
        <f t="shared" si="96"/>
        <v>0.32907398352156875</v>
      </c>
      <c r="Y181" s="47">
        <f t="shared" si="96"/>
        <v>0</v>
      </c>
      <c r="Z181" s="47">
        <f t="shared" si="96"/>
        <v>0</v>
      </c>
      <c r="AA181" s="47">
        <f t="shared" si="96"/>
        <v>0</v>
      </c>
      <c r="AB181" s="47">
        <f t="shared" si="96"/>
        <v>0</v>
      </c>
      <c r="AC181" s="47">
        <f t="shared" si="96"/>
        <v>0</v>
      </c>
      <c r="AD181" s="47">
        <f t="shared" si="96"/>
        <v>0</v>
      </c>
      <c r="AE181" s="47">
        <f t="shared" si="96"/>
        <v>0</v>
      </c>
      <c r="AF181" s="47">
        <f t="shared" si="96"/>
        <v>0</v>
      </c>
      <c r="AG181" s="47">
        <f t="shared" si="96"/>
        <v>0</v>
      </c>
      <c r="AH181" s="47">
        <f t="shared" si="96"/>
        <v>0</v>
      </c>
      <c r="AI181" s="47">
        <f t="shared" si="96"/>
        <v>0</v>
      </c>
      <c r="AJ181" s="47">
        <f t="shared" si="96"/>
        <v>0</v>
      </c>
      <c r="AK181" s="47">
        <f t="shared" si="96"/>
        <v>0</v>
      </c>
      <c r="AL181" s="47">
        <f t="shared" si="96"/>
        <v>0</v>
      </c>
      <c r="AM181" s="47">
        <f t="shared" si="96"/>
        <v>0</v>
      </c>
      <c r="AN181" s="47">
        <f t="shared" si="96"/>
        <v>0</v>
      </c>
      <c r="AO181" s="47">
        <f t="shared" si="96"/>
        <v>0</v>
      </c>
      <c r="AP181" s="47">
        <f t="shared" si="96"/>
        <v>0</v>
      </c>
      <c r="AQ181" s="47">
        <f t="shared" si="96"/>
        <v>0</v>
      </c>
      <c r="AR181" s="48">
        <f t="shared" si="96"/>
        <v>0</v>
      </c>
    </row>
    <row r="182" spans="1:44" s="45" customFormat="1" x14ac:dyDescent="0.15">
      <c r="C182" s="43" t="s">
        <v>37</v>
      </c>
      <c r="E182" s="49">
        <f t="shared" ref="E182:AR182" si="97">IF(Year="",,(E155*BilledDemand_Risk*Collection_FC-SUM(E$164,E$165,E82:E83,(E29-E30)*ServExt_LoanPct))*DiscountFactor*DeflateFactor_Risk)</f>
        <v>2.2898107223513202</v>
      </c>
      <c r="F182" s="50">
        <f t="shared" si="97"/>
        <v>-2.4319542169645612</v>
      </c>
      <c r="G182" s="50">
        <f t="shared" si="97"/>
        <v>-4.6678780644443183</v>
      </c>
      <c r="H182" s="50">
        <f t="shared" si="97"/>
        <v>-5.2924558627671843</v>
      </c>
      <c r="I182" s="50">
        <f t="shared" si="97"/>
        <v>-5.7922861171665421</v>
      </c>
      <c r="J182" s="50">
        <f t="shared" si="97"/>
        <v>3.7493998618429174</v>
      </c>
      <c r="K182" s="50">
        <f t="shared" si="97"/>
        <v>2.8064876361843343</v>
      </c>
      <c r="L182" s="50">
        <f t="shared" si="97"/>
        <v>3.3873845409903764</v>
      </c>
      <c r="M182" s="50">
        <f t="shared" si="97"/>
        <v>1.3407628967624805</v>
      </c>
      <c r="N182" s="50">
        <f t="shared" si="97"/>
        <v>-1.6659706651787285</v>
      </c>
      <c r="O182" s="50">
        <f t="shared" si="97"/>
        <v>9.8308000959232142</v>
      </c>
      <c r="P182" s="50">
        <f t="shared" si="97"/>
        <v>7.0191982708963794</v>
      </c>
      <c r="Q182" s="50">
        <f t="shared" si="97"/>
        <v>4.4831779461202652</v>
      </c>
      <c r="R182" s="50">
        <f t="shared" si="97"/>
        <v>-1.0211801634874753</v>
      </c>
      <c r="S182" s="50">
        <f t="shared" si="97"/>
        <v>-8.8074280599794879</v>
      </c>
      <c r="T182" s="50">
        <f t="shared" si="97"/>
        <v>9.7730448613837311</v>
      </c>
      <c r="U182" s="50">
        <f t="shared" si="97"/>
        <v>7.3372567368066166</v>
      </c>
      <c r="V182" s="50">
        <f t="shared" si="97"/>
        <v>1.3632416575436668</v>
      </c>
      <c r="W182" s="50">
        <f t="shared" si="97"/>
        <v>-3.8540150927377494</v>
      </c>
      <c r="X182" s="50">
        <f t="shared" si="97"/>
        <v>-4.7885034295200803</v>
      </c>
      <c r="Y182" s="50">
        <f t="shared" si="97"/>
        <v>0</v>
      </c>
      <c r="Z182" s="50">
        <f t="shared" si="97"/>
        <v>0</v>
      </c>
      <c r="AA182" s="50">
        <f t="shared" si="97"/>
        <v>0</v>
      </c>
      <c r="AB182" s="50">
        <f t="shared" si="97"/>
        <v>0</v>
      </c>
      <c r="AC182" s="50">
        <f t="shared" si="97"/>
        <v>0</v>
      </c>
      <c r="AD182" s="50">
        <f t="shared" si="97"/>
        <v>0</v>
      </c>
      <c r="AE182" s="50">
        <f t="shared" si="97"/>
        <v>0</v>
      </c>
      <c r="AF182" s="50">
        <f t="shared" si="97"/>
        <v>0</v>
      </c>
      <c r="AG182" s="50">
        <f t="shared" si="97"/>
        <v>0</v>
      </c>
      <c r="AH182" s="50">
        <f t="shared" si="97"/>
        <v>0</v>
      </c>
      <c r="AI182" s="50">
        <f t="shared" si="97"/>
        <v>0</v>
      </c>
      <c r="AJ182" s="50">
        <f t="shared" si="97"/>
        <v>0</v>
      </c>
      <c r="AK182" s="50">
        <f t="shared" si="97"/>
        <v>0</v>
      </c>
      <c r="AL182" s="50">
        <f t="shared" si="97"/>
        <v>0</v>
      </c>
      <c r="AM182" s="50">
        <f t="shared" si="97"/>
        <v>0</v>
      </c>
      <c r="AN182" s="50">
        <f t="shared" si="97"/>
        <v>0</v>
      </c>
      <c r="AO182" s="50">
        <f t="shared" si="97"/>
        <v>0</v>
      </c>
      <c r="AP182" s="50">
        <f t="shared" si="97"/>
        <v>0</v>
      </c>
      <c r="AQ182" s="50">
        <f t="shared" si="97"/>
        <v>0</v>
      </c>
      <c r="AR182" s="51">
        <f t="shared" si="97"/>
        <v>0</v>
      </c>
    </row>
    <row r="183" spans="1:44" s="43" customFormat="1" x14ac:dyDescent="0.15">
      <c r="B183" s="75"/>
      <c r="C183" s="45"/>
      <c r="E183" s="45"/>
      <c r="F183" s="45"/>
      <c r="G183" s="45"/>
      <c r="H183" s="45"/>
      <c r="I183" s="45"/>
      <c r="J183" s="45"/>
      <c r="K183" s="45"/>
      <c r="L183" s="45"/>
      <c r="M183" s="45"/>
      <c r="N183" s="45"/>
      <c r="O183" s="45"/>
      <c r="P183" s="45"/>
      <c r="Q183" s="45"/>
      <c r="R183" s="45"/>
      <c r="S183" s="45"/>
      <c r="T183" s="45"/>
      <c r="U183" s="45"/>
      <c r="V183" s="45"/>
      <c r="W183" s="45"/>
      <c r="X183" s="45"/>
    </row>
    <row r="184" spans="1:44" s="43" customFormat="1" x14ac:dyDescent="0.15">
      <c r="E184" s="45"/>
    </row>
    <row r="185" spans="1:44" s="26" customFormat="1" ht="18" x14ac:dyDescent="0.2">
      <c r="A185" s="24" t="s">
        <v>70</v>
      </c>
      <c r="B185" s="25"/>
      <c r="C185" s="25"/>
      <c r="D185" s="43"/>
      <c r="E185" s="43"/>
      <c r="F185" s="43"/>
      <c r="G185" s="43"/>
      <c r="H185" s="43"/>
      <c r="I185" s="43"/>
      <c r="J185" s="43"/>
    </row>
    <row r="186" spans="1:44" s="45" customFormat="1" x14ac:dyDescent="0.15">
      <c r="A186" s="75"/>
      <c r="B186" s="147" t="s">
        <v>71</v>
      </c>
      <c r="C186" s="110"/>
    </row>
    <row r="187" spans="1:44" s="86" customFormat="1" x14ac:dyDescent="0.15">
      <c r="B187" s="45"/>
      <c r="C187" s="35" t="s">
        <v>62</v>
      </c>
      <c r="E187" s="46">
        <f t="shared" ref="E187:AR187" si="98">IF(Year="",,E152*BilledDemand_Risk*Collection_FC-SUM(E$164,E$165,E82,(E29-E30)*ServExt_LoanPct))</f>
        <v>20.065667012028214</v>
      </c>
      <c r="F187" s="47">
        <f t="shared" si="98"/>
        <v>15.934819537778722</v>
      </c>
      <c r="G187" s="47">
        <f t="shared" si="98"/>
        <v>14.876459459289961</v>
      </c>
      <c r="H187" s="47">
        <f t="shared" si="98"/>
        <v>17.45760135022897</v>
      </c>
      <c r="I187" s="47">
        <f t="shared" si="98"/>
        <v>23.31227539332582</v>
      </c>
      <c r="J187" s="47">
        <f t="shared" si="98"/>
        <v>33.788378407585611</v>
      </c>
      <c r="K187" s="47">
        <f t="shared" si="98"/>
        <v>37.964773600807746</v>
      </c>
      <c r="L187" s="47">
        <f t="shared" si="98"/>
        <v>46.326315873515512</v>
      </c>
      <c r="M187" s="47">
        <f t="shared" si="98"/>
        <v>44.673634964553173</v>
      </c>
      <c r="N187" s="47">
        <f t="shared" si="98"/>
        <v>39.522833103274252</v>
      </c>
      <c r="O187" s="47">
        <f t="shared" si="98"/>
        <v>32.054011513017429</v>
      </c>
      <c r="P187" s="47">
        <f t="shared" si="98"/>
        <v>22.074826146257124</v>
      </c>
      <c r="Q187" s="47">
        <f t="shared" si="98"/>
        <v>10.158402993987352</v>
      </c>
      <c r="R187" s="47">
        <f t="shared" si="98"/>
        <v>-30.19418084309541</v>
      </c>
      <c r="S187" s="47">
        <f t="shared" si="98"/>
        <v>-102.74892658434067</v>
      </c>
      <c r="T187" s="47">
        <f t="shared" si="98"/>
        <v>-174.00815466423353</v>
      </c>
      <c r="U187" s="47">
        <f t="shared" si="98"/>
        <v>-220.05575161593038</v>
      </c>
      <c r="V187" s="47">
        <f t="shared" si="98"/>
        <v>-324.18399630129477</v>
      </c>
      <c r="W187" s="47">
        <f t="shared" si="98"/>
        <v>-436.88279073356182</v>
      </c>
      <c r="X187" s="47">
        <f t="shared" si="98"/>
        <v>-515.2180069945548</v>
      </c>
      <c r="Y187" s="47">
        <f t="shared" si="98"/>
        <v>0</v>
      </c>
      <c r="Z187" s="47">
        <f t="shared" si="98"/>
        <v>0</v>
      </c>
      <c r="AA187" s="47">
        <f t="shared" si="98"/>
        <v>0</v>
      </c>
      <c r="AB187" s="47">
        <f t="shared" si="98"/>
        <v>0</v>
      </c>
      <c r="AC187" s="47">
        <f t="shared" si="98"/>
        <v>0</v>
      </c>
      <c r="AD187" s="47">
        <f t="shared" si="98"/>
        <v>0</v>
      </c>
      <c r="AE187" s="47">
        <f t="shared" si="98"/>
        <v>0</v>
      </c>
      <c r="AF187" s="47">
        <f t="shared" si="98"/>
        <v>0</v>
      </c>
      <c r="AG187" s="47">
        <f t="shared" si="98"/>
        <v>0</v>
      </c>
      <c r="AH187" s="47">
        <f t="shared" si="98"/>
        <v>0</v>
      </c>
      <c r="AI187" s="47">
        <f t="shared" si="98"/>
        <v>0</v>
      </c>
      <c r="AJ187" s="47">
        <f t="shared" si="98"/>
        <v>0</v>
      </c>
      <c r="AK187" s="47">
        <f t="shared" si="98"/>
        <v>0</v>
      </c>
      <c r="AL187" s="47">
        <f t="shared" si="98"/>
        <v>0</v>
      </c>
      <c r="AM187" s="47">
        <f t="shared" si="98"/>
        <v>0</v>
      </c>
      <c r="AN187" s="47">
        <f t="shared" si="98"/>
        <v>0</v>
      </c>
      <c r="AO187" s="47">
        <f t="shared" si="98"/>
        <v>0</v>
      </c>
      <c r="AP187" s="47">
        <f t="shared" si="98"/>
        <v>0</v>
      </c>
      <c r="AQ187" s="47">
        <f t="shared" si="98"/>
        <v>0</v>
      </c>
      <c r="AR187" s="48">
        <f t="shared" si="98"/>
        <v>0</v>
      </c>
    </row>
    <row r="188" spans="1:44" s="86" customFormat="1" x14ac:dyDescent="0.15">
      <c r="B188" s="45"/>
      <c r="C188" s="43" t="str">
        <f>CONCATENATE(Tariff_Period," year reset period")</f>
        <v>5 year reset period</v>
      </c>
      <c r="E188" s="49">
        <f t="shared" ref="E188:AR188" si="99">IF(Year="",,E155*BilledDemand_Risk*Collection_FC-SUM(E$164,E$165,E82,(E29-E30)*ServExt_LoanPct))</f>
        <v>2.6006424395769443</v>
      </c>
      <c r="F188" s="50">
        <f t="shared" si="99"/>
        <v>-3.1621114816715163</v>
      </c>
      <c r="G188" s="50">
        <f t="shared" si="99"/>
        <v>-7.0055726101528251</v>
      </c>
      <c r="H188" s="50">
        <f t="shared" si="99"/>
        <v>-9.1725950032697057</v>
      </c>
      <c r="I188" s="50">
        <f t="shared" si="99"/>
        <v>-11.612192077549537</v>
      </c>
      <c r="J188" s="50">
        <f t="shared" si="99"/>
        <v>8.7128014362040744</v>
      </c>
      <c r="K188" s="50">
        <f t="shared" si="99"/>
        <v>7.5831985736195122</v>
      </c>
      <c r="L188" s="50">
        <f t="shared" si="99"/>
        <v>10.655222649471625</v>
      </c>
      <c r="M188" s="50">
        <f t="shared" si="99"/>
        <v>5.0540258520191514</v>
      </c>
      <c r="N188" s="50">
        <f t="shared" si="99"/>
        <v>-6.6935246066518062</v>
      </c>
      <c r="O188" s="50">
        <f t="shared" si="99"/>
        <v>48.984045677645327</v>
      </c>
      <c r="P188" s="50">
        <f t="shared" si="99"/>
        <v>41.078044205610468</v>
      </c>
      <c r="Q188" s="50">
        <f t="shared" si="99"/>
        <v>30.885807335653908</v>
      </c>
      <c r="R188" s="50">
        <f t="shared" si="99"/>
        <v>-6.9551361568057928</v>
      </c>
      <c r="S188" s="50">
        <f t="shared" si="99"/>
        <v>-78.666917295794292</v>
      </c>
      <c r="T188" s="50">
        <f t="shared" si="99"/>
        <v>104.03458721215452</v>
      </c>
      <c r="U188" s="50">
        <f t="shared" si="99"/>
        <v>90.738742893035578</v>
      </c>
      <c r="V188" s="50">
        <f t="shared" si="99"/>
        <v>20.406057472654311</v>
      </c>
      <c r="W188" s="50">
        <f t="shared" si="99"/>
        <v>-62.639465914988477</v>
      </c>
      <c r="X188" s="50">
        <f t="shared" si="99"/>
        <v>-91.27482832935948</v>
      </c>
      <c r="Y188" s="50">
        <f t="shared" si="99"/>
        <v>0</v>
      </c>
      <c r="Z188" s="50">
        <f t="shared" si="99"/>
        <v>0</v>
      </c>
      <c r="AA188" s="50">
        <f t="shared" si="99"/>
        <v>0</v>
      </c>
      <c r="AB188" s="50">
        <f t="shared" si="99"/>
        <v>0</v>
      </c>
      <c r="AC188" s="50">
        <f t="shared" si="99"/>
        <v>0</v>
      </c>
      <c r="AD188" s="50">
        <f t="shared" si="99"/>
        <v>0</v>
      </c>
      <c r="AE188" s="50">
        <f t="shared" si="99"/>
        <v>0</v>
      </c>
      <c r="AF188" s="50">
        <f t="shared" si="99"/>
        <v>0</v>
      </c>
      <c r="AG188" s="50">
        <f t="shared" si="99"/>
        <v>0</v>
      </c>
      <c r="AH188" s="50">
        <f t="shared" si="99"/>
        <v>0</v>
      </c>
      <c r="AI188" s="50">
        <f t="shared" si="99"/>
        <v>0</v>
      </c>
      <c r="AJ188" s="50">
        <f t="shared" si="99"/>
        <v>0</v>
      </c>
      <c r="AK188" s="50">
        <f t="shared" si="99"/>
        <v>0</v>
      </c>
      <c r="AL188" s="50">
        <f t="shared" si="99"/>
        <v>0</v>
      </c>
      <c r="AM188" s="50">
        <f t="shared" si="99"/>
        <v>0</v>
      </c>
      <c r="AN188" s="50">
        <f t="shared" si="99"/>
        <v>0</v>
      </c>
      <c r="AO188" s="50">
        <f t="shared" si="99"/>
        <v>0</v>
      </c>
      <c r="AP188" s="50">
        <f t="shared" si="99"/>
        <v>0</v>
      </c>
      <c r="AQ188" s="50">
        <f t="shared" si="99"/>
        <v>0</v>
      </c>
      <c r="AR188" s="51">
        <f t="shared" si="99"/>
        <v>0</v>
      </c>
    </row>
    <row r="189" spans="1:44" s="45" customFormat="1" x14ac:dyDescent="0.15">
      <c r="A189" s="75"/>
      <c r="B189" s="147" t="s">
        <v>70</v>
      </c>
    </row>
    <row r="190" spans="1:44" s="86" customFormat="1" x14ac:dyDescent="0.15">
      <c r="C190" s="35" t="s">
        <v>62</v>
      </c>
      <c r="E190" s="46" t="str">
        <f t="shared" ref="E190:AR190" si="100">IF(Year="",,IF(E83=0,"",E187/E83))</f>
        <v/>
      </c>
      <c r="F190" s="47" t="str">
        <f t="shared" si="100"/>
        <v/>
      </c>
      <c r="G190" s="47" t="str">
        <f t="shared" si="100"/>
        <v/>
      </c>
      <c r="H190" s="47" t="str">
        <f t="shared" si="100"/>
        <v/>
      </c>
      <c r="I190" s="47" t="str">
        <f t="shared" si="100"/>
        <v/>
      </c>
      <c r="J190" s="47">
        <f t="shared" si="100"/>
        <v>3327.9094663299506</v>
      </c>
      <c r="K190" s="47">
        <f t="shared" si="100"/>
        <v>1400.0219075880877</v>
      </c>
      <c r="L190" s="47">
        <f t="shared" si="100"/>
        <v>669.8144701879072</v>
      </c>
      <c r="M190" s="47">
        <f t="shared" si="100"/>
        <v>262.64404497803474</v>
      </c>
      <c r="N190" s="47">
        <f t="shared" si="100"/>
        <v>107.16623572152659</v>
      </c>
      <c r="O190" s="47">
        <f t="shared" si="100"/>
        <v>51.357248390595416</v>
      </c>
      <c r="P190" s="47">
        <f t="shared" si="100"/>
        <v>26.784238307951977</v>
      </c>
      <c r="Q190" s="47">
        <f t="shared" si="100"/>
        <v>11.161537360257016</v>
      </c>
      <c r="R190" s="47">
        <f t="shared" si="100"/>
        <v>-30.266890954467144</v>
      </c>
      <c r="S190" s="47">
        <f t="shared" si="100"/>
        <v>-94.505375761909988</v>
      </c>
      <c r="T190" s="47">
        <f t="shared" si="100"/>
        <v>-158.54746363559991</v>
      </c>
      <c r="U190" s="47">
        <f t="shared" si="100"/>
        <v>-212.46074885240134</v>
      </c>
      <c r="V190" s="47">
        <f t="shared" si="100"/>
        <v>-312.8558411703583</v>
      </c>
      <c r="W190" s="47">
        <f t="shared" si="100"/>
        <v>-432.11030679115692</v>
      </c>
      <c r="X190" s="47">
        <f t="shared" si="100"/>
        <v>-559.80657109999913</v>
      </c>
      <c r="Y190" s="47">
        <f t="shared" si="100"/>
        <v>0</v>
      </c>
      <c r="Z190" s="47">
        <f t="shared" si="100"/>
        <v>0</v>
      </c>
      <c r="AA190" s="47">
        <f t="shared" si="100"/>
        <v>0</v>
      </c>
      <c r="AB190" s="47">
        <f t="shared" si="100"/>
        <v>0</v>
      </c>
      <c r="AC190" s="47">
        <f t="shared" si="100"/>
        <v>0</v>
      </c>
      <c r="AD190" s="47">
        <f t="shared" si="100"/>
        <v>0</v>
      </c>
      <c r="AE190" s="47">
        <f t="shared" si="100"/>
        <v>0</v>
      </c>
      <c r="AF190" s="47">
        <f t="shared" si="100"/>
        <v>0</v>
      </c>
      <c r="AG190" s="47">
        <f t="shared" si="100"/>
        <v>0</v>
      </c>
      <c r="AH190" s="47">
        <f t="shared" si="100"/>
        <v>0</v>
      </c>
      <c r="AI190" s="47">
        <f t="shared" si="100"/>
        <v>0</v>
      </c>
      <c r="AJ190" s="47">
        <f t="shared" si="100"/>
        <v>0</v>
      </c>
      <c r="AK190" s="47">
        <f t="shared" si="100"/>
        <v>0</v>
      </c>
      <c r="AL190" s="47">
        <f t="shared" si="100"/>
        <v>0</v>
      </c>
      <c r="AM190" s="47">
        <f t="shared" si="100"/>
        <v>0</v>
      </c>
      <c r="AN190" s="47">
        <f t="shared" si="100"/>
        <v>0</v>
      </c>
      <c r="AO190" s="47">
        <f t="shared" si="100"/>
        <v>0</v>
      </c>
      <c r="AP190" s="47">
        <f t="shared" si="100"/>
        <v>0</v>
      </c>
      <c r="AQ190" s="47">
        <f t="shared" si="100"/>
        <v>0</v>
      </c>
      <c r="AR190" s="48">
        <f t="shared" si="100"/>
        <v>0</v>
      </c>
    </row>
    <row r="191" spans="1:44" s="86" customFormat="1" x14ac:dyDescent="0.15">
      <c r="B191" s="110"/>
      <c r="C191" s="43" t="str">
        <f>CONCATENATE(Tariff_Period," year reset period")</f>
        <v>5 year reset period</v>
      </c>
      <c r="E191" s="49" t="str">
        <f t="shared" ref="E191:AR191" si="101">IF(Year="",,IF(E83=0,"",E188/E83))</f>
        <v/>
      </c>
      <c r="F191" s="50" t="str">
        <f t="shared" si="101"/>
        <v/>
      </c>
      <c r="G191" s="50" t="str">
        <f t="shared" si="101"/>
        <v/>
      </c>
      <c r="H191" s="50" t="str">
        <f t="shared" si="101"/>
        <v/>
      </c>
      <c r="I191" s="50" t="str">
        <f t="shared" si="101"/>
        <v/>
      </c>
      <c r="J191" s="50">
        <f t="shared" si="101"/>
        <v>858.14755677316418</v>
      </c>
      <c r="K191" s="50">
        <f t="shared" si="101"/>
        <v>279.64460539894208</v>
      </c>
      <c r="L191" s="50">
        <f t="shared" si="101"/>
        <v>154.0597860873763</v>
      </c>
      <c r="M191" s="50">
        <f t="shared" si="101"/>
        <v>29.713494195202994</v>
      </c>
      <c r="N191" s="50">
        <f t="shared" si="101"/>
        <v>-18.14950446315196</v>
      </c>
      <c r="O191" s="50">
        <f t="shared" si="101"/>
        <v>78.48271346696994</v>
      </c>
      <c r="P191" s="50">
        <f t="shared" si="101"/>
        <v>49.841576007800519</v>
      </c>
      <c r="Q191" s="50">
        <f t="shared" si="101"/>
        <v>33.935756701387518</v>
      </c>
      <c r="R191" s="50">
        <f t="shared" si="101"/>
        <v>-6.9718847060442988</v>
      </c>
      <c r="S191" s="50">
        <f t="shared" si="101"/>
        <v>-72.355467119820744</v>
      </c>
      <c r="T191" s="50">
        <f t="shared" si="101"/>
        <v>94.791074387814646</v>
      </c>
      <c r="U191" s="50">
        <f t="shared" si="101"/>
        <v>87.606986517794056</v>
      </c>
      <c r="V191" s="50">
        <f t="shared" si="101"/>
        <v>19.692996410731343</v>
      </c>
      <c r="W191" s="50">
        <f t="shared" si="101"/>
        <v>-61.955195782172879</v>
      </c>
      <c r="X191" s="50">
        <f t="shared" si="101"/>
        <v>-99.174035032008916</v>
      </c>
      <c r="Y191" s="50">
        <f t="shared" si="101"/>
        <v>0</v>
      </c>
      <c r="Z191" s="50">
        <f t="shared" si="101"/>
        <v>0</v>
      </c>
      <c r="AA191" s="50">
        <f t="shared" si="101"/>
        <v>0</v>
      </c>
      <c r="AB191" s="50">
        <f t="shared" si="101"/>
        <v>0</v>
      </c>
      <c r="AC191" s="50">
        <f t="shared" si="101"/>
        <v>0</v>
      </c>
      <c r="AD191" s="50">
        <f t="shared" si="101"/>
        <v>0</v>
      </c>
      <c r="AE191" s="50">
        <f t="shared" si="101"/>
        <v>0</v>
      </c>
      <c r="AF191" s="50">
        <f t="shared" si="101"/>
        <v>0</v>
      </c>
      <c r="AG191" s="50">
        <f t="shared" si="101"/>
        <v>0</v>
      </c>
      <c r="AH191" s="50">
        <f t="shared" si="101"/>
        <v>0</v>
      </c>
      <c r="AI191" s="50">
        <f t="shared" si="101"/>
        <v>0</v>
      </c>
      <c r="AJ191" s="50">
        <f t="shared" si="101"/>
        <v>0</v>
      </c>
      <c r="AK191" s="50">
        <f t="shared" si="101"/>
        <v>0</v>
      </c>
      <c r="AL191" s="50">
        <f t="shared" si="101"/>
        <v>0</v>
      </c>
      <c r="AM191" s="50">
        <f t="shared" si="101"/>
        <v>0</v>
      </c>
      <c r="AN191" s="50">
        <f t="shared" si="101"/>
        <v>0</v>
      </c>
      <c r="AO191" s="50">
        <f t="shared" si="101"/>
        <v>0</v>
      </c>
      <c r="AP191" s="50">
        <f t="shared" si="101"/>
        <v>0</v>
      </c>
      <c r="AQ191" s="50">
        <f t="shared" si="101"/>
        <v>0</v>
      </c>
      <c r="AR191" s="51">
        <f t="shared" si="101"/>
        <v>0</v>
      </c>
    </row>
    <row r="192" spans="1:44" s="43" customFormat="1" x14ac:dyDescent="0.15">
      <c r="B192" s="75"/>
    </row>
    <row r="193" spans="1:64" s="43" customFormat="1" x14ac:dyDescent="0.15">
      <c r="B193" s="75"/>
    </row>
    <row r="194" spans="1:64" s="26" customFormat="1" ht="18" x14ac:dyDescent="0.2">
      <c r="A194" s="24" t="s">
        <v>72</v>
      </c>
      <c r="B194" s="25"/>
      <c r="C194" s="25"/>
      <c r="D194" s="43"/>
      <c r="E194" s="253" t="s">
        <v>173</v>
      </c>
      <c r="F194" s="43"/>
      <c r="G194" s="43"/>
      <c r="H194" s="43"/>
      <c r="I194" s="43"/>
      <c r="J194" s="43"/>
    </row>
    <row r="195" spans="1:64" s="26" customFormat="1" x14ac:dyDescent="0.15">
      <c r="A195" s="207" t="s">
        <v>73</v>
      </c>
      <c r="B195" s="208"/>
      <c r="C195" s="208"/>
      <c r="D195" s="166"/>
      <c r="E195" s="166"/>
      <c r="F195" s="166"/>
      <c r="G195" s="166"/>
      <c r="H195" s="166"/>
      <c r="I195" s="166"/>
      <c r="J195" s="166"/>
      <c r="K195" s="166"/>
      <c r="L195" s="166"/>
      <c r="M195" s="166"/>
      <c r="N195" s="166"/>
      <c r="O195" s="166"/>
      <c r="P195" s="166"/>
      <c r="Q195" s="166"/>
      <c r="R195" s="166"/>
      <c r="S195" s="166"/>
      <c r="T195" s="166"/>
      <c r="U195" s="166"/>
      <c r="V195" s="166"/>
      <c r="W195" s="166"/>
      <c r="X195" s="166"/>
      <c r="Y195" s="166"/>
      <c r="Z195" s="166"/>
      <c r="AA195" s="166"/>
      <c r="AB195" s="166"/>
      <c r="AC195" s="166"/>
      <c r="AD195" s="166"/>
      <c r="AE195" s="166"/>
      <c r="AF195" s="166"/>
      <c r="AG195" s="166"/>
      <c r="AH195" s="166"/>
      <c r="AI195" s="166"/>
      <c r="AJ195" s="166"/>
      <c r="AK195" s="166"/>
      <c r="AL195" s="166"/>
      <c r="AM195" s="166"/>
      <c r="AN195" s="166"/>
      <c r="AO195" s="166"/>
      <c r="AP195" s="166"/>
      <c r="AQ195" s="166"/>
      <c r="AR195" s="166"/>
    </row>
    <row r="196" spans="1:64" s="26" customFormat="1" x14ac:dyDescent="0.15">
      <c r="A196" s="87" t="str">
        <f>INDEX('[1]Other assumptions'!$I$4:$I$6,Ch_EcOption,1)</f>
        <v>Millions of m3</v>
      </c>
      <c r="B196" s="254" t="str">
        <f>INDEX('[1]Other assumptions'!$H$4:$H$6,Ch_EcOption,1)</f>
        <v>Billable demand</v>
      </c>
      <c r="C196" s="28"/>
      <c r="D196" s="166"/>
      <c r="E196" s="166"/>
      <c r="F196" s="166"/>
      <c r="G196" s="166"/>
      <c r="H196" s="166"/>
      <c r="I196" s="166"/>
      <c r="J196" s="166"/>
      <c r="K196" s="166"/>
      <c r="L196" s="166"/>
      <c r="M196" s="166"/>
      <c r="N196" s="166"/>
      <c r="O196" s="166"/>
      <c r="P196" s="166"/>
      <c r="Q196" s="166"/>
      <c r="R196" s="166"/>
      <c r="S196" s="166"/>
      <c r="T196" s="166"/>
      <c r="U196" s="166"/>
      <c r="V196" s="166"/>
      <c r="W196" s="166"/>
      <c r="X196" s="166"/>
      <c r="Y196" s="166"/>
      <c r="Z196" s="166"/>
      <c r="AA196" s="166" t="str">
        <f t="shared" ref="AA196:AR196" si="102">IF(Z196="","",IF(Z196+1&gt;Contract_Length,"",Z196+1))</f>
        <v/>
      </c>
      <c r="AB196" s="166" t="str">
        <f t="shared" si="102"/>
        <v/>
      </c>
      <c r="AC196" s="166" t="str">
        <f t="shared" si="102"/>
        <v/>
      </c>
      <c r="AD196" s="166" t="str">
        <f t="shared" si="102"/>
        <v/>
      </c>
      <c r="AE196" s="166" t="str">
        <f t="shared" si="102"/>
        <v/>
      </c>
      <c r="AF196" s="166" t="str">
        <f t="shared" si="102"/>
        <v/>
      </c>
      <c r="AG196" s="166" t="str">
        <f t="shared" si="102"/>
        <v/>
      </c>
      <c r="AH196" s="166" t="str">
        <f t="shared" si="102"/>
        <v/>
      </c>
      <c r="AI196" s="166" t="str">
        <f t="shared" si="102"/>
        <v/>
      </c>
      <c r="AJ196" s="166" t="str">
        <f t="shared" si="102"/>
        <v/>
      </c>
      <c r="AK196" s="166" t="str">
        <f t="shared" si="102"/>
        <v/>
      </c>
      <c r="AL196" s="166" t="str">
        <f t="shared" si="102"/>
        <v/>
      </c>
      <c r="AM196" s="166" t="str">
        <f t="shared" si="102"/>
        <v/>
      </c>
      <c r="AN196" s="166" t="str">
        <f t="shared" si="102"/>
        <v/>
      </c>
      <c r="AO196" s="166" t="str">
        <f t="shared" si="102"/>
        <v/>
      </c>
      <c r="AP196" s="166" t="str">
        <f t="shared" si="102"/>
        <v/>
      </c>
      <c r="AQ196" s="166" t="str">
        <f t="shared" si="102"/>
        <v/>
      </c>
      <c r="AR196" s="166" t="str">
        <f t="shared" si="102"/>
        <v/>
      </c>
    </row>
    <row r="197" spans="1:64" s="45" customFormat="1" x14ac:dyDescent="0.15">
      <c r="C197" s="110" t="s">
        <v>13</v>
      </c>
      <c r="D197" s="46">
        <f t="shared" ref="D197:AR197" si="103">IF(Year="","",INDEX($201:$203,Ch_EcOption,COLUMN()))</f>
        <v>1.3687499999999999</v>
      </c>
      <c r="E197" s="47">
        <f t="shared" si="103"/>
        <v>1.4117051345640335</v>
      </c>
      <c r="F197" s="47">
        <f t="shared" si="103"/>
        <v>1.4663223205731397</v>
      </c>
      <c r="G197" s="47">
        <f t="shared" si="103"/>
        <v>1.5636137776346484</v>
      </c>
      <c r="H197" s="47">
        <f t="shared" si="103"/>
        <v>1.7532026231958293</v>
      </c>
      <c r="I197" s="47">
        <f t="shared" si="103"/>
        <v>2.083778215198731</v>
      </c>
      <c r="J197" s="47">
        <f t="shared" si="103"/>
        <v>2.5038488888808801</v>
      </c>
      <c r="K197" s="47">
        <f t="shared" si="103"/>
        <v>2.8616341902584765</v>
      </c>
      <c r="L197" s="47">
        <f t="shared" si="103"/>
        <v>3.0906042901457167</v>
      </c>
      <c r="M197" s="47">
        <f t="shared" si="103"/>
        <v>3.2293361036334907</v>
      </c>
      <c r="N197" s="47">
        <f t="shared" si="103"/>
        <v>3.3435900504634635</v>
      </c>
      <c r="O197" s="47">
        <f t="shared" si="103"/>
        <v>3.411135049982954</v>
      </c>
      <c r="P197" s="47">
        <f t="shared" si="103"/>
        <v>3.4800445490048451</v>
      </c>
      <c r="Q197" s="47">
        <f t="shared" si="103"/>
        <v>3.5503461122475488</v>
      </c>
      <c r="R197" s="47">
        <f t="shared" si="103"/>
        <v>3.6220678612737327</v>
      </c>
      <c r="S197" s="47">
        <f t="shared" si="103"/>
        <v>3.6952384857393064</v>
      </c>
      <c r="T197" s="47">
        <f t="shared" si="103"/>
        <v>3.7698872548696807</v>
      </c>
      <c r="U197" s="47">
        <f t="shared" si="103"/>
        <v>3.8460440291678353</v>
      </c>
      <c r="V197" s="47">
        <f t="shared" si="103"/>
        <v>3.9237392723589291</v>
      </c>
      <c r="W197" s="47">
        <f t="shared" si="103"/>
        <v>4.0030040635761868</v>
      </c>
      <c r="X197" s="47">
        <f t="shared" si="103"/>
        <v>4.0838701097929739</v>
      </c>
      <c r="Y197" s="47" t="str">
        <f t="shared" si="103"/>
        <v/>
      </c>
      <c r="Z197" s="47" t="str">
        <f t="shared" si="103"/>
        <v/>
      </c>
      <c r="AA197" s="47" t="str">
        <f t="shared" si="103"/>
        <v/>
      </c>
      <c r="AB197" s="47" t="str">
        <f t="shared" si="103"/>
        <v/>
      </c>
      <c r="AC197" s="47" t="str">
        <f t="shared" si="103"/>
        <v/>
      </c>
      <c r="AD197" s="47" t="str">
        <f t="shared" si="103"/>
        <v/>
      </c>
      <c r="AE197" s="47" t="str">
        <f t="shared" si="103"/>
        <v/>
      </c>
      <c r="AF197" s="47" t="str">
        <f t="shared" si="103"/>
        <v/>
      </c>
      <c r="AG197" s="47" t="str">
        <f t="shared" si="103"/>
        <v/>
      </c>
      <c r="AH197" s="47" t="str">
        <f t="shared" si="103"/>
        <v/>
      </c>
      <c r="AI197" s="47" t="str">
        <f t="shared" si="103"/>
        <v/>
      </c>
      <c r="AJ197" s="47" t="str">
        <f t="shared" si="103"/>
        <v/>
      </c>
      <c r="AK197" s="47" t="str">
        <f t="shared" si="103"/>
        <v/>
      </c>
      <c r="AL197" s="47" t="str">
        <f t="shared" si="103"/>
        <v/>
      </c>
      <c r="AM197" s="47" t="str">
        <f t="shared" si="103"/>
        <v/>
      </c>
      <c r="AN197" s="47" t="str">
        <f t="shared" si="103"/>
        <v/>
      </c>
      <c r="AO197" s="47" t="str">
        <f t="shared" si="103"/>
        <v/>
      </c>
      <c r="AP197" s="47" t="str">
        <f t="shared" si="103"/>
        <v/>
      </c>
      <c r="AQ197" s="47" t="str">
        <f t="shared" si="103"/>
        <v/>
      </c>
      <c r="AR197" s="48" t="str">
        <f t="shared" si="103"/>
        <v/>
      </c>
    </row>
    <row r="198" spans="1:64" s="45" customFormat="1" x14ac:dyDescent="0.15">
      <c r="C198" s="110" t="s">
        <v>14</v>
      </c>
      <c r="D198" s="49">
        <f t="shared" ref="D198:AR198" si="104">IF(Year="","",INDEX($205:$207,Ch_EcOption,COLUMN()))</f>
        <v>1.3687499999999999</v>
      </c>
      <c r="E198" s="50">
        <f t="shared" si="104"/>
        <v>1.3846589277993275</v>
      </c>
      <c r="F198" s="50">
        <f t="shared" si="104"/>
        <v>1.4183946379433205</v>
      </c>
      <c r="G198" s="50">
        <f t="shared" si="104"/>
        <v>1.5101476517810493</v>
      </c>
      <c r="H198" s="50">
        <f t="shared" si="104"/>
        <v>1.7068521601877076</v>
      </c>
      <c r="I198" s="50">
        <f t="shared" si="104"/>
        <v>2.0754998817479033</v>
      </c>
      <c r="J198" s="50">
        <f t="shared" si="104"/>
        <v>2.436336555314826</v>
      </c>
      <c r="K198" s="50">
        <f t="shared" si="104"/>
        <v>2.7293135736398333</v>
      </c>
      <c r="L198" s="50">
        <f t="shared" si="104"/>
        <v>2.960900635860797</v>
      </c>
      <c r="M198" s="50">
        <f t="shared" si="104"/>
        <v>3.0260092958949856</v>
      </c>
      <c r="N198" s="50">
        <f t="shared" si="104"/>
        <v>3.2530737866708561</v>
      </c>
      <c r="O198" s="50">
        <f t="shared" si="104"/>
        <v>3.3204931496738461</v>
      </c>
      <c r="P198" s="50">
        <f t="shared" si="104"/>
        <v>3.4288537910818846</v>
      </c>
      <c r="Q198" s="50">
        <f t="shared" si="104"/>
        <v>3.4403641210546043</v>
      </c>
      <c r="R198" s="50">
        <f t="shared" si="104"/>
        <v>3.55179086034319</v>
      </c>
      <c r="S198" s="50">
        <f t="shared" si="104"/>
        <v>3.3949420359613574</v>
      </c>
      <c r="T198" s="50">
        <f t="shared" si="104"/>
        <v>3.371696960097307</v>
      </c>
      <c r="U198" s="50">
        <f t="shared" si="104"/>
        <v>3.4824075464936035</v>
      </c>
      <c r="V198" s="50">
        <f t="shared" si="104"/>
        <v>3.5631120548547441</v>
      </c>
      <c r="W198" s="50">
        <f t="shared" si="104"/>
        <v>3.5706420620075443</v>
      </c>
      <c r="X198" s="50">
        <f t="shared" si="104"/>
        <v>3.7211792742953271</v>
      </c>
      <c r="Y198" s="50" t="str">
        <f t="shared" si="104"/>
        <v/>
      </c>
      <c r="Z198" s="50" t="str">
        <f t="shared" si="104"/>
        <v/>
      </c>
      <c r="AA198" s="50" t="str">
        <f t="shared" si="104"/>
        <v/>
      </c>
      <c r="AB198" s="50" t="str">
        <f t="shared" si="104"/>
        <v/>
      </c>
      <c r="AC198" s="50" t="str">
        <f t="shared" si="104"/>
        <v/>
      </c>
      <c r="AD198" s="50" t="str">
        <f t="shared" si="104"/>
        <v/>
      </c>
      <c r="AE198" s="50" t="str">
        <f t="shared" si="104"/>
        <v/>
      </c>
      <c r="AF198" s="50" t="str">
        <f t="shared" si="104"/>
        <v/>
      </c>
      <c r="AG198" s="50" t="str">
        <f t="shared" si="104"/>
        <v/>
      </c>
      <c r="AH198" s="50" t="str">
        <f t="shared" si="104"/>
        <v/>
      </c>
      <c r="AI198" s="50" t="str">
        <f t="shared" si="104"/>
        <v/>
      </c>
      <c r="AJ198" s="50" t="str">
        <f t="shared" si="104"/>
        <v/>
      </c>
      <c r="AK198" s="50" t="str">
        <f t="shared" si="104"/>
        <v/>
      </c>
      <c r="AL198" s="50" t="str">
        <f t="shared" si="104"/>
        <v/>
      </c>
      <c r="AM198" s="50" t="str">
        <f t="shared" si="104"/>
        <v/>
      </c>
      <c r="AN198" s="50" t="str">
        <f t="shared" si="104"/>
        <v/>
      </c>
      <c r="AO198" s="50" t="str">
        <f t="shared" si="104"/>
        <v/>
      </c>
      <c r="AP198" s="50" t="str">
        <f t="shared" si="104"/>
        <v/>
      </c>
      <c r="AQ198" s="50" t="str">
        <f t="shared" si="104"/>
        <v/>
      </c>
      <c r="AR198" s="51" t="str">
        <f t="shared" si="104"/>
        <v/>
      </c>
    </row>
    <row r="199" spans="1:64" s="26" customFormat="1" x14ac:dyDescent="0.15">
      <c r="B199" s="74" t="s">
        <v>74</v>
      </c>
      <c r="C199" s="28"/>
    </row>
    <row r="200" spans="1:64" s="43" customFormat="1" x14ac:dyDescent="0.15">
      <c r="A200" s="68"/>
      <c r="B200" s="68" t="s">
        <v>75</v>
      </c>
      <c r="D200" s="166"/>
      <c r="E200" s="166"/>
      <c r="F200" s="166"/>
      <c r="G200" s="166"/>
      <c r="H200" s="166"/>
      <c r="I200" s="166"/>
      <c r="J200" s="166"/>
      <c r="K200" s="166"/>
      <c r="L200" s="166"/>
      <c r="M200" s="166"/>
      <c r="N200" s="166"/>
      <c r="O200" s="166"/>
      <c r="P200" s="166"/>
      <c r="Q200" s="166"/>
      <c r="R200" s="166"/>
      <c r="S200" s="166"/>
      <c r="T200" s="166"/>
      <c r="U200" s="166"/>
      <c r="V200" s="166"/>
      <c r="W200" s="166"/>
      <c r="X200" s="166"/>
      <c r="Y200" s="166"/>
      <c r="Z200" s="166"/>
      <c r="AA200" s="166" t="str">
        <f t="shared" ref="AA200:AR200" si="105">IF(Z200="","",IF(Z200+1&gt;Contract_Length,"",Z200+1))</f>
        <v/>
      </c>
      <c r="AB200" s="166" t="str">
        <f t="shared" si="105"/>
        <v/>
      </c>
      <c r="AC200" s="166" t="str">
        <f t="shared" si="105"/>
        <v/>
      </c>
      <c r="AD200" s="166" t="str">
        <f t="shared" si="105"/>
        <v/>
      </c>
      <c r="AE200" s="166" t="str">
        <f t="shared" si="105"/>
        <v/>
      </c>
      <c r="AF200" s="166" t="str">
        <f t="shared" si="105"/>
        <v/>
      </c>
      <c r="AG200" s="166" t="str">
        <f t="shared" si="105"/>
        <v/>
      </c>
      <c r="AH200" s="166" t="str">
        <f t="shared" si="105"/>
        <v/>
      </c>
      <c r="AI200" s="166" t="str">
        <f t="shared" si="105"/>
        <v/>
      </c>
      <c r="AJ200" s="166" t="str">
        <f t="shared" si="105"/>
        <v/>
      </c>
      <c r="AK200" s="166" t="str">
        <f t="shared" si="105"/>
        <v/>
      </c>
      <c r="AL200" s="166" t="str">
        <f t="shared" si="105"/>
        <v/>
      </c>
      <c r="AM200" s="166" t="str">
        <f t="shared" si="105"/>
        <v/>
      </c>
      <c r="AN200" s="166" t="str">
        <f t="shared" si="105"/>
        <v/>
      </c>
      <c r="AO200" s="166" t="str">
        <f t="shared" si="105"/>
        <v/>
      </c>
      <c r="AP200" s="166" t="str">
        <f t="shared" si="105"/>
        <v/>
      </c>
      <c r="AQ200" s="166" t="str">
        <f t="shared" si="105"/>
        <v/>
      </c>
      <c r="AR200" s="166" t="str">
        <f t="shared" si="105"/>
        <v/>
      </c>
      <c r="AS200" s="26"/>
      <c r="AT200" s="26"/>
      <c r="AU200" s="26"/>
      <c r="AV200" s="26"/>
      <c r="AW200" s="26"/>
      <c r="AX200" s="26"/>
      <c r="AY200" s="26"/>
      <c r="AZ200" s="26"/>
      <c r="BA200" s="26"/>
      <c r="BB200" s="26"/>
      <c r="BC200" s="26"/>
      <c r="BD200" s="26"/>
      <c r="BE200" s="26"/>
      <c r="BF200" s="26"/>
      <c r="BG200" s="26"/>
      <c r="BH200" s="26"/>
      <c r="BI200" s="26"/>
      <c r="BJ200" s="26"/>
      <c r="BK200" s="26"/>
      <c r="BL200" s="26"/>
    </row>
    <row r="201" spans="1:64" s="45" customFormat="1" x14ac:dyDescent="0.15">
      <c r="A201" s="292">
        <v>5</v>
      </c>
      <c r="C201" s="35" t="s">
        <v>1</v>
      </c>
      <c r="D201" s="46">
        <f t="shared" ref="D201:AR201" si="106">RealExRate_Det</f>
        <v>100</v>
      </c>
      <c r="E201" s="47">
        <f t="shared" si="106"/>
        <v>105.12710963760242</v>
      </c>
      <c r="F201" s="47">
        <f t="shared" si="106"/>
        <v>110.51709180756478</v>
      </c>
      <c r="G201" s="47">
        <f t="shared" si="106"/>
        <v>116.18342427282835</v>
      </c>
      <c r="H201" s="47">
        <f t="shared" si="106"/>
        <v>122.14027581601702</v>
      </c>
      <c r="I201" s="47">
        <f t="shared" si="106"/>
        <v>128.40254166877421</v>
      </c>
      <c r="J201" s="47">
        <f t="shared" si="106"/>
        <v>134.98588075760037</v>
      </c>
      <c r="K201" s="47">
        <f t="shared" si="106"/>
        <v>141.90675485932579</v>
      </c>
      <c r="L201" s="47">
        <f t="shared" si="106"/>
        <v>149.18246976412712</v>
      </c>
      <c r="M201" s="47">
        <f t="shared" si="106"/>
        <v>156.831218549017</v>
      </c>
      <c r="N201" s="47">
        <f t="shared" si="106"/>
        <v>164.87212707001294</v>
      </c>
      <c r="O201" s="47">
        <f t="shared" si="106"/>
        <v>173.32530178673966</v>
      </c>
      <c r="P201" s="47">
        <f t="shared" si="106"/>
        <v>182.21188003905104</v>
      </c>
      <c r="Q201" s="47">
        <f t="shared" si="106"/>
        <v>191.55408290138976</v>
      </c>
      <c r="R201" s="47">
        <f t="shared" si="106"/>
        <v>201.37527074704784</v>
      </c>
      <c r="S201" s="47">
        <f t="shared" si="106"/>
        <v>211.70000166126766</v>
      </c>
      <c r="T201" s="47">
        <f t="shared" si="106"/>
        <v>222.55409284924698</v>
      </c>
      <c r="U201" s="47">
        <f t="shared" si="106"/>
        <v>233.96468519259935</v>
      </c>
      <c r="V201" s="47">
        <f t="shared" si="106"/>
        <v>245.96031111569525</v>
      </c>
      <c r="W201" s="47">
        <f t="shared" si="106"/>
        <v>258.57096593158491</v>
      </c>
      <c r="X201" s="47">
        <f t="shared" si="106"/>
        <v>271.82818284590485</v>
      </c>
      <c r="Y201" s="47">
        <f t="shared" si="106"/>
        <v>285.76511180631672</v>
      </c>
      <c r="Z201" s="47">
        <f t="shared" si="106"/>
        <v>300.41660239464369</v>
      </c>
      <c r="AA201" s="47">
        <f t="shared" si="106"/>
        <v>315.81929096897716</v>
      </c>
      <c r="AB201" s="47">
        <f t="shared" si="106"/>
        <v>332.01169227365517</v>
      </c>
      <c r="AC201" s="47">
        <f t="shared" si="106"/>
        <v>349.03429574618463</v>
      </c>
      <c r="AD201" s="47">
        <f t="shared" si="106"/>
        <v>366.92966676192498</v>
      </c>
      <c r="AE201" s="47">
        <f t="shared" si="106"/>
        <v>385.74255306969803</v>
      </c>
      <c r="AF201" s="47">
        <f t="shared" si="106"/>
        <v>405.51999668446814</v>
      </c>
      <c r="AG201" s="47">
        <f t="shared" si="106"/>
        <v>426.31145151688247</v>
      </c>
      <c r="AH201" s="47">
        <f t="shared" si="106"/>
        <v>448.16890703380727</v>
      </c>
      <c r="AI201" s="47">
        <f t="shared" si="106"/>
        <v>471.14701825907503</v>
      </c>
      <c r="AJ201" s="47">
        <f t="shared" si="106"/>
        <v>495.30324243951247</v>
      </c>
      <c r="AK201" s="47">
        <f t="shared" si="106"/>
        <v>520.69798271798595</v>
      </c>
      <c r="AL201" s="47">
        <f t="shared" si="106"/>
        <v>547.39473917272119</v>
      </c>
      <c r="AM201" s="47">
        <f t="shared" si="106"/>
        <v>575.46026760057441</v>
      </c>
      <c r="AN201" s="47">
        <f t="shared" si="106"/>
        <v>604.96474644129614</v>
      </c>
      <c r="AO201" s="47">
        <f t="shared" si="106"/>
        <v>635.98195226018481</v>
      </c>
      <c r="AP201" s="47">
        <f t="shared" si="106"/>
        <v>668.58944422792877</v>
      </c>
      <c r="AQ201" s="47">
        <f t="shared" si="106"/>
        <v>702.86875805893135</v>
      </c>
      <c r="AR201" s="48">
        <f t="shared" si="106"/>
        <v>738.90560989306721</v>
      </c>
    </row>
    <row r="202" spans="1:64" s="45" customFormat="1" x14ac:dyDescent="0.15">
      <c r="A202" s="292">
        <v>2</v>
      </c>
      <c r="C202" s="45" t="s">
        <v>15</v>
      </c>
      <c r="D202" s="280">
        <f t="shared" ref="D202:AR202" si="107">Inflation_Det*100</f>
        <v>5</v>
      </c>
      <c r="E202" s="281">
        <f t="shared" si="107"/>
        <v>5.8091712136414158</v>
      </c>
      <c r="F202" s="61">
        <f t="shared" si="107"/>
        <v>6.4816775092882946</v>
      </c>
      <c r="G202" s="61">
        <f t="shared" si="107"/>
        <v>6.992900892870531</v>
      </c>
      <c r="H202" s="61">
        <f t="shared" si="107"/>
        <v>7.3540444827524016</v>
      </c>
      <c r="I202" s="61">
        <f t="shared" si="107"/>
        <v>7.5954410655356046</v>
      </c>
      <c r="J202" s="61">
        <f t="shared" si="107"/>
        <v>7.750645686095309</v>
      </c>
      <c r="K202" s="61">
        <f t="shared" si="107"/>
        <v>7.8478834397158792</v>
      </c>
      <c r="L202" s="61">
        <f t="shared" si="107"/>
        <v>7.9078006626364283</v>
      </c>
      <c r="M202" s="61">
        <f t="shared" si="107"/>
        <v>7.9443395184390031</v>
      </c>
      <c r="N202" s="61">
        <f t="shared" si="107"/>
        <v>7.9664796005037717</v>
      </c>
      <c r="O202" s="61">
        <f t="shared" si="107"/>
        <v>7.979842774788513</v>
      </c>
      <c r="P202" s="61">
        <f t="shared" si="107"/>
        <v>7.9878894034482135</v>
      </c>
      <c r="Q202" s="61">
        <f t="shared" si="107"/>
        <v>7.9927277734823345</v>
      </c>
      <c r="R202" s="61">
        <f t="shared" si="107"/>
        <v>7.9956345482615641</v>
      </c>
      <c r="S202" s="61">
        <f t="shared" si="107"/>
        <v>7.9973799665800511</v>
      </c>
      <c r="T202" s="61">
        <f t="shared" si="107"/>
        <v>7.9984277053455415</v>
      </c>
      <c r="U202" s="61">
        <f t="shared" si="107"/>
        <v>7.9990565243186946</v>
      </c>
      <c r="V202" s="61">
        <f t="shared" si="107"/>
        <v>7.9994338789844521</v>
      </c>
      <c r="W202" s="61">
        <f t="shared" si="107"/>
        <v>7.9996603145707557</v>
      </c>
      <c r="X202" s="61">
        <f t="shared" si="107"/>
        <v>7.9997961841269642</v>
      </c>
      <c r="Y202" s="61">
        <f t="shared" si="107"/>
        <v>7.999877708814533</v>
      </c>
      <c r="Z202" s="61">
        <f t="shared" si="107"/>
        <v>7.9999266246905121</v>
      </c>
      <c r="AA202" s="61">
        <f t="shared" si="107"/>
        <v>7.999955974598949</v>
      </c>
      <c r="AB202" s="61">
        <f t="shared" si="107"/>
        <v>7.9999735846818414</v>
      </c>
      <c r="AC202" s="61">
        <f t="shared" si="107"/>
        <v>7.9999841507811933</v>
      </c>
      <c r="AD202" s="61">
        <f t="shared" si="107"/>
        <v>7.9999904904586678</v>
      </c>
      <c r="AE202" s="61">
        <f t="shared" si="107"/>
        <v>7.999994294271584</v>
      </c>
      <c r="AF202" s="61">
        <f t="shared" si="107"/>
        <v>7.9999965765616494</v>
      </c>
      <c r="AG202" s="61">
        <f t="shared" si="107"/>
        <v>7.9999979459365207</v>
      </c>
      <c r="AH202" s="61">
        <f t="shared" si="107"/>
        <v>7.9999987675617446</v>
      </c>
      <c r="AI202" s="61">
        <f t="shared" si="107"/>
        <v>7.9999992605369856</v>
      </c>
      <c r="AJ202" s="61">
        <f t="shared" si="107"/>
        <v>7.9999995563221695</v>
      </c>
      <c r="AK202" s="61">
        <f t="shared" si="107"/>
        <v>7.9999997337932953</v>
      </c>
      <c r="AL202" s="61">
        <f t="shared" si="107"/>
        <v>7.9999998402759731</v>
      </c>
      <c r="AM202" s="61">
        <f t="shared" si="107"/>
        <v>7.9999999041655832</v>
      </c>
      <c r="AN202" s="61">
        <f t="shared" si="107"/>
        <v>7.9999999424993486</v>
      </c>
      <c r="AO202" s="61">
        <f t="shared" si="107"/>
        <v>7.9999999654996099</v>
      </c>
      <c r="AP202" s="61">
        <f t="shared" si="107"/>
        <v>7.9999999792997656</v>
      </c>
      <c r="AQ202" s="61">
        <f t="shared" si="107"/>
        <v>7.9999999875798586</v>
      </c>
      <c r="AR202" s="62">
        <f t="shared" si="107"/>
        <v>7.9999999925479157</v>
      </c>
    </row>
    <row r="203" spans="1:64" s="45" customFormat="1" x14ac:dyDescent="0.15">
      <c r="A203" s="292">
        <v>13</v>
      </c>
      <c r="C203" s="35" t="s">
        <v>3</v>
      </c>
      <c r="D203" s="228">
        <f t="shared" ref="D203:AR203" si="108">BilledDemand_Det</f>
        <v>1.3687499999999999</v>
      </c>
      <c r="E203" s="229">
        <f t="shared" si="108"/>
        <v>1.4117051345640335</v>
      </c>
      <c r="F203" s="229">
        <f t="shared" si="108"/>
        <v>1.4663223205731397</v>
      </c>
      <c r="G203" s="229">
        <f t="shared" si="108"/>
        <v>1.5636137776346484</v>
      </c>
      <c r="H203" s="50">
        <f t="shared" si="108"/>
        <v>1.7532026231958293</v>
      </c>
      <c r="I203" s="50">
        <f t="shared" si="108"/>
        <v>2.083778215198731</v>
      </c>
      <c r="J203" s="50">
        <f t="shared" si="108"/>
        <v>2.5038488888808801</v>
      </c>
      <c r="K203" s="50">
        <f t="shared" si="108"/>
        <v>2.8616341902584765</v>
      </c>
      <c r="L203" s="50">
        <f t="shared" si="108"/>
        <v>3.0906042901457167</v>
      </c>
      <c r="M203" s="50">
        <f t="shared" si="108"/>
        <v>3.2293361036334907</v>
      </c>
      <c r="N203" s="50">
        <f t="shared" si="108"/>
        <v>3.3435900504634635</v>
      </c>
      <c r="O203" s="50">
        <f t="shared" si="108"/>
        <v>3.411135049982954</v>
      </c>
      <c r="P203" s="50">
        <f t="shared" si="108"/>
        <v>3.4800445490048451</v>
      </c>
      <c r="Q203" s="50">
        <f t="shared" si="108"/>
        <v>3.5503461122475488</v>
      </c>
      <c r="R203" s="50">
        <f t="shared" si="108"/>
        <v>3.6220678612737327</v>
      </c>
      <c r="S203" s="50">
        <f t="shared" si="108"/>
        <v>3.6952384857393064</v>
      </c>
      <c r="T203" s="50">
        <f t="shared" si="108"/>
        <v>3.7698872548696807</v>
      </c>
      <c r="U203" s="50">
        <f t="shared" si="108"/>
        <v>3.8460440291678353</v>
      </c>
      <c r="V203" s="50">
        <f t="shared" si="108"/>
        <v>3.9237392723589291</v>
      </c>
      <c r="W203" s="50">
        <f t="shared" si="108"/>
        <v>4.0030040635761868</v>
      </c>
      <c r="X203" s="50">
        <f t="shared" si="108"/>
        <v>4.0838701097929739</v>
      </c>
      <c r="Y203" s="50">
        <f t="shared" si="108"/>
        <v>4.1663697585060069</v>
      </c>
      <c r="Z203" s="50">
        <f t="shared" si="108"/>
        <v>4.2505360106747796</v>
      </c>
      <c r="AA203" s="50">
        <f t="shared" si="108"/>
        <v>4.3364025339223904</v>
      </c>
      <c r="AB203" s="50">
        <f t="shared" si="108"/>
        <v>4.4240036760030419</v>
      </c>
      <c r="AC203" s="50">
        <f t="shared" si="108"/>
        <v>4.5133744785415972</v>
      </c>
      <c r="AD203" s="50">
        <f t="shared" si="108"/>
        <v>4.6045506910506964</v>
      </c>
      <c r="AE203" s="50">
        <f t="shared" si="108"/>
        <v>4.6975687852310433</v>
      </c>
      <c r="AF203" s="50">
        <f t="shared" si="108"/>
        <v>4.7924659695605714</v>
      </c>
      <c r="AG203" s="50">
        <f t="shared" si="108"/>
        <v>4.889280204178319</v>
      </c>
      <c r="AH203" s="50">
        <f t="shared" si="108"/>
        <v>4.988050216069011</v>
      </c>
      <c r="AI203" s="50">
        <f t="shared" si="108"/>
        <v>5.0888155145543532</v>
      </c>
      <c r="AJ203" s="50">
        <f t="shared" si="108"/>
        <v>5.191616407097297</v>
      </c>
      <c r="AK203" s="50">
        <f t="shared" si="108"/>
        <v>5.2964940154255533</v>
      </c>
      <c r="AL203" s="50">
        <f t="shared" si="108"/>
        <v>5.403490291980841</v>
      </c>
      <c r="AM203" s="50">
        <f t="shared" si="108"/>
        <v>5.51264803670042</v>
      </c>
      <c r="AN203" s="50">
        <f t="shared" si="108"/>
        <v>5.6240109141376324</v>
      </c>
      <c r="AO203" s="50">
        <f t="shared" si="108"/>
        <v>5.7376234709283125</v>
      </c>
      <c r="AP203" s="50">
        <f t="shared" si="108"/>
        <v>5.8535311536100298</v>
      </c>
      <c r="AQ203" s="50">
        <f t="shared" si="108"/>
        <v>5.9717803268013139</v>
      </c>
      <c r="AR203" s="51">
        <f t="shared" si="108"/>
        <v>6.0924182917481193</v>
      </c>
    </row>
    <row r="204" spans="1:64" s="43" customFormat="1" x14ac:dyDescent="0.15">
      <c r="A204" s="68"/>
      <c r="B204" s="167" t="s">
        <v>6</v>
      </c>
      <c r="D204" s="166"/>
      <c r="E204" s="166"/>
      <c r="F204" s="166"/>
      <c r="G204" s="166"/>
      <c r="H204" s="166"/>
      <c r="I204" s="166"/>
      <c r="J204" s="166"/>
      <c r="K204" s="166"/>
      <c r="L204" s="166"/>
      <c r="M204" s="166"/>
      <c r="N204" s="166"/>
      <c r="O204" s="166"/>
      <c r="P204" s="166"/>
      <c r="Q204" s="166"/>
      <c r="R204" s="166"/>
      <c r="S204" s="166"/>
      <c r="T204" s="166"/>
      <c r="U204" s="166"/>
      <c r="V204" s="166"/>
      <c r="W204" s="166"/>
      <c r="X204" s="166"/>
      <c r="Y204" s="166"/>
      <c r="Z204" s="166"/>
      <c r="AA204" s="166" t="str">
        <f t="shared" ref="AA204:AR204" si="109">IF(Z204="","",IF(Z204+1&gt;Contract_Length,"",Z204+1))</f>
        <v/>
      </c>
      <c r="AB204" s="166" t="str">
        <f t="shared" si="109"/>
        <v/>
      </c>
      <c r="AC204" s="166" t="str">
        <f t="shared" si="109"/>
        <v/>
      </c>
      <c r="AD204" s="166" t="str">
        <f t="shared" si="109"/>
        <v/>
      </c>
      <c r="AE204" s="166" t="str">
        <f t="shared" si="109"/>
        <v/>
      </c>
      <c r="AF204" s="166" t="str">
        <f t="shared" si="109"/>
        <v/>
      </c>
      <c r="AG204" s="166" t="str">
        <f t="shared" si="109"/>
        <v/>
      </c>
      <c r="AH204" s="166" t="str">
        <f t="shared" si="109"/>
        <v/>
      </c>
      <c r="AI204" s="166" t="str">
        <f t="shared" si="109"/>
        <v/>
      </c>
      <c r="AJ204" s="166" t="str">
        <f t="shared" si="109"/>
        <v/>
      </c>
      <c r="AK204" s="166" t="str">
        <f t="shared" si="109"/>
        <v/>
      </c>
      <c r="AL204" s="166" t="str">
        <f t="shared" si="109"/>
        <v/>
      </c>
      <c r="AM204" s="166" t="str">
        <f t="shared" si="109"/>
        <v/>
      </c>
      <c r="AN204" s="166" t="str">
        <f t="shared" si="109"/>
        <v/>
      </c>
      <c r="AO204" s="166" t="str">
        <f t="shared" si="109"/>
        <v/>
      </c>
      <c r="AP204" s="166" t="str">
        <f t="shared" si="109"/>
        <v/>
      </c>
      <c r="AQ204" s="166" t="str">
        <f t="shared" si="109"/>
        <v/>
      </c>
      <c r="AR204" s="166" t="str">
        <f t="shared" si="109"/>
        <v/>
      </c>
      <c r="AS204" s="26"/>
      <c r="AT204" s="26"/>
      <c r="AU204" s="26"/>
      <c r="AV204" s="26"/>
      <c r="AW204" s="26"/>
      <c r="AX204" s="26"/>
      <c r="AY204" s="26"/>
      <c r="AZ204" s="26"/>
      <c r="BA204" s="26"/>
      <c r="BB204" s="26"/>
      <c r="BC204" s="26"/>
      <c r="BD204" s="26"/>
      <c r="BE204" s="26"/>
      <c r="BF204" s="26"/>
      <c r="BG204" s="26"/>
      <c r="BH204" s="26"/>
      <c r="BI204" s="26"/>
      <c r="BJ204" s="26"/>
      <c r="BK204" s="26"/>
      <c r="BL204" s="26"/>
    </row>
    <row r="205" spans="1:64" s="45" customFormat="1" x14ac:dyDescent="0.15">
      <c r="C205" s="35" t="s">
        <v>1</v>
      </c>
      <c r="D205" s="46">
        <f t="shared" ref="D205:AR205" si="110">RealExRate_Risk</f>
        <v>100</v>
      </c>
      <c r="E205" s="47">
        <f t="shared" si="110"/>
        <v>104.57697044309731</v>
      </c>
      <c r="F205" s="47">
        <f t="shared" si="110"/>
        <v>119.12651070351033</v>
      </c>
      <c r="G205" s="47">
        <f t="shared" si="110"/>
        <v>126.77078998525553</v>
      </c>
      <c r="H205" s="47">
        <f t="shared" si="110"/>
        <v>132.56090631992925</v>
      </c>
      <c r="I205" s="47">
        <f t="shared" si="110"/>
        <v>144.14506208873391</v>
      </c>
      <c r="J205" s="47">
        <f t="shared" si="110"/>
        <v>146.37296967023218</v>
      </c>
      <c r="K205" s="47">
        <f t="shared" si="110"/>
        <v>155.36164237109372</v>
      </c>
      <c r="L205" s="47">
        <f t="shared" si="110"/>
        <v>155.45922031780174</v>
      </c>
      <c r="M205" s="47">
        <f t="shared" si="110"/>
        <v>157.47356079575636</v>
      </c>
      <c r="N205" s="47">
        <f t="shared" si="110"/>
        <v>166.15805933983941</v>
      </c>
      <c r="O205" s="47">
        <f t="shared" si="110"/>
        <v>168.73494370051125</v>
      </c>
      <c r="P205" s="47">
        <f t="shared" si="110"/>
        <v>171.76169731210922</v>
      </c>
      <c r="Q205" s="47">
        <f t="shared" si="110"/>
        <v>171.62161399251983</v>
      </c>
      <c r="R205" s="47">
        <f t="shared" si="110"/>
        <v>186.00247406209897</v>
      </c>
      <c r="S205" s="47">
        <f t="shared" si="110"/>
        <v>205.93975603848401</v>
      </c>
      <c r="T205" s="47">
        <f t="shared" si="110"/>
        <v>221.649692957008</v>
      </c>
      <c r="U205" s="47">
        <f t="shared" si="110"/>
        <v>224.00387904496372</v>
      </c>
      <c r="V205" s="47">
        <f t="shared" si="110"/>
        <v>241.20232730264351</v>
      </c>
      <c r="W205" s="47">
        <f t="shared" si="110"/>
        <v>254.78436574562471</v>
      </c>
      <c r="X205" s="47">
        <f t="shared" si="110"/>
        <v>252.81163816002862</v>
      </c>
      <c r="Y205" s="47">
        <f t="shared" ca="1" si="110"/>
        <v>257.17231386155976</v>
      </c>
      <c r="Z205" s="47">
        <f t="shared" ca="1" si="110"/>
        <v>254.27592254773836</v>
      </c>
      <c r="AA205" s="47">
        <f t="shared" ca="1" si="110"/>
        <v>260.81537485279603</v>
      </c>
      <c r="AB205" s="47">
        <f t="shared" ca="1" si="110"/>
        <v>286.11282176877944</v>
      </c>
      <c r="AC205" s="47">
        <f t="shared" ca="1" si="110"/>
        <v>288.18797927858259</v>
      </c>
      <c r="AD205" s="47">
        <f t="shared" ca="1" si="110"/>
        <v>294.7867385704381</v>
      </c>
      <c r="AE205" s="47">
        <f t="shared" ca="1" si="110"/>
        <v>328.04601836365049</v>
      </c>
      <c r="AF205" s="47">
        <f t="shared" ca="1" si="110"/>
        <v>353.27915750492537</v>
      </c>
      <c r="AG205" s="47">
        <f t="shared" ca="1" si="110"/>
        <v>354.14553593088209</v>
      </c>
      <c r="AH205" s="47">
        <f t="shared" ca="1" si="110"/>
        <v>375.89138782903251</v>
      </c>
      <c r="AI205" s="47">
        <f t="shared" ca="1" si="110"/>
        <v>395.05527769853518</v>
      </c>
      <c r="AJ205" s="47">
        <f t="shared" ca="1" si="110"/>
        <v>412.19208606156462</v>
      </c>
      <c r="AK205" s="47">
        <f t="shared" ca="1" si="110"/>
        <v>428.7693657980285</v>
      </c>
      <c r="AL205" s="47">
        <f t="shared" ca="1" si="110"/>
        <v>453.6188043773538</v>
      </c>
      <c r="AM205" s="47">
        <f t="shared" ca="1" si="110"/>
        <v>492.7719789367909</v>
      </c>
      <c r="AN205" s="47">
        <f t="shared" ca="1" si="110"/>
        <v>497.73090526254407</v>
      </c>
      <c r="AO205" s="47">
        <f t="shared" ca="1" si="110"/>
        <v>518.83217953896201</v>
      </c>
      <c r="AP205" s="47">
        <f t="shared" ca="1" si="110"/>
        <v>566.01294118851081</v>
      </c>
      <c r="AQ205" s="47">
        <f t="shared" ca="1" si="110"/>
        <v>555.99703702521811</v>
      </c>
      <c r="AR205" s="48">
        <f t="shared" ca="1" si="110"/>
        <v>561.22452363577781</v>
      </c>
    </row>
    <row r="206" spans="1:64" s="45" customFormat="1" x14ac:dyDescent="0.15">
      <c r="C206" s="45" t="s">
        <v>15</v>
      </c>
      <c r="D206" s="109">
        <f t="shared" ref="D206:AR206" si="111">Inflation_Risk*100</f>
        <v>5</v>
      </c>
      <c r="E206" s="61">
        <f t="shared" si="111"/>
        <v>5.728934649511678</v>
      </c>
      <c r="F206" s="61">
        <f t="shared" si="111"/>
        <v>6.5255509700829331</v>
      </c>
      <c r="G206" s="61">
        <f t="shared" si="111"/>
        <v>7.3456470815945138</v>
      </c>
      <c r="H206" s="61">
        <f t="shared" si="111"/>
        <v>7.3936523172718038</v>
      </c>
      <c r="I206" s="61">
        <f t="shared" si="111"/>
        <v>7.5590684593314696</v>
      </c>
      <c r="J206" s="61">
        <f t="shared" si="111"/>
        <v>7.6503068255899835</v>
      </c>
      <c r="K206" s="61">
        <f t="shared" si="111"/>
        <v>7.8387356574609646</v>
      </c>
      <c r="L206" s="61">
        <f t="shared" si="111"/>
        <v>7.9060955567907136</v>
      </c>
      <c r="M206" s="61">
        <f t="shared" si="111"/>
        <v>8.323233168910372</v>
      </c>
      <c r="N206" s="61">
        <f t="shared" si="111"/>
        <v>8.165398058055791</v>
      </c>
      <c r="O206" s="61">
        <f t="shared" si="111"/>
        <v>7.878456461948014</v>
      </c>
      <c r="P206" s="61">
        <f t="shared" si="111"/>
        <v>8.340639955537311</v>
      </c>
      <c r="Q206" s="61">
        <f t="shared" si="111"/>
        <v>8.3497088289884633</v>
      </c>
      <c r="R206" s="61">
        <f t="shared" si="111"/>
        <v>8.2502489682622091</v>
      </c>
      <c r="S206" s="61">
        <f t="shared" si="111"/>
        <v>8.0796490956205691</v>
      </c>
      <c r="T206" s="61">
        <f t="shared" si="111"/>
        <v>8.1136523868512977</v>
      </c>
      <c r="U206" s="61">
        <f t="shared" si="111"/>
        <v>7.9049343096611437</v>
      </c>
      <c r="V206" s="61">
        <f t="shared" si="111"/>
        <v>8.0313098752831227</v>
      </c>
      <c r="W206" s="61">
        <f t="shared" si="111"/>
        <v>8.0439633199545089</v>
      </c>
      <c r="X206" s="61">
        <f t="shared" si="111"/>
        <v>8.3398048339838713</v>
      </c>
      <c r="Y206" s="61">
        <f t="shared" ca="1" si="111"/>
        <v>8.2874149962758192</v>
      </c>
      <c r="Z206" s="61">
        <f t="shared" ca="1" si="111"/>
        <v>7.9449925321661201</v>
      </c>
      <c r="AA206" s="61">
        <f t="shared" ca="1" si="111"/>
        <v>8.1869700994467678</v>
      </c>
      <c r="AB206" s="61">
        <f t="shared" ca="1" si="111"/>
        <v>8.3284629688299336</v>
      </c>
      <c r="AC206" s="61">
        <f t="shared" ca="1" si="111"/>
        <v>8.6148120997500648</v>
      </c>
      <c r="AD206" s="61">
        <f t="shared" ca="1" si="111"/>
        <v>8.35841758476416</v>
      </c>
      <c r="AE206" s="61">
        <f t="shared" ca="1" si="111"/>
        <v>8.4581040194742645</v>
      </c>
      <c r="AF206" s="61">
        <f t="shared" ca="1" si="111"/>
        <v>8.1992816368596735</v>
      </c>
      <c r="AG206" s="61">
        <f t="shared" ca="1" si="111"/>
        <v>8.1165047181612717</v>
      </c>
      <c r="AH206" s="61">
        <f t="shared" ca="1" si="111"/>
        <v>8.0665072493369454</v>
      </c>
      <c r="AI206" s="61">
        <f t="shared" ca="1" si="111"/>
        <v>7.9930532748755345</v>
      </c>
      <c r="AJ206" s="61">
        <f t="shared" ca="1" si="111"/>
        <v>8.0832217816873442</v>
      </c>
      <c r="AK206" s="61">
        <f t="shared" ca="1" si="111"/>
        <v>8.1859096315026338</v>
      </c>
      <c r="AL206" s="61">
        <f t="shared" ca="1" si="111"/>
        <v>8.0311652462980909</v>
      </c>
      <c r="AM206" s="61">
        <f t="shared" ca="1" si="111"/>
        <v>7.92355583670457</v>
      </c>
      <c r="AN206" s="61">
        <f t="shared" ca="1" si="111"/>
        <v>8.2506428827216727</v>
      </c>
      <c r="AO206" s="61">
        <f t="shared" ca="1" si="111"/>
        <v>8.1980374259746274</v>
      </c>
      <c r="AP206" s="61">
        <f t="shared" ca="1" si="111"/>
        <v>8.1140288190543224</v>
      </c>
      <c r="AQ206" s="61">
        <f t="shared" ca="1" si="111"/>
        <v>8.1118242782949501</v>
      </c>
      <c r="AR206" s="62">
        <f t="shared" ca="1" si="111"/>
        <v>8.0347961906480592</v>
      </c>
    </row>
    <row r="207" spans="1:64" s="45" customFormat="1" x14ac:dyDescent="0.15">
      <c r="C207" s="35" t="s">
        <v>3</v>
      </c>
      <c r="D207" s="49">
        <f t="shared" ref="D207:AR207" si="112">BilledDemand_Risk</f>
        <v>1.3687499999999999</v>
      </c>
      <c r="E207" s="50">
        <f t="shared" si="112"/>
        <v>1.3846589277993275</v>
      </c>
      <c r="F207" s="50">
        <f t="shared" si="112"/>
        <v>1.4183946379433205</v>
      </c>
      <c r="G207" s="50">
        <f t="shared" si="112"/>
        <v>1.5101476517810493</v>
      </c>
      <c r="H207" s="50">
        <f t="shared" si="112"/>
        <v>1.7068521601877076</v>
      </c>
      <c r="I207" s="50">
        <f t="shared" si="112"/>
        <v>2.0754998817479033</v>
      </c>
      <c r="J207" s="50">
        <f t="shared" si="112"/>
        <v>2.436336555314826</v>
      </c>
      <c r="K207" s="50">
        <f t="shared" si="112"/>
        <v>2.7293135736398333</v>
      </c>
      <c r="L207" s="50">
        <f t="shared" si="112"/>
        <v>2.960900635860797</v>
      </c>
      <c r="M207" s="50">
        <f t="shared" si="112"/>
        <v>3.0260092958949856</v>
      </c>
      <c r="N207" s="50">
        <f t="shared" si="112"/>
        <v>3.2530737866708561</v>
      </c>
      <c r="O207" s="50">
        <f t="shared" si="112"/>
        <v>3.3204931496738461</v>
      </c>
      <c r="P207" s="50">
        <f t="shared" si="112"/>
        <v>3.4288537910818846</v>
      </c>
      <c r="Q207" s="50">
        <f t="shared" si="112"/>
        <v>3.4403641210546043</v>
      </c>
      <c r="R207" s="50">
        <f t="shared" si="112"/>
        <v>3.55179086034319</v>
      </c>
      <c r="S207" s="50">
        <f t="shared" si="112"/>
        <v>3.3949420359613574</v>
      </c>
      <c r="T207" s="50">
        <f t="shared" si="112"/>
        <v>3.371696960097307</v>
      </c>
      <c r="U207" s="50">
        <f t="shared" si="112"/>
        <v>3.4824075464936035</v>
      </c>
      <c r="V207" s="50">
        <f t="shared" si="112"/>
        <v>3.5631120548547441</v>
      </c>
      <c r="W207" s="50">
        <f t="shared" si="112"/>
        <v>3.5706420620075443</v>
      </c>
      <c r="X207" s="50">
        <f t="shared" si="112"/>
        <v>3.7211792742953271</v>
      </c>
      <c r="Y207" s="50">
        <f t="shared" ca="1" si="112"/>
        <v>3.5274162699080964</v>
      </c>
      <c r="Z207" s="50">
        <f t="shared" ca="1" si="112"/>
        <v>3.5991247328127653</v>
      </c>
      <c r="AA207" s="50">
        <f t="shared" ca="1" si="112"/>
        <v>3.7001090564412498</v>
      </c>
      <c r="AB207" s="50">
        <f t="shared" ca="1" si="112"/>
        <v>3.731785624462018</v>
      </c>
      <c r="AC207" s="50">
        <f t="shared" ca="1" si="112"/>
        <v>3.8752932398801248</v>
      </c>
      <c r="AD207" s="50">
        <f t="shared" ca="1" si="112"/>
        <v>3.9128210480793304</v>
      </c>
      <c r="AE207" s="50">
        <f t="shared" ca="1" si="112"/>
        <v>4.0304681248665579</v>
      </c>
      <c r="AF207" s="50">
        <f t="shared" ca="1" si="112"/>
        <v>4.1715848674373861</v>
      </c>
      <c r="AG207" s="50">
        <f t="shared" ca="1" si="112"/>
        <v>4.5007306479443381</v>
      </c>
      <c r="AH207" s="50">
        <f t="shared" ca="1" si="112"/>
        <v>4.3407564311975371</v>
      </c>
      <c r="AI207" s="50">
        <f t="shared" ca="1" si="112"/>
        <v>4.3998501922341298</v>
      </c>
      <c r="AJ207" s="50">
        <f t="shared" ca="1" si="112"/>
        <v>4.4154708780083958</v>
      </c>
      <c r="AK207" s="50">
        <f t="shared" ca="1" si="112"/>
        <v>4.5148646605914271</v>
      </c>
      <c r="AL207" s="50">
        <f t="shared" ca="1" si="112"/>
        <v>4.7202354725251334</v>
      </c>
      <c r="AM207" s="50">
        <f t="shared" ca="1" si="112"/>
        <v>4.5682986660243552</v>
      </c>
      <c r="AN207" s="50">
        <f t="shared" ca="1" si="112"/>
        <v>4.708563214646869</v>
      </c>
      <c r="AO207" s="50">
        <f t="shared" ca="1" si="112"/>
        <v>4.9935733183843682</v>
      </c>
      <c r="AP207" s="50">
        <f t="shared" ca="1" si="112"/>
        <v>5.1593266034238692</v>
      </c>
      <c r="AQ207" s="50">
        <f t="shared" ca="1" si="112"/>
        <v>5.292670331099969</v>
      </c>
      <c r="AR207" s="51">
        <f t="shared" ca="1" si="112"/>
        <v>5.6184758266197674</v>
      </c>
    </row>
    <row r="208" spans="1:64" s="43" customFormat="1" x14ac:dyDescent="0.15"/>
    <row r="209" spans="1:52" s="26" customFormat="1" x14ac:dyDescent="0.15">
      <c r="A209" s="207" t="s">
        <v>76</v>
      </c>
      <c r="B209" s="208"/>
      <c r="C209" s="208"/>
      <c r="D209" s="166"/>
      <c r="E209" s="166"/>
      <c r="F209" s="166"/>
      <c r="G209" s="166"/>
      <c r="H209" s="166"/>
      <c r="I209" s="166"/>
      <c r="J209" s="166"/>
      <c r="K209" s="166"/>
      <c r="L209" s="166"/>
      <c r="M209" s="166"/>
      <c r="N209" s="166"/>
      <c r="O209" s="166"/>
      <c r="P209" s="166"/>
      <c r="Q209" s="166"/>
      <c r="R209" s="166"/>
      <c r="S209" s="166"/>
      <c r="T209" s="166"/>
      <c r="U209" s="166"/>
      <c r="V209" s="166"/>
      <c r="W209" s="166"/>
      <c r="X209" s="166"/>
      <c r="Y209" s="166"/>
      <c r="Z209" s="166"/>
      <c r="AA209" s="166"/>
      <c r="AB209" s="166"/>
      <c r="AC209" s="166"/>
      <c r="AD209" s="166"/>
      <c r="AE209" s="166"/>
      <c r="AF209" s="166"/>
      <c r="AG209" s="166"/>
      <c r="AH209" s="166"/>
      <c r="AI209" s="166"/>
      <c r="AJ209" s="166"/>
      <c r="AK209" s="166"/>
      <c r="AL209" s="166"/>
      <c r="AM209" s="166"/>
      <c r="AN209" s="166"/>
      <c r="AO209" s="166"/>
      <c r="AP209" s="166"/>
      <c r="AQ209" s="166"/>
      <c r="AR209" s="166"/>
    </row>
    <row r="210" spans="1:52" s="26" customFormat="1" x14ac:dyDescent="0.15">
      <c r="A210" s="278"/>
      <c r="B210" s="147" t="str">
        <f>"Customer tariff based on " &amp; Tariff_Period &amp;" year reset period"</f>
        <v>Customer tariff based on 5 year reset period</v>
      </c>
      <c r="C210" s="169"/>
      <c r="D210" s="166"/>
      <c r="E210" s="166"/>
      <c r="F210" s="166"/>
      <c r="G210" s="166"/>
      <c r="H210" s="166"/>
      <c r="I210" s="166"/>
      <c r="J210" s="166"/>
      <c r="K210" s="166"/>
      <c r="L210" s="166"/>
      <c r="M210" s="166"/>
      <c r="N210" s="166"/>
      <c r="O210" s="166"/>
      <c r="P210" s="166"/>
      <c r="Q210" s="166"/>
      <c r="R210" s="166"/>
      <c r="S210" s="166"/>
      <c r="T210" s="166"/>
      <c r="U210" s="166"/>
      <c r="V210" s="166"/>
      <c r="W210" s="166"/>
      <c r="X210" s="166"/>
      <c r="Y210" s="166"/>
      <c r="Z210" s="166"/>
      <c r="AA210" s="166" t="str">
        <f t="shared" ref="AA210:AR210" si="113">IF(Z210="","",IF(Z210+1&gt;Contract_Length,"",Z210+1))</f>
        <v/>
      </c>
      <c r="AB210" s="166" t="str">
        <f t="shared" si="113"/>
        <v/>
      </c>
      <c r="AC210" s="166" t="str">
        <f t="shared" si="113"/>
        <v/>
      </c>
      <c r="AD210" s="166" t="str">
        <f t="shared" si="113"/>
        <v/>
      </c>
      <c r="AE210" s="166" t="str">
        <f t="shared" si="113"/>
        <v/>
      </c>
      <c r="AF210" s="166" t="str">
        <f t="shared" si="113"/>
        <v/>
      </c>
      <c r="AG210" s="166" t="str">
        <f t="shared" si="113"/>
        <v/>
      </c>
      <c r="AH210" s="166" t="str">
        <f t="shared" si="113"/>
        <v/>
      </c>
      <c r="AI210" s="166" t="str">
        <f t="shared" si="113"/>
        <v/>
      </c>
      <c r="AJ210" s="166" t="str">
        <f t="shared" si="113"/>
        <v/>
      </c>
      <c r="AK210" s="166" t="str">
        <f t="shared" si="113"/>
        <v/>
      </c>
      <c r="AL210" s="166" t="str">
        <f t="shared" si="113"/>
        <v/>
      </c>
      <c r="AM210" s="166" t="str">
        <f t="shared" si="113"/>
        <v/>
      </c>
      <c r="AN210" s="166" t="str">
        <f t="shared" si="113"/>
        <v/>
      </c>
      <c r="AO210" s="166" t="str">
        <f t="shared" si="113"/>
        <v/>
      </c>
      <c r="AP210" s="166" t="str">
        <f t="shared" si="113"/>
        <v/>
      </c>
      <c r="AQ210" s="166" t="str">
        <f t="shared" si="113"/>
        <v/>
      </c>
      <c r="AR210" s="166" t="str">
        <f t="shared" si="113"/>
        <v/>
      </c>
    </row>
    <row r="211" spans="1:52" s="45" customFormat="1" x14ac:dyDescent="0.15">
      <c r="A211" s="291" t="s">
        <v>174</v>
      </c>
      <c r="C211" s="35" t="s">
        <v>77</v>
      </c>
      <c r="D211" s="286">
        <f>ExistTariff_Connected</f>
        <v>30</v>
      </c>
      <c r="E211" s="47">
        <f>IF(Year="",,'[1]Analysis - No risk'!E140+'[1]Analysis - No risk'!E141)</f>
        <v>57.812094572503639</v>
      </c>
      <c r="F211" s="47">
        <f>IF(Year="",,'[1]Analysis - No risk'!F140+'[1]Analysis - No risk'!F141)</f>
        <v>57.812094572503639</v>
      </c>
      <c r="G211" s="47">
        <f>IF(Year="",,'[1]Analysis - No risk'!G140+'[1]Analysis - No risk'!G141)</f>
        <v>57.812094572503639</v>
      </c>
      <c r="H211" s="47">
        <f>IF(Year="",,'[1]Analysis - No risk'!H140+'[1]Analysis - No risk'!H141)</f>
        <v>57.812094572503639</v>
      </c>
      <c r="I211" s="47">
        <f>IF(Year="",,'[1]Analysis - No risk'!I140+'[1]Analysis - No risk'!I141)</f>
        <v>57.812094572503639</v>
      </c>
      <c r="J211" s="47">
        <f>IF(Year="",,'[1]Analysis - No risk'!J140+'[1]Analysis - No risk'!J141)</f>
        <v>57.812094572503639</v>
      </c>
      <c r="K211" s="47">
        <f>IF(Year="",,'[1]Analysis - No risk'!K140+'[1]Analysis - No risk'!K141)</f>
        <v>57.812094572503639</v>
      </c>
      <c r="L211" s="47">
        <f>IF(Year="",,'[1]Analysis - No risk'!L140+'[1]Analysis - No risk'!L141)</f>
        <v>57.812094572503639</v>
      </c>
      <c r="M211" s="47">
        <f>IF(Year="",,'[1]Analysis - No risk'!M140+'[1]Analysis - No risk'!M141)</f>
        <v>57.812094572503639</v>
      </c>
      <c r="N211" s="47">
        <f>IF(Year="",,'[1]Analysis - No risk'!N140+'[1]Analysis - No risk'!N141)</f>
        <v>57.812094572503639</v>
      </c>
      <c r="O211" s="47">
        <f>IF(Year="",,'[1]Analysis - No risk'!O140+'[1]Analysis - No risk'!O141)</f>
        <v>57.812094572503639</v>
      </c>
      <c r="P211" s="47">
        <f>IF(Year="",,'[1]Analysis - No risk'!P140+'[1]Analysis - No risk'!P141)</f>
        <v>57.812094572503639</v>
      </c>
      <c r="Q211" s="47">
        <f>IF(Year="",,'[1]Analysis - No risk'!Q140+'[1]Analysis - No risk'!Q141)</f>
        <v>57.812094572503639</v>
      </c>
      <c r="R211" s="47">
        <f>IF(Year="",,'[1]Analysis - No risk'!R140+'[1]Analysis - No risk'!R141)</f>
        <v>57.812094572503639</v>
      </c>
      <c r="S211" s="47">
        <f>IF(Year="",,'[1]Analysis - No risk'!S140+'[1]Analysis - No risk'!S141)</f>
        <v>57.812094572503639</v>
      </c>
      <c r="T211" s="47">
        <f>IF(Year="",,'[1]Analysis - No risk'!T140+'[1]Analysis - No risk'!T141)</f>
        <v>57.812094572503639</v>
      </c>
      <c r="U211" s="47">
        <f>IF(Year="",,'[1]Analysis - No risk'!U140+'[1]Analysis - No risk'!U141)</f>
        <v>57.812094572503639</v>
      </c>
      <c r="V211" s="47">
        <f>IF(Year="",,'[1]Analysis - No risk'!V140+'[1]Analysis - No risk'!V141)</f>
        <v>57.812094572503639</v>
      </c>
      <c r="W211" s="47">
        <f>IF(Year="",,'[1]Analysis - No risk'!W140+'[1]Analysis - No risk'!W141)</f>
        <v>57.812094572503639</v>
      </c>
      <c r="X211" s="47">
        <f>IF(Year="",,'[1]Analysis - No risk'!X140+'[1]Analysis - No risk'!X141)</f>
        <v>57.812094572503639</v>
      </c>
      <c r="Y211" s="47">
        <f>IF(Year="",,'[1]Analysis - No risk'!Y140+'[1]Analysis - No risk'!Y141)</f>
        <v>0</v>
      </c>
      <c r="Z211" s="47">
        <f>IF(Year="",,'[1]Analysis - No risk'!Z140+'[1]Analysis - No risk'!Z141)</f>
        <v>0</v>
      </c>
      <c r="AA211" s="47">
        <f>IF(Year="",,'[1]Analysis - No risk'!AA140+'[1]Analysis - No risk'!AA141)</f>
        <v>0</v>
      </c>
      <c r="AB211" s="47">
        <f>IF(Year="",,'[1]Analysis - No risk'!AB140+'[1]Analysis - No risk'!AB141)</f>
        <v>0</v>
      </c>
      <c r="AC211" s="47">
        <f>IF(Year="",,'[1]Analysis - No risk'!AC140+'[1]Analysis - No risk'!AC141)</f>
        <v>0</v>
      </c>
      <c r="AD211" s="47">
        <f>IF(Year="",,'[1]Analysis - No risk'!AD140+'[1]Analysis - No risk'!AD141)</f>
        <v>0</v>
      </c>
      <c r="AE211" s="47">
        <f>IF(Year="",,'[1]Analysis - No risk'!AE140+'[1]Analysis - No risk'!AE141)</f>
        <v>0</v>
      </c>
      <c r="AF211" s="47">
        <f>IF(Year="",,'[1]Analysis - No risk'!AF140+'[1]Analysis - No risk'!AF141)</f>
        <v>0</v>
      </c>
      <c r="AG211" s="47">
        <f>IF(Year="",,'[1]Analysis - No risk'!AG140+'[1]Analysis - No risk'!AG141)</f>
        <v>0</v>
      </c>
      <c r="AH211" s="47">
        <f>IF(Year="",,'[1]Analysis - No risk'!AH140+'[1]Analysis - No risk'!AH141)</f>
        <v>0</v>
      </c>
      <c r="AI211" s="47">
        <f>IF(Year="",,'[1]Analysis - No risk'!AI140+'[1]Analysis - No risk'!AI141)</f>
        <v>0</v>
      </c>
      <c r="AJ211" s="47">
        <f>IF(Year="",,'[1]Analysis - No risk'!AJ140+'[1]Analysis - No risk'!AJ141)</f>
        <v>0</v>
      </c>
      <c r="AK211" s="47">
        <f>IF(Year="",,'[1]Analysis - No risk'!AK140+'[1]Analysis - No risk'!AK141)</f>
        <v>0</v>
      </c>
      <c r="AL211" s="47">
        <f>IF(Year="",,'[1]Analysis - No risk'!AL140+'[1]Analysis - No risk'!AL141)</f>
        <v>0</v>
      </c>
      <c r="AM211" s="47">
        <f>IF(Year="",,'[1]Analysis - No risk'!AM140+'[1]Analysis - No risk'!AM141)</f>
        <v>0</v>
      </c>
      <c r="AN211" s="47">
        <f>IF(Year="",,'[1]Analysis - No risk'!AN140+'[1]Analysis - No risk'!AN141)</f>
        <v>0</v>
      </c>
      <c r="AO211" s="47">
        <f>IF(Year="",,'[1]Analysis - No risk'!AO140+'[1]Analysis - No risk'!AO141)</f>
        <v>0</v>
      </c>
      <c r="AP211" s="47">
        <f>IF(Year="",,'[1]Analysis - No risk'!AP140+'[1]Analysis - No risk'!AP141)</f>
        <v>0</v>
      </c>
      <c r="AQ211" s="47">
        <f>IF(Year="",,'[1]Analysis - No risk'!AQ140+'[1]Analysis - No risk'!AQ141)</f>
        <v>0</v>
      </c>
      <c r="AR211" s="48">
        <f>IF(Year="",,'[1]Analysis - No risk'!AR140+'[1]Analysis - No risk'!AR141)</f>
        <v>0</v>
      </c>
    </row>
    <row r="212" spans="1:52" s="45" customFormat="1" x14ac:dyDescent="0.15">
      <c r="A212" s="291" t="s">
        <v>175</v>
      </c>
      <c r="C212" s="45" t="s">
        <v>78</v>
      </c>
      <c r="D212" s="287">
        <f>ExistTariff_Connected</f>
        <v>30</v>
      </c>
      <c r="E212" s="281">
        <f>IF(Year="",,'[1]Analysis - No risk'!E143+'[1]Analysis - No risk'!E144)</f>
        <v>46.131118260729544</v>
      </c>
      <c r="F212" s="61">
        <f>IF(Year="",,'[1]Analysis - No risk'!F143+'[1]Analysis - No risk'!F144)</f>
        <v>46.131118260729544</v>
      </c>
      <c r="G212" s="61">
        <f>IF(Year="",,'[1]Analysis - No risk'!G143+'[1]Analysis - No risk'!G144)</f>
        <v>46.131118260729544</v>
      </c>
      <c r="H212" s="61">
        <f>IF(Year="",,'[1]Analysis - No risk'!H143+'[1]Analysis - No risk'!H144)</f>
        <v>46.131118260729544</v>
      </c>
      <c r="I212" s="61">
        <f>IF(Year="",,'[1]Analysis - No risk'!I143+'[1]Analysis - No risk'!I144)</f>
        <v>46.131118260729544</v>
      </c>
      <c r="J212" s="61">
        <f>IF(Year="",,'[1]Analysis - No risk'!J143+'[1]Analysis - No risk'!J144)</f>
        <v>49.350805258913269</v>
      </c>
      <c r="K212" s="61">
        <f>IF(Year="",,'[1]Analysis - No risk'!K143+'[1]Analysis - No risk'!K144)</f>
        <v>49.350805258913269</v>
      </c>
      <c r="L212" s="61">
        <f>IF(Year="",,'[1]Analysis - No risk'!L143+'[1]Analysis - No risk'!L144)</f>
        <v>49.350805258913269</v>
      </c>
      <c r="M212" s="61">
        <f>IF(Year="",,'[1]Analysis - No risk'!M143+'[1]Analysis - No risk'!M144)</f>
        <v>49.350805258913269</v>
      </c>
      <c r="N212" s="61">
        <f>IF(Year="",,'[1]Analysis - No risk'!N143+'[1]Analysis - No risk'!N144)</f>
        <v>49.350805258913269</v>
      </c>
      <c r="O212" s="61">
        <f>IF(Year="",,'[1]Analysis - No risk'!O143+'[1]Analysis - No risk'!O144)</f>
        <v>61.281669156207627</v>
      </c>
      <c r="P212" s="61">
        <f>IF(Year="",,'[1]Analysis - No risk'!P143+'[1]Analysis - No risk'!P144)</f>
        <v>61.281669156207627</v>
      </c>
      <c r="Q212" s="61">
        <f>IF(Year="",,'[1]Analysis - No risk'!Q143+'[1]Analysis - No risk'!Q144)</f>
        <v>61.281669156207627</v>
      </c>
      <c r="R212" s="61">
        <f>IF(Year="",,'[1]Analysis - No risk'!R143+'[1]Analysis - No risk'!R144)</f>
        <v>61.281669156207627</v>
      </c>
      <c r="S212" s="61">
        <f>IF(Year="",,'[1]Analysis - No risk'!S143+'[1]Analysis - No risk'!S144)</f>
        <v>61.281669156207627</v>
      </c>
      <c r="T212" s="61">
        <f>IF(Year="",,'[1]Analysis - No risk'!T143+'[1]Analysis - No risk'!T144)</f>
        <v>80.243221427968166</v>
      </c>
      <c r="U212" s="61">
        <f>IF(Year="",,'[1]Analysis - No risk'!U143+'[1]Analysis - No risk'!U144)</f>
        <v>80.243221427968166</v>
      </c>
      <c r="V212" s="61">
        <f>IF(Year="",,'[1]Analysis - No risk'!V143+'[1]Analysis - No risk'!V144)</f>
        <v>80.243221427968166</v>
      </c>
      <c r="W212" s="61">
        <f>IF(Year="",,'[1]Analysis - No risk'!W143+'[1]Analysis - No risk'!W144)</f>
        <v>80.243221427968166</v>
      </c>
      <c r="X212" s="61">
        <f>IF(Year="",,'[1]Analysis - No risk'!X143+'[1]Analysis - No risk'!X144)</f>
        <v>80.243221427968166</v>
      </c>
      <c r="Y212" s="61">
        <f>IF(Year="",,'[1]Analysis - No risk'!Y143+'[1]Analysis - No risk'!Y144)</f>
        <v>0</v>
      </c>
      <c r="Z212" s="61">
        <f>IF(Year="",,'[1]Analysis - No risk'!Z143+'[1]Analysis - No risk'!Z144)</f>
        <v>0</v>
      </c>
      <c r="AA212" s="61">
        <f>IF(Year="",,'[1]Analysis - No risk'!AA143+'[1]Analysis - No risk'!AA144)</f>
        <v>0</v>
      </c>
      <c r="AB212" s="61">
        <f>IF(Year="",,'[1]Analysis - No risk'!AB143+'[1]Analysis - No risk'!AB144)</f>
        <v>0</v>
      </c>
      <c r="AC212" s="61">
        <f>IF(Year="",,'[1]Analysis - No risk'!AC143+'[1]Analysis - No risk'!AC144)</f>
        <v>0</v>
      </c>
      <c r="AD212" s="61">
        <f>IF(Year="",,'[1]Analysis - No risk'!AD143+'[1]Analysis - No risk'!AD144)</f>
        <v>0</v>
      </c>
      <c r="AE212" s="61">
        <f>IF(Year="",,'[1]Analysis - No risk'!AE143+'[1]Analysis - No risk'!AE144)</f>
        <v>0</v>
      </c>
      <c r="AF212" s="61">
        <f>IF(Year="",,'[1]Analysis - No risk'!AF143+'[1]Analysis - No risk'!AF144)</f>
        <v>0</v>
      </c>
      <c r="AG212" s="61">
        <f>IF(Year="",,'[1]Analysis - No risk'!AG143+'[1]Analysis - No risk'!AG144)</f>
        <v>0</v>
      </c>
      <c r="AH212" s="61">
        <f>IF(Year="",,'[1]Analysis - No risk'!AH143+'[1]Analysis - No risk'!AH144)</f>
        <v>0</v>
      </c>
      <c r="AI212" s="61">
        <f>IF(Year="",,'[1]Analysis - No risk'!AI143+'[1]Analysis - No risk'!AI144)</f>
        <v>0</v>
      </c>
      <c r="AJ212" s="61">
        <f>IF(Year="",,'[1]Analysis - No risk'!AJ143+'[1]Analysis - No risk'!AJ144)</f>
        <v>0</v>
      </c>
      <c r="AK212" s="61">
        <f>IF(Year="",,'[1]Analysis - No risk'!AK143+'[1]Analysis - No risk'!AK144)</f>
        <v>0</v>
      </c>
      <c r="AL212" s="61">
        <f>IF(Year="",,'[1]Analysis - No risk'!AL143+'[1]Analysis - No risk'!AL144)</f>
        <v>0</v>
      </c>
      <c r="AM212" s="61">
        <f>IF(Year="",,'[1]Analysis - No risk'!AM143+'[1]Analysis - No risk'!AM144)</f>
        <v>0</v>
      </c>
      <c r="AN212" s="61">
        <f>IF(Year="",,'[1]Analysis - No risk'!AN143+'[1]Analysis - No risk'!AN144)</f>
        <v>0</v>
      </c>
      <c r="AO212" s="61">
        <f>IF(Year="",,'[1]Analysis - No risk'!AO143+'[1]Analysis - No risk'!AO144)</f>
        <v>0</v>
      </c>
      <c r="AP212" s="61">
        <f>IF(Year="",,'[1]Analysis - No risk'!AP143+'[1]Analysis - No risk'!AP144)</f>
        <v>0</v>
      </c>
      <c r="AQ212" s="61">
        <f>IF(Year="",,'[1]Analysis - No risk'!AQ143+'[1]Analysis - No risk'!AQ144)</f>
        <v>0</v>
      </c>
      <c r="AR212" s="62">
        <f>IF(Year="",,'[1]Analysis - No risk'!AR143+'[1]Analysis - No risk'!AR144)</f>
        <v>0</v>
      </c>
    </row>
    <row r="213" spans="1:52" s="45" customFormat="1" x14ac:dyDescent="0.15">
      <c r="A213" s="291" t="s">
        <v>175</v>
      </c>
      <c r="C213" s="45" t="s">
        <v>79</v>
      </c>
      <c r="D213" s="288">
        <f>ExistTariff_Connected</f>
        <v>30</v>
      </c>
      <c r="E213" s="50">
        <f t="shared" ref="E213:AR213" si="114">IF(Year="",,E144+E145)</f>
        <v>46.131118260729536</v>
      </c>
      <c r="F213" s="50">
        <f t="shared" si="114"/>
        <v>46.131118260729536</v>
      </c>
      <c r="G213" s="50">
        <f t="shared" si="114"/>
        <v>46.131118260729536</v>
      </c>
      <c r="H213" s="50">
        <f t="shared" si="114"/>
        <v>46.131118260729536</v>
      </c>
      <c r="I213" s="50">
        <f t="shared" si="114"/>
        <v>46.131118260729536</v>
      </c>
      <c r="J213" s="50">
        <f t="shared" si="114"/>
        <v>52.002847920945676</v>
      </c>
      <c r="K213" s="50">
        <f t="shared" si="114"/>
        <v>52.002847920945676</v>
      </c>
      <c r="L213" s="50">
        <f t="shared" si="114"/>
        <v>52.002847920945676</v>
      </c>
      <c r="M213" s="50">
        <f t="shared" si="114"/>
        <v>52.002847920945676</v>
      </c>
      <c r="N213" s="50">
        <f t="shared" si="114"/>
        <v>52.002847920945676</v>
      </c>
      <c r="O213" s="50">
        <f t="shared" si="114"/>
        <v>60.744185803450414</v>
      </c>
      <c r="P213" s="50">
        <f t="shared" si="114"/>
        <v>60.744185803450414</v>
      </c>
      <c r="Q213" s="50">
        <f t="shared" si="114"/>
        <v>60.744185803450414</v>
      </c>
      <c r="R213" s="50">
        <f t="shared" si="114"/>
        <v>60.744185803450414</v>
      </c>
      <c r="S213" s="50">
        <f t="shared" si="114"/>
        <v>60.744185803450414</v>
      </c>
      <c r="T213" s="50">
        <f t="shared" si="114"/>
        <v>82.292505843162019</v>
      </c>
      <c r="U213" s="50">
        <f t="shared" si="114"/>
        <v>82.292505843162019</v>
      </c>
      <c r="V213" s="50">
        <f t="shared" si="114"/>
        <v>82.292505843162019</v>
      </c>
      <c r="W213" s="50">
        <f t="shared" si="114"/>
        <v>82.292505843162019</v>
      </c>
      <c r="X213" s="50">
        <f t="shared" si="114"/>
        <v>82.292505843162019</v>
      </c>
      <c r="Y213" s="50">
        <f t="shared" si="114"/>
        <v>0</v>
      </c>
      <c r="Z213" s="50">
        <f t="shared" si="114"/>
        <v>0</v>
      </c>
      <c r="AA213" s="50">
        <f t="shared" si="114"/>
        <v>0</v>
      </c>
      <c r="AB213" s="50">
        <f t="shared" si="114"/>
        <v>0</v>
      </c>
      <c r="AC213" s="50">
        <f t="shared" si="114"/>
        <v>0</v>
      </c>
      <c r="AD213" s="50">
        <f t="shared" si="114"/>
        <v>0</v>
      </c>
      <c r="AE213" s="50">
        <f t="shared" si="114"/>
        <v>0</v>
      </c>
      <c r="AF213" s="50">
        <f t="shared" si="114"/>
        <v>0</v>
      </c>
      <c r="AG213" s="50">
        <f t="shared" si="114"/>
        <v>0</v>
      </c>
      <c r="AH213" s="50">
        <f t="shared" si="114"/>
        <v>0</v>
      </c>
      <c r="AI213" s="50">
        <f t="shared" si="114"/>
        <v>0</v>
      </c>
      <c r="AJ213" s="50">
        <f t="shared" si="114"/>
        <v>0</v>
      </c>
      <c r="AK213" s="50">
        <f t="shared" si="114"/>
        <v>0</v>
      </c>
      <c r="AL213" s="50">
        <f t="shared" si="114"/>
        <v>0</v>
      </c>
      <c r="AM213" s="50">
        <f t="shared" si="114"/>
        <v>0</v>
      </c>
      <c r="AN213" s="50">
        <f t="shared" si="114"/>
        <v>0</v>
      </c>
      <c r="AO213" s="50">
        <f t="shared" si="114"/>
        <v>0</v>
      </c>
      <c r="AP213" s="50">
        <f t="shared" si="114"/>
        <v>0</v>
      </c>
      <c r="AQ213" s="50">
        <f t="shared" si="114"/>
        <v>0</v>
      </c>
      <c r="AR213" s="51">
        <f t="shared" si="114"/>
        <v>0</v>
      </c>
    </row>
    <row r="214" spans="1:52" s="43" customFormat="1" x14ac:dyDescent="0.15">
      <c r="E214" s="170"/>
      <c r="F214" s="170"/>
      <c r="G214" s="170"/>
      <c r="H214" s="170"/>
      <c r="I214" s="170"/>
      <c r="J214" s="170"/>
      <c r="K214" s="170"/>
      <c r="L214" s="170"/>
      <c r="M214" s="170"/>
      <c r="N214" s="170"/>
      <c r="O214" s="170"/>
      <c r="P214" s="170"/>
      <c r="Q214" s="170"/>
      <c r="R214" s="170"/>
      <c r="S214" s="170"/>
    </row>
    <row r="215" spans="1:52" s="26" customFormat="1" x14ac:dyDescent="0.15">
      <c r="A215" s="278"/>
      <c r="B215" s="74" t="s">
        <v>80</v>
      </c>
      <c r="C215" s="28"/>
      <c r="D215" s="166">
        <f>MIN(Year)</f>
        <v>0</v>
      </c>
      <c r="E215" s="166">
        <f t="shared" ref="E215:AR215" si="115">IF(D215="","",IF(D215+1&gt;Contract_Length,"",D215+1))</f>
        <v>1</v>
      </c>
      <c r="F215" s="166">
        <f t="shared" si="115"/>
        <v>2</v>
      </c>
      <c r="G215" s="166">
        <f t="shared" si="115"/>
        <v>3</v>
      </c>
      <c r="H215" s="166">
        <f t="shared" si="115"/>
        <v>4</v>
      </c>
      <c r="I215" s="166">
        <f t="shared" si="115"/>
        <v>5</v>
      </c>
      <c r="J215" s="166">
        <f t="shared" si="115"/>
        <v>6</v>
      </c>
      <c r="K215" s="166">
        <f t="shared" si="115"/>
        <v>7</v>
      </c>
      <c r="L215" s="166">
        <f t="shared" si="115"/>
        <v>8</v>
      </c>
      <c r="M215" s="166">
        <f t="shared" si="115"/>
        <v>9</v>
      </c>
      <c r="N215" s="166">
        <f t="shared" si="115"/>
        <v>10</v>
      </c>
      <c r="O215" s="166">
        <f t="shared" si="115"/>
        <v>11</v>
      </c>
      <c r="P215" s="166">
        <f t="shared" si="115"/>
        <v>12</v>
      </c>
      <c r="Q215" s="166">
        <f t="shared" si="115"/>
        <v>13</v>
      </c>
      <c r="R215" s="166">
        <f t="shared" si="115"/>
        <v>14</v>
      </c>
      <c r="S215" s="166">
        <f t="shared" si="115"/>
        <v>15</v>
      </c>
      <c r="T215" s="166">
        <f t="shared" si="115"/>
        <v>16</v>
      </c>
      <c r="U215" s="166">
        <f t="shared" si="115"/>
        <v>17</v>
      </c>
      <c r="V215" s="166">
        <f t="shared" si="115"/>
        <v>18</v>
      </c>
      <c r="W215" s="166">
        <f t="shared" si="115"/>
        <v>19</v>
      </c>
      <c r="X215" s="166">
        <f t="shared" si="115"/>
        <v>20</v>
      </c>
      <c r="Y215" s="166" t="str">
        <f t="shared" si="115"/>
        <v/>
      </c>
      <c r="Z215" s="166" t="str">
        <f t="shared" si="115"/>
        <v/>
      </c>
      <c r="AA215" s="166" t="str">
        <f t="shared" si="115"/>
        <v/>
      </c>
      <c r="AB215" s="166" t="str">
        <f t="shared" si="115"/>
        <v/>
      </c>
      <c r="AC215" s="166" t="str">
        <f t="shared" si="115"/>
        <v/>
      </c>
      <c r="AD215" s="166" t="str">
        <f t="shared" si="115"/>
        <v/>
      </c>
      <c r="AE215" s="166" t="str">
        <f t="shared" si="115"/>
        <v/>
      </c>
      <c r="AF215" s="166" t="str">
        <f t="shared" si="115"/>
        <v/>
      </c>
      <c r="AG215" s="166" t="str">
        <f t="shared" si="115"/>
        <v/>
      </c>
      <c r="AH215" s="166" t="str">
        <f t="shared" si="115"/>
        <v/>
      </c>
      <c r="AI215" s="166" t="str">
        <f t="shared" si="115"/>
        <v/>
      </c>
      <c r="AJ215" s="166" t="str">
        <f t="shared" si="115"/>
        <v/>
      </c>
      <c r="AK215" s="166" t="str">
        <f t="shared" si="115"/>
        <v/>
      </c>
      <c r="AL215" s="166" t="str">
        <f t="shared" si="115"/>
        <v/>
      </c>
      <c r="AM215" s="166" t="str">
        <f t="shared" si="115"/>
        <v/>
      </c>
      <c r="AN215" s="166" t="str">
        <f t="shared" si="115"/>
        <v/>
      </c>
      <c r="AO215" s="166" t="str">
        <f t="shared" si="115"/>
        <v/>
      </c>
      <c r="AP215" s="166" t="str">
        <f t="shared" si="115"/>
        <v/>
      </c>
      <c r="AQ215" s="166" t="str">
        <f t="shared" si="115"/>
        <v/>
      </c>
      <c r="AR215" s="166" t="str">
        <f t="shared" si="115"/>
        <v/>
      </c>
    </row>
    <row r="216" spans="1:52" s="45" customFormat="1" x14ac:dyDescent="0.15">
      <c r="A216" s="292">
        <v>9</v>
      </c>
      <c r="C216" s="45" t="s">
        <v>81</v>
      </c>
      <c r="D216" s="115">
        <f t="shared" ref="D216:AR216" si="116">ServTarget_FC*100</f>
        <v>50</v>
      </c>
      <c r="E216" s="148">
        <f t="shared" si="116"/>
        <v>50.549347131529657</v>
      </c>
      <c r="F216" s="148">
        <f t="shared" si="116"/>
        <v>51.46561153756781</v>
      </c>
      <c r="G216" s="148">
        <f t="shared" si="116"/>
        <v>53.792909001062171</v>
      </c>
      <c r="H216" s="148">
        <f t="shared" si="116"/>
        <v>59.121276190317815</v>
      </c>
      <c r="I216" s="148">
        <f t="shared" si="116"/>
        <v>68.877033439907279</v>
      </c>
      <c r="J216" s="148">
        <f t="shared" si="116"/>
        <v>81.122966560092721</v>
      </c>
      <c r="K216" s="148">
        <f t="shared" si="116"/>
        <v>90.878723809682185</v>
      </c>
      <c r="L216" s="148">
        <f t="shared" si="116"/>
        <v>96.207090998937829</v>
      </c>
      <c r="M216" s="148">
        <f t="shared" si="116"/>
        <v>98.53438846243219</v>
      </c>
      <c r="N216" s="148">
        <f t="shared" si="116"/>
        <v>100</v>
      </c>
      <c r="O216" s="148">
        <f t="shared" si="116"/>
        <v>100</v>
      </c>
      <c r="P216" s="148">
        <f t="shared" si="116"/>
        <v>100</v>
      </c>
      <c r="Q216" s="148">
        <f t="shared" si="116"/>
        <v>100</v>
      </c>
      <c r="R216" s="148">
        <f t="shared" si="116"/>
        <v>100</v>
      </c>
      <c r="S216" s="148">
        <f t="shared" si="116"/>
        <v>100</v>
      </c>
      <c r="T216" s="148">
        <f t="shared" si="116"/>
        <v>100</v>
      </c>
      <c r="U216" s="148">
        <f t="shared" si="116"/>
        <v>100</v>
      </c>
      <c r="V216" s="148">
        <f t="shared" si="116"/>
        <v>100</v>
      </c>
      <c r="W216" s="148">
        <f t="shared" si="116"/>
        <v>100</v>
      </c>
      <c r="X216" s="148">
        <f t="shared" si="116"/>
        <v>100</v>
      </c>
      <c r="Y216" s="148">
        <f t="shared" si="116"/>
        <v>100</v>
      </c>
      <c r="Z216" s="148">
        <f t="shared" si="116"/>
        <v>100</v>
      </c>
      <c r="AA216" s="148">
        <f t="shared" si="116"/>
        <v>100</v>
      </c>
      <c r="AB216" s="148">
        <f t="shared" si="116"/>
        <v>100</v>
      </c>
      <c r="AC216" s="148">
        <f t="shared" si="116"/>
        <v>100</v>
      </c>
      <c r="AD216" s="148">
        <f t="shared" si="116"/>
        <v>100</v>
      </c>
      <c r="AE216" s="148">
        <f t="shared" si="116"/>
        <v>100</v>
      </c>
      <c r="AF216" s="148">
        <f t="shared" si="116"/>
        <v>100</v>
      </c>
      <c r="AG216" s="148">
        <f t="shared" si="116"/>
        <v>100</v>
      </c>
      <c r="AH216" s="148">
        <f t="shared" si="116"/>
        <v>100</v>
      </c>
      <c r="AI216" s="148">
        <f t="shared" si="116"/>
        <v>100</v>
      </c>
      <c r="AJ216" s="148">
        <f t="shared" si="116"/>
        <v>100</v>
      </c>
      <c r="AK216" s="148">
        <f t="shared" si="116"/>
        <v>100</v>
      </c>
      <c r="AL216" s="148">
        <f t="shared" si="116"/>
        <v>100</v>
      </c>
      <c r="AM216" s="148">
        <f t="shared" si="116"/>
        <v>100</v>
      </c>
      <c r="AN216" s="148">
        <f t="shared" si="116"/>
        <v>100</v>
      </c>
      <c r="AO216" s="148">
        <f t="shared" si="116"/>
        <v>100</v>
      </c>
      <c r="AP216" s="148">
        <f t="shared" si="116"/>
        <v>100</v>
      </c>
      <c r="AQ216" s="148">
        <f t="shared" si="116"/>
        <v>100</v>
      </c>
      <c r="AR216" s="149">
        <f t="shared" si="116"/>
        <v>100</v>
      </c>
    </row>
    <row r="217" spans="1:52" s="43" customFormat="1" x14ac:dyDescent="0.15">
      <c r="C217" s="263" t="s">
        <v>158</v>
      </c>
      <c r="D217" s="289"/>
      <c r="E217" s="290"/>
      <c r="F217" s="170"/>
      <c r="G217" s="170"/>
      <c r="H217" s="170"/>
      <c r="I217" s="170"/>
      <c r="J217" s="170"/>
      <c r="K217" s="170"/>
      <c r="L217" s="170"/>
      <c r="M217" s="170"/>
      <c r="N217" s="170"/>
      <c r="O217" s="170"/>
      <c r="P217" s="170"/>
      <c r="Q217" s="170"/>
      <c r="R217" s="170"/>
      <c r="S217" s="170"/>
    </row>
    <row r="218" spans="1:52" s="26" customFormat="1" x14ac:dyDescent="0.15">
      <c r="A218" s="295">
        <v>101</v>
      </c>
      <c r="B218" s="254" t="str">
        <f>"Change in social welfare (" &amp; ServTarget*100 &amp; "% coverage target over " &amp; ServTarget_Year &amp; " years)"</f>
        <v>Change in social welfare (100% coverage target over 10 years)</v>
      </c>
      <c r="C218" s="255"/>
      <c r="D218" s="171" t="str">
        <f xml:space="preserve"> "Currently connected (" &amp; '[1]Other assumptions'!D15*100 &amp; "%)"</f>
        <v>Currently connected (50%)</v>
      </c>
      <c r="E218" s="171" t="s">
        <v>82</v>
      </c>
      <c r="F218" s="172" t="s">
        <v>83</v>
      </c>
      <c r="G218" s="170"/>
      <c r="H218" s="173"/>
      <c r="I218" s="166"/>
      <c r="J218" s="166"/>
      <c r="K218" s="166"/>
      <c r="L218" s="166"/>
      <c r="M218" s="166"/>
      <c r="N218" s="166"/>
      <c r="O218" s="166"/>
      <c r="P218" s="166"/>
      <c r="Q218" s="166"/>
      <c r="R218" s="166"/>
      <c r="S218" s="166"/>
      <c r="T218" s="166"/>
      <c r="U218" s="166"/>
      <c r="V218" s="166"/>
      <c r="W218" s="166"/>
      <c r="X218" s="166"/>
      <c r="Y218" s="166"/>
      <c r="Z218" s="166"/>
      <c r="AA218" s="166"/>
      <c r="AB218" s="166"/>
      <c r="AC218" s="166"/>
      <c r="AD218" s="166"/>
      <c r="AE218" s="166"/>
      <c r="AF218" s="166"/>
      <c r="AG218" s="166"/>
      <c r="AH218" s="166"/>
      <c r="AI218" s="166"/>
      <c r="AJ218" s="166"/>
      <c r="AK218" s="166"/>
      <c r="AL218" s="166"/>
      <c r="AM218" s="166"/>
      <c r="AN218" s="166"/>
      <c r="AO218" s="166"/>
      <c r="AP218" s="166"/>
      <c r="AQ218" s="166"/>
      <c r="AR218" s="166"/>
      <c r="AS218" s="174"/>
      <c r="AT218" s="174"/>
      <c r="AU218" s="174"/>
      <c r="AV218" s="174"/>
      <c r="AW218" s="174"/>
      <c r="AX218" s="174"/>
      <c r="AY218" s="174"/>
      <c r="AZ218" s="174"/>
    </row>
    <row r="219" spans="1:52" s="45" customFormat="1" x14ac:dyDescent="0.15">
      <c r="A219" s="296">
        <v>102</v>
      </c>
      <c r="B219" s="256"/>
      <c r="C219" s="257" t="s">
        <v>84</v>
      </c>
      <c r="D219" s="115">
        <f>SUM('[1]Analysis - No risk'!$A$209:$IV$209)</f>
        <v>-1195.732375202477</v>
      </c>
      <c r="E219" s="148">
        <f>SUM('[1]Analysis - No risk'!$A210:$IV210)</f>
        <v>1699.6974765374136</v>
      </c>
      <c r="F219" s="149">
        <f>SUM(D219:E219)</f>
        <v>503.96510133493666</v>
      </c>
      <c r="G219" s="170"/>
      <c r="H219" s="105"/>
      <c r="I219" s="105"/>
      <c r="J219" s="105"/>
      <c r="K219" s="105"/>
      <c r="L219" s="105"/>
      <c r="M219" s="105"/>
      <c r="N219" s="105"/>
      <c r="O219" s="105"/>
      <c r="P219" s="105"/>
      <c r="Q219" s="105"/>
      <c r="R219" s="105"/>
      <c r="S219" s="105"/>
      <c r="T219" s="105"/>
      <c r="U219" s="105"/>
      <c r="V219" s="105"/>
      <c r="W219" s="105"/>
      <c r="X219" s="105"/>
      <c r="Y219" s="105"/>
      <c r="Z219" s="105"/>
      <c r="AA219" s="105"/>
      <c r="AB219" s="105"/>
      <c r="AC219" s="105"/>
      <c r="AD219" s="105"/>
      <c r="AE219" s="105"/>
      <c r="AF219" s="105"/>
      <c r="AG219" s="105"/>
      <c r="AH219" s="105"/>
      <c r="AI219" s="105"/>
      <c r="AJ219" s="105"/>
      <c r="AK219" s="105"/>
      <c r="AL219" s="105"/>
      <c r="AM219" s="105"/>
      <c r="AN219" s="105"/>
      <c r="AO219" s="105"/>
      <c r="AP219" s="105"/>
      <c r="AQ219" s="105"/>
      <c r="AR219" s="105"/>
      <c r="AS219" s="105"/>
      <c r="AT219" s="105"/>
      <c r="AU219" s="105"/>
      <c r="AV219" s="105"/>
      <c r="AW219" s="105"/>
      <c r="AX219" s="105"/>
      <c r="AY219" s="105"/>
      <c r="AZ219" s="105"/>
    </row>
    <row r="220" spans="1:52" s="175" customFormat="1" x14ac:dyDescent="0.15">
      <c r="A220" s="168"/>
      <c r="B220" s="168"/>
      <c r="C220" s="168"/>
      <c r="D220" s="175">
        <f>IF('[1]Policy choices'!Y8='[1]Policy choices'!Y9,"",'[1]Policy choices'!Y9)</f>
        <v>-120</v>
      </c>
      <c r="E220" s="175">
        <f>IF(D220="","",IF(D220+('[1]Policy choices'!$Y$8-'[1]Policy choices'!$Y$9)/Contract_Length&gt;'[1]Policy choices'!$Y$8,"",D220+('[1]Policy choices'!$Y$8-'[1]Policy choices'!$Y$9)/Contract_Length))</f>
        <v>-109.5</v>
      </c>
      <c r="F220" s="175">
        <f>IF(E220="","",IF(E220+('[1]Policy choices'!$Y$8-'[1]Policy choices'!$Y$9)/Contract_Length&gt;'[1]Policy choices'!$Y$8,"",E220+('[1]Policy choices'!$Y$8-'[1]Policy choices'!$Y$9)/Contract_Length))</f>
        <v>-99</v>
      </c>
      <c r="G220" s="175">
        <f>IF(F220="","",IF(F220+('[1]Policy choices'!$Y$8-'[1]Policy choices'!$Y$9)/Contract_Length&gt;'[1]Policy choices'!$Y$8,"",F220+('[1]Policy choices'!$Y$8-'[1]Policy choices'!$Y$9)/Contract_Length))</f>
        <v>-88.5</v>
      </c>
      <c r="H220" s="175">
        <f>IF(G220="","",IF(G220+('[1]Policy choices'!$Y$8-'[1]Policy choices'!$Y$9)/Contract_Length&gt;'[1]Policy choices'!$Y$8,"",G220+('[1]Policy choices'!$Y$8-'[1]Policy choices'!$Y$9)/Contract_Length))</f>
        <v>-78</v>
      </c>
      <c r="I220" s="175">
        <f>IF(H220="","",IF(H220+('[1]Policy choices'!$Y$8-'[1]Policy choices'!$Y$9)/Contract_Length&gt;'[1]Policy choices'!$Y$8,"",H220+('[1]Policy choices'!$Y$8-'[1]Policy choices'!$Y$9)/Contract_Length))</f>
        <v>-67.5</v>
      </c>
      <c r="J220" s="175">
        <f>IF(I220="","",IF(I220+('[1]Policy choices'!$Y$8-'[1]Policy choices'!$Y$9)/Contract_Length&gt;'[1]Policy choices'!$Y$8,"",I220+('[1]Policy choices'!$Y$8-'[1]Policy choices'!$Y$9)/Contract_Length))</f>
        <v>-57</v>
      </c>
      <c r="K220" s="175">
        <f>IF(J220="","",IF(J220+('[1]Policy choices'!$Y$8-'[1]Policy choices'!$Y$9)/Contract_Length&gt;'[1]Policy choices'!$Y$8,"",J220+('[1]Policy choices'!$Y$8-'[1]Policy choices'!$Y$9)/Contract_Length))</f>
        <v>-46.5</v>
      </c>
      <c r="L220" s="175">
        <f>IF(K220="","",IF(K220+('[1]Policy choices'!$Y$8-'[1]Policy choices'!$Y$9)/Contract_Length&gt;'[1]Policy choices'!$Y$8,"",K220+('[1]Policy choices'!$Y$8-'[1]Policy choices'!$Y$9)/Contract_Length))</f>
        <v>-36</v>
      </c>
      <c r="M220" s="175">
        <f>IF(L220="","",IF(L220+('[1]Policy choices'!$Y$8-'[1]Policy choices'!$Y$9)/Contract_Length&gt;'[1]Policy choices'!$Y$8,"",L220+('[1]Policy choices'!$Y$8-'[1]Policy choices'!$Y$9)/Contract_Length))</f>
        <v>-25.5</v>
      </c>
      <c r="N220" s="175">
        <f>IF(M220="","",IF(M220+('[1]Policy choices'!$Y$8-'[1]Policy choices'!$Y$9)/Contract_Length&gt;'[1]Policy choices'!$Y$8,"",M220+('[1]Policy choices'!$Y$8-'[1]Policy choices'!$Y$9)/Contract_Length))</f>
        <v>-15</v>
      </c>
      <c r="O220" s="175">
        <f>IF(N220="","",IF(N220+('[1]Policy choices'!$Y$8-'[1]Policy choices'!$Y$9)/Contract_Length&gt;'[1]Policy choices'!$Y$8,"",N220+('[1]Policy choices'!$Y$8-'[1]Policy choices'!$Y$9)/Contract_Length))</f>
        <v>-4.5</v>
      </c>
      <c r="P220" s="175">
        <f>IF(O220="","",IF(O220+('[1]Policy choices'!$Y$8-'[1]Policy choices'!$Y$9)/Contract_Length&gt;'[1]Policy choices'!$Y$8,"",O220+('[1]Policy choices'!$Y$8-'[1]Policy choices'!$Y$9)/Contract_Length))</f>
        <v>6</v>
      </c>
      <c r="Q220" s="175">
        <f>IF(P220="","",IF(P220+('[1]Policy choices'!$Y$8-'[1]Policy choices'!$Y$9)/Contract_Length&gt;'[1]Policy choices'!$Y$8,"",P220+('[1]Policy choices'!$Y$8-'[1]Policy choices'!$Y$9)/Contract_Length))</f>
        <v>16.5</v>
      </c>
      <c r="R220" s="175">
        <f>IF(Q220="","",IF(Q220+('[1]Policy choices'!$Y$8-'[1]Policy choices'!$Y$9)/Contract_Length&gt;'[1]Policy choices'!$Y$8,"",Q220+('[1]Policy choices'!$Y$8-'[1]Policy choices'!$Y$9)/Contract_Length))</f>
        <v>27</v>
      </c>
      <c r="S220" s="175">
        <f>IF(R220="","",IF(R220+('[1]Policy choices'!$Y$8-'[1]Policy choices'!$Y$9)/Contract_Length&gt;'[1]Policy choices'!$Y$8,"",R220+('[1]Policy choices'!$Y$8-'[1]Policy choices'!$Y$9)/Contract_Length))</f>
        <v>37.5</v>
      </c>
      <c r="T220" s="175">
        <f>IF(S220="","",IF(S220+('[1]Policy choices'!$Y$8-'[1]Policy choices'!$Y$9)/Contract_Length&gt;'[1]Policy choices'!$Y$8,"",S220+('[1]Policy choices'!$Y$8-'[1]Policy choices'!$Y$9)/Contract_Length))</f>
        <v>48</v>
      </c>
      <c r="U220" s="175">
        <f>IF(T220="","",IF(T220+('[1]Policy choices'!$Y$8-'[1]Policy choices'!$Y$9)/Contract_Length&gt;'[1]Policy choices'!$Y$8,"",T220+('[1]Policy choices'!$Y$8-'[1]Policy choices'!$Y$9)/Contract_Length))</f>
        <v>58.5</v>
      </c>
      <c r="V220" s="175">
        <f>IF(U220="","",IF(U220+('[1]Policy choices'!$Y$8-'[1]Policy choices'!$Y$9)/Contract_Length&gt;'[1]Policy choices'!$Y$8,"",U220+('[1]Policy choices'!$Y$8-'[1]Policy choices'!$Y$9)/Contract_Length))</f>
        <v>69</v>
      </c>
      <c r="W220" s="175">
        <f>IF(V220="","",IF(V220+('[1]Policy choices'!$Y$8-'[1]Policy choices'!$Y$9)/Contract_Length&gt;'[1]Policy choices'!$Y$8,"",V220+('[1]Policy choices'!$Y$8-'[1]Policy choices'!$Y$9)/Contract_Length))</f>
        <v>79.5</v>
      </c>
      <c r="X220" s="175">
        <f>IF(W220="","",IF(W220+('[1]Policy choices'!$Y$8-'[1]Policy choices'!$Y$9)/Contract_Length&gt;'[1]Policy choices'!$Y$8,"",W220+('[1]Policy choices'!$Y$8-'[1]Policy choices'!$Y$9)/Contract_Length))</f>
        <v>90</v>
      </c>
      <c r="Y220" s="175" t="str">
        <f>IF(X220="","",IF(X220+('[1]Policy choices'!$Y$8-'[1]Policy choices'!$Y$9)/Contract_Length&gt;'[1]Policy choices'!$Y$8,"",X220+('[1]Policy choices'!$Y$8-'[1]Policy choices'!$Y$9)/Contract_Length))</f>
        <v/>
      </c>
      <c r="Z220" s="175" t="str">
        <f>IF(Y220="","",IF(Y220+('[1]Policy choices'!$Y$8-'[1]Policy choices'!$Y$9)/Contract_Length&gt;'[1]Policy choices'!$Y$8,"",Y220+('[1]Policy choices'!$Y$8-'[1]Policy choices'!$Y$9)/Contract_Length))</f>
        <v/>
      </c>
      <c r="AA220" s="175" t="str">
        <f>IF(Z220="","",IF(Z220+('[1]Policy choices'!$Y$8-'[1]Policy choices'!$Y$9)/Contract_Length&gt;'[1]Policy choices'!$Y$8,"",Z220+('[1]Policy choices'!$Y$8-'[1]Policy choices'!$Y$9)/Contract_Length))</f>
        <v/>
      </c>
      <c r="AB220" s="175" t="str">
        <f>IF(AA220="","",IF(AA220+('[1]Policy choices'!$Y$8-'[1]Policy choices'!$Y$9)/Contract_Length&gt;'[1]Policy choices'!$Y$8,"",AA220+('[1]Policy choices'!$Y$8-'[1]Policy choices'!$Y$9)/Contract_Length))</f>
        <v/>
      </c>
      <c r="AC220" s="175" t="str">
        <f>IF(AB220="","",IF(AB220+('[1]Policy choices'!$Y$8-'[1]Policy choices'!$Y$9)/Contract_Length&gt;'[1]Policy choices'!$Y$8,"",AB220+('[1]Policy choices'!$Y$8-'[1]Policy choices'!$Y$9)/Contract_Length))</f>
        <v/>
      </c>
      <c r="AD220" s="175" t="str">
        <f>IF(AC220="","",IF(AC220+('[1]Policy choices'!$Y$8-'[1]Policy choices'!$Y$9)/Contract_Length&gt;'[1]Policy choices'!$Y$8,"",AC220+('[1]Policy choices'!$Y$8-'[1]Policy choices'!$Y$9)/Contract_Length))</f>
        <v/>
      </c>
      <c r="AE220" s="175" t="str">
        <f>IF(AD220="","",IF(AD220+('[1]Policy choices'!$Y$8-'[1]Policy choices'!$Y$9)/Contract_Length&gt;'[1]Policy choices'!$Y$8,"",AD220+('[1]Policy choices'!$Y$8-'[1]Policy choices'!$Y$9)/Contract_Length))</f>
        <v/>
      </c>
      <c r="AF220" s="175" t="str">
        <f>IF(AE220="","",IF(AE220+('[1]Policy choices'!$Y$8-'[1]Policy choices'!$Y$9)/Contract_Length&gt;'[1]Policy choices'!$Y$8,"",AE220+('[1]Policy choices'!$Y$8-'[1]Policy choices'!$Y$9)/Contract_Length))</f>
        <v/>
      </c>
      <c r="AG220" s="175" t="str">
        <f>IF(AF220="","",IF(AF220+('[1]Policy choices'!$Y$8-'[1]Policy choices'!$Y$9)/Contract_Length&gt;'[1]Policy choices'!$Y$8,"",AF220+('[1]Policy choices'!$Y$8-'[1]Policy choices'!$Y$9)/Contract_Length))</f>
        <v/>
      </c>
      <c r="AH220" s="175" t="str">
        <f>IF(AG220="","",IF(AG220+('[1]Policy choices'!$Y$8-'[1]Policy choices'!$Y$9)/Contract_Length&gt;'[1]Policy choices'!$Y$8,"",AG220+('[1]Policy choices'!$Y$8-'[1]Policy choices'!$Y$9)/Contract_Length))</f>
        <v/>
      </c>
      <c r="AI220" s="175" t="str">
        <f>IF(AH220="","",IF(AH220+('[1]Policy choices'!$Y$8-'[1]Policy choices'!$Y$9)/Contract_Length&gt;'[1]Policy choices'!$Y$8,"",AH220+('[1]Policy choices'!$Y$8-'[1]Policy choices'!$Y$9)/Contract_Length))</f>
        <v/>
      </c>
      <c r="AJ220" s="175" t="str">
        <f>IF(AI220="","",IF(AI220+('[1]Policy choices'!$Y$8-'[1]Policy choices'!$Y$9)/Contract_Length&gt;'[1]Policy choices'!$Y$8,"",AI220+('[1]Policy choices'!$Y$8-'[1]Policy choices'!$Y$9)/Contract_Length))</f>
        <v/>
      </c>
      <c r="AK220" s="175" t="str">
        <f>IF(AJ220="","",IF(AJ220+('[1]Policy choices'!$Y$8-'[1]Policy choices'!$Y$9)/Contract_Length&gt;'[1]Policy choices'!$Y$8,"",AJ220+('[1]Policy choices'!$Y$8-'[1]Policy choices'!$Y$9)/Contract_Length))</f>
        <v/>
      </c>
      <c r="AL220" s="175" t="str">
        <f>IF(AK220="","",IF(AK220+('[1]Policy choices'!$Y$8-'[1]Policy choices'!$Y$9)/Contract_Length&gt;'[1]Policy choices'!$Y$8,"",AK220+('[1]Policy choices'!$Y$8-'[1]Policy choices'!$Y$9)/Contract_Length))</f>
        <v/>
      </c>
      <c r="AM220" s="175" t="str">
        <f>IF(AL220="","",IF(AL220+('[1]Policy choices'!$Y$8-'[1]Policy choices'!$Y$9)/Contract_Length&gt;'[1]Policy choices'!$Y$8,"",AL220+('[1]Policy choices'!$Y$8-'[1]Policy choices'!$Y$9)/Contract_Length))</f>
        <v/>
      </c>
      <c r="AN220" s="175" t="str">
        <f>IF(AM220="","",IF(AM220+('[1]Policy choices'!$Y$8-'[1]Policy choices'!$Y$9)/Contract_Length&gt;'[1]Policy choices'!$Y$8,"",AM220+('[1]Policy choices'!$Y$8-'[1]Policy choices'!$Y$9)/Contract_Length))</f>
        <v/>
      </c>
      <c r="AO220" s="175" t="str">
        <f>IF(AN220="","",IF(AN220+('[1]Policy choices'!$Y$8-'[1]Policy choices'!$Y$9)/Contract_Length&gt;'[1]Policy choices'!$Y$8,"",AN220+('[1]Policy choices'!$Y$8-'[1]Policy choices'!$Y$9)/Contract_Length))</f>
        <v/>
      </c>
      <c r="AP220" s="175" t="str">
        <f>IF(AO220="","",IF(AO220+('[1]Policy choices'!$Y$8-'[1]Policy choices'!$Y$9)/Contract_Length&gt;'[1]Policy choices'!$Y$8,"",AO220+('[1]Policy choices'!$Y$8-'[1]Policy choices'!$Y$9)/Contract_Length))</f>
        <v/>
      </c>
      <c r="AQ220" s="175" t="str">
        <f>IF(AP220="","",IF(AP220+('[1]Policy choices'!$Y$8-'[1]Policy choices'!$Y$9)/Contract_Length&gt;'[1]Policy choices'!$Y$8,"",AP220+('[1]Policy choices'!$Y$8-'[1]Policy choices'!$Y$9)/Contract_Length))</f>
        <v/>
      </c>
      <c r="AR220" s="175" t="str">
        <f>IF(AQ220="","",IF(AQ220+('[1]Policy choices'!$Y$8-'[1]Policy choices'!$Y$9)/Contract_Length&gt;'[1]Policy choices'!$Y$8,"",AQ220+('[1]Policy choices'!$Y$8-'[1]Policy choices'!$Y$9)/Contract_Length))</f>
        <v/>
      </c>
      <c r="AS220" s="175" t="str">
        <f>IF(AR220="","",IF(AR220+('[1]Policy choices'!$Y$8-'[1]Policy choices'!$Y$9)/Contract_Length&gt;'[1]Policy choices'!$Y$8,"",AR220+('[1]Policy choices'!$Y$8-'[1]Policy choices'!$Y$9)/Contract_Length))</f>
        <v/>
      </c>
    </row>
    <row r="221" spans="1:52" s="176" customFormat="1" x14ac:dyDescent="0.15">
      <c r="B221" s="177"/>
      <c r="C221" s="177"/>
      <c r="D221" s="293">
        <f>IF(D220="","",D220)</f>
        <v>-120</v>
      </c>
      <c r="E221" s="293">
        <f>IF(E220="","",ROUND(E220,ABS(INT(LOG(ABS('[1]Policy choices'!$Y$8),10))-INT(LOG(ABS('[1]Policy choices'!$Y$9),10)))))</f>
        <v>-109.5</v>
      </c>
      <c r="F221" s="293">
        <f>IF(F220="","",ROUND(F220,ABS(INT(LOG(ABS('[1]Policy choices'!$Y$8),10))-INT(LOG(ABS('[1]Policy choices'!$Y$9),10)))))</f>
        <v>-99</v>
      </c>
      <c r="G221" s="293">
        <f>IF(G220="","",ROUND(G220,ABS(INT(LOG(ABS('[1]Policy choices'!$Y$8),10))-INT(LOG(ABS('[1]Policy choices'!$Y$9),10)))))</f>
        <v>-88.5</v>
      </c>
      <c r="H221" s="293">
        <f>IF(H220="","",ROUND(H220,ABS(INT(LOG(ABS('[1]Policy choices'!$Y$8),10))-INT(LOG(ABS('[1]Policy choices'!$Y$9),10)))))</f>
        <v>-78</v>
      </c>
      <c r="I221" s="293">
        <f>IF(I220="","",ROUND(I220,ABS(INT(LOG(ABS('[1]Policy choices'!$Y$8),10))-INT(LOG(ABS('[1]Policy choices'!$Y$9),10)))))</f>
        <v>-67.5</v>
      </c>
      <c r="J221" s="293">
        <f>IF(J220="","",ROUND(J220,ABS(INT(LOG(ABS('[1]Policy choices'!$Y$8),10))-INT(LOG(ABS('[1]Policy choices'!$Y$9),10)))))</f>
        <v>-57</v>
      </c>
      <c r="K221" s="293">
        <f>IF(K220="","",ROUND(K220,ABS(INT(LOG(ABS('[1]Policy choices'!$Y$8),10))-INT(LOG(ABS('[1]Policy choices'!$Y$9),10)))))</f>
        <v>-46.5</v>
      </c>
      <c r="L221" s="293">
        <f>IF(L220="","",ROUND(L220,ABS(INT(LOG(ABS('[1]Policy choices'!$Y$8),10))-INT(LOG(ABS('[1]Policy choices'!$Y$9),10)))))</f>
        <v>-36</v>
      </c>
      <c r="M221" s="293">
        <f>IF(M220="","",ROUND(M220,ABS(INT(LOG(ABS('[1]Policy choices'!$Y$8),10))-INT(LOG(ABS('[1]Policy choices'!$Y$9),10)))))</f>
        <v>-25.5</v>
      </c>
      <c r="N221" s="293">
        <f>IF(N220="","",ROUND(N220,ABS(INT(LOG(ABS('[1]Policy choices'!$Y$8),10))-INT(LOG(ABS('[1]Policy choices'!$Y$9),10)))))</f>
        <v>-15</v>
      </c>
      <c r="O221" s="293">
        <f>IF(O220="","",ROUND(O220,ABS(INT(LOG(ABS('[1]Policy choices'!$Y$8),10))-INT(LOG(ABS('[1]Policy choices'!$Y$9),10)))))</f>
        <v>-4.5</v>
      </c>
      <c r="P221" s="293">
        <f>IF(P220="","",ROUND(P220,ABS(INT(LOG(ABS('[1]Policy choices'!$Y$8),10))-INT(LOG(ABS('[1]Policy choices'!$Y$9),10)))))</f>
        <v>6</v>
      </c>
      <c r="Q221" s="293">
        <f>IF(Q220="","",ROUND(Q220,ABS(INT(LOG(ABS('[1]Policy choices'!$Y$8),10))-INT(LOG(ABS('[1]Policy choices'!$Y$9),10)))))</f>
        <v>16.5</v>
      </c>
      <c r="R221" s="293">
        <f>IF(R220="","",ROUND(R220,ABS(INT(LOG(ABS('[1]Policy choices'!$Y$8),10))-INT(LOG(ABS('[1]Policy choices'!$Y$9),10)))))</f>
        <v>27</v>
      </c>
      <c r="S221" s="293">
        <f>IF(S220="","",ROUND(S220,ABS(INT(LOG(ABS('[1]Policy choices'!$Y$8),10))-INT(LOG(ABS('[1]Policy choices'!$Y$9),10)))))</f>
        <v>37.5</v>
      </c>
      <c r="T221" s="293">
        <f>IF(T220="","",ROUND(T220,ABS(INT(LOG(ABS('[1]Policy choices'!$Y$8),10))-INT(LOG(ABS('[1]Policy choices'!$Y$9),10)))))</f>
        <v>48</v>
      </c>
      <c r="U221" s="293">
        <f>IF(U220="","",ROUND(U220,ABS(INT(LOG(ABS('[1]Policy choices'!$Y$8),10))-INT(LOG(ABS('[1]Policy choices'!$Y$9),10)))))</f>
        <v>58.5</v>
      </c>
      <c r="V221" s="293">
        <f>IF(V220="","",ROUND(V220,ABS(INT(LOG(ABS('[1]Policy choices'!$Y$8),10))-INT(LOG(ABS('[1]Policy choices'!$Y$9),10)))))</f>
        <v>69</v>
      </c>
      <c r="W221" s="293">
        <f>IF(W220="","",ROUND(W220,ABS(INT(LOG(ABS('[1]Policy choices'!$Y$8),10))-INT(LOG(ABS('[1]Policy choices'!$Y$9),10)))))</f>
        <v>79.5</v>
      </c>
      <c r="X221" s="293">
        <f>IF(X220="","",ROUND(X220,ABS(INT(LOG(ABS('[1]Policy choices'!$Y$8),10))-INT(LOG(ABS('[1]Policy choices'!$Y$9),10)))))</f>
        <v>90</v>
      </c>
      <c r="Y221" s="293" t="str">
        <f>IF(Y220="","",ROUND(Y220,ABS(INT(LOG(ABS('[1]Policy choices'!$Y$8),10))-INT(LOG(ABS('[1]Policy choices'!$Y$9),10)))))</f>
        <v/>
      </c>
      <c r="Z221" s="293" t="str">
        <f>IF(Z220="","",ROUND(Z220,ABS(INT(LOG(ABS('[1]Policy choices'!$Y$8),10))-INT(LOG(ABS('[1]Policy choices'!$Y$9),10)))))</f>
        <v/>
      </c>
      <c r="AA221" s="293" t="str">
        <f>IF(AA220="","",ROUND(AA220,ABS(INT(LOG(ABS('[1]Policy choices'!$Y$8),10))-INT(LOG(ABS('[1]Policy choices'!$Y$9),10)))))</f>
        <v/>
      </c>
      <c r="AB221" s="293" t="str">
        <f>IF(AB220="","",ROUND(AB220,ABS(INT(LOG(ABS('[1]Policy choices'!$Y$8),10))-INT(LOG(ABS('[1]Policy choices'!$Y$9),10)))))</f>
        <v/>
      </c>
      <c r="AC221" s="293" t="str">
        <f>IF(AC220="","",ROUND(AC220,ABS(INT(LOG(ABS('[1]Policy choices'!$Y$8),10))-INT(LOG(ABS('[1]Policy choices'!$Y$9),10)))))</f>
        <v/>
      </c>
      <c r="AD221" s="293" t="str">
        <f>IF(AD220="","",ROUND(AD220,ABS(INT(LOG(ABS('[1]Policy choices'!$Y$8),10))-INT(LOG(ABS('[1]Policy choices'!$Y$9),10)))))</f>
        <v/>
      </c>
      <c r="AE221" s="293" t="str">
        <f>IF(AE220="","",ROUND(AE220,ABS(INT(LOG(ABS('[1]Policy choices'!$Y$8),10))-INT(LOG(ABS('[1]Policy choices'!$Y$9),10)))))</f>
        <v/>
      </c>
      <c r="AF221" s="293" t="str">
        <f>IF(AF220="","",ROUND(AF220,ABS(INT(LOG(ABS('[1]Policy choices'!$Y$8),10))-INT(LOG(ABS('[1]Policy choices'!$Y$9),10)))))</f>
        <v/>
      </c>
      <c r="AG221" s="293" t="str">
        <f>IF(AG220="","",ROUND(AG220,ABS(INT(LOG(ABS('[1]Policy choices'!$Y$8),10))-INT(LOG(ABS('[1]Policy choices'!$Y$9),10)))))</f>
        <v/>
      </c>
      <c r="AH221" s="293" t="str">
        <f>IF(AH220="","",ROUND(AH220,ABS(INT(LOG(ABS('[1]Policy choices'!$Y$8),10))-INT(LOG(ABS('[1]Policy choices'!$Y$9),10)))))</f>
        <v/>
      </c>
      <c r="AI221" s="293" t="str">
        <f>IF(AI220="","",ROUND(AI220,ABS(INT(LOG(ABS('[1]Policy choices'!$Y$8),10))-INT(LOG(ABS('[1]Policy choices'!$Y$9),10)))))</f>
        <v/>
      </c>
      <c r="AJ221" s="293" t="str">
        <f>IF(AJ220="","",ROUND(AJ220,ABS(INT(LOG(ABS('[1]Policy choices'!$Y$8),10))-INT(LOG(ABS('[1]Policy choices'!$Y$9),10)))))</f>
        <v/>
      </c>
      <c r="AK221" s="293" t="str">
        <f>IF(AK220="","",ROUND(AK220,ABS(INT(LOG(ABS('[1]Policy choices'!$Y$8),10))-INT(LOG(ABS('[1]Policy choices'!$Y$9),10)))))</f>
        <v/>
      </c>
      <c r="AL221" s="293" t="str">
        <f>IF(AL220="","",ROUND(AL220,ABS(INT(LOG(ABS('[1]Policy choices'!$Y$8),10))-INT(LOG(ABS('[1]Policy choices'!$Y$9),10)))))</f>
        <v/>
      </c>
      <c r="AM221" s="293" t="str">
        <f>IF(AM220="","",ROUND(AM220,ABS(INT(LOG(ABS('[1]Policy choices'!$Y$8),10))-INT(LOG(ABS('[1]Policy choices'!$Y$9),10)))))</f>
        <v/>
      </c>
      <c r="AN221" s="293" t="str">
        <f>IF(AN220="","",ROUND(AN220,ABS(INT(LOG(ABS('[1]Policy choices'!$Y$8),10))-INT(LOG(ABS('[1]Policy choices'!$Y$9),10)))))</f>
        <v/>
      </c>
      <c r="AO221" s="293" t="str">
        <f>IF(AO220="","",ROUND(AO220,ABS(INT(LOG(ABS('[1]Policy choices'!$Y$8),10))-INT(LOG(ABS('[1]Policy choices'!$Y$9),10)))))</f>
        <v/>
      </c>
      <c r="AP221" s="293" t="str">
        <f>IF(AP220="","",ROUND(AP220,ABS(INT(LOG(ABS('[1]Policy choices'!$Y$8),10))-INT(LOG(ABS('[1]Policy choices'!$Y$9),10)))))</f>
        <v/>
      </c>
      <c r="AQ221" s="293" t="str">
        <f>IF(AQ220="","",ROUND(AQ220,ABS(INT(LOG(ABS('[1]Policy choices'!$Y$8),10))-INT(LOG(ABS('[1]Policy choices'!$Y$9),10)))))</f>
        <v/>
      </c>
      <c r="AR221" s="293" t="str">
        <f>IF(AR220="","",ROUND(AR220,ABS(INT(LOG(ABS('[1]Policy choices'!$Y$8),10))-INT(LOG(ABS('[1]Policy choices'!$Y$9),10)))))</f>
        <v/>
      </c>
      <c r="AS221" s="293" t="str">
        <f>IF(AS220="","",ROUND(AS220,ABS(INT(LOG(ABS('[1]Policy choices'!$Y$8),10))-INT(LOG(ABS('[1]Policy choices'!$Y$9),10)))))</f>
        <v/>
      </c>
    </row>
    <row r="222" spans="1:52" s="178" customFormat="1" x14ac:dyDescent="0.15">
      <c r="A222" s="279"/>
      <c r="B222" s="258" t="str">
        <f>"Present value operator cash flow based on "&amp; Tariff_Period &amp;" year reset period"</f>
        <v>Present value operator cash flow based on 5 year reset period</v>
      </c>
      <c r="C222" s="259"/>
      <c r="D222" s="179" t="str">
        <f>IF(D220="","","less than "&amp;D221)</f>
        <v>less than -120</v>
      </c>
      <c r="E222" s="180" t="str">
        <f t="shared" ref="E222:AS222" si="117">IF(COLUMN()&gt;Contract_Length+5,"",IF(COLUMN()=Contract_Length+5,IF(D220="","","more than "&amp;D221),IF(E220="","",D221&amp;" to "&amp;E221)))</f>
        <v>-120 to -109.5</v>
      </c>
      <c r="F222" s="180" t="str">
        <f t="shared" si="117"/>
        <v>-109.5 to -99</v>
      </c>
      <c r="G222" s="180" t="str">
        <f t="shared" si="117"/>
        <v>-99 to -88.5</v>
      </c>
      <c r="H222" s="180" t="str">
        <f t="shared" si="117"/>
        <v>-88.5 to -78</v>
      </c>
      <c r="I222" s="180" t="str">
        <f t="shared" si="117"/>
        <v>-78 to -67.5</v>
      </c>
      <c r="J222" s="180" t="str">
        <f t="shared" si="117"/>
        <v>-67.5 to -57</v>
      </c>
      <c r="K222" s="180" t="str">
        <f t="shared" si="117"/>
        <v>-57 to -46.5</v>
      </c>
      <c r="L222" s="180" t="str">
        <f t="shared" si="117"/>
        <v>-46.5 to -36</v>
      </c>
      <c r="M222" s="180" t="str">
        <f t="shared" si="117"/>
        <v>-36 to -25.5</v>
      </c>
      <c r="N222" s="180" t="str">
        <f t="shared" si="117"/>
        <v>-25.5 to -15</v>
      </c>
      <c r="O222" s="180" t="str">
        <f t="shared" si="117"/>
        <v>-15 to -4.5</v>
      </c>
      <c r="P222" s="180" t="str">
        <f t="shared" si="117"/>
        <v>-4.5 to 6</v>
      </c>
      <c r="Q222" s="180" t="str">
        <f t="shared" si="117"/>
        <v>6 to 16.5</v>
      </c>
      <c r="R222" s="180" t="str">
        <f t="shared" si="117"/>
        <v>16.5 to 27</v>
      </c>
      <c r="S222" s="180" t="str">
        <f t="shared" si="117"/>
        <v>27 to 37.5</v>
      </c>
      <c r="T222" s="180" t="str">
        <f t="shared" si="117"/>
        <v>37.5 to 48</v>
      </c>
      <c r="U222" s="180" t="str">
        <f t="shared" si="117"/>
        <v>48 to 58.5</v>
      </c>
      <c r="V222" s="180" t="str">
        <f t="shared" si="117"/>
        <v>58.5 to 69</v>
      </c>
      <c r="W222" s="180" t="str">
        <f t="shared" si="117"/>
        <v>69 to 79.5</v>
      </c>
      <c r="X222" s="180" t="str">
        <f t="shared" si="117"/>
        <v>79.5 to 90</v>
      </c>
      <c r="Y222" s="180" t="str">
        <f t="shared" si="117"/>
        <v>more than 90</v>
      </c>
      <c r="Z222" s="180" t="str">
        <f t="shared" si="117"/>
        <v/>
      </c>
      <c r="AA222" s="180" t="str">
        <f t="shared" si="117"/>
        <v/>
      </c>
      <c r="AB222" s="180" t="str">
        <f t="shared" si="117"/>
        <v/>
      </c>
      <c r="AC222" s="180" t="str">
        <f t="shared" si="117"/>
        <v/>
      </c>
      <c r="AD222" s="180" t="str">
        <f t="shared" si="117"/>
        <v/>
      </c>
      <c r="AE222" s="180" t="str">
        <f t="shared" si="117"/>
        <v/>
      </c>
      <c r="AF222" s="180" t="str">
        <f t="shared" si="117"/>
        <v/>
      </c>
      <c r="AG222" s="180" t="str">
        <f t="shared" si="117"/>
        <v/>
      </c>
      <c r="AH222" s="180" t="str">
        <f t="shared" si="117"/>
        <v/>
      </c>
      <c r="AI222" s="180" t="str">
        <f t="shared" si="117"/>
        <v/>
      </c>
      <c r="AJ222" s="180" t="str">
        <f t="shared" si="117"/>
        <v/>
      </c>
      <c r="AK222" s="180" t="str">
        <f t="shared" si="117"/>
        <v/>
      </c>
      <c r="AL222" s="180" t="str">
        <f t="shared" si="117"/>
        <v/>
      </c>
      <c r="AM222" s="180" t="str">
        <f t="shared" si="117"/>
        <v/>
      </c>
      <c r="AN222" s="180" t="str">
        <f t="shared" si="117"/>
        <v/>
      </c>
      <c r="AO222" s="180" t="str">
        <f t="shared" si="117"/>
        <v/>
      </c>
      <c r="AP222" s="180" t="str">
        <f t="shared" si="117"/>
        <v/>
      </c>
      <c r="AQ222" s="180" t="str">
        <f t="shared" si="117"/>
        <v/>
      </c>
      <c r="AR222" s="180" t="str">
        <f t="shared" si="117"/>
        <v/>
      </c>
      <c r="AS222" s="180" t="str">
        <f t="shared" si="117"/>
        <v/>
      </c>
    </row>
    <row r="223" spans="1:52" s="45" customFormat="1" x14ac:dyDescent="0.15">
      <c r="A223" s="45">
        <v>87</v>
      </c>
      <c r="B223" s="260"/>
      <c r="C223" s="261" t="str">
        <f>Tariff_Period &amp; " year reset period (Forecast = No risk case)"</f>
        <v>5 year reset period (Forecast = No risk case)</v>
      </c>
      <c r="D223" s="46" t="str">
        <f t="array" ref="D223:AS223">IF($D$221:$AS$221="","",IF(SUM('[1]Analysis - No risk'!$A$180:$IV$180)&lt;MIN($D$221:$AS$221),IF(COLUMN($D$224:$AS$224)=4,$D$224:$AS$224,""),IF(COLUMN()&lt;&gt;MATCH(SUM('[1]Analysis - No risk'!$A$180:$IV$180),$D$221:$AS$221,1)+4,"",$D$224:$AS$224)))</f>
        <v/>
      </c>
      <c r="E223" s="47" t="str">
        <v/>
      </c>
      <c r="F223" s="47" t="str">
        <v/>
      </c>
      <c r="G223" s="47" t="str">
        <v/>
      </c>
      <c r="H223" s="47" t="str">
        <v/>
      </c>
      <c r="I223" s="47" t="str">
        <v/>
      </c>
      <c r="J223" s="47" t="str">
        <v/>
      </c>
      <c r="K223" s="47" t="str">
        <v/>
      </c>
      <c r="L223" s="47" t="str">
        <v/>
      </c>
      <c r="M223" s="47" t="str">
        <v/>
      </c>
      <c r="N223" s="47" t="str">
        <v/>
      </c>
      <c r="O223" s="47" t="str">
        <v/>
      </c>
      <c r="P223" s="47">
        <v>14.000000000000002</v>
      </c>
      <c r="Q223" s="47" t="str">
        <v/>
      </c>
      <c r="R223" s="47" t="str">
        <v/>
      </c>
      <c r="S223" s="47" t="str">
        <v/>
      </c>
      <c r="T223" s="47" t="str">
        <v/>
      </c>
      <c r="U223" s="47" t="str">
        <v/>
      </c>
      <c r="V223" s="47" t="str">
        <v/>
      </c>
      <c r="W223" s="47" t="str">
        <v/>
      </c>
      <c r="X223" s="47" t="str">
        <v/>
      </c>
      <c r="Y223" s="47" t="str">
        <v/>
      </c>
      <c r="Z223" s="47" t="str">
        <v/>
      </c>
      <c r="AA223" s="47" t="str">
        <v/>
      </c>
      <c r="AB223" s="47" t="str">
        <v/>
      </c>
      <c r="AC223" s="47" t="str">
        <v/>
      </c>
      <c r="AD223" s="47" t="str">
        <v/>
      </c>
      <c r="AE223" s="47" t="str">
        <v/>
      </c>
      <c r="AF223" s="47" t="str">
        <v/>
      </c>
      <c r="AG223" s="47" t="str">
        <v/>
      </c>
      <c r="AH223" s="47" t="str">
        <v/>
      </c>
      <c r="AI223" s="47" t="str">
        <v/>
      </c>
      <c r="AJ223" s="47" t="str">
        <v/>
      </c>
      <c r="AK223" s="47" t="str">
        <v/>
      </c>
      <c r="AL223" s="47" t="str">
        <v/>
      </c>
      <c r="AM223" s="47" t="str">
        <v/>
      </c>
      <c r="AN223" s="47" t="str">
        <v/>
      </c>
      <c r="AO223" s="47" t="str">
        <v/>
      </c>
      <c r="AP223" s="47" t="str">
        <v/>
      </c>
      <c r="AQ223" s="47" t="str">
        <v/>
      </c>
      <c r="AR223" s="48" t="str">
        <v/>
      </c>
      <c r="AS223" s="45" t="str">
        <v/>
      </c>
    </row>
    <row r="224" spans="1:52" s="45" customFormat="1" x14ac:dyDescent="0.15">
      <c r="A224" s="45" t="s">
        <v>176</v>
      </c>
      <c r="B224" s="260"/>
      <c r="C224" s="261" t="str">
        <f>Tariff_Period &amp; " year reset period (Forecast = Risk case)"</f>
        <v>5 year reset period (Forecast = Risk case)</v>
      </c>
      <c r="D224" s="49">
        <f t="array" ref="D224:AS224">IF($D$221:$AS$221="","",IF(COLUMN($D$221:$AS$221)&gt;4+Contract_Length+1,"",TRANSPOSE(FREQUENCY(INDEX(SimResults,,1),$D$221:$AS$221))/'[1]Policy choices'!$T$5*100))</f>
        <v>0</v>
      </c>
      <c r="E224" s="50">
        <v>0.1</v>
      </c>
      <c r="F224" s="50">
        <v>0</v>
      </c>
      <c r="G224" s="50">
        <v>0.1</v>
      </c>
      <c r="H224" s="50">
        <v>0</v>
      </c>
      <c r="I224" s="50">
        <v>0.70000000000000007</v>
      </c>
      <c r="J224" s="50">
        <v>0.5</v>
      </c>
      <c r="K224" s="50">
        <v>2.5</v>
      </c>
      <c r="L224" s="50">
        <v>3.6999999999999997</v>
      </c>
      <c r="M224" s="50">
        <v>6.2</v>
      </c>
      <c r="N224" s="50">
        <v>8.6</v>
      </c>
      <c r="O224" s="50">
        <v>10.299999999999999</v>
      </c>
      <c r="P224" s="50">
        <v>14.000000000000002</v>
      </c>
      <c r="Q224" s="50">
        <v>14.000000000000002</v>
      </c>
      <c r="R224" s="50">
        <v>13.8</v>
      </c>
      <c r="S224" s="50">
        <v>11.3</v>
      </c>
      <c r="T224" s="50">
        <v>8.2000000000000011</v>
      </c>
      <c r="U224" s="50">
        <v>3.3000000000000003</v>
      </c>
      <c r="V224" s="50">
        <v>1.7999999999999998</v>
      </c>
      <c r="W224" s="50">
        <v>0.6</v>
      </c>
      <c r="X224" s="50">
        <v>0.3</v>
      </c>
      <c r="Y224" s="50" t="str">
        <v/>
      </c>
      <c r="Z224" s="50" t="str">
        <v/>
      </c>
      <c r="AA224" s="50" t="str">
        <v/>
      </c>
      <c r="AB224" s="50" t="str">
        <v/>
      </c>
      <c r="AC224" s="50" t="str">
        <v/>
      </c>
      <c r="AD224" s="50" t="str">
        <v/>
      </c>
      <c r="AE224" s="50" t="str">
        <v/>
      </c>
      <c r="AF224" s="50" t="str">
        <v/>
      </c>
      <c r="AG224" s="50" t="str">
        <v/>
      </c>
      <c r="AH224" s="50" t="str">
        <v/>
      </c>
      <c r="AI224" s="50" t="str">
        <v/>
      </c>
      <c r="AJ224" s="50" t="str">
        <v/>
      </c>
      <c r="AK224" s="50" t="str">
        <v/>
      </c>
      <c r="AL224" s="50" t="str">
        <v/>
      </c>
      <c r="AM224" s="50" t="str">
        <v/>
      </c>
      <c r="AN224" s="50" t="str">
        <v/>
      </c>
      <c r="AO224" s="50" t="str">
        <v/>
      </c>
      <c r="AP224" s="50" t="str">
        <v/>
      </c>
      <c r="AQ224" s="50" t="str">
        <v/>
      </c>
      <c r="AR224" s="51" t="str">
        <v/>
      </c>
      <c r="AS224" s="45" t="str">
        <v/>
      </c>
    </row>
    <row r="225" spans="4:19" s="43" customFormat="1" x14ac:dyDescent="0.15">
      <c r="D225" s="181"/>
      <c r="E225" s="294"/>
      <c r="F225" s="170"/>
      <c r="G225" s="170"/>
      <c r="H225" s="170"/>
      <c r="I225" s="170"/>
      <c r="J225" s="170"/>
      <c r="K225" s="170"/>
      <c r="L225" s="170"/>
      <c r="M225" s="170"/>
      <c r="N225" s="170"/>
    </row>
    <row r="226" spans="4:19" s="43" customFormat="1" ht="14" thickBot="1" x14ac:dyDescent="0.2">
      <c r="E226" s="170"/>
      <c r="F226" s="170"/>
      <c r="G226" s="170"/>
      <c r="H226" s="170"/>
      <c r="I226" s="170"/>
      <c r="J226" s="170"/>
      <c r="K226" s="170"/>
      <c r="L226" s="170"/>
      <c r="M226" s="170"/>
      <c r="N226" s="170"/>
      <c r="O226" s="170"/>
      <c r="P226" s="170"/>
      <c r="Q226" s="170"/>
      <c r="R226" s="170"/>
      <c r="S226" s="170"/>
    </row>
    <row r="227" spans="4:19" s="150" customFormat="1" x14ac:dyDescent="0.15">
      <c r="G227" s="182"/>
      <c r="I227" s="182"/>
    </row>
    <row r="228" spans="4:19" x14ac:dyDescent="0.15">
      <c r="G228" s="183"/>
    </row>
  </sheetData>
  <conditionalFormatting sqref="D101:AR104 D21:AR22 D24:AR25 E29:AR30 E75:AR77 E81:AR83 E85:AR87 D216:AR216 E149:AR149 E164:AR169 D11:AR11 E114:AR115 E117:AR119 E190:AR191 E151:AR152 E154:AR155 E160:AR161 E172:AR173 E178:AR179 E121:AR123 E181:AR182 D109:AR111 D129 E131:AR133 D133 E127:AR129 D136:AR137 E141:AR142 E144:AR145 E106:AR107 E187:AR188 D201:AR203 D205:AR207 D197:AR198 D211:AR213 D4:AR6 D8:AR9 D14:AR15 D92:AR93 D96:AR99">
    <cfRule type="expression" dxfId="8" priority="1" stopIfTrue="1">
      <formula>D$2=""</formula>
    </cfRule>
    <cfRule type="expression" dxfId="7" priority="2" stopIfTrue="1">
      <formula>D$2=Contract_Length</formula>
    </cfRule>
  </conditionalFormatting>
  <conditionalFormatting sqref="E33:AR73">
    <cfRule type="expression" dxfId="6" priority="3" stopIfTrue="1">
      <formula>E$2=""</formula>
    </cfRule>
    <cfRule type="expression" dxfId="5" priority="4" stopIfTrue="1">
      <formula>E33=0</formula>
    </cfRule>
  </conditionalFormatting>
  <conditionalFormatting sqref="BK219:IV219">
    <cfRule type="expression" dxfId="4" priority="5" stopIfTrue="1">
      <formula>BK$25=""</formula>
    </cfRule>
    <cfRule type="expression" dxfId="3" priority="6" stopIfTrue="1">
      <formula>BK$25=Ch_FinRange</formula>
    </cfRule>
  </conditionalFormatting>
  <conditionalFormatting sqref="D223:AS224">
    <cfRule type="expression" dxfId="2" priority="7" stopIfTrue="1">
      <formula>COLUMN(D$2)-4&gt;Contract_Length+1</formula>
    </cfRule>
    <cfRule type="expression" dxfId="1" priority="8" stopIfTrue="1">
      <formula>COLUMN(D$2)-4=Contract_Length+1</formula>
    </cfRule>
  </conditionalFormatting>
  <conditionalFormatting sqref="D33:D73">
    <cfRule type="cellIs" dxfId="0" priority="9" stopIfTrue="1" operator="equal">
      <formula>0</formula>
    </cfRule>
  </conditionalFormatting>
  <pageMargins left="0.7" right="0.7" top="0.75" bottom="0.75" header="0.3" footer="0.3"/>
  <pageSetup paperSize="132" orientation="portrait" horizontalDpi="300" verticalDpi="300"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dimension ref="A1:KN74"/>
  <sheetViews>
    <sheetView topLeftCell="CK1" zoomScale="90" zoomScaleNormal="90" workbookViewId="0">
      <selection activeCell="CR8" sqref="CR8"/>
    </sheetView>
  </sheetViews>
  <sheetFormatPr baseColWidth="10" defaultColWidth="8.83203125" defaultRowHeight="13" x14ac:dyDescent="0.15"/>
  <cols>
    <col min="1" max="1" width="9" bestFit="1" customWidth="1"/>
    <col min="2" max="8" width="15.6640625" customWidth="1"/>
    <col min="9" max="9" width="16.6640625" bestFit="1" customWidth="1"/>
    <col min="10" max="42" width="15.6640625" customWidth="1"/>
    <col min="43" max="43" width="23" bestFit="1" customWidth="1"/>
    <col min="44" max="201" width="15.6640625" customWidth="1"/>
    <col min="202" max="203" width="9" bestFit="1" customWidth="1"/>
    <col min="204" max="204" width="9.6640625" bestFit="1" customWidth="1"/>
    <col min="205" max="300" width="9" bestFit="1" customWidth="1"/>
  </cols>
  <sheetData>
    <row r="1" spans="1:201" x14ac:dyDescent="0.15">
      <c r="A1" s="4" t="b">
        <v>1</v>
      </c>
      <c r="B1" s="5">
        <v>1</v>
      </c>
      <c r="C1" s="5">
        <f>B1+1</f>
        <v>2</v>
      </c>
      <c r="D1" s="5">
        <f t="shared" ref="D1:I1" si="0">C1+1</f>
        <v>3</v>
      </c>
      <c r="E1" s="5">
        <f t="shared" si="0"/>
        <v>4</v>
      </c>
      <c r="F1" s="5">
        <f t="shared" si="0"/>
        <v>5</v>
      </c>
      <c r="G1" s="5">
        <f t="shared" si="0"/>
        <v>6</v>
      </c>
      <c r="H1" s="5">
        <f t="shared" si="0"/>
        <v>7</v>
      </c>
      <c r="I1" s="5">
        <f t="shared" si="0"/>
        <v>8</v>
      </c>
      <c r="J1" s="5">
        <f>I1+1</f>
        <v>9</v>
      </c>
      <c r="K1" s="5">
        <f t="shared" ref="K1:BV1" si="1">J1+1</f>
        <v>10</v>
      </c>
      <c r="L1" s="5">
        <f t="shared" si="1"/>
        <v>11</v>
      </c>
      <c r="M1" s="5">
        <f t="shared" si="1"/>
        <v>12</v>
      </c>
      <c r="N1" s="5">
        <f t="shared" si="1"/>
        <v>13</v>
      </c>
      <c r="O1" s="5">
        <f t="shared" si="1"/>
        <v>14</v>
      </c>
      <c r="P1" s="5">
        <f t="shared" si="1"/>
        <v>15</v>
      </c>
      <c r="Q1" s="5">
        <f t="shared" si="1"/>
        <v>16</v>
      </c>
      <c r="R1" s="5">
        <f t="shared" si="1"/>
        <v>17</v>
      </c>
      <c r="S1" s="5">
        <f t="shared" si="1"/>
        <v>18</v>
      </c>
      <c r="T1" s="5">
        <f t="shared" si="1"/>
        <v>19</v>
      </c>
      <c r="U1" s="5">
        <f t="shared" si="1"/>
        <v>20</v>
      </c>
      <c r="V1" s="5">
        <f t="shared" si="1"/>
        <v>21</v>
      </c>
      <c r="W1" s="5">
        <f t="shared" si="1"/>
        <v>22</v>
      </c>
      <c r="X1" s="5">
        <f t="shared" si="1"/>
        <v>23</v>
      </c>
      <c r="Y1" s="5">
        <f t="shared" si="1"/>
        <v>24</v>
      </c>
      <c r="Z1" s="5">
        <f t="shared" si="1"/>
        <v>25</v>
      </c>
      <c r="AA1" s="5">
        <f t="shared" si="1"/>
        <v>26</v>
      </c>
      <c r="AB1" s="5">
        <f t="shared" si="1"/>
        <v>27</v>
      </c>
      <c r="AC1" s="5">
        <f t="shared" si="1"/>
        <v>28</v>
      </c>
      <c r="AD1" s="5">
        <f t="shared" si="1"/>
        <v>29</v>
      </c>
      <c r="AE1" s="5">
        <f t="shared" si="1"/>
        <v>30</v>
      </c>
      <c r="AF1" s="5">
        <f t="shared" si="1"/>
        <v>31</v>
      </c>
      <c r="AG1" s="5">
        <f t="shared" si="1"/>
        <v>32</v>
      </c>
      <c r="AH1" s="5">
        <f t="shared" si="1"/>
        <v>33</v>
      </c>
      <c r="AI1" s="5">
        <f t="shared" si="1"/>
        <v>34</v>
      </c>
      <c r="AJ1" s="5">
        <f t="shared" si="1"/>
        <v>35</v>
      </c>
      <c r="AK1" s="5">
        <f t="shared" si="1"/>
        <v>36</v>
      </c>
      <c r="AL1" s="5">
        <f t="shared" si="1"/>
        <v>37</v>
      </c>
      <c r="AM1" s="5">
        <f t="shared" si="1"/>
        <v>38</v>
      </c>
      <c r="AN1" s="5">
        <f t="shared" si="1"/>
        <v>39</v>
      </c>
      <c r="AO1" s="5">
        <f t="shared" si="1"/>
        <v>40</v>
      </c>
      <c r="AP1" s="5">
        <f t="shared" si="1"/>
        <v>41</v>
      </c>
      <c r="AQ1" s="5">
        <f t="shared" si="1"/>
        <v>42</v>
      </c>
      <c r="AR1" s="5">
        <f t="shared" si="1"/>
        <v>43</v>
      </c>
      <c r="AS1" s="5">
        <f t="shared" si="1"/>
        <v>44</v>
      </c>
      <c r="AT1" s="5">
        <f t="shared" si="1"/>
        <v>45</v>
      </c>
      <c r="AU1" s="5">
        <f t="shared" si="1"/>
        <v>46</v>
      </c>
      <c r="AV1" s="5">
        <f t="shared" si="1"/>
        <v>47</v>
      </c>
      <c r="AW1" s="5">
        <f t="shared" si="1"/>
        <v>48</v>
      </c>
      <c r="AX1" s="5">
        <f t="shared" si="1"/>
        <v>49</v>
      </c>
      <c r="AY1" s="5">
        <f t="shared" si="1"/>
        <v>50</v>
      </c>
      <c r="AZ1" s="5">
        <f t="shared" si="1"/>
        <v>51</v>
      </c>
      <c r="BA1" s="5">
        <f t="shared" si="1"/>
        <v>52</v>
      </c>
      <c r="BB1" s="5">
        <f t="shared" si="1"/>
        <v>53</v>
      </c>
      <c r="BC1" s="5">
        <f t="shared" si="1"/>
        <v>54</v>
      </c>
      <c r="BD1" s="5">
        <f t="shared" si="1"/>
        <v>55</v>
      </c>
      <c r="BE1" s="5">
        <f t="shared" si="1"/>
        <v>56</v>
      </c>
      <c r="BF1" s="5">
        <f t="shared" si="1"/>
        <v>57</v>
      </c>
      <c r="BG1" s="5">
        <f t="shared" si="1"/>
        <v>58</v>
      </c>
      <c r="BH1" s="5">
        <f t="shared" si="1"/>
        <v>59</v>
      </c>
      <c r="BI1" s="5">
        <f t="shared" si="1"/>
        <v>60</v>
      </c>
      <c r="BJ1" s="5">
        <f t="shared" si="1"/>
        <v>61</v>
      </c>
      <c r="BK1" s="5">
        <f t="shared" si="1"/>
        <v>62</v>
      </c>
      <c r="BL1" s="5">
        <f t="shared" si="1"/>
        <v>63</v>
      </c>
      <c r="BM1" s="5">
        <f t="shared" si="1"/>
        <v>64</v>
      </c>
      <c r="BN1" s="5">
        <f t="shared" si="1"/>
        <v>65</v>
      </c>
      <c r="BO1" s="5">
        <f t="shared" si="1"/>
        <v>66</v>
      </c>
      <c r="BP1" s="5">
        <f t="shared" si="1"/>
        <v>67</v>
      </c>
      <c r="BQ1" s="5">
        <f t="shared" si="1"/>
        <v>68</v>
      </c>
      <c r="BR1" s="5">
        <f t="shared" si="1"/>
        <v>69</v>
      </c>
      <c r="BS1" s="5">
        <f t="shared" si="1"/>
        <v>70</v>
      </c>
      <c r="BT1" s="5">
        <f t="shared" si="1"/>
        <v>71</v>
      </c>
      <c r="BU1" s="5">
        <f t="shared" si="1"/>
        <v>72</v>
      </c>
      <c r="BV1" s="5">
        <f t="shared" si="1"/>
        <v>73</v>
      </c>
      <c r="BW1" s="5">
        <f t="shared" ref="BW1:CR1" si="2">BV1+1</f>
        <v>74</v>
      </c>
      <c r="BX1" s="5">
        <f t="shared" si="2"/>
        <v>75</v>
      </c>
      <c r="BY1" s="5">
        <f t="shared" si="2"/>
        <v>76</v>
      </c>
      <c r="BZ1" s="5">
        <f t="shared" si="2"/>
        <v>77</v>
      </c>
      <c r="CA1" s="5">
        <f t="shared" si="2"/>
        <v>78</v>
      </c>
      <c r="CB1" s="5">
        <f t="shared" si="2"/>
        <v>79</v>
      </c>
      <c r="CC1" s="5">
        <f t="shared" si="2"/>
        <v>80</v>
      </c>
      <c r="CD1" s="5">
        <f t="shared" si="2"/>
        <v>81</v>
      </c>
      <c r="CE1" s="5">
        <f t="shared" si="2"/>
        <v>82</v>
      </c>
      <c r="CF1" s="5">
        <f t="shared" si="2"/>
        <v>83</v>
      </c>
      <c r="CG1" s="5">
        <f t="shared" si="2"/>
        <v>84</v>
      </c>
      <c r="CH1" s="5">
        <f t="shared" si="2"/>
        <v>85</v>
      </c>
      <c r="CI1" s="5">
        <f t="shared" si="2"/>
        <v>86</v>
      </c>
      <c r="CJ1" s="5">
        <f t="shared" si="2"/>
        <v>87</v>
      </c>
      <c r="CK1" s="5">
        <f t="shared" si="2"/>
        <v>88</v>
      </c>
      <c r="CL1" s="5">
        <f t="shared" si="2"/>
        <v>89</v>
      </c>
      <c r="CM1" s="5">
        <f t="shared" si="2"/>
        <v>90</v>
      </c>
      <c r="CN1" s="5">
        <f t="shared" si="2"/>
        <v>91</v>
      </c>
      <c r="CO1" s="5">
        <f t="shared" si="2"/>
        <v>92</v>
      </c>
      <c r="CP1" s="5">
        <f t="shared" si="2"/>
        <v>93</v>
      </c>
      <c r="CQ1" s="5">
        <f t="shared" si="2"/>
        <v>94</v>
      </c>
      <c r="CR1" s="5">
        <f t="shared" si="2"/>
        <v>95</v>
      </c>
      <c r="CS1" s="5">
        <f t="shared" ref="CS1" si="3">CR1+1</f>
        <v>96</v>
      </c>
      <c r="CT1" s="5">
        <f t="shared" ref="CT1" si="4">CS1+1</f>
        <v>97</v>
      </c>
      <c r="CU1" s="5">
        <f t="shared" ref="CU1" si="5">CT1+1</f>
        <v>98</v>
      </c>
      <c r="CV1" s="5">
        <f t="shared" ref="CV1" si="6">CU1+1</f>
        <v>99</v>
      </c>
      <c r="CW1" s="5">
        <f t="shared" ref="CW1" si="7">CV1+1</f>
        <v>100</v>
      </c>
      <c r="CX1" s="5">
        <f t="shared" ref="CX1" si="8">CW1+1</f>
        <v>101</v>
      </c>
      <c r="CY1" s="5">
        <f t="shared" ref="CY1" si="9">CX1+1</f>
        <v>102</v>
      </c>
      <c r="CZ1" s="5">
        <f t="shared" ref="CZ1" si="10">CY1+1</f>
        <v>103</v>
      </c>
      <c r="DA1" s="5">
        <f t="shared" ref="DA1" si="11">CZ1+1</f>
        <v>104</v>
      </c>
      <c r="DB1" s="5">
        <f t="shared" ref="DB1" si="12">DA1+1</f>
        <v>105</v>
      </c>
      <c r="DC1" s="5">
        <f t="shared" ref="DC1" si="13">DB1+1</f>
        <v>106</v>
      </c>
      <c r="DD1" s="5">
        <f t="shared" ref="DD1" si="14">DC1+1</f>
        <v>107</v>
      </c>
      <c r="DE1" s="5">
        <f t="shared" ref="DE1" si="15">DD1+1</f>
        <v>108</v>
      </c>
      <c r="DF1" s="5">
        <f t="shared" ref="DF1" si="16">DE1+1</f>
        <v>109</v>
      </c>
      <c r="DG1" s="5">
        <f t="shared" ref="DG1" si="17">DF1+1</f>
        <v>110</v>
      </c>
      <c r="DH1" s="5">
        <f t="shared" ref="DH1" si="18">DG1+1</f>
        <v>111</v>
      </c>
      <c r="DI1" s="5">
        <f t="shared" ref="DI1" si="19">DH1+1</f>
        <v>112</v>
      </c>
      <c r="DJ1" s="5">
        <f t="shared" ref="DJ1" si="20">DI1+1</f>
        <v>113</v>
      </c>
      <c r="DK1" s="5">
        <f t="shared" ref="DK1" si="21">DJ1+1</f>
        <v>114</v>
      </c>
      <c r="DL1" s="5">
        <f t="shared" ref="DL1" si="22">DK1+1</f>
        <v>115</v>
      </c>
      <c r="DM1" s="5">
        <f t="shared" ref="DM1" si="23">DL1+1</f>
        <v>116</v>
      </c>
      <c r="DN1" s="5">
        <f t="shared" ref="DN1" si="24">DM1+1</f>
        <v>117</v>
      </c>
      <c r="DO1" s="5">
        <f t="shared" ref="DO1" si="25">DN1+1</f>
        <v>118</v>
      </c>
      <c r="DP1" s="5">
        <f t="shared" ref="DP1" si="26">DO1+1</f>
        <v>119</v>
      </c>
      <c r="DQ1" s="5">
        <f t="shared" ref="DQ1" si="27">DP1+1</f>
        <v>120</v>
      </c>
      <c r="DR1" s="5">
        <f t="shared" ref="DR1" si="28">DQ1+1</f>
        <v>121</v>
      </c>
      <c r="DS1" s="5">
        <f t="shared" ref="DS1" si="29">DR1+1</f>
        <v>122</v>
      </c>
      <c r="DT1" s="5">
        <f t="shared" ref="DT1" si="30">DS1+1</f>
        <v>123</v>
      </c>
      <c r="DU1" s="5">
        <f t="shared" ref="DU1" si="31">DT1+1</f>
        <v>124</v>
      </c>
      <c r="DV1" s="5">
        <f t="shared" ref="DV1" si="32">DU1+1</f>
        <v>125</v>
      </c>
      <c r="DW1" s="5">
        <f t="shared" ref="DW1" si="33">DV1+1</f>
        <v>126</v>
      </c>
      <c r="DX1" s="5">
        <f t="shared" ref="DX1" si="34">DW1+1</f>
        <v>127</v>
      </c>
      <c r="DY1" s="5">
        <f t="shared" ref="DY1" si="35">DX1+1</f>
        <v>128</v>
      </c>
      <c r="DZ1" s="5">
        <f t="shared" ref="DZ1" si="36">DY1+1</f>
        <v>129</v>
      </c>
      <c r="EA1" s="5">
        <f t="shared" ref="EA1" si="37">DZ1+1</f>
        <v>130</v>
      </c>
      <c r="EB1" s="5">
        <f t="shared" ref="EB1" si="38">EA1+1</f>
        <v>131</v>
      </c>
      <c r="EC1" s="5">
        <f t="shared" ref="EC1" si="39">EB1+1</f>
        <v>132</v>
      </c>
      <c r="ED1" s="5">
        <f t="shared" ref="ED1" si="40">EC1+1</f>
        <v>133</v>
      </c>
      <c r="EE1" s="5">
        <f t="shared" ref="EE1" si="41">ED1+1</f>
        <v>134</v>
      </c>
      <c r="EF1" s="5">
        <f t="shared" ref="EF1" si="42">EE1+1</f>
        <v>135</v>
      </c>
      <c r="EG1" s="5">
        <f t="shared" ref="EG1" si="43">EF1+1</f>
        <v>136</v>
      </c>
      <c r="EH1" s="5">
        <f t="shared" ref="EH1" si="44">EG1+1</f>
        <v>137</v>
      </c>
      <c r="EI1" s="5">
        <f t="shared" ref="EI1" si="45">EH1+1</f>
        <v>138</v>
      </c>
      <c r="EJ1" s="5">
        <f t="shared" ref="EJ1" si="46">EI1+1</f>
        <v>139</v>
      </c>
      <c r="EK1" s="5">
        <f t="shared" ref="EK1" si="47">EJ1+1</f>
        <v>140</v>
      </c>
      <c r="EL1" s="5">
        <f t="shared" ref="EL1" si="48">EK1+1</f>
        <v>141</v>
      </c>
      <c r="EM1" s="5">
        <f t="shared" ref="EM1" si="49">EL1+1</f>
        <v>142</v>
      </c>
      <c r="EN1" s="5">
        <f t="shared" ref="EN1" si="50">EM1+1</f>
        <v>143</v>
      </c>
      <c r="EO1" s="5">
        <f t="shared" ref="EO1" si="51">EN1+1</f>
        <v>144</v>
      </c>
      <c r="EP1" s="5">
        <f t="shared" ref="EP1" si="52">EO1+1</f>
        <v>145</v>
      </c>
      <c r="EQ1" s="5">
        <f t="shared" ref="EQ1" si="53">EP1+1</f>
        <v>146</v>
      </c>
      <c r="ER1" s="5">
        <f t="shared" ref="ER1" si="54">EQ1+1</f>
        <v>147</v>
      </c>
      <c r="ES1" s="5">
        <f t="shared" ref="ES1" si="55">ER1+1</f>
        <v>148</v>
      </c>
      <c r="ET1" s="5">
        <f t="shared" ref="ET1" si="56">ES1+1</f>
        <v>149</v>
      </c>
      <c r="EU1" s="5">
        <f t="shared" ref="EU1" si="57">ET1+1</f>
        <v>150</v>
      </c>
      <c r="EV1" s="5">
        <f t="shared" ref="EV1" si="58">EU1+1</f>
        <v>151</v>
      </c>
      <c r="EW1" s="5">
        <f t="shared" ref="EW1" si="59">EV1+1</f>
        <v>152</v>
      </c>
      <c r="EX1" s="5">
        <f t="shared" ref="EX1" si="60">EW1+1</f>
        <v>153</v>
      </c>
      <c r="EY1" s="5">
        <f t="shared" ref="EY1" si="61">EX1+1</f>
        <v>154</v>
      </c>
      <c r="EZ1" s="5">
        <f t="shared" ref="EZ1" si="62">EY1+1</f>
        <v>155</v>
      </c>
      <c r="FA1" s="5">
        <f t="shared" ref="FA1" si="63">EZ1+1</f>
        <v>156</v>
      </c>
      <c r="FB1" s="5">
        <f t="shared" ref="FB1" si="64">FA1+1</f>
        <v>157</v>
      </c>
      <c r="FC1" s="5">
        <f t="shared" ref="FC1" si="65">FB1+1</f>
        <v>158</v>
      </c>
      <c r="FD1" s="5">
        <f t="shared" ref="FD1" si="66">FC1+1</f>
        <v>159</v>
      </c>
      <c r="FE1" s="5">
        <f t="shared" ref="FE1" si="67">FD1+1</f>
        <v>160</v>
      </c>
      <c r="FF1" s="5">
        <f t="shared" ref="FF1" si="68">FE1+1</f>
        <v>161</v>
      </c>
      <c r="FG1" s="5">
        <f t="shared" ref="FG1" si="69">FF1+1</f>
        <v>162</v>
      </c>
      <c r="FH1" s="5">
        <f t="shared" ref="FH1" si="70">FG1+1</f>
        <v>163</v>
      </c>
      <c r="FI1" s="5">
        <f t="shared" ref="FI1" si="71">FH1+1</f>
        <v>164</v>
      </c>
      <c r="FJ1" s="5">
        <f t="shared" ref="FJ1" si="72">FI1+1</f>
        <v>165</v>
      </c>
      <c r="FK1" s="5">
        <f t="shared" ref="FK1" si="73">FJ1+1</f>
        <v>166</v>
      </c>
      <c r="FL1" s="5">
        <f t="shared" ref="FL1" si="74">FK1+1</f>
        <v>167</v>
      </c>
      <c r="FM1" s="5">
        <f t="shared" ref="FM1" si="75">FL1+1</f>
        <v>168</v>
      </c>
      <c r="FN1" s="5">
        <f t="shared" ref="FN1" si="76">FM1+1</f>
        <v>169</v>
      </c>
      <c r="FO1" s="5">
        <f t="shared" ref="FO1" si="77">FN1+1</f>
        <v>170</v>
      </c>
      <c r="FP1" s="5">
        <f t="shared" ref="FP1" si="78">FO1+1</f>
        <v>171</v>
      </c>
      <c r="FQ1" s="5">
        <f t="shared" ref="FQ1" si="79">FP1+1</f>
        <v>172</v>
      </c>
      <c r="FR1" s="5">
        <f t="shared" ref="FR1" si="80">FQ1+1</f>
        <v>173</v>
      </c>
      <c r="FS1" s="5">
        <f t="shared" ref="FS1" si="81">FR1+1</f>
        <v>174</v>
      </c>
      <c r="FT1" s="5">
        <f t="shared" ref="FT1" si="82">FS1+1</f>
        <v>175</v>
      </c>
      <c r="FU1" s="5">
        <f t="shared" ref="FU1" si="83">FT1+1</f>
        <v>176</v>
      </c>
      <c r="FV1" s="5">
        <f t="shared" ref="FV1" si="84">FU1+1</f>
        <v>177</v>
      </c>
      <c r="FW1" s="5">
        <f t="shared" ref="FW1" si="85">FV1+1</f>
        <v>178</v>
      </c>
      <c r="FX1" s="5">
        <f t="shared" ref="FX1" si="86">FW1+1</f>
        <v>179</v>
      </c>
      <c r="FY1" s="5">
        <f t="shared" ref="FY1" si="87">FX1+1</f>
        <v>180</v>
      </c>
      <c r="FZ1" s="5">
        <f t="shared" ref="FZ1" si="88">FY1+1</f>
        <v>181</v>
      </c>
      <c r="GA1" s="5">
        <f t="shared" ref="GA1" si="89">FZ1+1</f>
        <v>182</v>
      </c>
      <c r="GB1" s="5">
        <f t="shared" ref="GB1" si="90">GA1+1</f>
        <v>183</v>
      </c>
      <c r="GC1" s="5">
        <f t="shared" ref="GC1" si="91">GB1+1</f>
        <v>184</v>
      </c>
      <c r="GD1" s="5">
        <f t="shared" ref="GD1" si="92">GC1+1</f>
        <v>185</v>
      </c>
      <c r="GE1" s="5">
        <f t="shared" ref="GE1" si="93">GD1+1</f>
        <v>186</v>
      </c>
      <c r="GF1" s="5">
        <f t="shared" ref="GF1" si="94">GE1+1</f>
        <v>187</v>
      </c>
      <c r="GG1" s="5">
        <f t="shared" ref="GG1" si="95">GF1+1</f>
        <v>188</v>
      </c>
      <c r="GH1" s="5">
        <f t="shared" ref="GH1" si="96">GG1+1</f>
        <v>189</v>
      </c>
      <c r="GI1" s="5">
        <f t="shared" ref="GI1" si="97">GH1+1</f>
        <v>190</v>
      </c>
      <c r="GJ1" s="5">
        <f t="shared" ref="GJ1" si="98">GI1+1</f>
        <v>191</v>
      </c>
      <c r="GK1" s="5">
        <f t="shared" ref="GK1" si="99">GJ1+1</f>
        <v>192</v>
      </c>
      <c r="GL1" s="5">
        <f t="shared" ref="GL1" si="100">GK1+1</f>
        <v>193</v>
      </c>
      <c r="GM1" s="5">
        <f t="shared" ref="GM1" si="101">GL1+1</f>
        <v>194</v>
      </c>
      <c r="GN1" s="5">
        <f t="shared" ref="GN1" si="102">GM1+1</f>
        <v>195</v>
      </c>
      <c r="GO1" s="5">
        <f t="shared" ref="GO1" si="103">GN1+1</f>
        <v>196</v>
      </c>
      <c r="GP1" s="5">
        <f t="shared" ref="GP1" si="104">GO1+1</f>
        <v>197</v>
      </c>
      <c r="GQ1" s="5">
        <f t="shared" ref="GQ1" si="105">GP1+1</f>
        <v>198</v>
      </c>
      <c r="GR1" s="5">
        <f t="shared" ref="GR1" si="106">GQ1+1</f>
        <v>199</v>
      </c>
      <c r="GS1" s="5">
        <f t="shared" ref="GS1" si="107">GR1+1</f>
        <v>200</v>
      </c>
    </row>
    <row r="2" spans="1:201" ht="154" x14ac:dyDescent="0.15">
      <c r="B2" s="2" t="str">
        <f t="array" ref="B2:CZ25">IF(A1=TRUE,WATER_UTILITY_SAMPLING_FUNC(INPUTS!B1:B65,1),"-")</f>
        <v>PERIODS</v>
      </c>
      <c r="C2" s="2" t="str">
        <v>I) ECONOMIC FACTORS: INFLATION</v>
      </c>
      <c r="D2" s="2" t="str">
        <v>I) ECONOMIC FACTORS: CONSUMER PRICE INDEX</v>
      </c>
      <c r="E2" s="2" t="str">
        <v>I) ECONOMIC FACTORS: DEFLATION FACTOR</v>
      </c>
      <c r="F2" s="2" t="str">
        <v>I) ECONOMIC FACTORS: REAL EXCHANGE RATE</v>
      </c>
      <c r="G2" s="2" t="str">
        <v>I) ECONOMIC FACTORS: NOMINAL EXCHANGE RATE</v>
      </c>
      <c r="H2" s="2" t="str">
        <v>I) ECONOMIC FACTORS: DISCOUNT FACTOR</v>
      </c>
      <c r="I2" s="2" t="str">
        <v>II) CONSUMPTION: POTENTIAL CONNECTIONS</v>
      </c>
      <c r="J2" s="2" t="str">
        <v>II) CONSUMPTION: COVERAGE</v>
      </c>
      <c r="K2" s="2" t="str">
        <v>II) CONSUMPTION: CONNECTIONS</v>
      </c>
      <c r="L2" s="2" t="str">
        <v>II) CONSUMPTION: NEW CONNECTIONS</v>
      </c>
      <c r="M2" s="2" t="str">
        <v>II) CONSUMPTION: DEMAND (L/CONNECTION/DAY)</v>
      </c>
      <c r="N2" s="2" t="str">
        <v>II) CONSUMPTION: TOTAL DEMAND (M3)</v>
      </c>
      <c r="O2" s="2" t="str">
        <v>II) CONSUMPTION: NON-REVENUE WATER</v>
      </c>
      <c r="P2" s="2" t="str">
        <v>II) CONSUMPTION: COLLECTION RATE FORECAST</v>
      </c>
      <c r="Q2" s="2" t="str">
        <v>III) COSTS &amp; SUBSIDIES: OPERATING FIXED COSTS - DOMESTIC DENOMINATION</v>
      </c>
      <c r="R2" s="2" t="str">
        <v>III) COSTS &amp; SUBSIDIES: OPERATING FIXED COSTS - FOREIGN DENOMINATION</v>
      </c>
      <c r="S2" s="2" t="str">
        <v>III) COSTS &amp; SUBSIDIES: OPERATING VARIABLE COSTS - DOMESTIC DENOMINATION</v>
      </c>
      <c r="T2" s="2" t="str">
        <v>III) COSTS &amp; SUBSIDIES: OPERATING VARIABLE COSTS - FOREIGN DENOMINATION</v>
      </c>
      <c r="U2" s="2" t="str">
        <v>IV) FINANCING COSTS: COVERAGE EXTENSION COSTS</v>
      </c>
      <c r="V2" s="2" t="str">
        <v>IV) FINANCING COSTS: AMOUNT FINANCED BY DEBT</v>
      </c>
      <c r="W2" s="2" t="str">
        <v>IV) FINANCING COSTS: TOTAL LOAN REPAYMENT (FOREIGN CURRENCY)</v>
      </c>
      <c r="X2" s="2" t="str">
        <v>IV) FINANCING COSTS: OUTSTANDING PRINCIPAL</v>
      </c>
      <c r="Y2" s="2" t="str">
        <v>IV) FINANCING COSTS: PRINCIPAL REPAYMENT</v>
      </c>
      <c r="Z2" s="2" t="str">
        <v>IV) FINANCING COSTS: INTEREST PAYMENT</v>
      </c>
      <c r="AA2" s="2" t="str">
        <v>IV) FINANCING COSTS: OPERATOR - OUTSTANDING PRINCIPAL</v>
      </c>
      <c r="AB2" s="2" t="str">
        <v>IV) FINANCING COSTS: OPERATOR - PRINCIPAL REPAYMENT</v>
      </c>
      <c r="AC2" s="2" t="str">
        <v>IV) FINANCING COSTS: OPERATOR - INTEREST PAYMENT</v>
      </c>
      <c r="AD2" s="2" t="str">
        <v>IV) FINANCING COSTS: CONTRACTING AUTHORITY - OUTSTANDING PRINCIPAL</v>
      </c>
      <c r="AE2" s="2" t="str">
        <v>IV) FINANCING COSTS: CONTRACTING AUTHORITY - PRINCIPAL REPAYMENT</v>
      </c>
      <c r="AF2" s="2" t="str">
        <v>IV) FINANCING COSTS: CONTRACTING AUTHORITY - INTEREST PAYMENT</v>
      </c>
      <c r="AG2" s="2" t="str">
        <v>V) TARIFF RESET CALCULATIONS: EXPECTED INFLATION RATE - FORECAST USED FOR TARIFF SETTING</v>
      </c>
      <c r="AH2" s="2" t="str">
        <v>V) TARIFF RESET CALCULATIONS: EXPECTED INFLATION RATE - DEFLATION FACTOR</v>
      </c>
      <c r="AI2" s="2" t="str">
        <v>V) TARIFF RESET CALCULATIONS: ASSET BASE (NOMINAL) - INITIAL EXISTING ASSET BASE</v>
      </c>
      <c r="AJ2" s="2" t="str">
        <v>V) TARIFF RESET CALCULATIONS: EXISTING ASSET BASE (NOMINAL) - DEPRECIATION</v>
      </c>
      <c r="AK2" s="2" t="str">
        <v>V) TARIFF RESET CALCULATIONS: ASSET BASE (NOMINAL) - MAINTENANCE COSTS</v>
      </c>
      <c r="AL2" s="2" t="str">
        <v>V) TARIFF RESET CALCULATIONS: ASSET BASE (NOMINAL) - FINAL EXISTING ASSET BASE</v>
      </c>
      <c r="AM2" s="2" t="str">
        <v>V) TARIFF RESET CALCULATIONS: ASSET BASE (NOMINAL) - INITIAL NEW ASSET BASE</v>
      </c>
      <c r="AN2" s="2" t="str">
        <v>V) TARIFF RESET CALCULATIONS: ASSET BASE (NOMINAL) - INVESTMENT</v>
      </c>
      <c r="AO2" s="2" t="str">
        <v>V) TARIFF RESET CALCULATIONS: NEW ASSET BASE (NOMINAL) - DEPRECIATION</v>
      </c>
      <c r="AP2" s="2" t="str">
        <v>V) TARIFF RESET CALCULATIONS: ASSET BASE (NOMINAL) - FINAL NEW ASSET BASE</v>
      </c>
      <c r="AQ2" s="2" t="str">
        <v>V) TARIFF RESET CALCULATIONS: DEMAND - NO RESET</v>
      </c>
      <c r="AR2" s="2" t="str">
        <v>V) TARIFF RESET CALCULATIONS: DEMAND - FULL RESET</v>
      </c>
      <c r="AS2" s="2" t="str">
        <v>V) TARIFF RESET CALCULATIONS: DEMAND - DISCOUNTED DEMAND</v>
      </c>
      <c r="AT2" s="2" t="str">
        <v>V) TARIFF RESET CALCULATIONS: DEMAND - CUMULATIVE DISCOUNTED DEMAND</v>
      </c>
      <c r="AU2" s="2" t="str">
        <v>V) TARIFF RESET CALCULATIONS: DEMAND - 5 YEAR DISCOUNTED DEMAND</v>
      </c>
      <c r="AV2" s="2" t="str">
        <v>V) TARIFF RESET CALCULATIONS: RETURN ON NEW ASSETS (REAL) - CONTRACTING AUTHORITY</v>
      </c>
      <c r="AW2" s="2" t="str">
        <v>V) TARIFF RESET CALCULATIONS: RETURN ON NEW ASSETS (REAL) - OPERATOR</v>
      </c>
      <c r="AX2" s="2" t="str">
        <v>V) TARIFF RESET CALCULATIONS: DEPRECIATION (REAL) - CONTRACTING AUTHORITY</v>
      </c>
      <c r="AY2" s="2" t="str">
        <v>V) TARIFF RESET CALCULATIONS: DEPRECIATION (REAL) - OPERATOR</v>
      </c>
      <c r="AZ2" s="2" t="str">
        <v>V) TARIFF RESET CALCULATIONS: MAINTENANCE COSTS (REAL)</v>
      </c>
      <c r="BA2" s="2" t="str">
        <v>V) TARIFF RESET CALCULATIONS: DOMESTIC-DENOMINATED OPEX (REAL)</v>
      </c>
      <c r="BB2" s="2" t="str">
        <v>V) TARIFF RESET CALCULATIONS: FOREIGN-DENOMINATED OPEX (REAL)</v>
      </c>
      <c r="BC2" s="2" t="str">
        <v>V) TARIFF RESET CALCULATIONS: FOREIGN EXCHANGE RATE - NO RESET</v>
      </c>
      <c r="BD2" s="2" t="str">
        <v>V) TARIFF RESET CALCULATIONS: FOREIGN EXCHANGE RATE - FULL RESET</v>
      </c>
      <c r="BE2" s="2" t="str">
        <v>V) TARIFF RESET CALCULATIONS: SUBSIDIES (REAL)</v>
      </c>
      <c r="BF2" s="2" t="str">
        <v>V) TARIFF RESET CALCULATIONS: REVENUE REQUIREMENT (REAL) - CONTRACTING AUTHORITY - REVENUE REQUIREMENT</v>
      </c>
      <c r="BG2" s="2" t="str">
        <v>V) TARIFF RESET CALCULATIONS: REVENUE REQUIREMENT (REAL) - CONTRACTING AUTHORITY - DISCOUNTED REVENUE REQUIREMENT</v>
      </c>
      <c r="BH2" s="2" t="str">
        <v>V) TARIFF RESET CALCULATIONS: REVENUE REQUIREMENT (REAL) - CONTRACTING AUTHORITY - CUMULATIVE DISCOUNTED REVENUE REQUIREMENT</v>
      </c>
      <c r="BI2" s="2" t="str">
        <v>V) TARIFF RESET CALCULATIONS: REVENUE REQUIREMENT (REAL) - OPERATOR - REVENUE REQUIREMENT</v>
      </c>
      <c r="BJ2" s="2" t="str">
        <v>V) TARIFF RESET CALCULATIONS: REVENUE REQUIREMENT (REAL) - OPERATOR - DISCOUNTED REVENUE REQUIREMENT</v>
      </c>
      <c r="BK2" s="2" t="str">
        <v>V) TARIFF RESET CALCULATIONS: REVENUE REQUIREMENT (REAL) - OPERATOR - CUMULATIVE DISCOUNTED REVENUE REQUIREMENT</v>
      </c>
      <c r="BL2" s="2" t="str">
        <v>V) TARIFF RESET CALCULATIONS: DISCOUNTED REVENUE REQUIREMENT - CONTRACTING AUTHORITY</v>
      </c>
      <c r="BM2" s="2" t="str">
        <v>V) TARIFF RESET CALCULATIONS: DISCOUNTED REVENUE REQUIREMENT - OPERATOR</v>
      </c>
      <c r="BN2" s="2" t="str">
        <v>V) TARIFF RESET CALCULATIONS: REVENUE REQUIRED PER M3 - NO RESET - CONTRACTING AUTHORITY</v>
      </c>
      <c r="BO2" s="2" t="str">
        <v>V) TARIFF RESET CALCULATIONS: REVENUE REQUIRED PER M3 - NO RESET - OPERATOR</v>
      </c>
      <c r="BP2" s="2" t="str">
        <v>V) TARIFF RESET CALCULATIONS: REVENUE REQUIRED PER M3 - 5 YEAR RESET PERIOD - CONTRACTING AUTHORITY</v>
      </c>
      <c r="BQ2" s="2" t="str">
        <v>V) TARIFF RESET CALCULATIONS: REVENUE REQUIRED PER M3 - 5 YEAR RESET PERIOD - OPERATOR</v>
      </c>
      <c r="BR2" s="2" t="str">
        <v>VI) TARIFF INDEXATION: INDEXATION</v>
      </c>
      <c r="BS2" s="2" t="str">
        <v>VI) TARIFF INDEXATION: NO RESET - CONTRACTING AUTHORITY</v>
      </c>
      <c r="BT2" s="2" t="str">
        <v>VI) TARIFF INDEXATION: NO RESET - OPERATOR</v>
      </c>
      <c r="BU2" s="2" t="str">
        <v>VI) TARIFF INDEXATION: 5 YEAR RESET PERIOD - CONTRACTING AUTHORITY</v>
      </c>
      <c r="BV2" s="2" t="str">
        <v>VI) TARIFF INDEXATION: 5 YEAR RESET PERIOD - OPERATOR</v>
      </c>
      <c r="BW2" s="2" t="str">
        <v>VII) PROFIT: TOTAL REVENUE COLLECTED - NO RESET</v>
      </c>
      <c r="BX2" s="2" t="str">
        <v>VII) PROFIT: TOTAL REVENUE COLLECTED - 5 YEAR RESET PERIOD</v>
      </c>
      <c r="BY2" s="2" t="str">
        <v>VII) PROFIT: COSTS - OPERATING COSTS</v>
      </c>
      <c r="BZ2" s="2" t="str">
        <v>VII) PROFIT: COSTS - MAINTENANCE COSTS</v>
      </c>
      <c r="CA2" s="2" t="str">
        <v>VII) PROFIT: COSTS - RETURN ON CAPITAL</v>
      </c>
      <c r="CB2" s="2" t="str">
        <v>VII) PROFIT: COSTS - DEPRECIATION</v>
      </c>
      <c r="CC2" s="2" t="str">
        <v>VII) PROFIT: COSTS - SUBSIDIES</v>
      </c>
      <c r="CD2" s="2" t="str">
        <v>VII) PROFIT: COSTS - TOTAL</v>
      </c>
      <c r="CE2" s="2" t="str">
        <v>VII) PROFIT: PRESENT VALUE PROFIT (REAL) - NO RESET</v>
      </c>
      <c r="CF2" s="2" t="str">
        <v>VII) PROFIT: PRESENT VALUE PROFIT (REAL) - 5 YEAR RESET PERIOD</v>
      </c>
      <c r="CG2" s="2" t="str">
        <v>VIII) CASH FLOWS: NO RESET - CONTRACTING AUTHORITY</v>
      </c>
      <c r="CH2" s="2" t="str">
        <v>VIII) CASH FLOWS: NO RESET - OPERATOR</v>
      </c>
      <c r="CI2" s="2" t="str">
        <v>VIII) CASH FLOWS: 5 YEAR RESET PERIOD - CONTRACTING AUTHORITY</v>
      </c>
      <c r="CJ2" s="2" t="str">
        <v>VIII) CASH FLOWS: 5 YEAR RESET PERIOD - OPERATOR</v>
      </c>
      <c r="CK2" s="2" t="str">
        <v>IX) DEBT SERVICE RATIO: CASH FLOW BEFORE LOAN REPAYMENT - NO RESET</v>
      </c>
      <c r="CL2" s="2" t="str">
        <v>IX) DEBT SERVICE RATIO: CASH FLOW BEFORE LOAN REPAYMENT - 5 YEAR RESET PERIOD</v>
      </c>
      <c r="CM2" s="2" t="str">
        <v>IX) DEBT SERVICE RATIO: DEBT SERVICE RATIO - NO RESET</v>
      </c>
      <c r="CN2" s="2" t="str">
        <v>IX) DEBT SERVICE RATIO: DEBT SERVICE RATIO - 5 YEAR RESET PERIOD</v>
      </c>
      <c r="CO2" s="2" t="str">
        <v>X) STAKEHOLDER ANALYSIS: WATER USE &amp; CONSUMPTION - PRIVATE HOUSEHOLD CONNECTION</v>
      </c>
      <c r="CP2" s="2" t="str">
        <v>X) STAKEHOLDER ANALYSIS: WATER USE &amp; CONSUMPTION - OTHER SOURCES</v>
      </c>
      <c r="CQ2" s="2" t="str">
        <v>X) STAKEHOLDER ANALYSIS: MONTHLY COST - PRIVATE HOUSEHOLD CONNECTION - 5 YEAR RESET PERIOD</v>
      </c>
      <c r="CR2" s="2" t="str">
        <v>X) STAKEHOLDER ANALYSIS: MONTHLY COST - PRIVATE HOUSEHOLD CONNECTION - EXISTING TARIFFS</v>
      </c>
      <c r="CS2" s="2" t="str">
        <v>X) STAKEHOLDER ANALYSIS: OTHER SOURCES</v>
      </c>
      <c r="CT2" s="2" t="str">
        <v>X) STAKEHOLDER ANALYSIS: MONTHLY COPING COST - OTHER SOURCES</v>
      </c>
      <c r="CU2" s="2" t="str">
        <v>X) STAKEHOLDER ANALYSIS: WILLINGNESS TO PAY - PRIVATE HOUSEHOLD CONNECTION</v>
      </c>
      <c r="CV2" s="2" t="str">
        <v>X) STAKEHOLDER ANALYSIS: WILLINGNESS TO PAY - OTHER SOURCES - MONTHLY COST</v>
      </c>
      <c r="CW2" s="2" t="str">
        <v>X) STAKEHOLDER ANALYSIS: WILLINGNESS TO PAY - OTHER SOURCES - MONTHLY COPING COST</v>
      </c>
      <c r="CX2" s="2" t="str">
        <v>X) STAKEHOLDER ANALYSIS: CHANGE IN SOCIAL WELFARE (REAL) - PRIVATE HOUSEHOLD CONNECTION</v>
      </c>
      <c r="CY2" s="2" t="str">
        <v>X) STAKEHOLDER ANALYSIS: CHANGE IN SOCIAL WELFARE (REAL) - OTHER SOURCES</v>
      </c>
      <c r="CZ2" s="2" t="e">
        <v>#N/A</v>
      </c>
      <c r="DA2" s="2"/>
      <c r="DB2" s="2"/>
      <c r="DC2" s="2"/>
      <c r="DD2" s="2"/>
      <c r="DE2" s="2"/>
      <c r="DF2" s="2"/>
      <c r="DG2" s="2"/>
      <c r="DH2" s="2"/>
      <c r="DI2" s="2"/>
      <c r="DJ2" s="2"/>
      <c r="DK2" s="2"/>
      <c r="DL2" s="2"/>
      <c r="DM2" s="2"/>
      <c r="DN2" s="2"/>
      <c r="DO2" s="2"/>
      <c r="DP2" s="2"/>
      <c r="DQ2" s="2"/>
      <c r="DR2" s="2"/>
      <c r="DS2" s="2"/>
      <c r="DT2" s="2"/>
      <c r="DU2" s="2"/>
      <c r="DV2" s="2"/>
      <c r="DW2" s="2"/>
      <c r="DX2" s="2"/>
      <c r="DY2" s="2"/>
      <c r="DZ2" s="2"/>
      <c r="EA2" s="2"/>
      <c r="EB2" s="2"/>
      <c r="EC2" s="2"/>
      <c r="ED2" s="2"/>
      <c r="EE2" s="2"/>
      <c r="EF2" s="2"/>
      <c r="EG2" s="2"/>
      <c r="EH2" s="2"/>
      <c r="EI2" s="2"/>
      <c r="EJ2" s="2"/>
      <c r="EK2" s="2"/>
      <c r="EL2" s="2"/>
      <c r="EM2" s="2"/>
      <c r="EN2" s="2"/>
      <c r="EO2" s="2"/>
      <c r="EP2" s="2"/>
      <c r="EQ2" s="2"/>
      <c r="ER2" s="2"/>
      <c r="ES2" s="2"/>
      <c r="ET2" s="2"/>
      <c r="EU2" s="2"/>
      <c r="EV2" s="2"/>
      <c r="EW2" s="2"/>
      <c r="EX2" s="2"/>
      <c r="EY2" s="2"/>
      <c r="EZ2" s="2"/>
      <c r="FA2" s="2"/>
      <c r="FB2" s="2"/>
      <c r="FC2" s="2"/>
      <c r="FD2" s="2"/>
      <c r="FE2" s="2"/>
      <c r="FF2" s="2"/>
      <c r="FG2" s="2"/>
      <c r="FH2" s="2"/>
      <c r="FI2" s="2"/>
      <c r="FJ2" s="2"/>
      <c r="FK2" s="2"/>
      <c r="FL2" s="2"/>
      <c r="FM2" s="2"/>
      <c r="FN2" s="2"/>
      <c r="FO2" s="2"/>
      <c r="FP2" s="2"/>
      <c r="FQ2" s="2"/>
      <c r="FR2" s="2"/>
      <c r="FS2" s="2"/>
      <c r="FT2" s="2"/>
      <c r="FU2" s="2"/>
      <c r="FV2" s="2"/>
      <c r="FW2" s="2"/>
      <c r="FX2" s="2"/>
      <c r="FY2" s="2"/>
      <c r="FZ2" s="2"/>
      <c r="GA2" s="2"/>
      <c r="GB2" s="2"/>
      <c r="GC2" s="2"/>
      <c r="GD2" s="2"/>
      <c r="GE2" s="2"/>
      <c r="GF2" s="2"/>
      <c r="GG2" s="2"/>
      <c r="GH2" s="2"/>
      <c r="GI2" s="2"/>
      <c r="GJ2" s="2"/>
      <c r="GK2" s="2"/>
      <c r="GL2" s="2"/>
      <c r="GM2" s="2"/>
      <c r="GN2" s="2"/>
      <c r="GO2" s="2"/>
      <c r="GP2" s="2"/>
      <c r="GQ2" s="2"/>
      <c r="GR2" s="2"/>
      <c r="GS2" s="2"/>
    </row>
    <row r="3" spans="1:201" x14ac:dyDescent="0.15">
      <c r="B3" s="6">
        <v>0</v>
      </c>
      <c r="C3" s="346">
        <v>0.05</v>
      </c>
      <c r="D3" s="6">
        <v>100</v>
      </c>
      <c r="E3" s="6">
        <v>1</v>
      </c>
      <c r="F3" s="6">
        <v>100</v>
      </c>
      <c r="G3" s="6">
        <v>105</v>
      </c>
      <c r="H3" s="6">
        <v>1</v>
      </c>
      <c r="I3" s="6">
        <v>50000</v>
      </c>
      <c r="J3" s="6">
        <v>0.5</v>
      </c>
      <c r="K3" s="6">
        <v>25000</v>
      </c>
      <c r="L3" s="6">
        <v>0</v>
      </c>
      <c r="M3" s="6">
        <v>150</v>
      </c>
      <c r="N3" s="6">
        <v>1.3687499999999999</v>
      </c>
      <c r="O3" s="6">
        <v>0.01</v>
      </c>
      <c r="P3" s="6">
        <v>1</v>
      </c>
      <c r="Q3" s="6">
        <v>10</v>
      </c>
      <c r="R3" s="6">
        <v>0.1</v>
      </c>
      <c r="S3" s="6">
        <v>10</v>
      </c>
      <c r="T3" s="6">
        <v>0.1</v>
      </c>
      <c r="U3" s="6" t="str">
        <v/>
      </c>
      <c r="V3" s="6" t="str">
        <v/>
      </c>
      <c r="W3" s="6">
        <v>0.26222303774991262</v>
      </c>
      <c r="X3" s="6">
        <v>0</v>
      </c>
      <c r="Y3" s="6">
        <v>0</v>
      </c>
      <c r="Z3" s="6" t="str">
        <v/>
      </c>
      <c r="AA3" s="6" t="str">
        <v/>
      </c>
      <c r="AB3" s="6" t="str">
        <v/>
      </c>
      <c r="AC3" s="6" t="str">
        <v/>
      </c>
      <c r="AD3" s="6" t="str">
        <v/>
      </c>
      <c r="AE3" s="6" t="str">
        <v/>
      </c>
      <c r="AF3" s="6" t="str">
        <v/>
      </c>
      <c r="AG3" s="346">
        <v>0.05</v>
      </c>
      <c r="AH3" s="6">
        <v>1</v>
      </c>
      <c r="AI3" s="6" t="str">
        <v/>
      </c>
      <c r="AJ3" s="6" t="str">
        <v/>
      </c>
      <c r="AK3" s="6" t="str">
        <v/>
      </c>
      <c r="AL3" s="6">
        <v>100</v>
      </c>
      <c r="AM3" s="6" t="str">
        <v/>
      </c>
      <c r="AN3" s="6" t="str">
        <v/>
      </c>
      <c r="AO3" s="6" t="str">
        <v/>
      </c>
      <c r="AP3" s="6">
        <v>0</v>
      </c>
      <c r="AQ3" s="6" t="str">
        <v/>
      </c>
      <c r="AR3" s="6" t="str">
        <v/>
      </c>
      <c r="AS3" s="6" t="str">
        <v/>
      </c>
      <c r="AT3" s="6">
        <v>0</v>
      </c>
      <c r="AU3" s="6">
        <v>6.6519209510237252</v>
      </c>
      <c r="AV3" s="6" t="str">
        <v/>
      </c>
      <c r="AW3" s="6" t="str">
        <v/>
      </c>
      <c r="AX3" s="6" t="str">
        <v/>
      </c>
      <c r="AY3" s="6" t="str">
        <v/>
      </c>
      <c r="AZ3" s="6" t="str">
        <v/>
      </c>
      <c r="BA3" s="6" t="str">
        <v/>
      </c>
      <c r="BB3" s="6" t="str">
        <v/>
      </c>
      <c r="BC3" s="6" t="str">
        <v/>
      </c>
      <c r="BD3" s="6" t="str">
        <v/>
      </c>
      <c r="BE3" s="6" t="str">
        <v/>
      </c>
      <c r="BF3" s="6" t="str">
        <v/>
      </c>
      <c r="BG3" s="6" t="str">
        <v/>
      </c>
      <c r="BH3" s="6" t="str">
        <v/>
      </c>
      <c r="BI3" s="6" t="str">
        <v/>
      </c>
      <c r="BJ3" s="6" t="str">
        <v/>
      </c>
      <c r="BK3" s="6" t="str">
        <v/>
      </c>
      <c r="BL3" s="6">
        <v>1.6604725128080058</v>
      </c>
      <c r="BM3" s="6">
        <v>305.20007953989193</v>
      </c>
      <c r="BN3" s="6">
        <v>0.63597687452192309</v>
      </c>
      <c r="BO3" s="6">
        <v>57.792432697187991</v>
      </c>
      <c r="BP3" s="6" t="str">
        <v/>
      </c>
      <c r="BQ3" s="6" t="str">
        <v/>
      </c>
      <c r="BR3" s="6">
        <v>1</v>
      </c>
      <c r="BS3" s="6" t="str">
        <v/>
      </c>
      <c r="BT3" s="6" t="str">
        <v/>
      </c>
      <c r="BU3" s="6" t="str">
        <v/>
      </c>
      <c r="BV3" s="6" t="str">
        <v/>
      </c>
      <c r="BW3" s="6" t="str">
        <v/>
      </c>
      <c r="BX3" s="6" t="str">
        <v/>
      </c>
      <c r="BY3" s="6" t="str">
        <v/>
      </c>
      <c r="BZ3" s="6" t="str">
        <v/>
      </c>
      <c r="CA3" s="6" t="str">
        <v/>
      </c>
      <c r="CB3" s="6" t="str">
        <v/>
      </c>
      <c r="CC3" s="6" t="str">
        <v/>
      </c>
      <c r="CD3" s="6" t="str">
        <v/>
      </c>
      <c r="CE3" s="6" t="str">
        <v/>
      </c>
      <c r="CF3" s="6" t="str">
        <v/>
      </c>
      <c r="CG3" s="6" t="str">
        <v/>
      </c>
      <c r="CH3" s="6" t="str">
        <v/>
      </c>
      <c r="CI3" s="6" t="str">
        <v/>
      </c>
      <c r="CJ3" s="6" t="str">
        <v/>
      </c>
      <c r="CK3" s="6" t="str">
        <v/>
      </c>
      <c r="CL3" s="6" t="str">
        <v/>
      </c>
      <c r="CM3" s="6" t="str">
        <v/>
      </c>
      <c r="CN3" s="6" t="str">
        <v/>
      </c>
      <c r="CO3" s="6">
        <v>150</v>
      </c>
      <c r="CP3" s="6">
        <v>75</v>
      </c>
      <c r="CQ3" s="264">
        <v>4500</v>
      </c>
      <c r="CR3" s="6">
        <v>4500</v>
      </c>
      <c r="CS3" s="6">
        <v>3375</v>
      </c>
      <c r="CT3" s="6">
        <v>1000</v>
      </c>
      <c r="CU3" s="6">
        <v>11250</v>
      </c>
      <c r="CV3" s="6">
        <v>5062.5</v>
      </c>
      <c r="CW3" s="6">
        <v>1300</v>
      </c>
      <c r="CX3" s="6">
        <v>0</v>
      </c>
      <c r="CY3" s="6">
        <v>0</v>
      </c>
      <c r="CZ3" s="6" t="e">
        <v>#N/A</v>
      </c>
      <c r="DA3" s="6"/>
      <c r="DB3" s="6"/>
      <c r="DC3" s="6"/>
      <c r="DD3" s="6"/>
      <c r="DE3" s="6"/>
      <c r="DF3" s="6"/>
      <c r="DG3" s="6"/>
      <c r="DH3" s="6"/>
      <c r="DI3" s="6"/>
      <c r="DJ3" s="6"/>
      <c r="DK3" s="6"/>
      <c r="DL3" s="6"/>
      <c r="DM3" s="6"/>
      <c r="DN3" s="6"/>
      <c r="DO3" s="6"/>
      <c r="DP3" s="6"/>
      <c r="DQ3" s="6"/>
      <c r="DR3" s="6"/>
      <c r="DS3" s="6"/>
      <c r="DT3" s="6"/>
      <c r="DU3" s="6"/>
      <c r="DV3" s="6"/>
      <c r="DW3" s="6"/>
      <c r="DX3" s="6"/>
      <c r="DY3" s="6"/>
      <c r="DZ3" s="6"/>
      <c r="EA3" s="6"/>
      <c r="EB3" s="6"/>
      <c r="EC3" s="6"/>
      <c r="ED3" s="6"/>
      <c r="EE3" s="6"/>
      <c r="EF3" s="6"/>
      <c r="EG3" s="6"/>
      <c r="EH3" s="6"/>
      <c r="EI3" s="6"/>
      <c r="EJ3" s="6"/>
      <c r="EK3" s="6"/>
      <c r="EL3" s="6"/>
      <c r="EM3" s="6"/>
      <c r="EN3" s="6"/>
      <c r="EO3" s="6"/>
      <c r="EP3" s="6"/>
      <c r="EQ3" s="6"/>
      <c r="ER3" s="6"/>
      <c r="ES3" s="6"/>
      <c r="ET3" s="6"/>
      <c r="EU3" s="6"/>
      <c r="EV3" s="6"/>
      <c r="EW3" s="6"/>
      <c r="EX3" s="6"/>
      <c r="EY3" s="6"/>
      <c r="EZ3" s="6"/>
      <c r="FA3" s="6"/>
      <c r="FB3" s="6"/>
      <c r="FC3" s="6"/>
      <c r="FD3" s="6"/>
      <c r="FE3" s="6"/>
      <c r="FF3" s="6"/>
      <c r="FG3" s="6"/>
      <c r="FH3" s="6"/>
      <c r="FI3" s="6"/>
      <c r="FJ3" s="6"/>
      <c r="FK3" s="6"/>
      <c r="FL3" s="6"/>
      <c r="FM3" s="6"/>
      <c r="FN3" s="6"/>
      <c r="FO3" s="6"/>
      <c r="FP3" s="6"/>
      <c r="FQ3" s="6"/>
      <c r="FR3" s="6"/>
      <c r="FS3" s="6"/>
      <c r="FT3" s="6"/>
      <c r="FU3" s="6"/>
      <c r="FV3" s="6"/>
      <c r="FW3" s="6"/>
      <c r="FX3" s="6"/>
      <c r="FY3" s="6"/>
      <c r="FZ3" s="6"/>
      <c r="GA3" s="6"/>
      <c r="GB3" s="6"/>
      <c r="GC3" s="6"/>
      <c r="GD3" s="6"/>
      <c r="GE3" s="6"/>
      <c r="GF3" s="6"/>
      <c r="GG3" s="6"/>
      <c r="GH3" s="6"/>
      <c r="GI3" s="6"/>
      <c r="GJ3" s="6"/>
      <c r="GK3" s="6"/>
      <c r="GL3" s="6"/>
      <c r="GM3" s="6"/>
      <c r="GN3" s="6"/>
      <c r="GO3" s="6"/>
      <c r="GP3" s="6"/>
      <c r="GQ3" s="6"/>
      <c r="GR3" s="6"/>
      <c r="GS3" s="6"/>
    </row>
    <row r="4" spans="1:201" x14ac:dyDescent="0.15">
      <c r="B4" s="6">
        <v>1</v>
      </c>
      <c r="C4" s="346">
        <v>5.7289346495116779E-2</v>
      </c>
      <c r="D4" s="6">
        <v>105.89621730641178</v>
      </c>
      <c r="E4" s="6">
        <v>0.94432079392079682</v>
      </c>
      <c r="F4" s="6">
        <v>104.57697044309731</v>
      </c>
      <c r="G4" s="6">
        <v>110.56811673822149</v>
      </c>
      <c r="H4" s="6">
        <v>0.93239381990594827</v>
      </c>
      <c r="I4" s="6">
        <v>50000</v>
      </c>
      <c r="J4" s="6">
        <v>0.50549347131529654</v>
      </c>
      <c r="K4" s="6">
        <v>25274</v>
      </c>
      <c r="L4" s="6">
        <v>274</v>
      </c>
      <c r="M4" s="6">
        <v>150.0983660504788</v>
      </c>
      <c r="N4" s="6">
        <v>1.3846589277993275</v>
      </c>
      <c r="O4" s="6">
        <v>1.0359724199241832E-2</v>
      </c>
      <c r="P4" s="6">
        <v>1</v>
      </c>
      <c r="Q4" s="6">
        <v>10.304545339535169</v>
      </c>
      <c r="R4" s="6">
        <v>0.1030454533953517</v>
      </c>
      <c r="S4" s="6">
        <v>10.304545339535169</v>
      </c>
      <c r="T4" s="6">
        <v>0.1030454533953517</v>
      </c>
      <c r="U4" s="6">
        <v>0.58031127083913658</v>
      </c>
      <c r="V4" s="6">
        <v>0.29015563541956829</v>
      </c>
      <c r="W4" s="6">
        <v>1.3872826597967309E-4</v>
      </c>
      <c r="X4" s="6">
        <v>2.7745653195934616E-3</v>
      </c>
      <c r="Y4" s="6">
        <v>1.3872826597967309E-4</v>
      </c>
      <c r="Z4" s="6">
        <v>1.3872826597967309E-4</v>
      </c>
      <c r="AA4" s="6">
        <v>0</v>
      </c>
      <c r="AB4" s="6">
        <v>0</v>
      </c>
      <c r="AC4" s="6">
        <v>0</v>
      </c>
      <c r="AD4" s="6">
        <v>0</v>
      </c>
      <c r="AE4" s="6">
        <v>0</v>
      </c>
      <c r="AF4" s="6">
        <v>0</v>
      </c>
      <c r="AG4" s="346">
        <v>5.8091712136414154E-2</v>
      </c>
      <c r="AH4" s="6">
        <v>0.94356340725254528</v>
      </c>
      <c r="AI4" s="6">
        <v>100</v>
      </c>
      <c r="AJ4" s="6">
        <v>5</v>
      </c>
      <c r="AK4" s="6">
        <v>10.981218889336333</v>
      </c>
      <c r="AL4" s="6">
        <v>105.98121888933633</v>
      </c>
      <c r="AM4" s="6">
        <v>0</v>
      </c>
      <c r="AN4" s="6">
        <v>0.58077707951356317</v>
      </c>
      <c r="AO4" s="6">
        <v>2.903885397567816E-2</v>
      </c>
      <c r="AP4" s="6">
        <v>0.55173822553788499</v>
      </c>
      <c r="AQ4" s="6">
        <v>1.4117051345640335</v>
      </c>
      <c r="AR4" s="6">
        <v>1.4117051345640335</v>
      </c>
      <c r="AS4" s="6">
        <v>1.3162651429969998</v>
      </c>
      <c r="AT4" s="6">
        <v>1.3162651429969998</v>
      </c>
      <c r="AU4" s="6">
        <v>0</v>
      </c>
      <c r="AV4" s="6">
        <v>2.0327197782974711E-2</v>
      </c>
      <c r="AW4" s="6">
        <v>2.0327197782974711E-2</v>
      </c>
      <c r="AX4" s="6">
        <v>1.3700000000000002E-2</v>
      </c>
      <c r="AY4" s="6">
        <v>1.3700000000000002E-2</v>
      </c>
      <c r="AZ4" s="6">
        <v>10.361476311008202</v>
      </c>
      <c r="BA4" s="6" t="str">
        <v>#N/A</v>
      </c>
      <c r="BB4" s="6" t="str">
        <v>#N/A</v>
      </c>
      <c r="BC4" s="6">
        <v>105.12710963760242</v>
      </c>
      <c r="BD4" s="6">
        <v>105.12710963760242</v>
      </c>
      <c r="BE4" s="6">
        <v>0</v>
      </c>
      <c r="BF4" s="6">
        <v>3.4027197782974715E-2</v>
      </c>
      <c r="BG4" s="6">
        <v>3.1726748921563006E-2</v>
      </c>
      <c r="BH4" s="6">
        <v>3.1726748921563006E-2</v>
      </c>
      <c r="BI4" s="6">
        <v>61.685086379300451</v>
      </c>
      <c r="BJ4" s="6">
        <v>57.514793320424324</v>
      </c>
      <c r="BK4" s="6">
        <v>57.514793320424324</v>
      </c>
      <c r="BL4" s="6">
        <v>0</v>
      </c>
      <c r="BM4" s="6">
        <v>0</v>
      </c>
      <c r="BN4" s="6">
        <v>0.63597687452192309</v>
      </c>
      <c r="BO4" s="6">
        <v>57.792432697187991</v>
      </c>
      <c r="BP4" s="6">
        <v>0.24962300740396809</v>
      </c>
      <c r="BQ4" s="6">
        <v>45.881495253325568</v>
      </c>
      <c r="BR4" s="6">
        <v>1.0589621730641179</v>
      </c>
      <c r="BS4" s="6">
        <v>0.67347545306226153</v>
      </c>
      <c r="BT4" s="6">
        <v>61.200000115675977</v>
      </c>
      <c r="BU4" s="6">
        <v>0.26434132236730645</v>
      </c>
      <c r="BV4" s="6">
        <v>48.586767916892654</v>
      </c>
      <c r="BW4" s="6">
        <v>85.673660340226974</v>
      </c>
      <c r="BX4" s="6">
        <v>67.642124541041525</v>
      </c>
      <c r="BY4" s="6">
        <v>53.557970241294981</v>
      </c>
      <c r="BZ4" s="6">
        <v>10.972411470457626</v>
      </c>
      <c r="CA4" s="6">
        <v>4.3051467073126036E-2</v>
      </c>
      <c r="CB4" s="6">
        <v>2.9015563541956835E-2</v>
      </c>
      <c r="CC4" s="6">
        <v>0</v>
      </c>
      <c r="CD4" s="6">
        <v>64.602448742367699</v>
      </c>
      <c r="CE4" s="6">
        <v>18.552756624844015</v>
      </c>
      <c r="CF4" s="6">
        <v>2.6763703192536514</v>
      </c>
      <c r="CG4" s="6">
        <v>0.69333835412900735</v>
      </c>
      <c r="CH4" s="6">
        <v>17.667395861903906</v>
      </c>
      <c r="CI4" s="6">
        <v>0.19453718809121845</v>
      </c>
      <c r="CJ4" s="6">
        <v>2.2898107223513202</v>
      </c>
      <c r="CK4" s="6">
        <v>20.065667012028214</v>
      </c>
      <c r="CL4" s="6">
        <v>2.6006424395769443</v>
      </c>
      <c r="CM4" s="6" t="str">
        <v>#DIV/0!</v>
      </c>
      <c r="CN4" s="6" t="str">
        <v>#DIV/0!</v>
      </c>
      <c r="CO4" s="6">
        <v>150.0983660504788</v>
      </c>
      <c r="CP4" s="6">
        <v>75.049183025239401</v>
      </c>
      <c r="CQ4" s="6">
        <v>7332.4716765663688</v>
      </c>
      <c r="CR4" s="6">
        <v>4768.4547565856537</v>
      </c>
      <c r="CS4" s="6">
        <v>3576.3410674392399</v>
      </c>
      <c r="CT4" s="6">
        <v>1058.9621730641179</v>
      </c>
      <c r="CU4" s="6">
        <v>11921.136891464133</v>
      </c>
      <c r="CV4" s="6">
        <v>5364.5116011588598</v>
      </c>
      <c r="CW4" s="6">
        <v>1376.6508249833532</v>
      </c>
      <c r="CX4" s="6">
        <v>-56.439068154032</v>
      </c>
      <c r="CY4" s="6">
        <v>1.6150621186942085</v>
      </c>
      <c r="CZ4" s="6" t="e">
        <v>#N/A</v>
      </c>
      <c r="DA4" s="6"/>
      <c r="DB4" s="6"/>
      <c r="DC4" s="6"/>
      <c r="DD4" s="6"/>
      <c r="DE4" s="6"/>
      <c r="DF4" s="6"/>
      <c r="DG4" s="6"/>
      <c r="DH4" s="6"/>
      <c r="DI4" s="6"/>
      <c r="DJ4" s="6"/>
      <c r="DK4" s="6"/>
      <c r="DL4" s="6"/>
      <c r="DM4" s="6"/>
      <c r="DN4" s="6"/>
      <c r="DO4" s="6"/>
      <c r="DP4" s="6"/>
      <c r="DQ4" s="6"/>
      <c r="DR4" s="6"/>
      <c r="DS4" s="6"/>
      <c r="DT4" s="6"/>
      <c r="DU4" s="6"/>
      <c r="DV4" s="6"/>
      <c r="DW4" s="6"/>
      <c r="DX4" s="6"/>
      <c r="DY4" s="6"/>
      <c r="DZ4" s="6"/>
      <c r="EA4" s="6"/>
      <c r="EB4" s="6"/>
      <c r="EC4" s="6"/>
      <c r="ED4" s="6"/>
      <c r="EE4" s="6"/>
      <c r="EF4" s="6"/>
      <c r="EG4" s="6"/>
      <c r="EH4" s="6"/>
      <c r="EI4" s="6"/>
      <c r="EJ4" s="6"/>
      <c r="EK4" s="6"/>
      <c r="EL4" s="6"/>
      <c r="EM4" s="6"/>
      <c r="EN4" s="6"/>
      <c r="EO4" s="6"/>
      <c r="EP4" s="6"/>
      <c r="EQ4" s="6"/>
      <c r="ER4" s="6"/>
      <c r="ES4" s="6"/>
      <c r="ET4" s="6"/>
      <c r="EU4" s="6"/>
      <c r="EV4" s="6"/>
      <c r="EW4" s="6"/>
      <c r="EX4" s="6"/>
      <c r="EY4" s="6"/>
      <c r="EZ4" s="6"/>
      <c r="FA4" s="6"/>
      <c r="FB4" s="6"/>
      <c r="FC4" s="6"/>
      <c r="FD4" s="6"/>
      <c r="FE4" s="6"/>
      <c r="FF4" s="6"/>
      <c r="FG4" s="6"/>
      <c r="FH4" s="6"/>
      <c r="FI4" s="6"/>
      <c r="FJ4" s="6"/>
      <c r="FK4" s="6"/>
      <c r="FL4" s="6"/>
      <c r="FM4" s="6"/>
      <c r="FN4" s="6"/>
      <c r="FO4" s="6"/>
      <c r="FP4" s="6"/>
      <c r="FQ4" s="6"/>
      <c r="FR4" s="6"/>
      <c r="FS4" s="6"/>
      <c r="FT4" s="6"/>
      <c r="FU4" s="6"/>
      <c r="FV4" s="6"/>
      <c r="FW4" s="6"/>
      <c r="FX4" s="6"/>
      <c r="FY4" s="6"/>
      <c r="FZ4" s="6"/>
      <c r="GA4" s="6"/>
      <c r="GB4" s="6"/>
      <c r="GC4" s="6"/>
      <c r="GD4" s="6"/>
      <c r="GE4" s="6"/>
      <c r="GF4" s="6"/>
      <c r="GG4" s="6"/>
      <c r="GH4" s="6"/>
      <c r="GI4" s="6"/>
      <c r="GJ4" s="6"/>
      <c r="GK4" s="6"/>
      <c r="GL4" s="6"/>
      <c r="GM4" s="6"/>
      <c r="GN4" s="6"/>
      <c r="GO4" s="6"/>
      <c r="GP4" s="6"/>
      <c r="GQ4" s="6"/>
      <c r="GR4" s="6"/>
      <c r="GS4" s="6"/>
    </row>
    <row r="5" spans="1:201" x14ac:dyDescent="0.15">
      <c r="B5" s="6">
        <v>2</v>
      </c>
      <c r="C5" s="346">
        <v>6.5255509700829328E-2</v>
      </c>
      <c r="D5" s="6">
        <v>113.03698230271051</v>
      </c>
      <c r="E5" s="6">
        <v>0.88466622129209216</v>
      </c>
      <c r="F5" s="6">
        <v>119.12651070351033</v>
      </c>
      <c r="G5" s="6">
        <v>126.90017187834921</v>
      </c>
      <c r="H5" s="6">
        <v>0.86935823539880586</v>
      </c>
      <c r="I5" s="6">
        <v>50000</v>
      </c>
      <c r="J5" s="6">
        <v>0.51465611537567812</v>
      </c>
      <c r="K5" s="6">
        <v>25732</v>
      </c>
      <c r="L5" s="6">
        <v>458</v>
      </c>
      <c r="M5" s="6">
        <v>151.0186812798861</v>
      </c>
      <c r="N5" s="6">
        <v>1.4183946379433205</v>
      </c>
      <c r="O5" s="6">
        <v>1.2384058440442351E-2</v>
      </c>
      <c r="P5" s="6">
        <v>1</v>
      </c>
      <c r="Q5" s="6">
        <v>10.618365465453598</v>
      </c>
      <c r="R5" s="6">
        <v>0.106183654654536</v>
      </c>
      <c r="S5" s="6">
        <v>10.618365465453598</v>
      </c>
      <c r="T5" s="6">
        <v>0.106183654654536</v>
      </c>
      <c r="U5" s="6">
        <v>1.0354187578928282</v>
      </c>
      <c r="V5" s="6">
        <v>0.51770937894641411</v>
      </c>
      <c r="W5" s="6">
        <v>3.5602220663530191E-4</v>
      </c>
      <c r="X5" s="6">
        <v>6.9817158667263655E-3</v>
      </c>
      <c r="Y5" s="6">
        <v>3.5602220663530191E-4</v>
      </c>
      <c r="Z5" s="6">
        <v>3.4908579333631831E-4</v>
      </c>
      <c r="AA5" s="6">
        <v>0</v>
      </c>
      <c r="AB5" s="6">
        <v>0</v>
      </c>
      <c r="AC5" s="6">
        <v>0</v>
      </c>
      <c r="AD5" s="6">
        <v>0</v>
      </c>
      <c r="AE5" s="6">
        <v>0</v>
      </c>
      <c r="AF5" s="6">
        <v>0</v>
      </c>
      <c r="AG5" s="346">
        <v>6.4816775092882944E-2</v>
      </c>
      <c r="AH5" s="6">
        <v>0.88434458768139823</v>
      </c>
      <c r="AI5" s="6">
        <v>105.98121888933633</v>
      </c>
      <c r="AJ5" s="6">
        <v>5.2990609444668166</v>
      </c>
      <c r="AK5" s="6">
        <v>12.39593558672891</v>
      </c>
      <c r="AL5" s="6">
        <v>113.07809353159843</v>
      </c>
      <c r="AM5" s="6">
        <v>0.55173822553788499</v>
      </c>
      <c r="AN5" s="6">
        <v>1.0357953367494417</v>
      </c>
      <c r="AO5" s="6">
        <v>7.9376678114366328E-2</v>
      </c>
      <c r="AP5" s="6">
        <v>1.5081568841729602</v>
      </c>
      <c r="AQ5" s="6">
        <v>1.4663223205731397</v>
      </c>
      <c r="AR5" s="6">
        <v>1.4663223205731397</v>
      </c>
      <c r="AS5" s="6">
        <v>1.2747593851393468</v>
      </c>
      <c r="AT5" s="6">
        <v>2.5910245281363466</v>
      </c>
      <c r="AU5" s="6">
        <v>0</v>
      </c>
      <c r="AV5" s="6">
        <v>5.5563674680056435E-2</v>
      </c>
      <c r="AW5" s="6">
        <v>5.5563674680056435E-2</v>
      </c>
      <c r="AX5" s="6">
        <v>3.5098167839284176E-2</v>
      </c>
      <c r="AY5" s="6">
        <v>3.5098167839284176E-2</v>
      </c>
      <c r="AZ5" s="6">
        <v>10.96227854537095</v>
      </c>
      <c r="BA5" s="6" t="str">
        <v>#N/A</v>
      </c>
      <c r="BB5" s="6" t="str">
        <v>#N/A</v>
      </c>
      <c r="BC5" s="6">
        <v>110.51709180756478</v>
      </c>
      <c r="BD5" s="6">
        <v>110.51709180756478</v>
      </c>
      <c r="BE5" s="6">
        <v>0</v>
      </c>
      <c r="BF5" s="6">
        <v>9.0661842519340619E-2</v>
      </c>
      <c r="BG5" s="6">
        <v>7.8817619430618394E-2</v>
      </c>
      <c r="BH5" s="6">
        <v>0.1105443683521814</v>
      </c>
      <c r="BI5" s="6">
        <v>66.594819839450182</v>
      </c>
      <c r="BJ5" s="6">
        <v>57.8947550623258</v>
      </c>
      <c r="BK5" s="6">
        <v>115.40954838275013</v>
      </c>
      <c r="BL5" s="6">
        <v>0</v>
      </c>
      <c r="BM5" s="6">
        <v>0</v>
      </c>
      <c r="BN5" s="6">
        <v>0.63597687452192309</v>
      </c>
      <c r="BO5" s="6">
        <v>57.792432697187991</v>
      </c>
      <c r="BP5" s="6">
        <v>0.24962300740396809</v>
      </c>
      <c r="BQ5" s="6">
        <v>45.881495253325568</v>
      </c>
      <c r="BR5" s="6">
        <v>1.1303698230271051</v>
      </c>
      <c r="BS5" s="6">
        <v>0.71888906710267764</v>
      </c>
      <c r="BT5" s="6">
        <v>65.326821920226266</v>
      </c>
      <c r="BU5" s="6">
        <v>0.28216631470271714</v>
      </c>
      <c r="BV5" s="6">
        <v>51.863057669720583</v>
      </c>
      <c r="BW5" s="6">
        <v>93.678882323581632</v>
      </c>
      <c r="BX5" s="6">
        <v>73.962506093859432</v>
      </c>
      <c r="BY5" s="6">
        <v>64.074110838970384</v>
      </c>
      <c r="BZ5" s="6">
        <v>12.391428859304792</v>
      </c>
      <c r="CA5" s="6">
        <v>0.12561500222966207</v>
      </c>
      <c r="CB5" s="6">
        <v>7.9347819538134579E-2</v>
      </c>
      <c r="CC5" s="6">
        <v>0</v>
      </c>
      <c r="CD5" s="6">
        <v>76.670502520042973</v>
      </c>
      <c r="CE5" s="6">
        <v>13.081006544742566</v>
      </c>
      <c r="CF5" s="6">
        <v>-2.0826980219877513</v>
      </c>
      <c r="CG5" s="6">
        <v>0.58513563409557334</v>
      </c>
      <c r="CH5" s="6">
        <v>12.255340077695566</v>
      </c>
      <c r="CI5" s="6">
        <v>0.10872536202539125</v>
      </c>
      <c r="CJ5" s="6">
        <v>-2.4319542169645612</v>
      </c>
      <c r="CK5" s="6">
        <v>15.934819537778722</v>
      </c>
      <c r="CL5" s="6">
        <v>-3.1621114816715163</v>
      </c>
      <c r="CM5" s="6" t="str">
        <v>#DIV/0!</v>
      </c>
      <c r="CN5" s="6" t="str">
        <v>#DIV/0!</v>
      </c>
      <c r="CO5" s="6">
        <v>151.0186812798861</v>
      </c>
      <c r="CP5" s="6">
        <v>75.509340639943048</v>
      </c>
      <c r="CQ5" s="6">
        <v>7874.9029611718943</v>
      </c>
      <c r="CR5" s="6">
        <v>5121.2088009639492</v>
      </c>
      <c r="CS5" s="6">
        <v>3840.9066007229617</v>
      </c>
      <c r="CT5" s="6">
        <v>1130.369823027105</v>
      </c>
      <c r="CU5" s="6">
        <v>12803.022002409873</v>
      </c>
      <c r="CV5" s="6">
        <v>5761.3599010844428</v>
      </c>
      <c r="CW5" s="6">
        <v>1469.4807699352366</v>
      </c>
      <c r="CX5" s="6">
        <v>-52.946094436939234</v>
      </c>
      <c r="CY5" s="6">
        <v>4.1468809642773632</v>
      </c>
      <c r="CZ5" s="6" t="e">
        <v>#N/A</v>
      </c>
      <c r="DA5" s="6"/>
      <c r="DB5" s="6"/>
      <c r="DC5" s="6"/>
      <c r="DD5" s="6"/>
      <c r="DE5" s="6"/>
      <c r="DF5" s="6"/>
      <c r="DG5" s="6"/>
      <c r="DH5" s="6"/>
      <c r="DI5" s="6"/>
      <c r="DJ5" s="6"/>
      <c r="DK5" s="6"/>
      <c r="DL5" s="6"/>
      <c r="DM5" s="6"/>
      <c r="DN5" s="6"/>
      <c r="DO5" s="6"/>
      <c r="DP5" s="6"/>
      <c r="DQ5" s="6"/>
      <c r="DR5" s="6"/>
      <c r="DS5" s="6"/>
      <c r="DT5" s="6"/>
      <c r="DU5" s="6"/>
      <c r="DV5" s="6"/>
      <c r="DW5" s="6"/>
      <c r="DX5" s="6"/>
      <c r="DY5" s="6"/>
      <c r="DZ5" s="6"/>
      <c r="EA5" s="6"/>
      <c r="EB5" s="6"/>
      <c r="EC5" s="6"/>
      <c r="ED5" s="6"/>
      <c r="EE5" s="6"/>
      <c r="EF5" s="6"/>
      <c r="EG5" s="6"/>
      <c r="EH5" s="6"/>
      <c r="EI5" s="6"/>
      <c r="EJ5" s="6"/>
      <c r="EK5" s="6"/>
      <c r="EL5" s="6"/>
      <c r="EM5" s="6"/>
      <c r="EN5" s="6"/>
      <c r="EO5" s="6"/>
      <c r="EP5" s="6"/>
      <c r="EQ5" s="6"/>
      <c r="ER5" s="6"/>
      <c r="ES5" s="6"/>
      <c r="ET5" s="6"/>
      <c r="EU5" s="6"/>
      <c r="EV5" s="6"/>
      <c r="EW5" s="6"/>
      <c r="EX5" s="6"/>
      <c r="EY5" s="6"/>
      <c r="EZ5" s="6"/>
      <c r="FA5" s="6"/>
      <c r="FB5" s="6"/>
      <c r="FC5" s="6"/>
      <c r="FD5" s="6"/>
      <c r="FE5" s="6"/>
      <c r="FF5" s="6"/>
      <c r="FG5" s="6"/>
      <c r="FH5" s="6"/>
      <c r="FI5" s="6"/>
      <c r="FJ5" s="6"/>
      <c r="FK5" s="6"/>
      <c r="FL5" s="6"/>
      <c r="FM5" s="6"/>
      <c r="FN5" s="6"/>
      <c r="FO5" s="6"/>
      <c r="FP5" s="6"/>
      <c r="FQ5" s="6"/>
      <c r="FR5" s="6"/>
      <c r="FS5" s="6"/>
      <c r="FT5" s="6"/>
      <c r="FU5" s="6"/>
      <c r="FV5" s="6"/>
      <c r="FW5" s="6"/>
      <c r="FX5" s="6"/>
      <c r="FY5" s="6"/>
      <c r="FZ5" s="6"/>
      <c r="GA5" s="6"/>
      <c r="GB5" s="6"/>
      <c r="GC5" s="6"/>
      <c r="GD5" s="6"/>
      <c r="GE5" s="6"/>
      <c r="GF5" s="6"/>
      <c r="GG5" s="6"/>
      <c r="GH5" s="6"/>
      <c r="GI5" s="6"/>
      <c r="GJ5" s="6"/>
      <c r="GK5" s="6"/>
      <c r="GL5" s="6"/>
      <c r="GM5" s="6"/>
      <c r="GN5" s="6"/>
      <c r="GO5" s="6"/>
      <c r="GP5" s="6"/>
      <c r="GQ5" s="6"/>
      <c r="GR5" s="6"/>
      <c r="GS5" s="6"/>
    </row>
    <row r="6" spans="1:201" x14ac:dyDescent="0.15">
      <c r="B6" s="6">
        <v>3</v>
      </c>
      <c r="C6" s="346">
        <v>7.3456470815945141E-2</v>
      </c>
      <c r="D6" s="6">
        <v>121.65285196810568</v>
      </c>
      <c r="E6" s="6">
        <v>0.82201114385890006</v>
      </c>
      <c r="F6" s="6">
        <v>126.77078998525553</v>
      </c>
      <c r="G6" s="6">
        <v>136.08292482012175</v>
      </c>
      <c r="H6" s="6">
        <v>0.81058424597018719</v>
      </c>
      <c r="I6" s="6">
        <v>50000</v>
      </c>
      <c r="J6" s="6">
        <v>0.53792909001062172</v>
      </c>
      <c r="K6" s="6">
        <v>26896</v>
      </c>
      <c r="L6" s="6">
        <v>1164</v>
      </c>
      <c r="M6" s="6">
        <v>153.82922467271695</v>
      </c>
      <c r="N6" s="6">
        <v>1.5101476517810493</v>
      </c>
      <c r="O6" s="6">
        <v>0.02</v>
      </c>
      <c r="P6" s="6">
        <v>1</v>
      </c>
      <c r="Q6" s="6">
        <v>10.941742837052107</v>
      </c>
      <c r="R6" s="6">
        <v>0.10941742837052108</v>
      </c>
      <c r="S6" s="6">
        <v>10.941742837052107</v>
      </c>
      <c r="T6" s="6">
        <v>0.10941742837052108</v>
      </c>
      <c r="U6" s="6">
        <v>2.8320783938175005</v>
      </c>
      <c r="V6" s="6">
        <v>1.4160391969087502</v>
      </c>
      <c r="W6" s="6">
        <v>9.1452594281673898E-4</v>
      </c>
      <c r="X6" s="6">
        <v>1.7795768383719802E-2</v>
      </c>
      <c r="Y6" s="6">
        <v>9.1452594281673898E-4</v>
      </c>
      <c r="Z6" s="6">
        <v>8.8978841918599014E-4</v>
      </c>
      <c r="AA6" s="6">
        <v>0</v>
      </c>
      <c r="AB6" s="6">
        <v>0</v>
      </c>
      <c r="AC6" s="6">
        <v>0</v>
      </c>
      <c r="AD6" s="6">
        <v>0</v>
      </c>
      <c r="AE6" s="6">
        <v>0</v>
      </c>
      <c r="AF6" s="6">
        <v>0</v>
      </c>
      <c r="AG6" s="346">
        <v>6.9929008928705308E-2</v>
      </c>
      <c r="AH6" s="6">
        <v>0.82461596651440661</v>
      </c>
      <c r="AI6" s="6">
        <v>113.07809353159843</v>
      </c>
      <c r="AJ6" s="6">
        <v>5.6539046765799217</v>
      </c>
      <c r="AK6" s="6">
        <v>13.844382286882771</v>
      </c>
      <c r="AL6" s="6">
        <v>121.26857114190128</v>
      </c>
      <c r="AM6" s="6">
        <v>1.5081568841729602</v>
      </c>
      <c r="AN6" s="6">
        <v>2.8231323361834617</v>
      </c>
      <c r="AO6" s="6">
        <v>0.21656446101782112</v>
      </c>
      <c r="AP6" s="6">
        <v>4.1147247593386007</v>
      </c>
      <c r="AQ6" s="6">
        <v>1.5636137776346486</v>
      </c>
      <c r="AR6" s="6">
        <v>1.5636137776346486</v>
      </c>
      <c r="AS6" s="6">
        <v>1.2674406949325776</v>
      </c>
      <c r="AT6" s="6">
        <v>3.858465223068924</v>
      </c>
      <c r="AU6" s="6">
        <v>0</v>
      </c>
      <c r="AV6" s="6">
        <v>0.15159512271247477</v>
      </c>
      <c r="AW6" s="6">
        <v>0.15159512271247477</v>
      </c>
      <c r="AX6" s="6">
        <v>8.9291256167441047E-2</v>
      </c>
      <c r="AY6" s="6">
        <v>8.9291256167441047E-2</v>
      </c>
      <c r="AZ6" s="6">
        <v>11.416298680292767</v>
      </c>
      <c r="BA6" s="6" t="str">
        <v>#N/A</v>
      </c>
      <c r="BB6" s="6" t="str">
        <v>#N/A</v>
      </c>
      <c r="BC6" s="6">
        <v>116.18342427282835</v>
      </c>
      <c r="BD6" s="6">
        <v>116.18342427282835</v>
      </c>
      <c r="BE6" s="6">
        <v>0</v>
      </c>
      <c r="BF6" s="6">
        <v>0.24088637887991582</v>
      </c>
      <c r="BG6" s="6">
        <v>0.1952587037888654</v>
      </c>
      <c r="BH6" s="6">
        <v>0.30580307214104679</v>
      </c>
      <c r="BI6" s="6">
        <v>73.052324209478442</v>
      </c>
      <c r="BJ6" s="6">
        <v>59.215063135709734</v>
      </c>
      <c r="BK6" s="6">
        <v>174.62461151845986</v>
      </c>
      <c r="BL6" s="6">
        <v>0</v>
      </c>
      <c r="BM6" s="6">
        <v>0</v>
      </c>
      <c r="BN6" s="6">
        <v>0.63597687452192309</v>
      </c>
      <c r="BO6" s="6">
        <v>57.792432697187991</v>
      </c>
      <c r="BP6" s="6">
        <v>0.24962300740396809</v>
      </c>
      <c r="BQ6" s="6">
        <v>45.881495253325568</v>
      </c>
      <c r="BR6" s="6">
        <v>1.2165285196810569</v>
      </c>
      <c r="BS6" s="6">
        <v>0.77368400571354035</v>
      </c>
      <c r="BT6" s="6">
        <v>70.306142597877212</v>
      </c>
      <c r="BU6" s="6">
        <v>0.30367350767548279</v>
      </c>
      <c r="BV6" s="6">
        <v>55.816147501281591</v>
      </c>
      <c r="BW6" s="6">
        <v>107.34103323441671</v>
      </c>
      <c r="BX6" s="6">
        <v>84.749215915049319</v>
      </c>
      <c r="BY6" s="6">
        <v>76.699924158450173</v>
      </c>
      <c r="BZ6" s="6">
        <v>13.888252933773364</v>
      </c>
      <c r="CA6" s="6">
        <v>0.3688395804485502</v>
      </c>
      <c r="CB6" s="6">
        <v>0.2172507193716782</v>
      </c>
      <c r="CC6" s="6">
        <v>0</v>
      </c>
      <c r="CD6" s="6">
        <v>91.17426739204376</v>
      </c>
      <c r="CE6" s="6">
        <v>10.772066160481083</v>
      </c>
      <c r="CF6" s="6">
        <v>-4.2810714443131959</v>
      </c>
      <c r="CG6" s="6">
        <v>0.3067404665197675</v>
      </c>
      <c r="CH6" s="6">
        <v>9.9123230392297579</v>
      </c>
      <c r="CI6" s="6">
        <v>-0.16619603460043963</v>
      </c>
      <c r="CJ6" s="6">
        <v>-4.6678780644443183</v>
      </c>
      <c r="CK6" s="6">
        <v>14.876459459289961</v>
      </c>
      <c r="CL6" s="6">
        <v>-7.0055726101528251</v>
      </c>
      <c r="CM6" s="6" t="str">
        <v>#DIV/0!</v>
      </c>
      <c r="CN6" s="6" t="str">
        <v>#DIV/0!</v>
      </c>
      <c r="CO6" s="6">
        <v>153.82922467271695</v>
      </c>
      <c r="CP6" s="6">
        <v>76.914612336358473</v>
      </c>
      <c r="CQ6" s="6">
        <v>8632.8685545795179</v>
      </c>
      <c r="CR6" s="6">
        <v>5614.1291692435525</v>
      </c>
      <c r="CS6" s="6">
        <v>4210.5968769326637</v>
      </c>
      <c r="CT6" s="6">
        <v>1216.5285196810569</v>
      </c>
      <c r="CU6" s="6">
        <v>14035.322923108881</v>
      </c>
      <c r="CV6" s="6">
        <v>6315.8953153989951</v>
      </c>
      <c r="CW6" s="6">
        <v>1581.487075585374</v>
      </c>
      <c r="CX6" s="6">
        <v>-50.285351902078425</v>
      </c>
      <c r="CY6" s="6">
        <v>10.25282997862023</v>
      </c>
      <c r="CZ6" s="6" t="e">
        <v>#N/A</v>
      </c>
      <c r="DA6" s="6"/>
      <c r="DB6" s="6"/>
      <c r="DC6" s="6"/>
      <c r="DD6" s="6"/>
      <c r="DE6" s="6"/>
      <c r="DF6" s="6"/>
      <c r="DG6" s="6"/>
      <c r="DH6" s="6"/>
      <c r="DI6" s="6"/>
      <c r="DJ6" s="6"/>
      <c r="DK6" s="6"/>
      <c r="DL6" s="6"/>
      <c r="DM6" s="6"/>
      <c r="DN6" s="6"/>
      <c r="DO6" s="6"/>
      <c r="DP6" s="6"/>
      <c r="DQ6" s="6"/>
      <c r="DR6" s="6"/>
      <c r="DS6" s="6"/>
      <c r="DT6" s="6"/>
      <c r="DU6" s="6"/>
      <c r="DV6" s="6"/>
      <c r="DW6" s="6"/>
      <c r="DX6" s="6"/>
      <c r="DY6" s="6"/>
      <c r="DZ6" s="6"/>
      <c r="EA6" s="6"/>
      <c r="EB6" s="6"/>
      <c r="EC6" s="6"/>
      <c r="ED6" s="6"/>
      <c r="EE6" s="6"/>
      <c r="EF6" s="6"/>
      <c r="EG6" s="6"/>
      <c r="EH6" s="6"/>
      <c r="EI6" s="6"/>
      <c r="EJ6" s="6"/>
      <c r="EK6" s="6"/>
      <c r="EL6" s="6"/>
      <c r="EM6" s="6"/>
      <c r="EN6" s="6"/>
      <c r="EO6" s="6"/>
      <c r="EP6" s="6"/>
      <c r="EQ6" s="6"/>
      <c r="ER6" s="6"/>
      <c r="ES6" s="6"/>
      <c r="ET6" s="6"/>
      <c r="EU6" s="6"/>
      <c r="EV6" s="6"/>
      <c r="EW6" s="6"/>
      <c r="EX6" s="6"/>
      <c r="EY6" s="6"/>
      <c r="EZ6" s="6"/>
      <c r="FA6" s="6"/>
      <c r="FB6" s="6"/>
      <c r="FC6" s="6"/>
      <c r="FD6" s="6"/>
      <c r="FE6" s="6"/>
      <c r="FF6" s="6"/>
      <c r="FG6" s="6"/>
      <c r="FH6" s="6"/>
      <c r="FI6" s="6"/>
      <c r="FJ6" s="6"/>
      <c r="FK6" s="6"/>
      <c r="FL6" s="6"/>
      <c r="FM6" s="6"/>
      <c r="FN6" s="6"/>
      <c r="FO6" s="6"/>
      <c r="FP6" s="6"/>
      <c r="FQ6" s="6"/>
      <c r="FR6" s="6"/>
      <c r="FS6" s="6"/>
      <c r="FT6" s="6"/>
      <c r="FU6" s="6"/>
      <c r="FV6" s="6"/>
      <c r="FW6" s="6"/>
      <c r="FX6" s="6"/>
      <c r="FY6" s="6"/>
      <c r="FZ6" s="6"/>
      <c r="GA6" s="6"/>
      <c r="GB6" s="6"/>
      <c r="GC6" s="6"/>
      <c r="GD6" s="6"/>
      <c r="GE6" s="6"/>
      <c r="GF6" s="6"/>
      <c r="GG6" s="6"/>
      <c r="GH6" s="6"/>
      <c r="GI6" s="6"/>
      <c r="GJ6" s="6"/>
      <c r="GK6" s="6"/>
      <c r="GL6" s="6"/>
      <c r="GM6" s="6"/>
      <c r="GN6" s="6"/>
      <c r="GO6" s="6"/>
      <c r="GP6" s="6"/>
      <c r="GQ6" s="6"/>
      <c r="GR6" s="6"/>
      <c r="GS6" s="6"/>
    </row>
    <row r="7" spans="1:201" x14ac:dyDescent="0.15">
      <c r="B7" s="6">
        <v>4</v>
      </c>
      <c r="C7" s="346">
        <v>7.3936523172718038E-2</v>
      </c>
      <c r="D7" s="6">
        <v>130.98830392143478</v>
      </c>
      <c r="E7" s="6">
        <v>0.76342693970584441</v>
      </c>
      <c r="F7" s="6">
        <v>132.56090631992925</v>
      </c>
      <c r="G7" s="6">
        <v>142.36199884184919</v>
      </c>
      <c r="H7" s="6">
        <v>0.75578374145572558</v>
      </c>
      <c r="I7" s="6">
        <v>50000</v>
      </c>
      <c r="J7" s="6">
        <v>0.59121276190317817</v>
      </c>
      <c r="K7" s="6">
        <v>29560</v>
      </c>
      <c r="L7" s="6">
        <v>2664</v>
      </c>
      <c r="M7" s="6">
        <v>158.19713424172866</v>
      </c>
      <c r="N7" s="6">
        <v>1.7068521601877076</v>
      </c>
      <c r="O7" s="6">
        <v>2.7615941559557648E-2</v>
      </c>
      <c r="P7" s="6">
        <v>1</v>
      </c>
      <c r="Q7" s="6">
        <v>11.274968515793761</v>
      </c>
      <c r="R7" s="6">
        <v>0.11274968515793762</v>
      </c>
      <c r="S7" s="6">
        <v>11.274968515793761</v>
      </c>
      <c r="T7" s="6">
        <v>0.11274968515793762</v>
      </c>
      <c r="U7" s="6">
        <v>6.9790568329340443</v>
      </c>
      <c r="V7" s="6">
        <v>3.4895284164670222</v>
      </c>
      <c r="W7" s="6">
        <v>2.2307241015880799E-3</v>
      </c>
      <c r="X7" s="6">
        <v>4.3205205616329886E-2</v>
      </c>
      <c r="Y7" s="6">
        <v>2.2307241015880799E-3</v>
      </c>
      <c r="Z7" s="6">
        <v>2.1602602808164944E-3</v>
      </c>
      <c r="AA7" s="6">
        <v>0</v>
      </c>
      <c r="AB7" s="6">
        <v>0</v>
      </c>
      <c r="AC7" s="6">
        <v>0</v>
      </c>
      <c r="AD7" s="6">
        <v>0</v>
      </c>
      <c r="AE7" s="6">
        <v>0</v>
      </c>
      <c r="AF7" s="6">
        <v>0</v>
      </c>
      <c r="AG7" s="346">
        <v>7.3540444827524018E-2</v>
      </c>
      <c r="AH7" s="6">
        <v>0.76614951347377813</v>
      </c>
      <c r="AI7" s="6">
        <v>121.26857114190128</v>
      </c>
      <c r="AJ7" s="6">
        <v>6.0634285570950643</v>
      </c>
      <c r="AK7" s="6">
        <v>15.31768388883161</v>
      </c>
      <c r="AL7" s="6">
        <v>130.52282647363782</v>
      </c>
      <c r="AM7" s="6">
        <v>4.1147247593386007</v>
      </c>
      <c r="AN7" s="6">
        <v>6.9542561945154242</v>
      </c>
      <c r="AO7" s="6">
        <v>0.55344904769270131</v>
      </c>
      <c r="AP7" s="6">
        <v>10.515531906161323</v>
      </c>
      <c r="AQ7" s="6">
        <v>1.7532026231958298</v>
      </c>
      <c r="AR7" s="6">
        <v>1.7532026231958298</v>
      </c>
      <c r="AS7" s="6">
        <v>1.3250420380889369</v>
      </c>
      <c r="AT7" s="6">
        <v>5.1835072611578612</v>
      </c>
      <c r="AU7" s="6">
        <v>0</v>
      </c>
      <c r="AV7" s="6">
        <v>0.3874143333848909</v>
      </c>
      <c r="AW7" s="6">
        <v>0.3874143333848909</v>
      </c>
      <c r="AX7" s="6">
        <v>0.21201235931114448</v>
      </c>
      <c r="AY7" s="6">
        <v>0.21201235931114448</v>
      </c>
      <c r="AZ7" s="6">
        <v>11.735636058973467</v>
      </c>
      <c r="BA7" s="6" t="str">
        <v>#N/A</v>
      </c>
      <c r="BB7" s="6" t="str">
        <v>#N/A</v>
      </c>
      <c r="BC7" s="6">
        <v>122.14027581601702</v>
      </c>
      <c r="BD7" s="6">
        <v>122.14027581601702</v>
      </c>
      <c r="BE7" s="6">
        <v>0</v>
      </c>
      <c r="BF7" s="6">
        <v>0.59942669269603543</v>
      </c>
      <c r="BG7" s="6">
        <v>0.45303694853424109</v>
      </c>
      <c r="BH7" s="6">
        <v>0.75884002067528789</v>
      </c>
      <c r="BI7" s="6">
        <v>82.53954046170098</v>
      </c>
      <c r="BJ7" s="6">
        <v>62.382042708180613</v>
      </c>
      <c r="BK7" s="6">
        <v>237.00665422664048</v>
      </c>
      <c r="BL7" s="6">
        <v>0</v>
      </c>
      <c r="BM7" s="6">
        <v>0</v>
      </c>
      <c r="BN7" s="6">
        <v>0.63597687452192309</v>
      </c>
      <c r="BO7" s="6">
        <v>57.792432697187991</v>
      </c>
      <c r="BP7" s="6">
        <v>0.24962300740396809</v>
      </c>
      <c r="BQ7" s="6">
        <v>45.881495253325568</v>
      </c>
      <c r="BR7" s="6">
        <v>1.3098830392143477</v>
      </c>
      <c r="BS7" s="6">
        <v>0.83305532126881843</v>
      </c>
      <c r="BT7" s="6">
        <v>75.701327384983244</v>
      </c>
      <c r="BU7" s="6">
        <v>0.32697694359613533</v>
      </c>
      <c r="BV7" s="6">
        <v>60.09939244612476</v>
      </c>
      <c r="BW7" s="6">
        <v>130.63287645079905</v>
      </c>
      <c r="BX7" s="6">
        <v>103.13887912514548</v>
      </c>
      <c r="BY7" s="6">
        <v>94.636297989631387</v>
      </c>
      <c r="BZ7" s="6">
        <v>15.372310628041655</v>
      </c>
      <c r="CA7" s="6">
        <v>1.0149349288988028</v>
      </c>
      <c r="CB7" s="6">
        <v>0.55542278713097248</v>
      </c>
      <c r="CC7" s="6">
        <v>0</v>
      </c>
      <c r="CD7" s="6">
        <v>111.57896633370282</v>
      </c>
      <c r="CE7" s="6">
        <v>10.99383307252945</v>
      </c>
      <c r="CF7" s="6">
        <v>-4.8698093629199573</v>
      </c>
      <c r="CG7" s="6">
        <v>-0.18628670867705382</v>
      </c>
      <c r="CH7" s="6">
        <v>10.072785791036951</v>
      </c>
      <c r="CI7" s="6">
        <v>-0.68468749032233756</v>
      </c>
      <c r="CJ7" s="6">
        <v>-5.2924558627671843</v>
      </c>
      <c r="CK7" s="6">
        <v>17.45760135022897</v>
      </c>
      <c r="CL7" s="6">
        <v>-9.1725950032697057</v>
      </c>
      <c r="CM7" s="6" t="str">
        <v>#DIV/0!</v>
      </c>
      <c r="CN7" s="6" t="str">
        <v>#DIV/0!</v>
      </c>
      <c r="CO7" s="6">
        <v>158.19713424172866</v>
      </c>
      <c r="CP7" s="6">
        <v>79.098567120864331</v>
      </c>
      <c r="CQ7" s="6">
        <v>9559.2784700859611</v>
      </c>
      <c r="CR7" s="6">
        <v>6216.5922898666704</v>
      </c>
      <c r="CS7" s="6">
        <v>4662.4442174000023</v>
      </c>
      <c r="CT7" s="6">
        <v>1309.8830392143477</v>
      </c>
      <c r="CU7" s="6">
        <v>15541.480724666675</v>
      </c>
      <c r="CV7" s="6">
        <v>6993.6663261000049</v>
      </c>
      <c r="CW7" s="6">
        <v>1702.8479509786519</v>
      </c>
      <c r="CX7" s="6">
        <v>-48.217050533644532</v>
      </c>
      <c r="CY7" s="6">
        <v>23.635332317343867</v>
      </c>
      <c r="CZ7" s="6" t="e">
        <v>#N/A</v>
      </c>
      <c r="DA7" s="6"/>
      <c r="DB7" s="6"/>
      <c r="DC7" s="6"/>
      <c r="DD7" s="6"/>
      <c r="DE7" s="6"/>
      <c r="DF7" s="6"/>
      <c r="DG7" s="6"/>
      <c r="DH7" s="6"/>
      <c r="DI7" s="6"/>
      <c r="DJ7" s="6"/>
      <c r="DK7" s="6"/>
      <c r="DL7" s="6"/>
      <c r="DM7" s="6"/>
      <c r="DN7" s="6"/>
      <c r="DO7" s="6"/>
      <c r="DP7" s="6"/>
      <c r="DQ7" s="6"/>
      <c r="DR7" s="6"/>
      <c r="DS7" s="6"/>
      <c r="DT7" s="6"/>
      <c r="DU7" s="6"/>
      <c r="DV7" s="6"/>
      <c r="DW7" s="6"/>
      <c r="DX7" s="6"/>
      <c r="DY7" s="6"/>
      <c r="DZ7" s="6"/>
      <c r="EA7" s="6"/>
      <c r="EB7" s="6"/>
      <c r="EC7" s="6"/>
      <c r="ED7" s="6"/>
      <c r="EE7" s="6"/>
      <c r="EF7" s="6"/>
      <c r="EG7" s="6"/>
      <c r="EH7" s="6"/>
      <c r="EI7" s="6"/>
      <c r="EJ7" s="6"/>
      <c r="EK7" s="6"/>
      <c r="EL7" s="6"/>
      <c r="EM7" s="6"/>
      <c r="EN7" s="6"/>
      <c r="EO7" s="6"/>
      <c r="EP7" s="6"/>
      <c r="EQ7" s="6"/>
      <c r="ER7" s="6"/>
      <c r="ES7" s="6"/>
      <c r="ET7" s="6"/>
      <c r="EU7" s="6"/>
      <c r="EV7" s="6"/>
      <c r="EW7" s="6"/>
      <c r="EX7" s="6"/>
      <c r="EY7" s="6"/>
      <c r="EZ7" s="6"/>
      <c r="FA7" s="6"/>
      <c r="FB7" s="6"/>
      <c r="FC7" s="6"/>
      <c r="FD7" s="6"/>
      <c r="FE7" s="6"/>
      <c r="FF7" s="6"/>
      <c r="FG7" s="6"/>
      <c r="FH7" s="6"/>
      <c r="FI7" s="6"/>
      <c r="FJ7" s="6"/>
      <c r="FK7" s="6"/>
      <c r="FL7" s="6"/>
      <c r="FM7" s="6"/>
      <c r="FN7" s="6"/>
      <c r="FO7" s="6"/>
      <c r="FP7" s="6"/>
      <c r="FQ7" s="6"/>
      <c r="FR7" s="6"/>
      <c r="FS7" s="6"/>
      <c r="FT7" s="6"/>
      <c r="FU7" s="6"/>
      <c r="FV7" s="6"/>
      <c r="FW7" s="6"/>
      <c r="FX7" s="6"/>
      <c r="FY7" s="6"/>
      <c r="FZ7" s="6"/>
      <c r="GA7" s="6"/>
      <c r="GB7" s="6"/>
      <c r="GC7" s="6"/>
      <c r="GD7" s="6"/>
      <c r="GE7" s="6"/>
      <c r="GF7" s="6"/>
      <c r="GG7" s="6"/>
      <c r="GH7" s="6"/>
      <c r="GI7" s="6"/>
      <c r="GJ7" s="6"/>
      <c r="GK7" s="6"/>
      <c r="GL7" s="6"/>
      <c r="GM7" s="6"/>
      <c r="GN7" s="6"/>
      <c r="GO7" s="6"/>
      <c r="GP7" s="6"/>
      <c r="GQ7" s="6"/>
      <c r="GR7" s="6"/>
      <c r="GS7" s="6"/>
    </row>
    <row r="8" spans="1:201" x14ac:dyDescent="0.15">
      <c r="B8" s="6">
        <v>5</v>
      </c>
      <c r="C8" s="346">
        <v>7.5590684593314694E-2</v>
      </c>
      <c r="D8" s="6">
        <v>141.27364027000263</v>
      </c>
      <c r="E8" s="6">
        <v>0.70784613328346102</v>
      </c>
      <c r="F8" s="6">
        <v>144.14506208873391</v>
      </c>
      <c r="G8" s="6">
        <v>155.04108601276715</v>
      </c>
      <c r="H8" s="6">
        <v>0.70468808971871355</v>
      </c>
      <c r="I8" s="6">
        <v>50000</v>
      </c>
      <c r="J8" s="6">
        <v>0.68877033439907276</v>
      </c>
      <c r="K8" s="6">
        <v>34438</v>
      </c>
      <c r="L8" s="6">
        <v>4878</v>
      </c>
      <c r="M8" s="6">
        <v>165.11705226449465</v>
      </c>
      <c r="N8" s="6">
        <v>2.0754998817479033</v>
      </c>
      <c r="O8" s="6">
        <v>0.03</v>
      </c>
      <c r="P8" s="6">
        <v>1</v>
      </c>
      <c r="Q8" s="6">
        <v>11.618342427282837</v>
      </c>
      <c r="R8" s="6">
        <v>0.11618342427282838</v>
      </c>
      <c r="S8" s="6">
        <v>11.618342427282837</v>
      </c>
      <c r="T8" s="6">
        <v>0.11618342427282838</v>
      </c>
      <c r="U8" s="6">
        <v>13.782656344741456</v>
      </c>
      <c r="V8" s="6">
        <v>6.891328172370728</v>
      </c>
      <c r="W8" s="6">
        <v>4.6211383386462017E-3</v>
      </c>
      <c r="X8" s="6">
        <v>8.8782766255904227E-2</v>
      </c>
      <c r="Y8" s="6">
        <v>4.6211383386462017E-3</v>
      </c>
      <c r="Z8" s="6">
        <v>4.4391383127952112E-3</v>
      </c>
      <c r="AA8" s="6">
        <v>0</v>
      </c>
      <c r="AB8" s="6">
        <v>0</v>
      </c>
      <c r="AC8" s="6">
        <v>0</v>
      </c>
      <c r="AD8" s="6">
        <v>0</v>
      </c>
      <c r="AE8" s="6">
        <v>0</v>
      </c>
      <c r="AF8" s="6">
        <v>0</v>
      </c>
      <c r="AG8" s="346">
        <v>7.5954410655356047E-2</v>
      </c>
      <c r="AH8" s="6">
        <v>0.71011215854508192</v>
      </c>
      <c r="AI8" s="6">
        <v>130.52282647363782</v>
      </c>
      <c r="AJ8" s="6">
        <v>6.526141323681891</v>
      </c>
      <c r="AK8" s="6">
        <v>16.82613952169266</v>
      </c>
      <c r="AL8" s="6">
        <v>140.82282467164859</v>
      </c>
      <c r="AM8" s="6">
        <v>10.515531906161323</v>
      </c>
      <c r="AN8" s="6">
        <v>13.738674774966036</v>
      </c>
      <c r="AO8" s="6">
        <v>1.2127103340563679</v>
      </c>
      <c r="AP8" s="6">
        <v>23.041496347070989</v>
      </c>
      <c r="AQ8" s="6">
        <v>2.083778215198731</v>
      </c>
      <c r="AR8" s="6">
        <v>2.083778215198731</v>
      </c>
      <c r="AS8" s="6">
        <v>1.4684136898658642</v>
      </c>
      <c r="AT8" s="6">
        <v>6.6519209510237252</v>
      </c>
      <c r="AU8" s="6">
        <v>8.3135616479425902</v>
      </c>
      <c r="AV8" s="6">
        <v>0.84889723383945759</v>
      </c>
      <c r="AW8" s="6">
        <v>0.84889723383945759</v>
      </c>
      <c r="AX8" s="6">
        <v>0.4305801765033474</v>
      </c>
      <c r="AY8" s="6">
        <v>0.4305801765033474</v>
      </c>
      <c r="AZ8" s="6">
        <v>11.948446255729888</v>
      </c>
      <c r="BA8" s="6" t="str">
        <v>#N/A</v>
      </c>
      <c r="BB8" s="6" t="str">
        <v>#N/A</v>
      </c>
      <c r="BC8" s="6">
        <v>128.40254166877421</v>
      </c>
      <c r="BD8" s="6">
        <v>128.40254166877421</v>
      </c>
      <c r="BE8" s="6">
        <v>0</v>
      </c>
      <c r="BF8" s="6">
        <v>1.279477410342805</v>
      </c>
      <c r="BG8" s="6">
        <v>0.9016324921327179</v>
      </c>
      <c r="BH8" s="6">
        <v>1.6604725128080058</v>
      </c>
      <c r="BI8" s="6">
        <v>96.771076889453084</v>
      </c>
      <c r="BJ8" s="6">
        <v>68.193425313251439</v>
      </c>
      <c r="BK8" s="6">
        <v>305.20007953989193</v>
      </c>
      <c r="BL8" s="6">
        <v>7.9746368333571001</v>
      </c>
      <c r="BM8" s="6">
        <v>424.35424522600795</v>
      </c>
      <c r="BN8" s="6">
        <v>0.63597687452192309</v>
      </c>
      <c r="BO8" s="6">
        <v>57.792432697187991</v>
      </c>
      <c r="BP8" s="6">
        <v>0.24962300740396809</v>
      </c>
      <c r="BQ8" s="6">
        <v>45.881495253325568</v>
      </c>
      <c r="BR8" s="6">
        <v>1.4127364027000262</v>
      </c>
      <c r="BS8" s="6">
        <v>0.89846768191250759</v>
      </c>
      <c r="BT8" s="6">
        <v>81.64547347190873</v>
      </c>
      <c r="BU8" s="6">
        <v>0.3526515095110439</v>
      </c>
      <c r="BV8" s="6">
        <v>64.818458554681484</v>
      </c>
      <c r="BW8" s="6">
        <v>171.31994010376187</v>
      </c>
      <c r="BX8" s="6">
        <v>135.26263123161121</v>
      </c>
      <c r="BY8" s="6">
        <v>125.81722607551252</v>
      </c>
      <c r="BZ8" s="6">
        <v>16.880004981174437</v>
      </c>
      <c r="CA8" s="6">
        <v>2.3985360487927165</v>
      </c>
      <c r="CB8" s="6">
        <v>1.2165925792545627</v>
      </c>
      <c r="CC8" s="6">
        <v>0</v>
      </c>
      <c r="CD8" s="6">
        <v>146.31235968473425</v>
      </c>
      <c r="CE8" s="6">
        <v>12.474049681378224</v>
      </c>
      <c r="CF8" s="6">
        <v>-5.5117232207367151</v>
      </c>
      <c r="CG8" s="6">
        <v>-0.78856716387085224</v>
      </c>
      <c r="CH8" s="6">
        <v>11.62841332786663</v>
      </c>
      <c r="CI8" s="6">
        <v>-1.3536406209526337</v>
      </c>
      <c r="CJ8" s="6">
        <v>-5.7922861171665421</v>
      </c>
      <c r="CK8" s="6">
        <v>23.31227539332582</v>
      </c>
      <c r="CL8" s="6">
        <v>-11.612192077549537</v>
      </c>
      <c r="CM8" s="6" t="str">
        <v>#DIV/0!</v>
      </c>
      <c r="CN8" s="6" t="str">
        <v>#DIV/0!</v>
      </c>
      <c r="CO8" s="6">
        <v>165.11705226449465</v>
      </c>
      <c r="CP8" s="6">
        <v>82.558526132247323</v>
      </c>
      <c r="CQ8" s="6">
        <v>10760.861586604411</v>
      </c>
      <c r="CR8" s="6">
        <v>6998.0061132172314</v>
      </c>
      <c r="CS8" s="6">
        <v>5248.5045849129237</v>
      </c>
      <c r="CT8" s="6">
        <v>1412.7364027000262</v>
      </c>
      <c r="CU8" s="6">
        <v>17495.015283043078</v>
      </c>
      <c r="CV8" s="6">
        <v>7872.7568773693847</v>
      </c>
      <c r="CW8" s="6">
        <v>1836.5573235100339</v>
      </c>
      <c r="CX8" s="6">
        <v>-46.923818030755697</v>
      </c>
      <c r="CY8" s="6">
        <v>47.437434969910491</v>
      </c>
      <c r="CZ8" s="6" t="e">
        <v>#N/A</v>
      </c>
      <c r="DA8" s="6"/>
      <c r="DB8" s="6"/>
      <c r="DC8" s="6"/>
      <c r="DD8" s="6"/>
      <c r="DE8" s="6"/>
      <c r="DF8" s="6"/>
      <c r="DG8" s="6"/>
      <c r="DH8" s="6"/>
      <c r="DI8" s="6"/>
      <c r="DJ8" s="6"/>
      <c r="DK8" s="6"/>
      <c r="DL8" s="6"/>
      <c r="DM8" s="6"/>
      <c r="DN8" s="6"/>
      <c r="DO8" s="6"/>
      <c r="DP8" s="6"/>
      <c r="DQ8" s="6"/>
      <c r="DR8" s="6"/>
      <c r="DS8" s="6"/>
      <c r="DT8" s="6"/>
      <c r="DU8" s="6"/>
      <c r="DV8" s="6"/>
      <c r="DW8" s="6"/>
      <c r="DX8" s="6"/>
      <c r="DY8" s="6"/>
      <c r="DZ8" s="6"/>
      <c r="EA8" s="6"/>
      <c r="EB8" s="6"/>
      <c r="EC8" s="6"/>
      <c r="ED8" s="6"/>
      <c r="EE8" s="6"/>
      <c r="EF8" s="6"/>
      <c r="EG8" s="6"/>
      <c r="EH8" s="6"/>
      <c r="EI8" s="6"/>
      <c r="EJ8" s="6"/>
      <c r="EK8" s="6"/>
      <c r="EL8" s="6"/>
      <c r="EM8" s="6"/>
      <c r="EN8" s="6"/>
      <c r="EO8" s="6"/>
      <c r="EP8" s="6"/>
      <c r="EQ8" s="6"/>
      <c r="ER8" s="6"/>
      <c r="ES8" s="6"/>
      <c r="ET8" s="6"/>
      <c r="EU8" s="6"/>
      <c r="EV8" s="6"/>
      <c r="EW8" s="6"/>
      <c r="EX8" s="6"/>
      <c r="EY8" s="6"/>
      <c r="EZ8" s="6"/>
      <c r="FA8" s="6"/>
      <c r="FB8" s="6"/>
      <c r="FC8" s="6"/>
      <c r="FD8" s="6"/>
      <c r="FE8" s="6"/>
      <c r="FF8" s="6"/>
      <c r="FG8" s="6"/>
      <c r="FH8" s="6"/>
      <c r="FI8" s="6"/>
      <c r="FJ8" s="6"/>
      <c r="FK8" s="6"/>
      <c r="FL8" s="6"/>
      <c r="FM8" s="6"/>
      <c r="FN8" s="6"/>
      <c r="FO8" s="6"/>
      <c r="FP8" s="6"/>
      <c r="FQ8" s="6"/>
      <c r="FR8" s="6"/>
      <c r="FS8" s="6"/>
      <c r="FT8" s="6"/>
      <c r="FU8" s="6"/>
      <c r="FV8" s="6"/>
      <c r="FW8" s="6"/>
      <c r="FX8" s="6"/>
      <c r="FY8" s="6"/>
      <c r="FZ8" s="6"/>
      <c r="GA8" s="6"/>
      <c r="GB8" s="6"/>
      <c r="GC8" s="6"/>
      <c r="GD8" s="6"/>
      <c r="GE8" s="6"/>
      <c r="GF8" s="6"/>
      <c r="GG8" s="6"/>
      <c r="GH8" s="6"/>
      <c r="GI8" s="6"/>
      <c r="GJ8" s="6"/>
      <c r="GK8" s="6"/>
      <c r="GL8" s="6"/>
      <c r="GM8" s="6"/>
      <c r="GN8" s="6"/>
      <c r="GO8" s="6"/>
      <c r="GP8" s="6"/>
      <c r="GQ8" s="6"/>
      <c r="GR8" s="6"/>
      <c r="GS8" s="6"/>
    </row>
    <row r="9" spans="1:201" x14ac:dyDescent="0.15">
      <c r="B9" s="6">
        <v>6</v>
      </c>
      <c r="C9" s="346">
        <v>7.6503068255899837E-2</v>
      </c>
      <c r="D9" s="6">
        <v>152.50567203408275</v>
      </c>
      <c r="E9" s="6">
        <v>0.65571331653586962</v>
      </c>
      <c r="F9" s="6">
        <v>146.37296967023218</v>
      </c>
      <c r="G9" s="6">
        <v>157.5709509597327</v>
      </c>
      <c r="H9" s="6">
        <v>0.65704681981505697</v>
      </c>
      <c r="I9" s="6">
        <v>50000</v>
      </c>
      <c r="J9" s="6">
        <v>0.81122966560092724</v>
      </c>
      <c r="K9" s="6">
        <v>40561</v>
      </c>
      <c r="L9" s="6">
        <v>6123</v>
      </c>
      <c r="M9" s="6">
        <v>164.56435176882752</v>
      </c>
      <c r="N9" s="6">
        <v>2.436336555314826</v>
      </c>
      <c r="O9" s="6">
        <v>0.03</v>
      </c>
      <c r="P9" s="6">
        <v>1</v>
      </c>
      <c r="Q9" s="6">
        <v>11.972173631218109</v>
      </c>
      <c r="R9" s="6">
        <v>0.1197217363121811</v>
      </c>
      <c r="S9" s="6">
        <v>11.972173631218109</v>
      </c>
      <c r="T9" s="6">
        <v>0.1197217363121811</v>
      </c>
      <c r="U9" s="6">
        <v>18.675844597293771</v>
      </c>
      <c r="V9" s="6">
        <v>9.3379222986468857</v>
      </c>
      <c r="W9" s="6">
        <v>7.8109083896619582E-3</v>
      </c>
      <c r="X9" s="6">
        <v>0.14795702893757315</v>
      </c>
      <c r="Y9" s="6">
        <v>7.8109083896619582E-3</v>
      </c>
      <c r="Z9" s="6">
        <v>7.3978514468786578E-3</v>
      </c>
      <c r="AA9" s="7">
        <v>0.2030606826864659</v>
      </c>
      <c r="AB9" s="6">
        <v>1.0153034134323296E-2</v>
      </c>
      <c r="AC9" s="6">
        <v>1.0153034134323296E-2</v>
      </c>
      <c r="AD9" s="6">
        <v>0.2030606826864659</v>
      </c>
      <c r="AE9" s="6">
        <v>1.0153034134323296E-2</v>
      </c>
      <c r="AF9" s="6">
        <v>1.0153034134323296E-2</v>
      </c>
      <c r="AG9" s="346">
        <v>7.6503068255899837E-2</v>
      </c>
      <c r="AH9" s="6">
        <v>0.65781244920013815</v>
      </c>
      <c r="AI9" s="6">
        <v>140.82282467164859</v>
      </c>
      <c r="AJ9" s="6">
        <v>7.0411412335824295</v>
      </c>
      <c r="AK9" s="6">
        <v>18.237330676966501</v>
      </c>
      <c r="AL9" s="6">
        <v>152.01901411503266</v>
      </c>
      <c r="AM9" s="6">
        <v>23.041496347070989</v>
      </c>
      <c r="AN9" s="6">
        <v>18.616248468526901</v>
      </c>
      <c r="AO9" s="6">
        <v>2.0828872407798946</v>
      </c>
      <c r="AP9" s="6">
        <v>39.574857574817997</v>
      </c>
      <c r="AQ9" s="6">
        <v>2.5038488888808801</v>
      </c>
      <c r="AR9" s="6">
        <v>2.436336555314826</v>
      </c>
      <c r="AS9" s="6">
        <v>1.600787185668777</v>
      </c>
      <c r="AT9" s="6">
        <v>1.600787185668777</v>
      </c>
      <c r="AU9" s="6">
        <v>0</v>
      </c>
      <c r="AV9" s="6">
        <v>1.4580210685459265</v>
      </c>
      <c r="AW9" s="6">
        <v>1.4580210685459265</v>
      </c>
      <c r="AX9" s="6">
        <v>0.68507457863257015</v>
      </c>
      <c r="AY9" s="6">
        <v>0.68507457863257015</v>
      </c>
      <c r="AZ9" s="6">
        <v>11.996743159488148</v>
      </c>
      <c r="BA9" s="6" t="str">
        <v>#N/A</v>
      </c>
      <c r="BB9" s="6" t="str">
        <v>#N/A</v>
      </c>
      <c r="BC9" s="6">
        <v>134.98588075760037</v>
      </c>
      <c r="BD9" s="6">
        <v>146.37296967023218</v>
      </c>
      <c r="BE9" s="6">
        <v>0</v>
      </c>
      <c r="BF9" s="6">
        <v>2.1430956471784968</v>
      </c>
      <c r="BG9" s="6">
        <v>1.4081141795381227</v>
      </c>
      <c r="BH9" s="6">
        <v>1.4081141795381227</v>
      </c>
      <c r="BI9" s="6">
        <v>117.72126490221734</v>
      </c>
      <c r="BJ9" s="6">
        <v>77.348382728607788</v>
      </c>
      <c r="BK9" s="6">
        <v>77.348382728607788</v>
      </c>
      <c r="BL9" s="6">
        <v>0</v>
      </c>
      <c r="BM9" s="6">
        <v>0</v>
      </c>
      <c r="BN9" s="6">
        <v>0.63597687452192309</v>
      </c>
      <c r="BO9" s="6">
        <v>57.792432697187991</v>
      </c>
      <c r="BP9" s="6">
        <v>0.95923229670530363</v>
      </c>
      <c r="BQ9" s="6">
        <v>51.043615624240374</v>
      </c>
      <c r="BR9" s="6">
        <v>1.5250567203408272</v>
      </c>
      <c r="BS9" s="6">
        <v>0.96990080647101384</v>
      </c>
      <c r="BT9" s="6">
        <v>88.136737869691501</v>
      </c>
      <c r="BU9" s="6">
        <v>1.4628836604583897</v>
      </c>
      <c r="BV9" s="6">
        <v>77.844409038241835</v>
      </c>
      <c r="BW9" s="6">
        <v>217.09376112796463</v>
      </c>
      <c r="BX9" s="6">
        <v>193.21925630489594</v>
      </c>
      <c r="BY9" s="6">
        <v>157.96754996950634</v>
      </c>
      <c r="BZ9" s="6">
        <v>18.295713777580247</v>
      </c>
      <c r="CA9" s="6">
        <v>4.4471296579689579</v>
      </c>
      <c r="CB9" s="6">
        <v>2.0895551801565233</v>
      </c>
      <c r="CC9" s="6">
        <v>0</v>
      </c>
      <c r="CD9" s="6">
        <v>182.79994858521206</v>
      </c>
      <c r="CE9" s="6">
        <v>14.774952413254228</v>
      </c>
      <c r="CF9" s="6">
        <v>4.4889956619861255</v>
      </c>
      <c r="CG9" s="6">
        <v>-1.0022337594576045</v>
      </c>
      <c r="CH9" s="6">
        <v>14.552819750640113</v>
      </c>
      <c r="CI9" s="6">
        <v>-0.48477062192849824</v>
      </c>
      <c r="CJ9" s="6">
        <v>3.7493998618429174</v>
      </c>
      <c r="CK9" s="6">
        <v>33.788378407585611</v>
      </c>
      <c r="CL9" s="6">
        <v>8.7128014362040744</v>
      </c>
      <c r="CM9" s="6">
        <v>3327.9094663299506</v>
      </c>
      <c r="CN9" s="6">
        <v>858.14755677316418</v>
      </c>
      <c r="CO9" s="6">
        <v>164.56435176882752</v>
      </c>
      <c r="CP9" s="6">
        <v>82.282175884413761</v>
      </c>
      <c r="CQ9" s="6">
        <v>13051.15321350227</v>
      </c>
      <c r="CR9" s="6">
        <v>7529.0991178074692</v>
      </c>
      <c r="CS9" s="6">
        <v>5646.8243383556019</v>
      </c>
      <c r="CT9" s="6">
        <v>1525.0567203408273</v>
      </c>
      <c r="CU9" s="6">
        <v>18822.747794518673</v>
      </c>
      <c r="CV9" s="6">
        <v>8470.2365075334019</v>
      </c>
      <c r="CW9" s="6">
        <v>1982.5737364430754</v>
      </c>
      <c r="CX9" s="6">
        <v>-59.477264583512024</v>
      </c>
      <c r="CY9" s="6">
        <v>71.317981087317833</v>
      </c>
      <c r="CZ9" s="6" t="e">
        <v>#N/A</v>
      </c>
      <c r="DA9" s="6"/>
      <c r="DB9" s="6"/>
      <c r="DC9" s="6"/>
      <c r="DD9" s="6"/>
      <c r="DE9" s="6"/>
      <c r="DF9" s="6"/>
      <c r="DG9" s="6"/>
      <c r="DH9" s="6"/>
      <c r="DI9" s="6"/>
      <c r="DJ9" s="6"/>
      <c r="DK9" s="6"/>
      <c r="DL9" s="6"/>
      <c r="DM9" s="6"/>
      <c r="DN9" s="6"/>
      <c r="DO9" s="6"/>
      <c r="DP9" s="6"/>
      <c r="DQ9" s="6"/>
      <c r="DR9" s="6"/>
      <c r="DS9" s="6"/>
      <c r="DT9" s="6"/>
      <c r="DU9" s="6"/>
      <c r="DV9" s="6"/>
      <c r="DW9" s="6"/>
      <c r="DX9" s="6"/>
      <c r="DY9" s="6"/>
      <c r="DZ9" s="6"/>
      <c r="EA9" s="6"/>
      <c r="EB9" s="6"/>
      <c r="EC9" s="6"/>
      <c r="ED9" s="6"/>
      <c r="EE9" s="6"/>
      <c r="EF9" s="6"/>
      <c r="EG9" s="6"/>
      <c r="EH9" s="6"/>
      <c r="EI9" s="6"/>
      <c r="EJ9" s="6"/>
      <c r="EK9" s="6"/>
      <c r="EL9" s="6"/>
      <c r="EM9" s="6"/>
      <c r="EN9" s="6"/>
      <c r="EO9" s="6"/>
      <c r="EP9" s="6"/>
      <c r="EQ9" s="6"/>
      <c r="ER9" s="6"/>
      <c r="ES9" s="6"/>
      <c r="ET9" s="6"/>
      <c r="EU9" s="6"/>
      <c r="EV9" s="6"/>
      <c r="EW9" s="6"/>
      <c r="EX9" s="6"/>
      <c r="EY9" s="6"/>
      <c r="EZ9" s="6"/>
      <c r="FA9" s="6"/>
      <c r="FB9" s="6"/>
      <c r="FC9" s="6"/>
      <c r="FD9" s="6"/>
      <c r="FE9" s="6"/>
      <c r="FF9" s="6"/>
      <c r="FG9" s="6"/>
      <c r="FH9" s="6"/>
      <c r="FI9" s="6"/>
      <c r="FJ9" s="6"/>
      <c r="FK9" s="6"/>
      <c r="FL9" s="6"/>
      <c r="FM9" s="6"/>
      <c r="FN9" s="6"/>
      <c r="FO9" s="6"/>
      <c r="FP9" s="6"/>
      <c r="FQ9" s="6"/>
      <c r="FR9" s="6"/>
      <c r="FS9" s="6"/>
      <c r="FT9" s="6"/>
      <c r="FU9" s="6"/>
      <c r="FV9" s="6"/>
      <c r="FW9" s="6"/>
      <c r="FX9" s="6"/>
      <c r="FY9" s="6"/>
      <c r="FZ9" s="6"/>
      <c r="GA9" s="6"/>
      <c r="GB9" s="6"/>
      <c r="GC9" s="6"/>
      <c r="GD9" s="6"/>
      <c r="GE9" s="6"/>
      <c r="GF9" s="6"/>
      <c r="GG9" s="6"/>
      <c r="GH9" s="6"/>
      <c r="GI9" s="6"/>
      <c r="GJ9" s="6"/>
      <c r="GK9" s="6"/>
      <c r="GL9" s="6"/>
      <c r="GM9" s="6"/>
      <c r="GN9" s="6"/>
      <c r="GO9" s="6"/>
      <c r="GP9" s="6"/>
      <c r="GQ9" s="6"/>
      <c r="GR9" s="6"/>
      <c r="GS9" s="6"/>
    </row>
    <row r="10" spans="1:201" x14ac:dyDescent="0.15">
      <c r="B10" s="6">
        <v>7</v>
      </c>
      <c r="C10" s="346">
        <v>7.8387356574609643E-2</v>
      </c>
      <c r="D10" s="6">
        <v>164.94121630360021</v>
      </c>
      <c r="E10" s="6">
        <v>0.60627660108880421</v>
      </c>
      <c r="F10" s="6">
        <v>155.36164237109372</v>
      </c>
      <c r="G10" s="6">
        <v>167.54003082965363</v>
      </c>
      <c r="H10" s="6">
        <v>0.61262639418441622</v>
      </c>
      <c r="I10" s="6">
        <v>50000</v>
      </c>
      <c r="J10" s="6">
        <v>0.90878723809682183</v>
      </c>
      <c r="K10" s="6">
        <v>45439</v>
      </c>
      <c r="L10" s="6">
        <v>4878</v>
      </c>
      <c r="M10" s="6">
        <v>164.56285205725655</v>
      </c>
      <c r="N10" s="6">
        <v>2.7293135736398333</v>
      </c>
      <c r="O10" s="6">
        <v>0.03</v>
      </c>
      <c r="P10" s="6">
        <v>1</v>
      </c>
      <c r="Q10" s="6">
        <v>12.33678059956744</v>
      </c>
      <c r="R10" s="6">
        <v>0.12336780599567441</v>
      </c>
      <c r="S10" s="6">
        <v>12.33678059956744</v>
      </c>
      <c r="T10" s="6">
        <v>0.12336780599567441</v>
      </c>
      <c r="U10" s="6">
        <v>16.091665062579239</v>
      </c>
      <c r="V10" s="6">
        <v>8.0458325312896193</v>
      </c>
      <c r="W10" s="6">
        <v>1.0400296738193799E-2</v>
      </c>
      <c r="X10" s="6">
        <v>0.19193388751854804</v>
      </c>
      <c r="Y10" s="6">
        <v>1.0400296738193799E-2</v>
      </c>
      <c r="Z10" s="6">
        <v>9.5966943759274032E-3</v>
      </c>
      <c r="AA10" s="7">
        <v>0.54234542181146617</v>
      </c>
      <c r="AB10" s="6">
        <v>2.7656097371720704E-2</v>
      </c>
      <c r="AC10" s="6">
        <v>2.7117271090573308E-2</v>
      </c>
      <c r="AD10" s="6">
        <v>0.54234542181146617</v>
      </c>
      <c r="AE10" s="6">
        <v>2.7656097371720704E-2</v>
      </c>
      <c r="AF10" s="6">
        <v>2.7117271090573308E-2</v>
      </c>
      <c r="AG10" s="346">
        <v>7.785246075196911E-2</v>
      </c>
      <c r="AH10" s="6">
        <v>0.6085428921853111</v>
      </c>
      <c r="AI10" s="6">
        <v>152.01901411503266</v>
      </c>
      <c r="AJ10" s="6">
        <v>7.6009507057516332</v>
      </c>
      <c r="AK10" s="6">
        <v>19.90889083529898</v>
      </c>
      <c r="AL10" s="6">
        <v>164.32695424458001</v>
      </c>
      <c r="AM10" s="6">
        <v>39.574857574817997</v>
      </c>
      <c r="AN10" s="6">
        <v>16.031737656101225</v>
      </c>
      <c r="AO10" s="6">
        <v>2.7803297615459615</v>
      </c>
      <c r="AP10" s="6">
        <v>52.826265469373261</v>
      </c>
      <c r="AQ10" s="6">
        <v>2.8616341902584765</v>
      </c>
      <c r="AR10" s="6">
        <v>2.7844747407187294</v>
      </c>
      <c r="AS10" s="6">
        <v>1.7058427201041024</v>
      </c>
      <c r="AT10" s="6">
        <v>3.3066299057728794</v>
      </c>
      <c r="AU10" s="6">
        <v>0</v>
      </c>
      <c r="AV10" s="6">
        <v>1.9462308330821732</v>
      </c>
      <c r="AW10" s="6">
        <v>1.9462308330821732</v>
      </c>
      <c r="AX10" s="6">
        <v>0.8459749571600379</v>
      </c>
      <c r="AY10" s="6">
        <v>0.8459749571600379</v>
      </c>
      <c r="AZ10" s="6">
        <v>12.115414009114476</v>
      </c>
      <c r="BA10" s="6" t="str">
        <v>#N/A</v>
      </c>
      <c r="BB10" s="6" t="str">
        <v>#N/A</v>
      </c>
      <c r="BC10" s="6">
        <v>141.90675485932579</v>
      </c>
      <c r="BD10" s="6">
        <v>153.87767230503951</v>
      </c>
      <c r="BE10" s="6">
        <v>0</v>
      </c>
      <c r="BF10" s="6">
        <v>2.7922057902422113</v>
      </c>
      <c r="BG10" s="6">
        <v>1.7105789650969343</v>
      </c>
      <c r="BH10" s="6">
        <v>3.1186931446350572</v>
      </c>
      <c r="BI10" s="6">
        <v>136.1358602124503</v>
      </c>
      <c r="BJ10" s="6">
        <v>83.400421161147165</v>
      </c>
      <c r="BK10" s="6">
        <v>160.74880388975495</v>
      </c>
      <c r="BL10" s="6">
        <v>0</v>
      </c>
      <c r="BM10" s="6">
        <v>0</v>
      </c>
      <c r="BN10" s="6">
        <v>0.63597687452192309</v>
      </c>
      <c r="BO10" s="6">
        <v>57.792432697187991</v>
      </c>
      <c r="BP10" s="6">
        <v>0.95923229670530363</v>
      </c>
      <c r="BQ10" s="6">
        <v>51.043615624240374</v>
      </c>
      <c r="BR10" s="6">
        <v>1.6494121630360021</v>
      </c>
      <c r="BS10" s="6">
        <v>1.0489879922460812</v>
      </c>
      <c r="BT10" s="6">
        <v>95.323541422181421</v>
      </c>
      <c r="BU10" s="6">
        <v>1.582169417362687</v>
      </c>
      <c r="BV10" s="6">
        <v>84.19196045595659</v>
      </c>
      <c r="BW10" s="6">
        <v>263.03085265680107</v>
      </c>
      <c r="BX10" s="6">
        <v>234.10449693039624</v>
      </c>
      <c r="BY10" s="6">
        <v>198.16917830030417</v>
      </c>
      <c r="BZ10" s="6">
        <v>19.983311226850191</v>
      </c>
      <c r="CA10" s="6">
        <v>6.4202736163228549</v>
      </c>
      <c r="CB10" s="6">
        <v>2.7907227679272548</v>
      </c>
      <c r="CC10" s="6">
        <v>0</v>
      </c>
      <c r="CD10" s="6">
        <v>227.36348591140447</v>
      </c>
      <c r="CE10" s="6">
        <v>13.247610736097462</v>
      </c>
      <c r="CF10" s="6">
        <v>2.503753377276511</v>
      </c>
      <c r="CG10" s="6">
        <v>-0.45115492115119338</v>
      </c>
      <c r="CH10" s="6">
        <v>14.090844072777056</v>
      </c>
      <c r="CI10" s="6">
        <v>8.9344156620571213E-2</v>
      </c>
      <c r="CJ10" s="6">
        <v>2.8064876361843338</v>
      </c>
      <c r="CK10" s="6">
        <v>37.964773600807746</v>
      </c>
      <c r="CL10" s="6">
        <v>7.5831985736195122</v>
      </c>
      <c r="CM10" s="6">
        <v>1400.0219075880877</v>
      </c>
      <c r="CN10" s="6">
        <v>279.64460539894208</v>
      </c>
      <c r="CO10" s="6">
        <v>164.56285205725655</v>
      </c>
      <c r="CP10" s="6">
        <v>82.281426028628275</v>
      </c>
      <c r="CQ10" s="6">
        <v>14115.23544468295</v>
      </c>
      <c r="CR10" s="6">
        <v>8142.9590930139948</v>
      </c>
      <c r="CS10" s="6">
        <v>6107.2193197604956</v>
      </c>
      <c r="CT10" s="6">
        <v>1649.4121630360021</v>
      </c>
      <c r="CU10" s="6">
        <v>20357.397732534988</v>
      </c>
      <c r="CV10" s="6">
        <v>9160.8289796407444</v>
      </c>
      <c r="CW10" s="6">
        <v>2144.2358119468026</v>
      </c>
      <c r="CX10" s="6">
        <v>-55.45572853757281</v>
      </c>
      <c r="CY10" s="6">
        <v>89.056502612927844</v>
      </c>
      <c r="CZ10" s="6" t="e">
        <v>#N/A</v>
      </c>
      <c r="DA10" s="6"/>
      <c r="DB10" s="6"/>
      <c r="DC10" s="6"/>
      <c r="DD10" s="6"/>
      <c r="DE10" s="6"/>
      <c r="DF10" s="6"/>
      <c r="DG10" s="6"/>
      <c r="DH10" s="6"/>
      <c r="DI10" s="6"/>
      <c r="DJ10" s="6"/>
      <c r="DK10" s="6"/>
      <c r="DL10" s="6"/>
      <c r="DM10" s="6"/>
      <c r="DN10" s="6"/>
      <c r="DO10" s="6"/>
      <c r="DP10" s="6"/>
      <c r="DQ10" s="6"/>
      <c r="DR10" s="6"/>
      <c r="DS10" s="6"/>
      <c r="DT10" s="6"/>
      <c r="DU10" s="6"/>
      <c r="DV10" s="6"/>
      <c r="DW10" s="6"/>
      <c r="DX10" s="6"/>
      <c r="DY10" s="6"/>
      <c r="DZ10" s="6"/>
      <c r="EA10" s="6"/>
      <c r="EB10" s="6"/>
      <c r="EC10" s="6"/>
      <c r="ED10" s="6"/>
      <c r="EE10" s="6"/>
      <c r="EF10" s="6"/>
      <c r="EG10" s="6"/>
      <c r="EH10" s="6"/>
      <c r="EI10" s="6"/>
      <c r="EJ10" s="6"/>
      <c r="EK10" s="6"/>
      <c r="EL10" s="6"/>
      <c r="EM10" s="6"/>
      <c r="EN10" s="6"/>
      <c r="EO10" s="6"/>
      <c r="EP10" s="6"/>
      <c r="EQ10" s="6"/>
      <c r="ER10" s="6"/>
      <c r="ES10" s="6"/>
      <c r="ET10" s="6"/>
      <c r="EU10" s="6"/>
      <c r="EV10" s="6"/>
      <c r="EW10" s="6"/>
      <c r="EX10" s="6"/>
      <c r="EY10" s="6"/>
      <c r="EZ10" s="6"/>
      <c r="FA10" s="6"/>
      <c r="FB10" s="6"/>
      <c r="FC10" s="6"/>
      <c r="FD10" s="6"/>
      <c r="FE10" s="6"/>
      <c r="FF10" s="6"/>
      <c r="FG10" s="6"/>
      <c r="FH10" s="6"/>
      <c r="FI10" s="6"/>
      <c r="FJ10" s="6"/>
      <c r="FK10" s="6"/>
      <c r="FL10" s="6"/>
      <c r="FM10" s="6"/>
      <c r="FN10" s="6"/>
      <c r="FO10" s="6"/>
      <c r="FP10" s="6"/>
      <c r="FQ10" s="6"/>
      <c r="FR10" s="6"/>
      <c r="FS10" s="6"/>
      <c r="FT10" s="6"/>
      <c r="FU10" s="6"/>
      <c r="FV10" s="6"/>
      <c r="FW10" s="6"/>
      <c r="FX10" s="6"/>
      <c r="FY10" s="6"/>
      <c r="FZ10" s="6"/>
      <c r="GA10" s="6"/>
      <c r="GB10" s="6"/>
      <c r="GC10" s="6"/>
      <c r="GD10" s="6"/>
      <c r="GE10" s="6"/>
      <c r="GF10" s="6"/>
      <c r="GG10" s="6"/>
      <c r="GH10" s="6"/>
      <c r="GI10" s="6"/>
      <c r="GJ10" s="6"/>
      <c r="GK10" s="6"/>
      <c r="GL10" s="6"/>
      <c r="GM10" s="6"/>
      <c r="GN10" s="6"/>
      <c r="GO10" s="6"/>
      <c r="GP10" s="6"/>
      <c r="GQ10" s="6"/>
      <c r="GR10" s="6"/>
      <c r="GS10" s="6"/>
    </row>
    <row r="11" spans="1:201" x14ac:dyDescent="0.15">
      <c r="B11" s="6">
        <v>8</v>
      </c>
      <c r="C11" s="346">
        <v>7.906095556790714E-2</v>
      </c>
      <c r="D11" s="6">
        <v>178.5109780777079</v>
      </c>
      <c r="E11" s="6">
        <v>0.56018963694473078</v>
      </c>
      <c r="F11" s="6">
        <v>155.45922031780174</v>
      </c>
      <c r="G11" s="6">
        <v>167.74997482796894</v>
      </c>
      <c r="H11" s="6">
        <v>0.57120906384881509</v>
      </c>
      <c r="I11" s="6">
        <v>50000</v>
      </c>
      <c r="J11" s="6">
        <v>0.96207090998937828</v>
      </c>
      <c r="K11" s="6">
        <v>48103</v>
      </c>
      <c r="L11" s="6">
        <v>2664</v>
      </c>
      <c r="M11" s="6">
        <v>168.63930600180703</v>
      </c>
      <c r="N11" s="6">
        <v>2.960900635860797</v>
      </c>
      <c r="O11" s="6">
        <v>0.03</v>
      </c>
      <c r="P11" s="6">
        <v>1</v>
      </c>
      <c r="Q11" s="6">
        <v>12.712491503214055</v>
      </c>
      <c r="R11" s="6">
        <v>0.12712491503214057</v>
      </c>
      <c r="S11" s="6">
        <v>12.712491503214055</v>
      </c>
      <c r="T11" s="6">
        <v>0.12712491503214057</v>
      </c>
      <c r="U11" s="6">
        <v>9.511064911980279</v>
      </c>
      <c r="V11" s="6">
        <v>4.7555324559901395</v>
      </c>
      <c r="W11" s="6">
        <v>1.192980796508292E-2</v>
      </c>
      <c r="X11" s="6">
        <v>0.21212381531813665</v>
      </c>
      <c r="Y11" s="6">
        <v>1.192980796508292E-2</v>
      </c>
      <c r="Z11" s="6">
        <v>1.0606190765906832E-2</v>
      </c>
      <c r="AA11" s="7">
        <v>1.3832581389446337</v>
      </c>
      <c r="AB11" s="6">
        <v>7.1085745015346383E-2</v>
      </c>
      <c r="AC11" s="6">
        <v>6.9162906947231678E-2</v>
      </c>
      <c r="AD11" s="6">
        <v>1.3832581389446337</v>
      </c>
      <c r="AE11" s="6">
        <v>7.1085745015346383E-2</v>
      </c>
      <c r="AF11" s="6">
        <v>6.9162906947231678E-2</v>
      </c>
      <c r="AG11" s="346">
        <v>7.8692921055517409E-2</v>
      </c>
      <c r="AH11" s="6">
        <v>0.56249063062763449</v>
      </c>
      <c r="AI11" s="6">
        <v>164.32695424458001</v>
      </c>
      <c r="AJ11" s="6">
        <v>8.2163477122290001</v>
      </c>
      <c r="AK11" s="6">
        <v>21.670132479103636</v>
      </c>
      <c r="AL11" s="6">
        <v>177.78073901145464</v>
      </c>
      <c r="AM11" s="6">
        <v>52.826265469373261</v>
      </c>
      <c r="AN11" s="6">
        <v>9.4721577745303023</v>
      </c>
      <c r="AO11" s="6">
        <v>3.1149211621951785</v>
      </c>
      <c r="AP11" s="6">
        <v>59.183502081708383</v>
      </c>
      <c r="AQ11" s="6">
        <v>3.0906042901457171</v>
      </c>
      <c r="AR11" s="6">
        <v>3.0072710232366839</v>
      </c>
      <c r="AS11" s="6">
        <v>1.7177804659226945</v>
      </c>
      <c r="AT11" s="6">
        <v>5.0244103716955735</v>
      </c>
      <c r="AU11" s="6">
        <v>0</v>
      </c>
      <c r="AV11" s="6">
        <v>2.1804448135366248</v>
      </c>
      <c r="AW11" s="6">
        <v>2.1804448135366248</v>
      </c>
      <c r="AX11" s="6">
        <v>0.87605698443926505</v>
      </c>
      <c r="AY11" s="6">
        <v>0.87605698443926505</v>
      </c>
      <c r="AZ11" s="6">
        <v>12.189246483955388</v>
      </c>
      <c r="BA11" s="6" t="str">
        <v>#N/A</v>
      </c>
      <c r="BB11" s="6" t="str">
        <v>#N/A</v>
      </c>
      <c r="BC11" s="6">
        <v>149.18246976412712</v>
      </c>
      <c r="BD11" s="6">
        <v>161.76714927190946</v>
      </c>
      <c r="BE11" s="6">
        <v>0</v>
      </c>
      <c r="BF11" s="6">
        <v>3.0565017979758897</v>
      </c>
      <c r="BG11" s="6">
        <v>1.7459015306740282</v>
      </c>
      <c r="BH11" s="6">
        <v>4.8645946753090854</v>
      </c>
      <c r="BI11" s="6">
        <v>151.69126518928556</v>
      </c>
      <c r="BJ11" s="6">
        <v>86.647425582814151</v>
      </c>
      <c r="BK11" s="6">
        <v>247.3962294725691</v>
      </c>
      <c r="BL11" s="6">
        <v>0</v>
      </c>
      <c r="BM11" s="6">
        <v>0</v>
      </c>
      <c r="BN11" s="6">
        <v>0.63597687452192309</v>
      </c>
      <c r="BO11" s="6">
        <v>57.792432697187991</v>
      </c>
      <c r="BP11" s="6">
        <v>0.95923229670530363</v>
      </c>
      <c r="BQ11" s="6">
        <v>51.043615624240374</v>
      </c>
      <c r="BR11" s="6">
        <v>1.7851097807770793</v>
      </c>
      <c r="BS11" s="6">
        <v>1.1352885390571221</v>
      </c>
      <c r="BT11" s="6">
        <v>103.16583686265136</v>
      </c>
      <c r="BU11" s="6">
        <v>1.7123349548858988</v>
      </c>
      <c r="BV11" s="6">
        <v>91.118457497057236</v>
      </c>
      <c r="BW11" s="6">
        <v>308.82526852291539</v>
      </c>
      <c r="BX11" s="6">
        <v>274.86275239842013</v>
      </c>
      <c r="BY11" s="6">
        <v>234.92948100039831</v>
      </c>
      <c r="BZ11" s="6">
        <v>21.759143118811387</v>
      </c>
      <c r="CA11" s="6">
        <v>7.7846667261777673</v>
      </c>
      <c r="CB11" s="6">
        <v>3.1277157828812112</v>
      </c>
      <c r="CC11" s="6">
        <v>0</v>
      </c>
      <c r="CD11" s="6">
        <v>267.60100662826869</v>
      </c>
      <c r="CE11" s="6">
        <v>13.191161853613812</v>
      </c>
      <c r="CF11" s="6">
        <v>2.3236526111411657</v>
      </c>
      <c r="CG11" s="6">
        <v>0.26989542056547056</v>
      </c>
      <c r="CH11" s="6">
        <v>14.801613506841518</v>
      </c>
      <c r="CI11" s="6">
        <v>0.81661514394396517</v>
      </c>
      <c r="CJ11" s="6">
        <v>3.3873845409903764</v>
      </c>
      <c r="CK11" s="6">
        <v>46.326315873515512</v>
      </c>
      <c r="CL11" s="6">
        <v>10.655222649471625</v>
      </c>
      <c r="CM11" s="6">
        <v>669.8144701879072</v>
      </c>
      <c r="CN11" s="6">
        <v>154.0597860873763</v>
      </c>
      <c r="CO11" s="6">
        <v>168.63930600180703</v>
      </c>
      <c r="CP11" s="6">
        <v>84.319653000903514</v>
      </c>
      <c r="CQ11" s="6">
        <v>15654.920414693477</v>
      </c>
      <c r="CR11" s="6">
        <v>9031.1902370185362</v>
      </c>
      <c r="CS11" s="6">
        <v>6773.3926777639026</v>
      </c>
      <c r="CT11" s="6">
        <v>1785.1097807770793</v>
      </c>
      <c r="CU11" s="6">
        <v>22577.97559254634</v>
      </c>
      <c r="CV11" s="6">
        <v>10160.089016645852</v>
      </c>
      <c r="CW11" s="6">
        <v>2320.6427150102031</v>
      </c>
      <c r="CX11" s="6">
        <v>-52.987423444761916</v>
      </c>
      <c r="CY11" s="6">
        <v>98.301468825876483</v>
      </c>
      <c r="CZ11" s="6" t="e">
        <v>#N/A</v>
      </c>
      <c r="DA11" s="6"/>
      <c r="DB11" s="6"/>
      <c r="DC11" s="6"/>
      <c r="DD11" s="6"/>
      <c r="DE11" s="6"/>
      <c r="DF11" s="6"/>
      <c r="DG11" s="6"/>
      <c r="DH11" s="6"/>
      <c r="DI11" s="6"/>
      <c r="DJ11" s="6"/>
      <c r="DK11" s="6"/>
      <c r="DL11" s="6"/>
      <c r="DM11" s="6"/>
      <c r="DN11" s="6"/>
      <c r="DO11" s="6"/>
      <c r="DP11" s="6"/>
      <c r="DQ11" s="6"/>
      <c r="DR11" s="6"/>
      <c r="DS11" s="6"/>
      <c r="DT11" s="6"/>
      <c r="DU11" s="6"/>
      <c r="DV11" s="6"/>
      <c r="DW11" s="6"/>
      <c r="DX11" s="6"/>
      <c r="DY11" s="6"/>
      <c r="DZ11" s="6"/>
      <c r="EA11" s="6"/>
      <c r="EB11" s="6"/>
      <c r="EC11" s="6"/>
      <c r="ED11" s="6"/>
      <c r="EE11" s="6"/>
      <c r="EF11" s="6"/>
      <c r="EG11" s="6"/>
      <c r="EH11" s="6"/>
      <c r="EI11" s="6"/>
      <c r="EJ11" s="6"/>
      <c r="EK11" s="6"/>
      <c r="EL11" s="6"/>
      <c r="EM11" s="6"/>
      <c r="EN11" s="6"/>
      <c r="EO11" s="6"/>
      <c r="EP11" s="6"/>
      <c r="EQ11" s="6"/>
      <c r="ER11" s="6"/>
      <c r="ES11" s="6"/>
      <c r="ET11" s="6"/>
      <c r="EU11" s="6"/>
      <c r="EV11" s="6"/>
      <c r="EW11" s="6"/>
      <c r="EX11" s="6"/>
      <c r="EY11" s="6"/>
      <c r="EZ11" s="6"/>
      <c r="FA11" s="6"/>
      <c r="FB11" s="6"/>
      <c r="FC11" s="6"/>
      <c r="FD11" s="6"/>
      <c r="FE11" s="6"/>
      <c r="FF11" s="6"/>
      <c r="FG11" s="6"/>
      <c r="FH11" s="6"/>
      <c r="FI11" s="6"/>
      <c r="FJ11" s="6"/>
      <c r="FK11" s="6"/>
      <c r="FL11" s="6"/>
      <c r="FM11" s="6"/>
      <c r="FN11" s="6"/>
      <c r="FO11" s="6"/>
      <c r="FP11" s="6"/>
      <c r="FQ11" s="6"/>
      <c r="FR11" s="6"/>
      <c r="FS11" s="6"/>
      <c r="FT11" s="6"/>
      <c r="FU11" s="6"/>
      <c r="FV11" s="6"/>
      <c r="FW11" s="6"/>
      <c r="FX11" s="6"/>
      <c r="FY11" s="6"/>
      <c r="FZ11" s="6"/>
      <c r="GA11" s="6"/>
      <c r="GB11" s="6"/>
      <c r="GC11" s="6"/>
      <c r="GD11" s="6"/>
      <c r="GE11" s="6"/>
      <c r="GF11" s="6"/>
      <c r="GG11" s="6"/>
      <c r="GH11" s="6"/>
      <c r="GI11" s="6"/>
      <c r="GJ11" s="6"/>
      <c r="GK11" s="6"/>
      <c r="GL11" s="6"/>
      <c r="GM11" s="6"/>
      <c r="GN11" s="6"/>
      <c r="GO11" s="6"/>
      <c r="GP11" s="6"/>
      <c r="GQ11" s="6"/>
      <c r="GR11" s="6"/>
      <c r="GS11" s="6"/>
    </row>
    <row r="12" spans="1:201" x14ac:dyDescent="0.15">
      <c r="B12" s="6">
        <v>9</v>
      </c>
      <c r="C12" s="346">
        <v>8.3232331689103725E-2</v>
      </c>
      <c r="D12" s="6">
        <v>194.00470917245477</v>
      </c>
      <c r="E12" s="6">
        <v>0.5154514054146383</v>
      </c>
      <c r="F12" s="6">
        <v>157.47356079575636</v>
      </c>
      <c r="G12" s="6">
        <v>170.58045244017299</v>
      </c>
      <c r="H12" s="6">
        <v>0.5325918010068974</v>
      </c>
      <c r="I12" s="6">
        <v>50000</v>
      </c>
      <c r="J12" s="6">
        <v>0.98534388462432188</v>
      </c>
      <c r="K12" s="6">
        <v>49267</v>
      </c>
      <c r="L12" s="6">
        <v>1164</v>
      </c>
      <c r="M12" s="6">
        <v>168.27564956481112</v>
      </c>
      <c r="N12" s="6">
        <v>3.0260092958949856</v>
      </c>
      <c r="O12" s="6">
        <v>0.03</v>
      </c>
      <c r="P12" s="6">
        <v>1</v>
      </c>
      <c r="Q12" s="6">
        <v>13.099644507332483</v>
      </c>
      <c r="R12" s="6">
        <v>0.13099644507332486</v>
      </c>
      <c r="S12" s="6">
        <v>13.099644507332483</v>
      </c>
      <c r="T12" s="6">
        <v>0.13099644507332486</v>
      </c>
      <c r="U12" s="6">
        <v>4.5164296295347484</v>
      </c>
      <c r="V12" s="6">
        <v>2.2582148147673742</v>
      </c>
      <c r="W12" s="6">
        <v>1.2646821920745066E-2</v>
      </c>
      <c r="X12" s="6">
        <v>0.21453428646629666</v>
      </c>
      <c r="Y12" s="6">
        <v>1.2646821920745066E-2</v>
      </c>
      <c r="Z12" s="6">
        <v>1.0726714323314833E-2</v>
      </c>
      <c r="AA12" s="7">
        <v>3.4018387866581392</v>
      </c>
      <c r="AB12" s="6">
        <v>0.17564003371499473</v>
      </c>
      <c r="AC12" s="6">
        <v>0.17009193933290698</v>
      </c>
      <c r="AD12" s="6">
        <v>3.4018387866581392</v>
      </c>
      <c r="AE12" s="6">
        <v>0.17564003371499473</v>
      </c>
      <c r="AF12" s="6">
        <v>0.17009193933290698</v>
      </c>
      <c r="AG12" s="346">
        <v>7.9208894565257204E-2</v>
      </c>
      <c r="AH12" s="6">
        <v>0.5196552353328886</v>
      </c>
      <c r="AI12" s="6">
        <v>177.78073901145464</v>
      </c>
      <c r="AJ12" s="6">
        <v>8.8890369505727325</v>
      </c>
      <c r="AK12" s="6">
        <v>23.543576563686358</v>
      </c>
      <c r="AL12" s="6">
        <v>192.43527862456827</v>
      </c>
      <c r="AM12" s="6">
        <v>59.183502081708383</v>
      </c>
      <c r="AN12" s="6">
        <v>4.4798932863799488</v>
      </c>
      <c r="AO12" s="6">
        <v>3.1831697684044169</v>
      </c>
      <c r="AP12" s="6">
        <v>60.480225599683912</v>
      </c>
      <c r="AQ12" s="6">
        <v>3.2293361036334907</v>
      </c>
      <c r="AR12" s="6">
        <v>3.1422621523285246</v>
      </c>
      <c r="AS12" s="6">
        <v>1.6735430589444587</v>
      </c>
      <c r="AT12" s="6">
        <v>6.6979534306400321</v>
      </c>
      <c r="AU12" s="6">
        <v>0</v>
      </c>
      <c r="AV12" s="6">
        <v>2.2282188378830918</v>
      </c>
      <c r="AW12" s="6">
        <v>2.2282188378830918</v>
      </c>
      <c r="AX12" s="6">
        <v>0.82707541755236691</v>
      </c>
      <c r="AY12" s="6">
        <v>0.82707541755236691</v>
      </c>
      <c r="AZ12" s="6">
        <v>12.234542819780314</v>
      </c>
      <c r="BA12" s="6" t="str">
        <v>#N/A</v>
      </c>
      <c r="BB12" s="6" t="str">
        <v>#N/A</v>
      </c>
      <c r="BC12" s="6">
        <v>156.831218549017</v>
      </c>
      <c r="BD12" s="6">
        <v>170.06112837270422</v>
      </c>
      <c r="BE12" s="6">
        <v>0</v>
      </c>
      <c r="BF12" s="6">
        <v>3.0552942554354585</v>
      </c>
      <c r="BG12" s="6">
        <v>1.6272246701083986</v>
      </c>
      <c r="BH12" s="6">
        <v>6.4918193454174844</v>
      </c>
      <c r="BI12" s="6">
        <v>165.26890367611543</v>
      </c>
      <c r="BJ12" s="6">
        <v>88.020863059297767</v>
      </c>
      <c r="BK12" s="6">
        <v>335.41709253186684</v>
      </c>
      <c r="BL12" s="6">
        <v>0</v>
      </c>
      <c r="BM12" s="6">
        <v>0</v>
      </c>
      <c r="BN12" s="6">
        <v>0.63597687452192309</v>
      </c>
      <c r="BO12" s="6">
        <v>57.792432697187991</v>
      </c>
      <c r="BP12" s="6">
        <v>0.95923229670530363</v>
      </c>
      <c r="BQ12" s="6">
        <v>51.043615624240374</v>
      </c>
      <c r="BR12" s="6">
        <v>1.940047091724548</v>
      </c>
      <c r="BS12" s="6">
        <v>1.2338250858203248</v>
      </c>
      <c r="BT12" s="6">
        <v>112.12004097786624</v>
      </c>
      <c r="BU12" s="6">
        <v>1.8609558275113831</v>
      </c>
      <c r="BV12" s="6">
        <v>99.027018042913241</v>
      </c>
      <c r="BW12" s="6">
        <v>343.00985243435071</v>
      </c>
      <c r="BX12" s="6">
        <v>305.28794677591532</v>
      </c>
      <c r="BY12" s="6">
        <v>269.56231463340384</v>
      </c>
      <c r="BZ12" s="6">
        <v>23.735589216094251</v>
      </c>
      <c r="CA12" s="6">
        <v>8.6456989523218883</v>
      </c>
      <c r="CB12" s="6">
        <v>3.2091305169186715</v>
      </c>
      <c r="CC12" s="6">
        <v>0</v>
      </c>
      <c r="CD12" s="6">
        <v>305.15273331873863</v>
      </c>
      <c r="CE12" s="6">
        <v>10.392732906701617</v>
      </c>
      <c r="CF12" s="6">
        <v>3.7119500338565377E-2</v>
      </c>
      <c r="CG12" s="6">
        <v>0.62007740887858975</v>
      </c>
      <c r="CH12" s="6">
        <v>12.217343708868743</v>
      </c>
      <c r="CI12" s="6">
        <v>1.1410448146218088</v>
      </c>
      <c r="CJ12" s="6">
        <v>1.3407628967624803</v>
      </c>
      <c r="CK12" s="6">
        <v>44.673634964553173</v>
      </c>
      <c r="CL12" s="6">
        <v>5.0540258520191514</v>
      </c>
      <c r="CM12" s="6">
        <v>262.64404497803474</v>
      </c>
      <c r="CN12" s="6">
        <v>29.713494195202994</v>
      </c>
      <c r="CO12" s="6">
        <v>168.27564956481112</v>
      </c>
      <c r="CP12" s="6">
        <v>84.137824782405559</v>
      </c>
      <c r="CQ12" s="6">
        <v>16976.989336323397</v>
      </c>
      <c r="CR12" s="6">
        <v>9793.8805363881311</v>
      </c>
      <c r="CS12" s="6">
        <v>7345.4104022910979</v>
      </c>
      <c r="CT12" s="6">
        <v>1940.0470917245482</v>
      </c>
      <c r="CU12" s="6">
        <v>24484.701340970329</v>
      </c>
      <c r="CV12" s="6">
        <v>11018.115603436647</v>
      </c>
      <c r="CW12" s="6">
        <v>2522.0612192419126</v>
      </c>
      <c r="CX12" s="6">
        <v>-49.298608122771192</v>
      </c>
      <c r="CY12" s="6">
        <v>102.06012228082018</v>
      </c>
      <c r="CZ12" s="6" t="e">
        <v>#N/A</v>
      </c>
      <c r="DA12" s="6"/>
      <c r="DB12" s="6"/>
      <c r="DC12" s="6"/>
      <c r="DD12" s="6"/>
      <c r="DE12" s="6"/>
      <c r="DF12" s="6"/>
      <c r="DG12" s="6"/>
      <c r="DH12" s="6"/>
      <c r="DI12" s="6"/>
      <c r="DJ12" s="6"/>
      <c r="DK12" s="6"/>
      <c r="DL12" s="6"/>
      <c r="DM12" s="6"/>
      <c r="DN12" s="6"/>
      <c r="DO12" s="6"/>
      <c r="DP12" s="6"/>
      <c r="DQ12" s="6"/>
      <c r="DR12" s="6"/>
      <c r="DS12" s="6"/>
      <c r="DT12" s="6"/>
      <c r="DU12" s="6"/>
      <c r="DV12" s="6"/>
      <c r="DW12" s="6"/>
      <c r="DX12" s="6"/>
      <c r="DY12" s="6"/>
      <c r="DZ12" s="6"/>
      <c r="EA12" s="6"/>
      <c r="EB12" s="6"/>
      <c r="EC12" s="6"/>
      <c r="ED12" s="6"/>
      <c r="EE12" s="6"/>
      <c r="EF12" s="6"/>
      <c r="EG12" s="6"/>
      <c r="EH12" s="6"/>
      <c r="EI12" s="6"/>
      <c r="EJ12" s="6"/>
      <c r="EK12" s="6"/>
      <c r="EL12" s="6"/>
      <c r="EM12" s="6"/>
      <c r="EN12" s="6"/>
      <c r="EO12" s="6"/>
      <c r="EP12" s="6"/>
      <c r="EQ12" s="6"/>
      <c r="ER12" s="6"/>
      <c r="ES12" s="6"/>
      <c r="ET12" s="6"/>
      <c r="EU12" s="6"/>
      <c r="EV12" s="6"/>
      <c r="EW12" s="6"/>
      <c r="EX12" s="6"/>
      <c r="EY12" s="6"/>
      <c r="EZ12" s="6"/>
      <c r="FA12" s="6"/>
      <c r="FB12" s="6"/>
      <c r="FC12" s="6"/>
      <c r="FD12" s="6"/>
      <c r="FE12" s="6"/>
      <c r="FF12" s="6"/>
      <c r="FG12" s="6"/>
      <c r="FH12" s="6"/>
      <c r="FI12" s="6"/>
      <c r="FJ12" s="6"/>
      <c r="FK12" s="6"/>
      <c r="FL12" s="6"/>
      <c r="FM12" s="6"/>
      <c r="FN12" s="6"/>
      <c r="FO12" s="6"/>
      <c r="FP12" s="6"/>
      <c r="FQ12" s="6"/>
      <c r="FR12" s="6"/>
      <c r="FS12" s="6"/>
      <c r="FT12" s="6"/>
      <c r="FU12" s="6"/>
      <c r="FV12" s="6"/>
      <c r="FW12" s="6"/>
      <c r="FX12" s="6"/>
      <c r="FY12" s="6"/>
      <c r="FZ12" s="6"/>
      <c r="GA12" s="6"/>
      <c r="GB12" s="6"/>
      <c r="GC12" s="6"/>
      <c r="GD12" s="6"/>
      <c r="GE12" s="6"/>
      <c r="GF12" s="6"/>
      <c r="GG12" s="6"/>
      <c r="GH12" s="6"/>
      <c r="GI12" s="6"/>
      <c r="GJ12" s="6"/>
      <c r="GK12" s="6"/>
      <c r="GL12" s="6"/>
      <c r="GM12" s="6"/>
      <c r="GN12" s="6"/>
      <c r="GO12" s="6"/>
      <c r="GP12" s="6"/>
      <c r="GQ12" s="6"/>
      <c r="GR12" s="6"/>
      <c r="GS12" s="6"/>
    </row>
    <row r="13" spans="1:201" x14ac:dyDescent="0.15">
      <c r="B13" s="6">
        <v>10</v>
      </c>
      <c r="C13" s="346">
        <v>8.1653980580557908E-2</v>
      </c>
      <c r="D13" s="6">
        <v>210.51068531679661</v>
      </c>
      <c r="E13" s="6">
        <v>0.47503526887250597</v>
      </c>
      <c r="F13" s="6">
        <v>166.15805933983941</v>
      </c>
      <c r="G13" s="6">
        <v>179.72552629047783</v>
      </c>
      <c r="H13" s="6">
        <v>0.49658530379140975</v>
      </c>
      <c r="I13" s="6">
        <v>50000</v>
      </c>
      <c r="J13" s="6">
        <v>1</v>
      </c>
      <c r="K13" s="6">
        <v>50000</v>
      </c>
      <c r="L13" s="6">
        <v>733</v>
      </c>
      <c r="M13" s="6">
        <v>178.25061844771815</v>
      </c>
      <c r="N13" s="6">
        <v>3.2530737866708561</v>
      </c>
      <c r="O13" s="6">
        <v>0.03</v>
      </c>
      <c r="P13" s="6">
        <v>1</v>
      </c>
      <c r="Q13" s="6">
        <v>13.498588075760042</v>
      </c>
      <c r="R13" s="6">
        <v>0.13498588075760046</v>
      </c>
      <c r="S13" s="6">
        <v>13.498588075760042</v>
      </c>
      <c r="T13" s="6">
        <v>0.13498588075760046</v>
      </c>
      <c r="U13" s="6">
        <v>3.0860866467442389</v>
      </c>
      <c r="V13" s="6">
        <v>1.5430433233721195</v>
      </c>
      <c r="W13" s="6">
        <v>1.3111151887495631E-2</v>
      </c>
      <c r="X13" s="6">
        <v>0.2111740638805629</v>
      </c>
      <c r="Y13" s="6">
        <v>1.3111151887495631E-2</v>
      </c>
      <c r="Z13" s="6">
        <v>1.0558703194028145E-2</v>
      </c>
      <c r="AA13" s="7">
        <v>7.3759860719518135</v>
      </c>
      <c r="AB13" s="6">
        <v>0.38391968914519126</v>
      </c>
      <c r="AC13" s="6">
        <v>0.36879930359759067</v>
      </c>
      <c r="AD13" s="6">
        <v>7.3759860719518135</v>
      </c>
      <c r="AE13" s="6">
        <v>0.38391968914519126</v>
      </c>
      <c r="AF13" s="6">
        <v>0.36879930359759067</v>
      </c>
      <c r="AG13" s="346">
        <v>7.9522827976858237E-2</v>
      </c>
      <c r="AH13" s="6">
        <v>0.47993119733175221</v>
      </c>
      <c r="AI13" s="6">
        <v>192.43527862456827</v>
      </c>
      <c r="AJ13" s="6">
        <v>9.6217639312284149</v>
      </c>
      <c r="AK13" s="6">
        <v>25.549685190236502</v>
      </c>
      <c r="AL13" s="6">
        <v>208.36319988357636</v>
      </c>
      <c r="AM13" s="6">
        <v>60.480225599683912</v>
      </c>
      <c r="AN13" s="6">
        <v>3.0546045102932289</v>
      </c>
      <c r="AO13" s="6">
        <v>3.1767415054988573</v>
      </c>
      <c r="AP13" s="6">
        <v>60.358088604478283</v>
      </c>
      <c r="AQ13" s="6">
        <v>3.3435900504634635</v>
      </c>
      <c r="AR13" s="6">
        <v>3.2534354218045736</v>
      </c>
      <c r="AS13" s="6">
        <v>1.6156082173025574</v>
      </c>
      <c r="AT13" s="6">
        <v>8.3135616479425902</v>
      </c>
      <c r="AU13" s="6">
        <v>6.973030139661228</v>
      </c>
      <c r="AV13" s="6">
        <v>2.2237190538492002</v>
      </c>
      <c r="AW13" s="6">
        <v>2.2237190538492002</v>
      </c>
      <c r="AX13" s="6">
        <v>0.76230867717376982</v>
      </c>
      <c r="AY13" s="6">
        <v>0.76230867717376982</v>
      </c>
      <c r="AZ13" s="6">
        <v>12.262091004799542</v>
      </c>
      <c r="BA13" s="6" t="str">
        <v>#N/A</v>
      </c>
      <c r="BB13" s="6" t="str">
        <v>#N/A</v>
      </c>
      <c r="BC13" s="6">
        <v>164.87212707001294</v>
      </c>
      <c r="BD13" s="6">
        <v>178.78034887531655</v>
      </c>
      <c r="BE13" s="6">
        <v>0</v>
      </c>
      <c r="BF13" s="6">
        <v>2.9860277310229701</v>
      </c>
      <c r="BG13" s="6">
        <v>1.4828174879396157</v>
      </c>
      <c r="BH13" s="6">
        <v>7.9746368333571001</v>
      </c>
      <c r="BI13" s="6">
        <v>179.0974320325418</v>
      </c>
      <c r="BJ13" s="6">
        <v>88.937152694141133</v>
      </c>
      <c r="BK13" s="6">
        <v>424.35424522600795</v>
      </c>
      <c r="BL13" s="6">
        <v>4.9732370761757743</v>
      </c>
      <c r="BM13" s="6">
        <v>418.59780134046565</v>
      </c>
      <c r="BN13" s="6">
        <v>0.63597687452192309</v>
      </c>
      <c r="BO13" s="6">
        <v>57.792432697187991</v>
      </c>
      <c r="BP13" s="6">
        <v>0.95923229670530363</v>
      </c>
      <c r="BQ13" s="6">
        <v>51.043615624240374</v>
      </c>
      <c r="BR13" s="6">
        <v>2.1051068531679666</v>
      </c>
      <c r="BS13" s="6">
        <v>1.3387992770124444</v>
      </c>
      <c r="BT13" s="6">
        <v>121.65924613209891</v>
      </c>
      <c r="BU13" s="6">
        <v>2.0192864815743832</v>
      </c>
      <c r="BV13" s="6">
        <v>107.4522650610599</v>
      </c>
      <c r="BW13" s="6">
        <v>400.12171733213177</v>
      </c>
      <c r="BX13" s="6">
        <v>356.11903470953115</v>
      </c>
      <c r="BY13" s="6">
        <v>329.27521823599045</v>
      </c>
      <c r="BZ13" s="6">
        <v>25.813011808372792</v>
      </c>
      <c r="CA13" s="6">
        <v>9.3623324395562761</v>
      </c>
      <c r="CB13" s="6">
        <v>3.2094824410958198</v>
      </c>
      <c r="CC13" s="6">
        <v>0</v>
      </c>
      <c r="CD13" s="6">
        <v>367.66004492501531</v>
      </c>
      <c r="CE13" s="6">
        <v>7.6575635244387907</v>
      </c>
      <c r="CF13" s="6">
        <v>-2.7224727596564819</v>
      </c>
      <c r="CG13" s="6">
        <v>0.667813691991193</v>
      </c>
      <c r="CH13" s="6">
        <v>9.2362616842044787</v>
      </c>
      <c r="CI13" s="6">
        <v>1.1900097572791117</v>
      </c>
      <c r="CJ13" s="6">
        <v>-1.6659706651787283</v>
      </c>
      <c r="CK13" s="6">
        <v>39.522833103274252</v>
      </c>
      <c r="CL13" s="6">
        <v>-6.6935246066518062</v>
      </c>
      <c r="CM13" s="6">
        <v>107.16623572152659</v>
      </c>
      <c r="CN13" s="6">
        <v>-18.14950446315196</v>
      </c>
      <c r="CO13" s="6">
        <v>178.25061844771815</v>
      </c>
      <c r="CP13" s="6">
        <v>89.125309223859077</v>
      </c>
      <c r="CQ13" s="6">
        <v>19513.371764905816</v>
      </c>
      <c r="CR13" s="6">
        <v>11257.097954271596</v>
      </c>
      <c r="CS13" s="6">
        <v>8442.8234657036974</v>
      </c>
      <c r="CT13" s="6">
        <v>2105.1068531679666</v>
      </c>
      <c r="CU13" s="6">
        <v>28142.744885678989</v>
      </c>
      <c r="CV13" s="6">
        <v>12664.235198555545</v>
      </c>
      <c r="CW13" s="6">
        <v>2736.6389091183569</v>
      </c>
      <c r="CX13" s="6">
        <v>-48.69045284172708</v>
      </c>
      <c r="CY13" s="6">
        <v>104.39136892225686</v>
      </c>
      <c r="CZ13" s="6" t="e">
        <v>#N/A</v>
      </c>
      <c r="DA13" s="6"/>
      <c r="DB13" s="6"/>
      <c r="DC13" s="6"/>
      <c r="DD13" s="6"/>
      <c r="DE13" s="6"/>
      <c r="DF13" s="6"/>
      <c r="DG13" s="6"/>
      <c r="DH13" s="6"/>
      <c r="DI13" s="6"/>
      <c r="DJ13" s="6"/>
      <c r="DK13" s="6"/>
      <c r="DL13" s="6"/>
      <c r="DM13" s="6"/>
      <c r="DN13" s="6"/>
      <c r="DO13" s="6"/>
      <c r="DP13" s="6"/>
      <c r="DQ13" s="6"/>
      <c r="DR13" s="6"/>
      <c r="DS13" s="6"/>
      <c r="DT13" s="6"/>
      <c r="DU13" s="6"/>
      <c r="DV13" s="6"/>
      <c r="DW13" s="6"/>
      <c r="DX13" s="6"/>
      <c r="DY13" s="6"/>
      <c r="DZ13" s="6"/>
      <c r="EA13" s="6"/>
      <c r="EB13" s="6"/>
      <c r="EC13" s="6"/>
      <c r="ED13" s="6"/>
      <c r="EE13" s="6"/>
      <c r="EF13" s="6"/>
      <c r="EG13" s="6"/>
      <c r="EH13" s="6"/>
      <c r="EI13" s="6"/>
      <c r="EJ13" s="6"/>
      <c r="EK13" s="6"/>
      <c r="EL13" s="6"/>
      <c r="EM13" s="6"/>
      <c r="EN13" s="6"/>
      <c r="EO13" s="6"/>
      <c r="EP13" s="6"/>
      <c r="EQ13" s="6"/>
      <c r="ER13" s="6"/>
      <c r="ES13" s="6"/>
      <c r="ET13" s="6"/>
      <c r="EU13" s="6"/>
      <c r="EV13" s="6"/>
      <c r="EW13" s="6"/>
      <c r="EX13" s="6"/>
      <c r="EY13" s="6"/>
      <c r="EZ13" s="6"/>
      <c r="FA13" s="6"/>
      <c r="FB13" s="6"/>
      <c r="FC13" s="6"/>
      <c r="FD13" s="6"/>
      <c r="FE13" s="6"/>
      <c r="FF13" s="6"/>
      <c r="FG13" s="6"/>
      <c r="FH13" s="6"/>
      <c r="FI13" s="6"/>
      <c r="FJ13" s="6"/>
      <c r="FK13" s="6"/>
      <c r="FL13" s="6"/>
      <c r="FM13" s="6"/>
      <c r="FN13" s="6"/>
      <c r="FO13" s="6"/>
      <c r="FP13" s="6"/>
      <c r="FQ13" s="6"/>
      <c r="FR13" s="6"/>
      <c r="FS13" s="6"/>
      <c r="FT13" s="6"/>
      <c r="FU13" s="6"/>
      <c r="FV13" s="6"/>
      <c r="FW13" s="6"/>
      <c r="FX13" s="6"/>
      <c r="FY13" s="6"/>
      <c r="FZ13" s="6"/>
      <c r="GA13" s="6"/>
      <c r="GB13" s="6"/>
      <c r="GC13" s="6"/>
      <c r="GD13" s="6"/>
      <c r="GE13" s="6"/>
      <c r="GF13" s="6"/>
      <c r="GG13" s="6"/>
      <c r="GH13" s="6"/>
      <c r="GI13" s="6"/>
      <c r="GJ13" s="6"/>
      <c r="GK13" s="6"/>
      <c r="GL13" s="6"/>
      <c r="GM13" s="6"/>
      <c r="GN13" s="6"/>
      <c r="GO13" s="6"/>
      <c r="GP13" s="6"/>
      <c r="GQ13" s="6"/>
      <c r="GR13" s="6"/>
      <c r="GS13" s="6"/>
    </row>
    <row r="14" spans="1:201" x14ac:dyDescent="0.15">
      <c r="B14" s="6">
        <v>11</v>
      </c>
      <c r="C14" s="346">
        <v>7.8784564619480135E-2</v>
      </c>
      <c r="D14" s="6">
        <v>227.76649924341214</v>
      </c>
      <c r="E14" s="6">
        <v>0.43904612983988839</v>
      </c>
      <c r="F14" s="6">
        <v>168.73494370051125</v>
      </c>
      <c r="G14" s="6">
        <v>182.02865277604855</v>
      </c>
      <c r="H14" s="6">
        <v>0.46301306831122829</v>
      </c>
      <c r="I14" s="6">
        <v>50000</v>
      </c>
      <c r="J14" s="6">
        <v>1</v>
      </c>
      <c r="K14" s="6">
        <v>50000</v>
      </c>
      <c r="L14" s="6">
        <v>0</v>
      </c>
      <c r="M14" s="6">
        <v>181.94483011911484</v>
      </c>
      <c r="N14" s="6">
        <v>3.3204931496738461</v>
      </c>
      <c r="O14" s="6">
        <v>0.03</v>
      </c>
      <c r="P14" s="6">
        <v>1</v>
      </c>
      <c r="Q14" s="6">
        <v>13.909681284637815</v>
      </c>
      <c r="R14" s="6">
        <v>0.13909681284637818</v>
      </c>
      <c r="S14" s="6">
        <v>13.909681284637815</v>
      </c>
      <c r="T14" s="6">
        <v>0.13909681284637818</v>
      </c>
      <c r="U14" s="6">
        <v>0</v>
      </c>
      <c r="V14" s="6">
        <v>0</v>
      </c>
      <c r="W14" s="6">
        <v>1.3111151887495631E-2</v>
      </c>
      <c r="X14" s="6">
        <v>0.19806291199306728</v>
      </c>
      <c r="Y14" s="6">
        <v>1.3111151887495631E-2</v>
      </c>
      <c r="Z14" s="6">
        <v>9.9031455996533638E-3</v>
      </c>
      <c r="AA14" s="7">
        <v>12.482760473938159</v>
      </c>
      <c r="AB14" s="6">
        <v>0.65898659368973078</v>
      </c>
      <c r="AC14" s="6">
        <v>0.62413802369690796</v>
      </c>
      <c r="AD14" s="6">
        <v>12.482760473938159</v>
      </c>
      <c r="AE14" s="6">
        <v>0.65898659368973078</v>
      </c>
      <c r="AF14" s="6">
        <v>0.62413802369690796</v>
      </c>
      <c r="AG14" s="346">
        <v>7.8784564619480135E-2</v>
      </c>
      <c r="AH14" s="6">
        <v>0.44357113794530117</v>
      </c>
      <c r="AI14" s="6">
        <v>208.36319988357636</v>
      </c>
      <c r="AJ14" s="6">
        <v>10.418159994178819</v>
      </c>
      <c r="AK14" s="6">
        <v>27.497941958378771</v>
      </c>
      <c r="AL14" s="6">
        <v>225.44298184777631</v>
      </c>
      <c r="AM14" s="6">
        <v>60.358088604478283</v>
      </c>
      <c r="AN14" s="6">
        <v>0</v>
      </c>
      <c r="AO14" s="6">
        <v>3.0179044302239144</v>
      </c>
      <c r="AP14" s="6">
        <v>57.340184174254368</v>
      </c>
      <c r="AQ14" s="6">
        <v>3.4111350499829531</v>
      </c>
      <c r="AR14" s="6">
        <v>3.3204931496738461</v>
      </c>
      <c r="AS14" s="6">
        <v>1.5374317215369022</v>
      </c>
      <c r="AT14" s="6">
        <v>1.5374317215369022</v>
      </c>
      <c r="AU14" s="6">
        <v>0</v>
      </c>
      <c r="AV14" s="6">
        <v>2.1125331011567403</v>
      </c>
      <c r="AW14" s="6">
        <v>2.1125331011567403</v>
      </c>
      <c r="AX14" s="6">
        <v>0.66932765116229376</v>
      </c>
      <c r="AY14" s="6">
        <v>0.66932765116229376</v>
      </c>
      <c r="AZ14" s="6">
        <v>12.197293405631916</v>
      </c>
      <c r="BA14" s="6" t="str">
        <v>#N/A</v>
      </c>
      <c r="BB14" s="6" t="str">
        <v>#N/A</v>
      </c>
      <c r="BC14" s="6">
        <v>173.32530178673966</v>
      </c>
      <c r="BD14" s="6">
        <v>168.73494370051125</v>
      </c>
      <c r="BE14" s="6">
        <v>0</v>
      </c>
      <c r="BF14" s="6">
        <v>2.7818607523190342</v>
      </c>
      <c r="BG14" s="6">
        <v>1.2880378825458179</v>
      </c>
      <c r="BH14" s="6">
        <v>1.2880378825458179</v>
      </c>
      <c r="BI14" s="6">
        <v>180.3187224121092</v>
      </c>
      <c r="BJ14" s="6">
        <v>83.489924937991333</v>
      </c>
      <c r="BK14" s="6">
        <v>83.489924937991333</v>
      </c>
      <c r="BL14" s="6">
        <v>0</v>
      </c>
      <c r="BM14" s="6">
        <v>0</v>
      </c>
      <c r="BN14" s="6">
        <v>0.63597687452192309</v>
      </c>
      <c r="BO14" s="6">
        <v>57.792432697187991</v>
      </c>
      <c r="BP14" s="6">
        <v>0.71321032271020557</v>
      </c>
      <c r="BQ14" s="6">
        <v>60.03097548074021</v>
      </c>
      <c r="BR14" s="6">
        <v>2.2776649924341221</v>
      </c>
      <c r="BS14" s="6">
        <v>1.4485422630962526</v>
      </c>
      <c r="BT14" s="6">
        <v>131.63180078199019</v>
      </c>
      <c r="BU14" s="6">
        <v>1.6244541842796782</v>
      </c>
      <c r="BV14" s="6">
        <v>136.73045131415313</v>
      </c>
      <c r="BW14" s="6">
        <v>441.89236743745499</v>
      </c>
      <c r="BX14" s="6">
        <v>459.40651593131844</v>
      </c>
      <c r="BY14" s="6">
        <v>376.58814647666833</v>
      </c>
      <c r="BZ14" s="6">
        <v>27.781348192455386</v>
      </c>
      <c r="CA14" s="6">
        <v>9.6232853797259992</v>
      </c>
      <c r="CB14" s="6">
        <v>3.0490083190410289</v>
      </c>
      <c r="CC14" s="6">
        <v>0</v>
      </c>
      <c r="CD14" s="6">
        <v>417.04178836789072</v>
      </c>
      <c r="CE14" s="6">
        <v>5.0517274939600405</v>
      </c>
      <c r="CF14" s="6">
        <v>8.6120753326190833</v>
      </c>
      <c r="CG14" s="6">
        <v>0.71693219352863347</v>
      </c>
      <c r="CH14" s="6">
        <v>6.389193410472517</v>
      </c>
      <c r="CI14" s="6">
        <v>0.83567334673697569</v>
      </c>
      <c r="CJ14" s="6">
        <v>9.8308000959232142</v>
      </c>
      <c r="CK14" s="6">
        <v>32.054011513017429</v>
      </c>
      <c r="CL14" s="6">
        <v>48.984045677645327</v>
      </c>
      <c r="CM14" s="6">
        <v>51.357248390595416</v>
      </c>
      <c r="CN14" s="6">
        <v>78.48271346696994</v>
      </c>
      <c r="CO14" s="6">
        <v>181.94483011911484</v>
      </c>
      <c r="CP14" s="6">
        <v>90.97241505955742</v>
      </c>
      <c r="CQ14" s="6">
        <v>25172.959777058542</v>
      </c>
      <c r="CR14" s="6">
        <v>12432.28110350044</v>
      </c>
      <c r="CS14" s="6">
        <v>9324.2108276253311</v>
      </c>
      <c r="CT14" s="6">
        <v>2277.6649924341223</v>
      </c>
      <c r="CU14" s="6">
        <v>31080.702758751104</v>
      </c>
      <c r="CV14" s="6">
        <v>13986.316241437997</v>
      </c>
      <c r="CW14" s="6">
        <v>2960.9644901643587</v>
      </c>
      <c r="CX14" s="6">
        <v>-64.749433571300202</v>
      </c>
      <c r="CY14" s="6">
        <v>104.39136892225686</v>
      </c>
      <c r="CZ14" s="6" t="e">
        <v>#N/A</v>
      </c>
      <c r="DA14" s="6"/>
      <c r="DB14" s="6"/>
      <c r="DC14" s="6"/>
      <c r="DD14" s="6"/>
      <c r="DE14" s="6"/>
      <c r="DF14" s="6"/>
      <c r="DG14" s="6"/>
      <c r="DH14" s="6"/>
      <c r="DI14" s="6"/>
      <c r="DJ14" s="6"/>
      <c r="DK14" s="6"/>
      <c r="DL14" s="6"/>
      <c r="DM14" s="6"/>
      <c r="DN14" s="6"/>
      <c r="DO14" s="6"/>
      <c r="DP14" s="6"/>
      <c r="DQ14" s="6"/>
      <c r="DR14" s="6"/>
      <c r="DS14" s="6"/>
      <c r="DT14" s="6"/>
      <c r="DU14" s="6"/>
      <c r="DV14" s="6"/>
      <c r="DW14" s="6"/>
      <c r="DX14" s="6"/>
      <c r="DY14" s="6"/>
      <c r="DZ14" s="6"/>
      <c r="EA14" s="6"/>
      <c r="EB14" s="6"/>
      <c r="EC14" s="6"/>
      <c r="ED14" s="6"/>
      <c r="EE14" s="6"/>
      <c r="EF14" s="6"/>
      <c r="EG14" s="6"/>
      <c r="EH14" s="6"/>
      <c r="EI14" s="6"/>
      <c r="EJ14" s="6"/>
      <c r="EK14" s="6"/>
      <c r="EL14" s="6"/>
      <c r="EM14" s="6"/>
      <c r="EN14" s="6"/>
      <c r="EO14" s="6"/>
      <c r="EP14" s="6"/>
      <c r="EQ14" s="6"/>
      <c r="ER14" s="6"/>
      <c r="ES14" s="6"/>
      <c r="ET14" s="6"/>
      <c r="EU14" s="6"/>
      <c r="EV14" s="6"/>
      <c r="EW14" s="6"/>
      <c r="EX14" s="6"/>
      <c r="EY14" s="6"/>
      <c r="EZ14" s="6"/>
      <c r="FA14" s="6"/>
      <c r="FB14" s="6"/>
      <c r="FC14" s="6"/>
      <c r="FD14" s="6"/>
      <c r="FE14" s="6"/>
      <c r="FF14" s="6"/>
      <c r="FG14" s="6"/>
      <c r="FH14" s="6"/>
      <c r="FI14" s="6"/>
      <c r="FJ14" s="6"/>
      <c r="FK14" s="6"/>
      <c r="FL14" s="6"/>
      <c r="FM14" s="6"/>
      <c r="FN14" s="6"/>
      <c r="FO14" s="6"/>
      <c r="FP14" s="6"/>
      <c r="FQ14" s="6"/>
      <c r="FR14" s="6"/>
      <c r="FS14" s="6"/>
      <c r="FT14" s="6"/>
      <c r="FU14" s="6"/>
      <c r="FV14" s="6"/>
      <c r="FW14" s="6"/>
      <c r="FX14" s="6"/>
      <c r="FY14" s="6"/>
      <c r="FZ14" s="6"/>
      <c r="GA14" s="6"/>
      <c r="GB14" s="6"/>
      <c r="GC14" s="6"/>
      <c r="GD14" s="6"/>
      <c r="GE14" s="6"/>
      <c r="GF14" s="6"/>
      <c r="GG14" s="6"/>
      <c r="GH14" s="6"/>
      <c r="GI14" s="6"/>
      <c r="GJ14" s="6"/>
      <c r="GK14" s="6"/>
      <c r="GL14" s="6"/>
      <c r="GM14" s="6"/>
      <c r="GN14" s="6"/>
      <c r="GO14" s="6"/>
      <c r="GP14" s="6"/>
      <c r="GQ14" s="6"/>
      <c r="GR14" s="6"/>
      <c r="GS14" s="6"/>
    </row>
    <row r="15" spans="1:201" x14ac:dyDescent="0.15">
      <c r="B15" s="6">
        <v>12</v>
      </c>
      <c r="C15" s="346">
        <v>8.3406399555373115E-2</v>
      </c>
      <c r="D15" s="6">
        <v>247.57841933184375</v>
      </c>
      <c r="E15" s="6">
        <v>0.40391242609059619</v>
      </c>
      <c r="F15" s="6">
        <v>171.76169731210922</v>
      </c>
      <c r="G15" s="6">
        <v>186.08772206643206</v>
      </c>
      <c r="H15" s="6">
        <v>0.4317105234290799</v>
      </c>
      <c r="I15" s="6">
        <v>50000</v>
      </c>
      <c r="J15" s="6">
        <v>1</v>
      </c>
      <c r="K15" s="6">
        <v>50000</v>
      </c>
      <c r="L15" s="6">
        <v>0</v>
      </c>
      <c r="M15" s="6">
        <v>187.88239951133613</v>
      </c>
      <c r="N15" s="6">
        <v>3.4288537910818846</v>
      </c>
      <c r="O15" s="6">
        <v>0.03</v>
      </c>
      <c r="P15" s="6">
        <v>1</v>
      </c>
      <c r="Q15" s="6">
        <v>14.333294145603416</v>
      </c>
      <c r="R15" s="6">
        <v>0.1433329414560342</v>
      </c>
      <c r="S15" s="6">
        <v>14.333294145603416</v>
      </c>
      <c r="T15" s="6">
        <v>0.1433329414560342</v>
      </c>
      <c r="U15" s="6">
        <v>0</v>
      </c>
      <c r="V15" s="6">
        <v>0</v>
      </c>
      <c r="W15" s="6">
        <v>1.3111151887495631E-2</v>
      </c>
      <c r="X15" s="6">
        <v>0.18495176010557166</v>
      </c>
      <c r="Y15" s="6">
        <v>1.3111151887495631E-2</v>
      </c>
      <c r="Z15" s="6">
        <v>9.2475880052785824E-3</v>
      </c>
      <c r="AA15" s="7">
        <v>16.483445145948632</v>
      </c>
      <c r="AB15" s="6">
        <v>0.89318631015088013</v>
      </c>
      <c r="AC15" s="6">
        <v>0.82417225729743171</v>
      </c>
      <c r="AD15" s="6">
        <v>16.483445145948632</v>
      </c>
      <c r="AE15" s="6">
        <v>0.89318631015088013</v>
      </c>
      <c r="AF15" s="6">
        <v>0.82417225729743171</v>
      </c>
      <c r="AG15" s="346">
        <v>7.9264810146340792E-2</v>
      </c>
      <c r="AH15" s="6">
        <v>0.40976891545785821</v>
      </c>
      <c r="AI15" s="6">
        <v>225.44298184777631</v>
      </c>
      <c r="AJ15" s="6">
        <v>11.272149092388815</v>
      </c>
      <c r="AK15" s="6">
        <v>29.869152289022963</v>
      </c>
      <c r="AL15" s="6">
        <v>244.03998504441046</v>
      </c>
      <c r="AM15" s="6">
        <v>57.340184174254368</v>
      </c>
      <c r="AN15" s="6">
        <v>0</v>
      </c>
      <c r="AO15" s="6">
        <v>2.8670092087127186</v>
      </c>
      <c r="AP15" s="6">
        <v>54.473174965541652</v>
      </c>
      <c r="AQ15" s="6">
        <v>3.4800445490048433</v>
      </c>
      <c r="AR15" s="6">
        <v>3.3875715608469208</v>
      </c>
      <c r="AS15" s="6">
        <v>1.4624502916866893</v>
      </c>
      <c r="AT15" s="6">
        <v>2.9998820132235915</v>
      </c>
      <c r="AU15" s="6">
        <v>0</v>
      </c>
      <c r="AV15" s="6">
        <v>2.006906446098903</v>
      </c>
      <c r="AW15" s="6">
        <v>2.006906446098903</v>
      </c>
      <c r="AX15" s="6">
        <v>0.58740562703095145</v>
      </c>
      <c r="AY15" s="6">
        <v>0.58740562703095145</v>
      </c>
      <c r="AZ15" s="6">
        <v>12.239450139118542</v>
      </c>
      <c r="BA15" s="6" t="str">
        <v>#N/A</v>
      </c>
      <c r="BB15" s="6" t="str">
        <v>#N/A</v>
      </c>
      <c r="BC15" s="6">
        <v>182.21188003905104</v>
      </c>
      <c r="BD15" s="6">
        <v>177.38616926098317</v>
      </c>
      <c r="BE15" s="6">
        <v>0</v>
      </c>
      <c r="BF15" s="6">
        <v>2.5943120731298546</v>
      </c>
      <c r="BG15" s="6">
        <v>1.1199918230292709</v>
      </c>
      <c r="BH15" s="6">
        <v>2.408029705575089</v>
      </c>
      <c r="BI15" s="6">
        <v>193.44287371473973</v>
      </c>
      <c r="BJ15" s="6">
        <v>83.511324265015688</v>
      </c>
      <c r="BK15" s="6">
        <v>167.00124920300703</v>
      </c>
      <c r="BL15" s="6">
        <v>0</v>
      </c>
      <c r="BM15" s="6">
        <v>0</v>
      </c>
      <c r="BN15" s="6">
        <v>0.63597687452192309</v>
      </c>
      <c r="BO15" s="6">
        <v>57.792432697187991</v>
      </c>
      <c r="BP15" s="6">
        <v>0.71321032271020557</v>
      </c>
      <c r="BQ15" s="6">
        <v>60.03097548074021</v>
      </c>
      <c r="BR15" s="6">
        <v>2.4757841933184381</v>
      </c>
      <c r="BS15" s="6">
        <v>1.5745414932574409</v>
      </c>
      <c r="BT15" s="6">
        <v>143.0815913651177</v>
      </c>
      <c r="BU15" s="6">
        <v>1.7657548434774692</v>
      </c>
      <c r="BV15" s="6">
        <v>148.62374020470335</v>
      </c>
      <c r="BW15" s="6">
        <v>496.00472955468439</v>
      </c>
      <c r="BX15" s="6">
        <v>515.66359023484517</v>
      </c>
      <c r="BY15" s="6">
        <v>437.33560734056596</v>
      </c>
      <c r="BZ15" s="6">
        <v>30.302237189338847</v>
      </c>
      <c r="CA15" s="6">
        <v>9.9373345134410922</v>
      </c>
      <c r="CB15" s="6">
        <v>2.9085791329390709</v>
      </c>
      <c r="CC15" s="6">
        <v>0</v>
      </c>
      <c r="CD15" s="6">
        <v>480.48375817628494</v>
      </c>
      <c r="CE15" s="6">
        <v>2.7064421430510204</v>
      </c>
      <c r="CF15" s="6">
        <v>6.1344214706337015</v>
      </c>
      <c r="CG15" s="6">
        <v>0.64195754243819725</v>
      </c>
      <c r="CH15" s="6">
        <v>3.7055454745901719</v>
      </c>
      <c r="CI15" s="6">
        <v>0.75628407371465567</v>
      </c>
      <c r="CJ15" s="6">
        <v>7.01919827089639</v>
      </c>
      <c r="CK15" s="6">
        <v>22.07482614625718</v>
      </c>
      <c r="CL15" s="6">
        <v>41.078044205610524</v>
      </c>
      <c r="CM15" s="6">
        <v>26.784238307952045</v>
      </c>
      <c r="CN15" s="6">
        <v>49.84157600780059</v>
      </c>
      <c r="CO15" s="6">
        <v>187.88239951133613</v>
      </c>
      <c r="CP15" s="6">
        <v>93.941199755668066</v>
      </c>
      <c r="CQ15" s="6">
        <v>28255.539190950418</v>
      </c>
      <c r="CR15" s="6">
        <v>13954.688247387176</v>
      </c>
      <c r="CS15" s="6">
        <v>10466.016185540382</v>
      </c>
      <c r="CT15" s="6">
        <v>2475.7841933184382</v>
      </c>
      <c r="CU15" s="6">
        <v>34886.720618467938</v>
      </c>
      <c r="CV15" s="6">
        <v>15699.024278310571</v>
      </c>
      <c r="CW15" s="6">
        <v>3218.51945131397</v>
      </c>
      <c r="CX15" s="6">
        <v>-62.342144591889848</v>
      </c>
      <c r="CY15" s="6">
        <v>104.39136892225686</v>
      </c>
      <c r="CZ15" s="6" t="e">
        <v>#N/A</v>
      </c>
      <c r="DA15" s="6"/>
      <c r="DB15" s="6"/>
      <c r="DC15" s="6"/>
      <c r="DD15" s="6"/>
      <c r="DE15" s="6"/>
      <c r="DF15" s="6"/>
      <c r="DG15" s="6"/>
      <c r="DH15" s="6"/>
      <c r="DI15" s="6"/>
      <c r="DJ15" s="6"/>
      <c r="DK15" s="6"/>
      <c r="DL15" s="6"/>
      <c r="DM15" s="6"/>
      <c r="DN15" s="6"/>
      <c r="DO15" s="6"/>
      <c r="DP15" s="6"/>
      <c r="DQ15" s="6"/>
      <c r="DR15" s="6"/>
      <c r="DS15" s="6"/>
      <c r="DT15" s="6"/>
      <c r="DU15" s="6"/>
      <c r="DV15" s="6"/>
      <c r="DW15" s="6"/>
      <c r="DX15" s="6"/>
      <c r="DY15" s="6"/>
      <c r="DZ15" s="6"/>
      <c r="EA15" s="6"/>
      <c r="EB15" s="6"/>
      <c r="EC15" s="6"/>
      <c r="ED15" s="6"/>
      <c r="EE15" s="6"/>
      <c r="EF15" s="6"/>
      <c r="EG15" s="6"/>
      <c r="EH15" s="6"/>
      <c r="EI15" s="6"/>
      <c r="EJ15" s="6"/>
      <c r="EK15" s="6"/>
      <c r="EL15" s="6"/>
      <c r="EM15" s="6"/>
      <c r="EN15" s="6"/>
      <c r="EO15" s="6"/>
      <c r="EP15" s="6"/>
      <c r="EQ15" s="6"/>
      <c r="ER15" s="6"/>
      <c r="ES15" s="6"/>
      <c r="ET15" s="6"/>
      <c r="EU15" s="6"/>
      <c r="EV15" s="6"/>
      <c r="EW15" s="6"/>
      <c r="EX15" s="6"/>
      <c r="EY15" s="6"/>
      <c r="EZ15" s="6"/>
      <c r="FA15" s="6"/>
      <c r="FB15" s="6"/>
      <c r="FC15" s="6"/>
      <c r="FD15" s="6"/>
      <c r="FE15" s="6"/>
      <c r="FF15" s="6"/>
      <c r="FG15" s="6"/>
      <c r="FH15" s="6"/>
      <c r="FI15" s="6"/>
      <c r="FJ15" s="6"/>
      <c r="FK15" s="6"/>
      <c r="FL15" s="6"/>
      <c r="FM15" s="6"/>
      <c r="FN15" s="6"/>
      <c r="FO15" s="6"/>
      <c r="FP15" s="6"/>
      <c r="FQ15" s="6"/>
      <c r="FR15" s="6"/>
      <c r="FS15" s="6"/>
      <c r="FT15" s="6"/>
      <c r="FU15" s="6"/>
      <c r="FV15" s="6"/>
      <c r="FW15" s="6"/>
      <c r="FX15" s="6"/>
      <c r="FY15" s="6"/>
      <c r="FZ15" s="6"/>
      <c r="GA15" s="6"/>
      <c r="GB15" s="6"/>
      <c r="GC15" s="6"/>
      <c r="GD15" s="6"/>
      <c r="GE15" s="6"/>
      <c r="GF15" s="6"/>
      <c r="GG15" s="6"/>
      <c r="GH15" s="6"/>
      <c r="GI15" s="6"/>
      <c r="GJ15" s="6"/>
      <c r="GK15" s="6"/>
      <c r="GL15" s="6"/>
      <c r="GM15" s="6"/>
      <c r="GN15" s="6"/>
      <c r="GO15" s="6"/>
      <c r="GP15" s="6"/>
      <c r="GQ15" s="6"/>
      <c r="GR15" s="6"/>
      <c r="GS15" s="6"/>
    </row>
    <row r="16" spans="1:201" x14ac:dyDescent="0.15">
      <c r="B16" s="6">
        <v>13</v>
      </c>
      <c r="C16" s="346">
        <v>8.3497088289884641E-2</v>
      </c>
      <c r="D16" s="6">
        <v>269.13805562808773</v>
      </c>
      <c r="E16" s="6">
        <v>0.37155652241980375</v>
      </c>
      <c r="F16" s="6">
        <v>171.62161399251983</v>
      </c>
      <c r="G16" s="6">
        <v>185.95151904850576</v>
      </c>
      <c r="H16" s="6">
        <v>0.40252422403363619</v>
      </c>
      <c r="I16" s="6">
        <v>50000</v>
      </c>
      <c r="J16" s="6">
        <v>1</v>
      </c>
      <c r="K16" s="6">
        <v>50000</v>
      </c>
      <c r="L16" s="6">
        <v>0</v>
      </c>
      <c r="M16" s="6">
        <v>188.51310252353994</v>
      </c>
      <c r="N16" s="6">
        <v>3.4403641210546043</v>
      </c>
      <c r="O16" s="6">
        <v>0.03</v>
      </c>
      <c r="P16" s="6">
        <v>1</v>
      </c>
      <c r="Q16" s="6">
        <v>14.769807938826441</v>
      </c>
      <c r="R16" s="6">
        <v>0.14769807938826446</v>
      </c>
      <c r="S16" s="6">
        <v>14.769807938826441</v>
      </c>
      <c r="T16" s="6">
        <v>0.14769807938826446</v>
      </c>
      <c r="U16" s="6">
        <v>0</v>
      </c>
      <c r="V16" s="6">
        <v>0</v>
      </c>
      <c r="W16" s="6">
        <v>1.3111151887495631E-2</v>
      </c>
      <c r="X16" s="6">
        <v>0.17184060821807604</v>
      </c>
      <c r="Y16" s="6">
        <v>1.3111151887495631E-2</v>
      </c>
      <c r="Z16" s="6">
        <v>8.5920304109038028E-3</v>
      </c>
      <c r="AA16" s="7">
        <v>18.202515775574906</v>
      </c>
      <c r="AB16" s="6">
        <v>1.0237064487941747</v>
      </c>
      <c r="AC16" s="6">
        <v>0.91012578877874528</v>
      </c>
      <c r="AD16" s="6">
        <v>18.202515775574906</v>
      </c>
      <c r="AE16" s="6">
        <v>1.0237064487941747</v>
      </c>
      <c r="AF16" s="6">
        <v>0.91012578877874528</v>
      </c>
      <c r="AG16" s="346">
        <v>7.9556719760962166E-2</v>
      </c>
      <c r="AH16" s="6">
        <v>0.37843209839634612</v>
      </c>
      <c r="AI16" s="6">
        <v>244.03998504441046</v>
      </c>
      <c r="AJ16" s="6">
        <v>12.201999252220524</v>
      </c>
      <c r="AK16" s="6">
        <v>32.410212031838874</v>
      </c>
      <c r="AL16" s="6">
        <v>264.24819782402881</v>
      </c>
      <c r="AM16" s="6">
        <v>54.473174965541652</v>
      </c>
      <c r="AN16" s="6">
        <v>0</v>
      </c>
      <c r="AO16" s="6">
        <v>2.7236587482770829</v>
      </c>
      <c r="AP16" s="6">
        <v>51.749516217264571</v>
      </c>
      <c r="AQ16" s="6">
        <v>3.5503461122475484</v>
      </c>
      <c r="AR16" s="6">
        <v>3.4560050458125575</v>
      </c>
      <c r="AS16" s="6">
        <v>1.391125749322031</v>
      </c>
      <c r="AT16" s="6">
        <v>4.3910077625456223</v>
      </c>
      <c r="AU16" s="6">
        <v>0</v>
      </c>
      <c r="AV16" s="6">
        <v>1.9065611237939579</v>
      </c>
      <c r="AW16" s="6">
        <v>1.9065611237939579</v>
      </c>
      <c r="AX16" s="6">
        <v>0.51535994771303095</v>
      </c>
      <c r="AY16" s="6">
        <v>0.51535994771303095</v>
      </c>
      <c r="AZ16" s="6">
        <v>12.265064548679289</v>
      </c>
      <c r="BA16" s="6" t="str">
        <v>#N/A</v>
      </c>
      <c r="BB16" s="6" t="str">
        <v>#N/A</v>
      </c>
      <c r="BC16" s="6">
        <v>191.55408290138976</v>
      </c>
      <c r="BD16" s="6">
        <v>186.48095264093675</v>
      </c>
      <c r="BE16" s="6">
        <v>0</v>
      </c>
      <c r="BF16" s="6">
        <v>2.421921071506989</v>
      </c>
      <c r="BG16" s="6">
        <v>0.97488189997906349</v>
      </c>
      <c r="BH16" s="6">
        <v>3.3829116055541526</v>
      </c>
      <c r="BI16" s="6">
        <v>207.75519581671449</v>
      </c>
      <c r="BJ16" s="6">
        <v>83.626498985079138</v>
      </c>
      <c r="BK16" s="6">
        <v>250.62774818808617</v>
      </c>
      <c r="BL16" s="6">
        <v>0</v>
      </c>
      <c r="BM16" s="6">
        <v>0</v>
      </c>
      <c r="BN16" s="6">
        <v>0.63597687452192309</v>
      </c>
      <c r="BO16" s="6">
        <v>57.792432697187991</v>
      </c>
      <c r="BP16" s="6">
        <v>0.71321032271020557</v>
      </c>
      <c r="BQ16" s="6">
        <v>60.03097548074021</v>
      </c>
      <c r="BR16" s="6">
        <v>2.6913805562808784</v>
      </c>
      <c r="BS16" s="6">
        <v>1.7116557943325876</v>
      </c>
      <c r="BT16" s="6">
        <v>155.54142966138303</v>
      </c>
      <c r="BU16" s="6">
        <v>1.9195203950810578</v>
      </c>
      <c r="BV16" s="6">
        <v>161.56620018343835</v>
      </c>
      <c r="BW16" s="6">
        <v>541.00787312697764</v>
      </c>
      <c r="BX16" s="6">
        <v>562.4504073830966</v>
      </c>
      <c r="BY16" s="6">
        <v>490.92708825393373</v>
      </c>
      <c r="BZ16" s="6">
        <v>33.009956247845345</v>
      </c>
      <c r="CA16" s="6">
        <v>10.262563075880157</v>
      </c>
      <c r="CB16" s="6">
        <v>2.7740594855215632</v>
      </c>
      <c r="CC16" s="6">
        <v>0</v>
      </c>
      <c r="CD16" s="6">
        <v>536.97366706318076</v>
      </c>
      <c r="CE16" s="6">
        <v>0.60335787952098208</v>
      </c>
      <c r="CF16" s="6">
        <v>3.8103140428240301</v>
      </c>
      <c r="CG16" s="6">
        <v>0.59149487236170872</v>
      </c>
      <c r="CH16" s="6">
        <v>1.3831769710110324</v>
      </c>
      <c r="CI16" s="6">
        <v>0.69845006055551928</v>
      </c>
      <c r="CJ16" s="6">
        <v>4.4831779461202661</v>
      </c>
      <c r="CK16" s="6">
        <v>10.158402993987352</v>
      </c>
      <c r="CL16" s="6">
        <v>30.885807335653908</v>
      </c>
      <c r="CM16" s="6">
        <v>11.161537360257016</v>
      </c>
      <c r="CN16" s="6">
        <v>33.935756701387518</v>
      </c>
      <c r="CO16" s="6">
        <v>188.51310252353994</v>
      </c>
      <c r="CP16" s="6">
        <v>94.256551261769971</v>
      </c>
      <c r="CQ16" s="6">
        <v>30819.200404553234</v>
      </c>
      <c r="CR16" s="6">
        <v>15220.814962081176</v>
      </c>
      <c r="CS16" s="6">
        <v>11415.611221560881</v>
      </c>
      <c r="CT16" s="6">
        <v>2691.3805562808784</v>
      </c>
      <c r="CU16" s="6">
        <v>38052.037405202936</v>
      </c>
      <c r="CV16" s="6">
        <v>17123.416832341321</v>
      </c>
      <c r="CW16" s="6">
        <v>3498.7947231651415</v>
      </c>
      <c r="CX16" s="6">
        <v>-58.322558489136334</v>
      </c>
      <c r="CY16" s="6">
        <v>104.39136892225686</v>
      </c>
      <c r="CZ16" s="6" t="e">
        <v>#N/A</v>
      </c>
      <c r="DA16" s="6"/>
      <c r="DB16" s="6"/>
      <c r="DC16" s="6"/>
      <c r="DD16" s="6"/>
      <c r="DE16" s="6"/>
      <c r="DF16" s="6"/>
      <c r="DG16" s="6"/>
      <c r="DH16" s="6"/>
      <c r="DI16" s="6"/>
      <c r="DJ16" s="6"/>
      <c r="DK16" s="6"/>
      <c r="DL16" s="6"/>
      <c r="DM16" s="6"/>
      <c r="DN16" s="6"/>
      <c r="DO16" s="6"/>
      <c r="DP16" s="6"/>
      <c r="DQ16" s="6"/>
      <c r="DR16" s="6"/>
      <c r="DS16" s="6"/>
      <c r="DT16" s="6"/>
      <c r="DU16" s="6"/>
      <c r="DV16" s="6"/>
      <c r="DW16" s="6"/>
      <c r="DX16" s="6"/>
      <c r="DY16" s="6"/>
      <c r="DZ16" s="6"/>
      <c r="EA16" s="6"/>
      <c r="EB16" s="6"/>
      <c r="EC16" s="6"/>
      <c r="ED16" s="6"/>
      <c r="EE16" s="6"/>
      <c r="EF16" s="6"/>
      <c r="EG16" s="6"/>
      <c r="EH16" s="6"/>
      <c r="EI16" s="6"/>
      <c r="EJ16" s="6"/>
      <c r="EK16" s="6"/>
      <c r="EL16" s="6"/>
      <c r="EM16" s="6"/>
      <c r="EN16" s="6"/>
      <c r="EO16" s="6"/>
      <c r="EP16" s="6"/>
      <c r="EQ16" s="6"/>
      <c r="ER16" s="6"/>
      <c r="ES16" s="6"/>
      <c r="ET16" s="6"/>
      <c r="EU16" s="6"/>
      <c r="EV16" s="6"/>
      <c r="EW16" s="6"/>
      <c r="EX16" s="6"/>
      <c r="EY16" s="6"/>
      <c r="EZ16" s="6"/>
      <c r="FA16" s="6"/>
      <c r="FB16" s="6"/>
      <c r="FC16" s="6"/>
      <c r="FD16" s="6"/>
      <c r="FE16" s="6"/>
      <c r="FF16" s="6"/>
      <c r="FG16" s="6"/>
      <c r="FH16" s="6"/>
      <c r="FI16" s="6"/>
      <c r="FJ16" s="6"/>
      <c r="FK16" s="6"/>
      <c r="FL16" s="6"/>
      <c r="FM16" s="6"/>
      <c r="FN16" s="6"/>
      <c r="FO16" s="6"/>
      <c r="FP16" s="6"/>
      <c r="FQ16" s="6"/>
      <c r="FR16" s="6"/>
      <c r="FS16" s="6"/>
      <c r="FT16" s="6"/>
      <c r="FU16" s="6"/>
      <c r="FV16" s="6"/>
      <c r="FW16" s="6"/>
      <c r="FX16" s="6"/>
      <c r="FY16" s="6"/>
      <c r="FZ16" s="6"/>
      <c r="GA16" s="6"/>
      <c r="GB16" s="6"/>
      <c r="GC16" s="6"/>
      <c r="GD16" s="6"/>
      <c r="GE16" s="6"/>
      <c r="GF16" s="6"/>
      <c r="GG16" s="6"/>
      <c r="GH16" s="6"/>
      <c r="GI16" s="6"/>
      <c r="GJ16" s="6"/>
      <c r="GK16" s="6"/>
      <c r="GL16" s="6"/>
      <c r="GM16" s="6"/>
      <c r="GN16" s="6"/>
      <c r="GO16" s="6"/>
      <c r="GP16" s="6"/>
      <c r="GQ16" s="6"/>
      <c r="GR16" s="6"/>
      <c r="GS16" s="6"/>
    </row>
    <row r="17" spans="2:201" x14ac:dyDescent="0.15">
      <c r="B17" s="6">
        <v>14</v>
      </c>
      <c r="C17" s="346">
        <v>8.2502489682622096E-2</v>
      </c>
      <c r="D17" s="6">
        <v>292.28429907830457</v>
      </c>
      <c r="E17" s="6">
        <v>0.34213264385169534</v>
      </c>
      <c r="F17" s="6">
        <v>186.00247406209897</v>
      </c>
      <c r="G17" s="6">
        <v>201.34814125934946</v>
      </c>
      <c r="H17" s="6">
        <v>0.37531109885139974</v>
      </c>
      <c r="I17" s="6">
        <v>50000</v>
      </c>
      <c r="J17" s="6">
        <v>1</v>
      </c>
      <c r="K17" s="6">
        <v>50000</v>
      </c>
      <c r="L17" s="6">
        <v>0</v>
      </c>
      <c r="M17" s="6">
        <v>194.6186772790789</v>
      </c>
      <c r="N17" s="6">
        <v>3.55179086034319</v>
      </c>
      <c r="O17" s="6">
        <v>0.03</v>
      </c>
      <c r="P17" s="6">
        <v>1</v>
      </c>
      <c r="Q17" s="6">
        <v>15.219615556186355</v>
      </c>
      <c r="R17" s="6">
        <v>0.15219615556186361</v>
      </c>
      <c r="S17" s="6">
        <v>15.219615556186355</v>
      </c>
      <c r="T17" s="6">
        <v>0.15219615556186361</v>
      </c>
      <c r="U17" s="6">
        <v>0</v>
      </c>
      <c r="V17" s="6">
        <v>0</v>
      </c>
      <c r="W17" s="6">
        <v>1.3111151887495631E-2</v>
      </c>
      <c r="X17" s="6">
        <v>0.15872945633058042</v>
      </c>
      <c r="Y17" s="6">
        <v>1.3111151887495631E-2</v>
      </c>
      <c r="Z17" s="6">
        <v>7.9364728165290215E-3</v>
      </c>
      <c r="AA17" s="7">
        <v>19.951954026939127</v>
      </c>
      <c r="AB17" s="6">
        <v>1.1761700831406845</v>
      </c>
      <c r="AC17" s="6">
        <v>0.99759770134695636</v>
      </c>
      <c r="AD17" s="6">
        <v>19.951954026939127</v>
      </c>
      <c r="AE17" s="6">
        <v>1.1761700831406845</v>
      </c>
      <c r="AF17" s="6">
        <v>0.99759770134695636</v>
      </c>
      <c r="AG17" s="346">
        <v>7.9733244922751467E-2</v>
      </c>
      <c r="AH17" s="6">
        <v>0.34943005583728676</v>
      </c>
      <c r="AI17" s="6">
        <v>264.24819782402881</v>
      </c>
      <c r="AJ17" s="6">
        <v>13.212409891201441</v>
      </c>
      <c r="AK17" s="6">
        <v>35.144517194002781</v>
      </c>
      <c r="AL17" s="6">
        <v>286.18030512683015</v>
      </c>
      <c r="AM17" s="6">
        <v>51.749516217264571</v>
      </c>
      <c r="AN17" s="6">
        <v>0</v>
      </c>
      <c r="AO17" s="6">
        <v>2.5874758108632285</v>
      </c>
      <c r="AP17" s="6">
        <v>49.162040406401346</v>
      </c>
      <c r="AQ17" s="6">
        <v>3.6220678612737314</v>
      </c>
      <c r="AR17" s="6">
        <v>3.5258209788772006</v>
      </c>
      <c r="AS17" s="6">
        <v>1.32327974593572</v>
      </c>
      <c r="AT17" s="6">
        <v>5.714287508481342</v>
      </c>
      <c r="AU17" s="6">
        <v>0</v>
      </c>
      <c r="AV17" s="6">
        <v>1.8112330676042601</v>
      </c>
      <c r="AW17" s="6">
        <v>1.8112330676042601</v>
      </c>
      <c r="AX17" s="6">
        <v>0.4520709085337834</v>
      </c>
      <c r="AY17" s="6">
        <v>0.4520709085337834</v>
      </c>
      <c r="AZ17" s="6">
        <v>12.280550605474875</v>
      </c>
      <c r="BA17" s="6" t="str">
        <v>#N/A</v>
      </c>
      <c r="BB17" s="6" t="str">
        <v>#N/A</v>
      </c>
      <c r="BC17" s="6">
        <v>201.37527074704784</v>
      </c>
      <c r="BD17" s="6">
        <v>196.04203553608301</v>
      </c>
      <c r="BE17" s="6">
        <v>0</v>
      </c>
      <c r="BF17" s="6">
        <v>2.2633039761380433</v>
      </c>
      <c r="BG17" s="6">
        <v>0.84944310231911124</v>
      </c>
      <c r="BH17" s="6">
        <v>4.232354707873264</v>
      </c>
      <c r="BI17" s="6">
        <v>223.37455223426767</v>
      </c>
      <c r="BJ17" s="6">
        <v>83.834948654482389</v>
      </c>
      <c r="BK17" s="6">
        <v>334.46269684256856</v>
      </c>
      <c r="BL17" s="6">
        <v>0</v>
      </c>
      <c r="BM17" s="6">
        <v>0</v>
      </c>
      <c r="BN17" s="6">
        <v>0.63597687452192309</v>
      </c>
      <c r="BO17" s="6">
        <v>57.792432697187991</v>
      </c>
      <c r="BP17" s="6">
        <v>0.71321032271020557</v>
      </c>
      <c r="BQ17" s="6">
        <v>60.03097548074021</v>
      </c>
      <c r="BR17" s="6">
        <v>2.9228429907830464</v>
      </c>
      <c r="BS17" s="6">
        <v>1.8588605499965118</v>
      </c>
      <c r="BT17" s="6">
        <v>168.91820682927687</v>
      </c>
      <c r="BU17" s="6">
        <v>2.0846017926876388</v>
      </c>
      <c r="BV17" s="6">
        <v>175.46111591375043</v>
      </c>
      <c r="BW17" s="6">
        <v>606.56442707391636</v>
      </c>
      <c r="BX17" s="6">
        <v>630.6052574427988</v>
      </c>
      <c r="BY17" s="6">
        <v>593.08603266157218</v>
      </c>
      <c r="BZ17" s="6">
        <v>35.894121260168738</v>
      </c>
      <c r="CA17" s="6">
        <v>10.587899752643175</v>
      </c>
      <c r="CB17" s="6">
        <v>2.6426645726897848</v>
      </c>
      <c r="CC17" s="6">
        <v>0</v>
      </c>
      <c r="CD17" s="6">
        <v>642.21071824707383</v>
      </c>
      <c r="CE17" s="6">
        <v>-4.5772040278463662</v>
      </c>
      <c r="CF17" s="6">
        <v>-1.4902128718047916</v>
      </c>
      <c r="CG17" s="6">
        <v>0.56864883245109532</v>
      </c>
      <c r="CH17" s="6">
        <v>-4.0052170840377306</v>
      </c>
      <c r="CI17" s="6">
        <v>0.67160306794241997</v>
      </c>
      <c r="CJ17" s="6">
        <v>-1.0211801634874755</v>
      </c>
      <c r="CK17" s="6">
        <v>-30.19418084309541</v>
      </c>
      <c r="CL17" s="6">
        <v>-6.9551361568057928</v>
      </c>
      <c r="CM17" s="6">
        <v>-30.266890954467144</v>
      </c>
      <c r="CN17" s="6">
        <v>-6.9718847060442988</v>
      </c>
      <c r="CO17" s="6">
        <v>194.6186772790789</v>
      </c>
      <c r="CP17" s="6">
        <v>97.309338639539448</v>
      </c>
      <c r="CQ17" s="6">
        <v>34553.712736591711</v>
      </c>
      <c r="CR17" s="6">
        <v>17065.195102818703</v>
      </c>
      <c r="CS17" s="6">
        <v>12798.896327114026</v>
      </c>
      <c r="CT17" s="6">
        <v>2922.8429907830464</v>
      </c>
      <c r="CU17" s="6">
        <v>42662.987757046758</v>
      </c>
      <c r="CV17" s="6">
        <v>19198.344490671039</v>
      </c>
      <c r="CW17" s="6">
        <v>3799.69588801796</v>
      </c>
      <c r="CX17" s="6">
        <v>-56.140842931961544</v>
      </c>
      <c r="CY17" s="6">
        <v>104.39136892225686</v>
      </c>
      <c r="CZ17" s="6" t="e">
        <v>#N/A</v>
      </c>
      <c r="DA17" s="6"/>
      <c r="DB17" s="6"/>
      <c r="DC17" s="6"/>
      <c r="DD17" s="6"/>
      <c r="DE17" s="6"/>
      <c r="DF17" s="6"/>
      <c r="DG17" s="6"/>
      <c r="DH17" s="6"/>
      <c r="DI17" s="6"/>
      <c r="DJ17" s="6"/>
      <c r="DK17" s="6"/>
      <c r="DL17" s="6"/>
      <c r="DM17" s="6"/>
      <c r="DN17" s="6"/>
      <c r="DO17" s="6"/>
      <c r="DP17" s="6"/>
      <c r="DQ17" s="6"/>
      <c r="DR17" s="6"/>
      <c r="DS17" s="6"/>
      <c r="DT17" s="6"/>
      <c r="DU17" s="6"/>
      <c r="DV17" s="6"/>
      <c r="DW17" s="6"/>
      <c r="DX17" s="6"/>
      <c r="DY17" s="6"/>
      <c r="DZ17" s="6"/>
      <c r="EA17" s="6"/>
      <c r="EB17" s="6"/>
      <c r="EC17" s="6"/>
      <c r="ED17" s="6"/>
      <c r="EE17" s="6"/>
      <c r="EF17" s="6"/>
      <c r="EG17" s="6"/>
      <c r="EH17" s="6"/>
      <c r="EI17" s="6"/>
      <c r="EJ17" s="6"/>
      <c r="EK17" s="6"/>
      <c r="EL17" s="6"/>
      <c r="EM17" s="6"/>
      <c r="EN17" s="6"/>
      <c r="EO17" s="6"/>
      <c r="EP17" s="6"/>
      <c r="EQ17" s="6"/>
      <c r="ER17" s="6"/>
      <c r="ES17" s="6"/>
      <c r="ET17" s="6"/>
      <c r="EU17" s="6"/>
      <c r="EV17" s="6"/>
      <c r="EW17" s="6"/>
      <c r="EX17" s="6"/>
      <c r="EY17" s="6"/>
      <c r="EZ17" s="6"/>
      <c r="FA17" s="6"/>
      <c r="FB17" s="6"/>
      <c r="FC17" s="6"/>
      <c r="FD17" s="6"/>
      <c r="FE17" s="6"/>
      <c r="FF17" s="6"/>
      <c r="FG17" s="6"/>
      <c r="FH17" s="6"/>
      <c r="FI17" s="6"/>
      <c r="FJ17" s="6"/>
      <c r="FK17" s="6"/>
      <c r="FL17" s="6"/>
      <c r="FM17" s="6"/>
      <c r="FN17" s="6"/>
      <c r="FO17" s="6"/>
      <c r="FP17" s="6"/>
      <c r="FQ17" s="6"/>
      <c r="FR17" s="6"/>
      <c r="FS17" s="6"/>
      <c r="FT17" s="6"/>
      <c r="FU17" s="6"/>
      <c r="FV17" s="6"/>
      <c r="FW17" s="6"/>
      <c r="FX17" s="6"/>
      <c r="FY17" s="6"/>
      <c r="FZ17" s="6"/>
      <c r="GA17" s="6"/>
      <c r="GB17" s="6"/>
      <c r="GC17" s="6"/>
      <c r="GD17" s="6"/>
      <c r="GE17" s="6"/>
      <c r="GF17" s="6"/>
      <c r="GG17" s="6"/>
      <c r="GH17" s="6"/>
      <c r="GI17" s="6"/>
      <c r="GJ17" s="6"/>
      <c r="GK17" s="6"/>
      <c r="GL17" s="6"/>
      <c r="GM17" s="6"/>
      <c r="GN17" s="6"/>
      <c r="GO17" s="6"/>
      <c r="GP17" s="6"/>
      <c r="GQ17" s="6"/>
      <c r="GR17" s="6"/>
      <c r="GS17" s="6"/>
    </row>
    <row r="18" spans="2:201" x14ac:dyDescent="0.15">
      <c r="B18" s="6">
        <v>15</v>
      </c>
      <c r="C18" s="346">
        <v>8.0796490956205697E-2</v>
      </c>
      <c r="D18" s="6">
        <v>316.88009291683414</v>
      </c>
      <c r="E18" s="6">
        <v>0.31557678199193534</v>
      </c>
      <c r="F18" s="6">
        <v>205.93975603848401</v>
      </c>
      <c r="G18" s="6">
        <v>222.57896567477061</v>
      </c>
      <c r="H18" s="6">
        <v>0.34993774911115555</v>
      </c>
      <c r="I18" s="6">
        <v>50000</v>
      </c>
      <c r="J18" s="6">
        <v>1</v>
      </c>
      <c r="K18" s="6">
        <v>50000</v>
      </c>
      <c r="L18" s="6">
        <v>0</v>
      </c>
      <c r="M18" s="6">
        <v>186.02422114856753</v>
      </c>
      <c r="N18" s="6">
        <v>3.3949420359613574</v>
      </c>
      <c r="O18" s="6">
        <v>0.03</v>
      </c>
      <c r="P18" s="6">
        <v>1</v>
      </c>
      <c r="Q18" s="6">
        <v>15.683121854901707</v>
      </c>
      <c r="R18" s="6">
        <v>0.15683121854901713</v>
      </c>
      <c r="S18" s="6">
        <v>15.683121854901707</v>
      </c>
      <c r="T18" s="6">
        <v>0.15683121854901713</v>
      </c>
      <c r="U18" s="6">
        <v>0</v>
      </c>
      <c r="V18" s="6">
        <v>0</v>
      </c>
      <c r="W18" s="6">
        <v>1.3111151887495631E-2</v>
      </c>
      <c r="X18" s="6">
        <v>0.1456183044430848</v>
      </c>
      <c r="Y18" s="6">
        <v>1.3111151887495631E-2</v>
      </c>
      <c r="Z18" s="6">
        <v>7.2809152221542401E-3</v>
      </c>
      <c r="AA18" s="7">
        <v>21.74456759860918</v>
      </c>
      <c r="AB18" s="6">
        <v>1.3500537105471797</v>
      </c>
      <c r="AC18" s="6">
        <v>1.087228379930459</v>
      </c>
      <c r="AD18" s="6">
        <v>21.74456759860918</v>
      </c>
      <c r="AE18" s="6">
        <v>1.3500537105471797</v>
      </c>
      <c r="AF18" s="6">
        <v>1.087228379930459</v>
      </c>
      <c r="AG18" s="346">
        <v>7.9839662114834453E-2</v>
      </c>
      <c r="AH18" s="6">
        <v>0.32261631993392553</v>
      </c>
      <c r="AI18" s="6">
        <v>286.18030512683015</v>
      </c>
      <c r="AJ18" s="6">
        <v>14.309015256341509</v>
      </c>
      <c r="AK18" s="6">
        <v>38.094430464058675</v>
      </c>
      <c r="AL18" s="6">
        <v>309.96572033454731</v>
      </c>
      <c r="AM18" s="6">
        <v>49.162040406401346</v>
      </c>
      <c r="AN18" s="6">
        <v>0</v>
      </c>
      <c r="AO18" s="6">
        <v>2.4581020203200676</v>
      </c>
      <c r="AP18" s="6">
        <v>46.703938386081276</v>
      </c>
      <c r="AQ18" s="6">
        <v>3.6952384857393059</v>
      </c>
      <c r="AR18" s="6">
        <v>3.5970472873449677</v>
      </c>
      <c r="AS18" s="6">
        <v>1.2587426311798859</v>
      </c>
      <c r="AT18" s="6">
        <v>6.973030139661228</v>
      </c>
      <c r="AU18" s="6">
        <v>4.9895849314202279</v>
      </c>
      <c r="AV18" s="6">
        <v>1.7206714142240473</v>
      </c>
      <c r="AW18" s="6">
        <v>1.7206714142240473</v>
      </c>
      <c r="AX18" s="6">
        <v>0.39651191390890383</v>
      </c>
      <c r="AY18" s="6">
        <v>0.39651191390890383</v>
      </c>
      <c r="AZ18" s="6">
        <v>12.289884966293434</v>
      </c>
      <c r="BA18" s="6" t="str">
        <v>#N/A</v>
      </c>
      <c r="BB18" s="6" t="str">
        <v>#N/A</v>
      </c>
      <c r="BC18" s="6">
        <v>211.70000166126766</v>
      </c>
      <c r="BD18" s="6">
        <v>206.09332563380545</v>
      </c>
      <c r="BE18" s="6">
        <v>0</v>
      </c>
      <c r="BF18" s="6">
        <v>2.1171833281329513</v>
      </c>
      <c r="BG18" s="6">
        <v>0.74088236830250997</v>
      </c>
      <c r="BH18" s="6">
        <v>4.9732370761757743</v>
      </c>
      <c r="BI18" s="6">
        <v>240.42877543677665</v>
      </c>
      <c r="BJ18" s="6">
        <v>84.135104497897103</v>
      </c>
      <c r="BK18" s="6">
        <v>418.59780134046565</v>
      </c>
      <c r="BL18" s="6">
        <v>2.5173009706771845</v>
      </c>
      <c r="BM18" s="6">
        <v>408.0881461531751</v>
      </c>
      <c r="BN18" s="6">
        <v>0.63597687452192309</v>
      </c>
      <c r="BO18" s="6">
        <v>57.792432697187991</v>
      </c>
      <c r="BP18" s="6">
        <v>0.71321032271020557</v>
      </c>
      <c r="BQ18" s="6">
        <v>60.03097548074021</v>
      </c>
      <c r="BR18" s="6">
        <v>3.1688009291683419</v>
      </c>
      <c r="BS18" s="6">
        <v>2.015284110914648</v>
      </c>
      <c r="BT18" s="6">
        <v>183.13271442974818</v>
      </c>
      <c r="BU18" s="6">
        <v>2.2600215332965523</v>
      </c>
      <c r="BV18" s="6">
        <v>190.22621088225154</v>
      </c>
      <c r="BW18" s="6">
        <v>628.56672311980833</v>
      </c>
      <c r="BX18" s="6">
        <v>653.4796017713719</v>
      </c>
      <c r="BY18" s="6">
        <v>684.1796243504898</v>
      </c>
      <c r="BZ18" s="6">
        <v>38.944198900562668</v>
      </c>
      <c r="CA18" s="6">
        <v>10.904930352373132</v>
      </c>
      <c r="CB18" s="6">
        <v>2.5129346424417043</v>
      </c>
      <c r="CC18" s="6">
        <v>0</v>
      </c>
      <c r="CD18" s="6">
        <v>736.54168824586736</v>
      </c>
      <c r="CE18" s="6">
        <v>-11.92391604936989</v>
      </c>
      <c r="CF18" s="6">
        <v>-9.1727313350004849</v>
      </c>
      <c r="CG18" s="6">
        <v>0.48639771926965014</v>
      </c>
      <c r="CH18" s="6">
        <v>-11.466858018780828</v>
      </c>
      <c r="CI18" s="6">
        <v>0.57815247483769783</v>
      </c>
      <c r="CJ18" s="6">
        <v>-8.8074280599794736</v>
      </c>
      <c r="CK18" s="6">
        <v>-102.74892658434055</v>
      </c>
      <c r="CL18" s="6">
        <v>-78.666917295794178</v>
      </c>
      <c r="CM18" s="6">
        <v>-94.505375761909889</v>
      </c>
      <c r="CN18" s="6">
        <v>-72.355467119820631</v>
      </c>
      <c r="CO18" s="6">
        <v>186.02422114856753</v>
      </c>
      <c r="CP18" s="6">
        <v>93.012110574283767</v>
      </c>
      <c r="CQ18" s="6">
        <v>35807.101466924491</v>
      </c>
      <c r="CR18" s="6">
        <v>17684.211744701937</v>
      </c>
      <c r="CS18" s="6">
        <v>13263.158808526454</v>
      </c>
      <c r="CT18" s="6">
        <v>3168.800929168342</v>
      </c>
      <c r="CU18" s="6">
        <v>44210.529361754845</v>
      </c>
      <c r="CV18" s="6">
        <v>19894.738212789682</v>
      </c>
      <c r="CW18" s="6">
        <v>4119.4412079188442</v>
      </c>
      <c r="CX18" s="6">
        <v>-50.03377759082435</v>
      </c>
      <c r="CY18" s="6">
        <v>104.39136892225686</v>
      </c>
      <c r="CZ18" s="6" t="e">
        <v>#N/A</v>
      </c>
      <c r="DA18" s="6"/>
      <c r="DB18" s="6"/>
      <c r="DC18" s="6"/>
      <c r="DD18" s="6"/>
      <c r="DE18" s="6"/>
      <c r="DF18" s="6"/>
      <c r="DG18" s="6"/>
      <c r="DH18" s="6"/>
      <c r="DI18" s="6"/>
      <c r="DJ18" s="6"/>
      <c r="DK18" s="6"/>
      <c r="DL18" s="6"/>
      <c r="DM18" s="6"/>
      <c r="DN18" s="6"/>
      <c r="DO18" s="6"/>
      <c r="DP18" s="6"/>
      <c r="DQ18" s="6"/>
      <c r="DR18" s="6"/>
      <c r="DS18" s="6"/>
      <c r="DT18" s="6"/>
      <c r="DU18" s="6"/>
      <c r="DV18" s="6"/>
      <c r="DW18" s="6"/>
      <c r="DX18" s="6"/>
      <c r="DY18" s="6"/>
      <c r="DZ18" s="6"/>
      <c r="EA18" s="6"/>
      <c r="EB18" s="6"/>
      <c r="EC18" s="6"/>
      <c r="ED18" s="6"/>
      <c r="EE18" s="6"/>
      <c r="EF18" s="6"/>
      <c r="EG18" s="6"/>
      <c r="EH18" s="6"/>
      <c r="EI18" s="6"/>
      <c r="EJ18" s="6"/>
      <c r="EK18" s="6"/>
      <c r="EL18" s="6"/>
      <c r="EM18" s="6"/>
      <c r="EN18" s="6"/>
      <c r="EO18" s="6"/>
      <c r="EP18" s="6"/>
      <c r="EQ18" s="6"/>
      <c r="ER18" s="6"/>
      <c r="ES18" s="6"/>
      <c r="ET18" s="6"/>
      <c r="EU18" s="6"/>
      <c r="EV18" s="6"/>
      <c r="EW18" s="6"/>
      <c r="EX18" s="6"/>
      <c r="EY18" s="6"/>
      <c r="EZ18" s="6"/>
      <c r="FA18" s="6"/>
      <c r="FB18" s="6"/>
      <c r="FC18" s="6"/>
      <c r="FD18" s="6"/>
      <c r="FE18" s="6"/>
      <c r="FF18" s="6"/>
      <c r="FG18" s="6"/>
      <c r="FH18" s="6"/>
      <c r="FI18" s="6"/>
      <c r="FJ18" s="6"/>
      <c r="FK18" s="6"/>
      <c r="FL18" s="6"/>
      <c r="FM18" s="6"/>
      <c r="FN18" s="6"/>
      <c r="FO18" s="6"/>
      <c r="FP18" s="6"/>
      <c r="FQ18" s="6"/>
      <c r="FR18" s="6"/>
      <c r="FS18" s="6"/>
      <c r="FT18" s="6"/>
      <c r="FU18" s="6"/>
      <c r="FV18" s="6"/>
      <c r="FW18" s="6"/>
      <c r="FX18" s="6"/>
      <c r="FY18" s="6"/>
      <c r="FZ18" s="6"/>
      <c r="GA18" s="6"/>
      <c r="GB18" s="6"/>
      <c r="GC18" s="6"/>
      <c r="GD18" s="6"/>
      <c r="GE18" s="6"/>
      <c r="GF18" s="6"/>
      <c r="GG18" s="6"/>
      <c r="GH18" s="6"/>
      <c r="GI18" s="6"/>
      <c r="GJ18" s="6"/>
      <c r="GK18" s="6"/>
      <c r="GL18" s="6"/>
      <c r="GM18" s="6"/>
      <c r="GN18" s="6"/>
      <c r="GO18" s="6"/>
      <c r="GP18" s="6"/>
      <c r="GQ18" s="6"/>
      <c r="GR18" s="6"/>
      <c r="GS18" s="6"/>
    </row>
    <row r="19" spans="2:201" x14ac:dyDescent="0.15">
      <c r="B19" s="6">
        <v>16</v>
      </c>
      <c r="C19" s="346">
        <v>8.1136523868512972E-2</v>
      </c>
      <c r="D19" s="6">
        <v>343.66246538704655</v>
      </c>
      <c r="E19" s="6">
        <v>0.29098318865685818</v>
      </c>
      <c r="F19" s="6">
        <v>221.649692957008</v>
      </c>
      <c r="G19" s="6">
        <v>239.63357856006283</v>
      </c>
      <c r="H19" s="6">
        <v>0.32627979462303969</v>
      </c>
      <c r="I19" s="6">
        <v>50000</v>
      </c>
      <c r="J19" s="6">
        <v>1</v>
      </c>
      <c r="K19" s="6">
        <v>50000</v>
      </c>
      <c r="L19" s="6">
        <v>0</v>
      </c>
      <c r="M19" s="6">
        <v>184.75051836149626</v>
      </c>
      <c r="N19" s="6">
        <v>3.371696960097307</v>
      </c>
      <c r="O19" s="6">
        <v>0.03</v>
      </c>
      <c r="P19" s="6">
        <v>1</v>
      </c>
      <c r="Q19" s="6">
        <v>16.160744021928956</v>
      </c>
      <c r="R19" s="6">
        <v>0.16160744021928961</v>
      </c>
      <c r="S19" s="6">
        <v>16.160744021928956</v>
      </c>
      <c r="T19" s="6">
        <v>0.16160744021928961</v>
      </c>
      <c r="U19" s="6">
        <v>0</v>
      </c>
      <c r="V19" s="6">
        <v>0</v>
      </c>
      <c r="W19" s="6">
        <v>1.3111151887495631E-2</v>
      </c>
      <c r="X19" s="6">
        <v>0.13250715255558917</v>
      </c>
      <c r="Y19" s="6">
        <v>1.3111151887495631E-2</v>
      </c>
      <c r="Z19" s="6">
        <v>6.6253576277794587E-3</v>
      </c>
      <c r="AA19" s="7">
        <v>21.950291814717129</v>
      </c>
      <c r="AB19" s="6">
        <v>1.4530413950880512</v>
      </c>
      <c r="AC19" s="6">
        <v>1.0975145907358566</v>
      </c>
      <c r="AD19" s="6">
        <v>21.950291814717129</v>
      </c>
      <c r="AE19" s="6">
        <v>1.4530413950880512</v>
      </c>
      <c r="AF19" s="6">
        <v>1.0975145907358566</v>
      </c>
      <c r="AG19" s="346">
        <v>8.1136523868512972E-2</v>
      </c>
      <c r="AH19" s="6">
        <v>0.2974741199101073</v>
      </c>
      <c r="AI19" s="6">
        <v>309.96572033454731</v>
      </c>
      <c r="AJ19" s="6">
        <v>15.498286016727366</v>
      </c>
      <c r="AK19" s="6">
        <v>41.696262982028017</v>
      </c>
      <c r="AL19" s="6">
        <v>336.16369729984797</v>
      </c>
      <c r="AM19" s="6">
        <v>46.703938386081276</v>
      </c>
      <c r="AN19" s="6">
        <v>0</v>
      </c>
      <c r="AO19" s="6">
        <v>2.3351969193040638</v>
      </c>
      <c r="AP19" s="6">
        <v>44.368741466777209</v>
      </c>
      <c r="AQ19" s="6">
        <v>3.7698872548696798</v>
      </c>
      <c r="AR19" s="6">
        <v>3.371696960097307</v>
      </c>
      <c r="AS19" s="6">
        <v>1.1001165916716766</v>
      </c>
      <c r="AT19" s="6">
        <v>1.1001165916716766</v>
      </c>
      <c r="AU19" s="6">
        <v>0</v>
      </c>
      <c r="AV19" s="6">
        <v>1.6346378435128448</v>
      </c>
      <c r="AW19" s="6">
        <v>1.6346378435128448</v>
      </c>
      <c r="AX19" s="6">
        <v>0.34733032419338511</v>
      </c>
      <c r="AY19" s="6">
        <v>0.34733032419338511</v>
      </c>
      <c r="AZ19" s="6">
        <v>12.40355913411917</v>
      </c>
      <c r="BA19" s="6" t="str">
        <v>#N/A</v>
      </c>
      <c r="BB19" s="6" t="str">
        <v>#N/A</v>
      </c>
      <c r="BC19" s="6">
        <v>222.55409284924698</v>
      </c>
      <c r="BD19" s="6">
        <v>221.649692957008</v>
      </c>
      <c r="BE19" s="6">
        <v>0</v>
      </c>
      <c r="BF19" s="6">
        <v>1.98196816770623</v>
      </c>
      <c r="BG19" s="6">
        <v>0.64667616670859096</v>
      </c>
      <c r="BH19" s="6">
        <v>0.64667616670859096</v>
      </c>
      <c r="BI19" s="6">
        <v>247.05117488754448</v>
      </c>
      <c r="BJ19" s="6">
        <v>80.607806603688672</v>
      </c>
      <c r="BK19" s="6">
        <v>80.607806603688672</v>
      </c>
      <c r="BL19" s="6">
        <v>0</v>
      </c>
      <c r="BM19" s="6">
        <v>0</v>
      </c>
      <c r="BN19" s="6">
        <v>0.63597687452192309</v>
      </c>
      <c r="BO19" s="6">
        <v>57.792432697187991</v>
      </c>
      <c r="BP19" s="6">
        <v>0.50451109767173841</v>
      </c>
      <c r="BQ19" s="6">
        <v>81.78799474549028</v>
      </c>
      <c r="BR19" s="6">
        <v>3.4366246538704668</v>
      </c>
      <c r="BS19" s="6">
        <v>2.1856138062735253</v>
      </c>
      <c r="BT19" s="6">
        <v>198.61089901430591</v>
      </c>
      <c r="BU19" s="6">
        <v>1.7338152764099473</v>
      </c>
      <c r="BV19" s="6">
        <v>281.07463913298011</v>
      </c>
      <c r="BW19" s="6">
        <v>677.02499187528758</v>
      </c>
      <c r="BX19" s="6">
        <v>953.54440602195825</v>
      </c>
      <c r="BY19" s="6">
        <v>799.58450060181985</v>
      </c>
      <c r="BZ19" s="6">
        <v>42.626377116054158</v>
      </c>
      <c r="CA19" s="6">
        <v>11.235273426331792</v>
      </c>
      <c r="CB19" s="6">
        <v>2.3872879103196181</v>
      </c>
      <c r="CC19" s="6">
        <v>0</v>
      </c>
      <c r="CD19" s="6">
        <v>855.83343905452546</v>
      </c>
      <c r="CE19" s="6">
        <v>-16.976419975571002</v>
      </c>
      <c r="CF19" s="6">
        <v>9.2768682779036631</v>
      </c>
      <c r="CG19" s="6">
        <v>0.45749399087511239</v>
      </c>
      <c r="CH19" s="6">
        <v>-16.624871074440819</v>
      </c>
      <c r="CI19" s="6">
        <v>0.31286630852521796</v>
      </c>
      <c r="CJ19" s="6">
        <v>9.7730448613837311</v>
      </c>
      <c r="CK19" s="6">
        <v>-174.00815466423353</v>
      </c>
      <c r="CL19" s="6">
        <v>104.03458721215452</v>
      </c>
      <c r="CM19" s="6">
        <v>-158.54746363559991</v>
      </c>
      <c r="CN19" s="6">
        <v>94.791074387814646</v>
      </c>
      <c r="CO19" s="6">
        <v>184.75051836149626</v>
      </c>
      <c r="CP19" s="6">
        <v>92.375259180748131</v>
      </c>
      <c r="CQ19" s="6">
        <v>52249.008549148391</v>
      </c>
      <c r="CR19" s="6">
        <v>19047.54558649399</v>
      </c>
      <c r="CS19" s="6">
        <v>14285.659189870494</v>
      </c>
      <c r="CT19" s="6">
        <v>3436.6246538704668</v>
      </c>
      <c r="CU19" s="6">
        <v>47618.863966234981</v>
      </c>
      <c r="CV19" s="6">
        <v>21428.488784805741</v>
      </c>
      <c r="CW19" s="6">
        <v>4467.6120500316065</v>
      </c>
      <c r="CX19" s="6">
        <v>-78.805278490617312</v>
      </c>
      <c r="CY19" s="6">
        <v>104.39136892225686</v>
      </c>
      <c r="CZ19" s="6" t="e">
        <v>#N/A</v>
      </c>
      <c r="DA19" s="6"/>
      <c r="DB19" s="6"/>
      <c r="DC19" s="6"/>
      <c r="DD19" s="6"/>
      <c r="DE19" s="6"/>
      <c r="DF19" s="6"/>
      <c r="DG19" s="6"/>
      <c r="DH19" s="6"/>
      <c r="DI19" s="6"/>
      <c r="DJ19" s="6"/>
      <c r="DK19" s="6"/>
      <c r="DL19" s="6"/>
      <c r="DM19" s="6"/>
      <c r="DN19" s="6"/>
      <c r="DO19" s="6"/>
      <c r="DP19" s="6"/>
      <c r="DQ19" s="6"/>
      <c r="DR19" s="6"/>
      <c r="DS19" s="6"/>
      <c r="DT19" s="6"/>
      <c r="DU19" s="6"/>
      <c r="DV19" s="6"/>
      <c r="DW19" s="6"/>
      <c r="DX19" s="6"/>
      <c r="DY19" s="6"/>
      <c r="DZ19" s="6"/>
      <c r="EA19" s="6"/>
      <c r="EB19" s="6"/>
      <c r="EC19" s="6"/>
      <c r="ED19" s="6"/>
      <c r="EE19" s="6"/>
      <c r="EF19" s="6"/>
      <c r="EG19" s="6"/>
      <c r="EH19" s="6"/>
      <c r="EI19" s="6"/>
      <c r="EJ19" s="6"/>
      <c r="EK19" s="6"/>
      <c r="EL19" s="6"/>
      <c r="EM19" s="6"/>
      <c r="EN19" s="6"/>
      <c r="EO19" s="6"/>
      <c r="EP19" s="6"/>
      <c r="EQ19" s="6"/>
      <c r="ER19" s="6"/>
      <c r="ES19" s="6"/>
      <c r="ET19" s="6"/>
      <c r="EU19" s="6"/>
      <c r="EV19" s="6"/>
      <c r="EW19" s="6"/>
      <c r="EX19" s="6"/>
      <c r="EY19" s="6"/>
      <c r="EZ19" s="6"/>
      <c r="FA19" s="6"/>
      <c r="FB19" s="6"/>
      <c r="FC19" s="6"/>
      <c r="FD19" s="6"/>
      <c r="FE19" s="6"/>
      <c r="FF19" s="6"/>
      <c r="FG19" s="6"/>
      <c r="FH19" s="6"/>
      <c r="FI19" s="6"/>
      <c r="FJ19" s="6"/>
      <c r="FK19" s="6"/>
      <c r="FL19" s="6"/>
      <c r="FM19" s="6"/>
      <c r="FN19" s="6"/>
      <c r="FO19" s="6"/>
      <c r="FP19" s="6"/>
      <c r="FQ19" s="6"/>
      <c r="FR19" s="6"/>
      <c r="FS19" s="6"/>
      <c r="FT19" s="6"/>
      <c r="FU19" s="6"/>
      <c r="FV19" s="6"/>
      <c r="FW19" s="6"/>
      <c r="FX19" s="6"/>
      <c r="FY19" s="6"/>
      <c r="FZ19" s="6"/>
      <c r="GA19" s="6"/>
      <c r="GB19" s="6"/>
      <c r="GC19" s="6"/>
      <c r="GD19" s="6"/>
      <c r="GE19" s="6"/>
      <c r="GF19" s="6"/>
      <c r="GG19" s="6"/>
      <c r="GH19" s="6"/>
      <c r="GI19" s="6"/>
      <c r="GJ19" s="6"/>
      <c r="GK19" s="6"/>
      <c r="GL19" s="6"/>
      <c r="GM19" s="6"/>
      <c r="GN19" s="6"/>
      <c r="GO19" s="6"/>
      <c r="GP19" s="6"/>
      <c r="GQ19" s="6"/>
      <c r="GR19" s="6"/>
      <c r="GS19" s="6"/>
    </row>
    <row r="20" spans="2:201" x14ac:dyDescent="0.15">
      <c r="B20" s="6">
        <v>17</v>
      </c>
      <c r="C20" s="346">
        <v>7.9049343096611435E-2</v>
      </c>
      <c r="D20" s="6">
        <v>371.93135716732036</v>
      </c>
      <c r="E20" s="6">
        <v>0.26886681661264999</v>
      </c>
      <c r="F20" s="6">
        <v>224.00387904496372</v>
      </c>
      <c r="G20" s="6">
        <v>241.71123853456092</v>
      </c>
      <c r="H20" s="6">
        <v>0.30422126406670424</v>
      </c>
      <c r="I20" s="6">
        <v>50000</v>
      </c>
      <c r="J20" s="6">
        <v>1</v>
      </c>
      <c r="K20" s="6">
        <v>50000</v>
      </c>
      <c r="L20" s="6">
        <v>0</v>
      </c>
      <c r="M20" s="6">
        <v>190.81685186266319</v>
      </c>
      <c r="N20" s="6">
        <v>3.4824075464936035</v>
      </c>
      <c r="O20" s="6">
        <v>0.03</v>
      </c>
      <c r="P20" s="6">
        <v>1</v>
      </c>
      <c r="Q20" s="6">
        <v>16.652911949458886</v>
      </c>
      <c r="R20" s="6">
        <v>0.16652911949458893</v>
      </c>
      <c r="S20" s="6">
        <v>16.652911949458886</v>
      </c>
      <c r="T20" s="6">
        <v>0.16652911949458893</v>
      </c>
      <c r="U20" s="6">
        <v>0</v>
      </c>
      <c r="V20" s="6">
        <v>0</v>
      </c>
      <c r="W20" s="6">
        <v>1.3111151887495631E-2</v>
      </c>
      <c r="X20" s="6">
        <v>0.11939600066809354</v>
      </c>
      <c r="Y20" s="6">
        <v>1.3111151887495631E-2</v>
      </c>
      <c r="Z20" s="6">
        <v>5.9698000334046774E-3</v>
      </c>
      <c r="AA20" s="7">
        <v>20.714955849920809</v>
      </c>
      <c r="AB20" s="6">
        <v>1.4684744407733594</v>
      </c>
      <c r="AC20" s="6">
        <v>1.0357477924960405</v>
      </c>
      <c r="AD20" s="6">
        <v>20.714955849920809</v>
      </c>
      <c r="AE20" s="6">
        <v>1.4684744407733594</v>
      </c>
      <c r="AF20" s="6">
        <v>1.0357477924960405</v>
      </c>
      <c r="AG20" s="346">
        <v>8.0676763447540725E-2</v>
      </c>
      <c r="AH20" s="6">
        <v>0.27441744416344471</v>
      </c>
      <c r="AI20" s="6">
        <v>336.16369729984797</v>
      </c>
      <c r="AJ20" s="6">
        <v>16.808184864992398</v>
      </c>
      <c r="AK20" s="6">
        <v>45.052808271022656</v>
      </c>
      <c r="AL20" s="6">
        <v>364.40832070587822</v>
      </c>
      <c r="AM20" s="6">
        <v>44.368741466777209</v>
      </c>
      <c r="AN20" s="6">
        <v>0</v>
      </c>
      <c r="AO20" s="6">
        <v>2.2184370733388605</v>
      </c>
      <c r="AP20" s="6">
        <v>42.150304393438347</v>
      </c>
      <c r="AQ20" s="6">
        <v>3.8460440291678353</v>
      </c>
      <c r="AR20" s="6">
        <v>3.439809756855412</v>
      </c>
      <c r="AS20" s="6">
        <v>1.046463272379536</v>
      </c>
      <c r="AT20" s="6">
        <v>2.1465798640512128</v>
      </c>
      <c r="AU20" s="6">
        <v>0</v>
      </c>
      <c r="AV20" s="6">
        <v>1.5529059513372026</v>
      </c>
      <c r="AW20" s="6">
        <v>1.5529059513372026</v>
      </c>
      <c r="AX20" s="6">
        <v>0.30438891585154121</v>
      </c>
      <c r="AY20" s="6">
        <v>0.30438891585154121</v>
      </c>
      <c r="AZ20" s="6">
        <v>12.36327649811974</v>
      </c>
      <c r="BA20" s="6" t="str">
        <v>#N/A</v>
      </c>
      <c r="BB20" s="6" t="str">
        <v>#N/A</v>
      </c>
      <c r="BC20" s="6">
        <v>233.96468519259935</v>
      </c>
      <c r="BD20" s="6">
        <v>233.01391572632292</v>
      </c>
      <c r="BE20" s="6">
        <v>0</v>
      </c>
      <c r="BF20" s="6">
        <v>1.8572948671887437</v>
      </c>
      <c r="BG20" s="6">
        <v>0.56502859224076118</v>
      </c>
      <c r="BH20" s="6">
        <v>1.2117047589493521</v>
      </c>
      <c r="BI20" s="6">
        <v>266.33673347618469</v>
      </c>
      <c r="BJ20" s="6">
        <v>81.02529772552181</v>
      </c>
      <c r="BK20" s="6">
        <v>161.63310432921048</v>
      </c>
      <c r="BL20" s="6">
        <v>0</v>
      </c>
      <c r="BM20" s="6">
        <v>0</v>
      </c>
      <c r="BN20" s="6">
        <v>0.63597687452192309</v>
      </c>
      <c r="BO20" s="6">
        <v>57.792432697187991</v>
      </c>
      <c r="BP20" s="6">
        <v>0.50451109767173841</v>
      </c>
      <c r="BQ20" s="6">
        <v>81.78799474549028</v>
      </c>
      <c r="BR20" s="6">
        <v>3.7193135716732053</v>
      </c>
      <c r="BS20" s="6">
        <v>2.3653974206796957</v>
      </c>
      <c r="BT20" s="6">
        <v>214.9481792706616</v>
      </c>
      <c r="BU20" s="6">
        <v>1.8764349726302427</v>
      </c>
      <c r="BV20" s="6">
        <v>304.19519885683883</v>
      </c>
      <c r="BW20" s="6">
        <v>756.77443942544335</v>
      </c>
      <c r="BX20" s="6">
        <v>1065.86616741537</v>
      </c>
      <c r="BY20" s="6">
        <v>921.14153670256371</v>
      </c>
      <c r="BZ20" s="6">
        <v>45.982902069805128</v>
      </c>
      <c r="CA20" s="6">
        <v>11.551488360681095</v>
      </c>
      <c r="CB20" s="6">
        <v>2.264235651587061</v>
      </c>
      <c r="CC20" s="6">
        <v>0</v>
      </c>
      <c r="CD20" s="6">
        <v>980.9401627846371</v>
      </c>
      <c r="CE20" s="6">
        <v>-18.335635973301862</v>
      </c>
      <c r="CF20" s="6">
        <v>6.9465227878792115</v>
      </c>
      <c r="CG20" s="6">
        <v>0.46893529853129023</v>
      </c>
      <c r="CH20" s="6">
        <v>-18.084179816593387</v>
      </c>
      <c r="CI20" s="6">
        <v>0.32965750631233848</v>
      </c>
      <c r="CJ20" s="6">
        <v>7.3372567368066264</v>
      </c>
      <c r="CK20" s="6">
        <v>-220.05575161593026</v>
      </c>
      <c r="CL20" s="6">
        <v>90.738742893035692</v>
      </c>
      <c r="CM20" s="6">
        <v>-212.46074885240125</v>
      </c>
      <c r="CN20" s="6">
        <v>87.606986517794169</v>
      </c>
      <c r="CO20" s="6">
        <v>190.81685186266319</v>
      </c>
      <c r="CP20" s="6">
        <v>95.408425931331593</v>
      </c>
      <c r="CQ20" s="6">
        <v>58403.625611801093</v>
      </c>
      <c r="CR20" s="6">
        <v>21291.231205102762</v>
      </c>
      <c r="CS20" s="6">
        <v>15968.423403827073</v>
      </c>
      <c r="CT20" s="6">
        <v>3719.3135716732054</v>
      </c>
      <c r="CU20" s="6">
        <v>53228.078012756909</v>
      </c>
      <c r="CV20" s="6">
        <v>23952.635105740606</v>
      </c>
      <c r="CW20" s="6">
        <v>4835.1076431751671</v>
      </c>
      <c r="CX20" s="6">
        <v>-75.89021012463769</v>
      </c>
      <c r="CY20" s="6">
        <v>104.39136892225686</v>
      </c>
      <c r="CZ20" s="6" t="e">
        <v>#N/A</v>
      </c>
      <c r="DA20" s="6"/>
      <c r="DB20" s="6"/>
      <c r="DC20" s="6"/>
      <c r="DD20" s="6"/>
      <c r="DE20" s="6"/>
      <c r="DF20" s="6"/>
      <c r="DG20" s="6"/>
      <c r="DH20" s="6"/>
      <c r="DI20" s="6"/>
      <c r="DJ20" s="6"/>
      <c r="DK20" s="6"/>
      <c r="DL20" s="6"/>
      <c r="DM20" s="6"/>
      <c r="DN20" s="6"/>
      <c r="DO20" s="6"/>
      <c r="DP20" s="6"/>
      <c r="DQ20" s="6"/>
      <c r="DR20" s="6"/>
      <c r="DS20" s="6"/>
      <c r="DT20" s="6"/>
      <c r="DU20" s="6"/>
      <c r="DV20" s="6"/>
      <c r="DW20" s="6"/>
      <c r="DX20" s="6"/>
      <c r="DY20" s="6"/>
      <c r="DZ20" s="6"/>
      <c r="EA20" s="6"/>
      <c r="EB20" s="6"/>
      <c r="EC20" s="6"/>
      <c r="ED20" s="6"/>
      <c r="EE20" s="6"/>
      <c r="EF20" s="6"/>
      <c r="EG20" s="6"/>
      <c r="EH20" s="6"/>
      <c r="EI20" s="6"/>
      <c r="EJ20" s="6"/>
      <c r="EK20" s="6"/>
      <c r="EL20" s="6"/>
      <c r="EM20" s="6"/>
      <c r="EN20" s="6"/>
      <c r="EO20" s="6"/>
      <c r="EP20" s="6"/>
      <c r="EQ20" s="6"/>
      <c r="ER20" s="6"/>
      <c r="ES20" s="6"/>
      <c r="ET20" s="6"/>
      <c r="EU20" s="6"/>
      <c r="EV20" s="6"/>
      <c r="EW20" s="6"/>
      <c r="EX20" s="6"/>
      <c r="EY20" s="6"/>
      <c r="EZ20" s="6"/>
      <c r="FA20" s="6"/>
      <c r="FB20" s="6"/>
      <c r="FC20" s="6"/>
      <c r="FD20" s="6"/>
      <c r="FE20" s="6"/>
      <c r="FF20" s="6"/>
      <c r="FG20" s="6"/>
      <c r="FH20" s="6"/>
      <c r="FI20" s="6"/>
      <c r="FJ20" s="6"/>
      <c r="FK20" s="6"/>
      <c r="FL20" s="6"/>
      <c r="FM20" s="6"/>
      <c r="FN20" s="6"/>
      <c r="FO20" s="6"/>
      <c r="FP20" s="6"/>
      <c r="FQ20" s="6"/>
      <c r="FR20" s="6"/>
      <c r="FS20" s="6"/>
      <c r="FT20" s="6"/>
      <c r="FU20" s="6"/>
      <c r="FV20" s="6"/>
      <c r="FW20" s="6"/>
      <c r="FX20" s="6"/>
      <c r="FY20" s="6"/>
      <c r="FZ20" s="6"/>
      <c r="GA20" s="6"/>
      <c r="GB20" s="6"/>
      <c r="GC20" s="6"/>
      <c r="GD20" s="6"/>
      <c r="GE20" s="6"/>
      <c r="GF20" s="6"/>
      <c r="GG20" s="6"/>
      <c r="GH20" s="6"/>
      <c r="GI20" s="6"/>
      <c r="GJ20" s="6"/>
      <c r="GK20" s="6"/>
      <c r="GL20" s="6"/>
      <c r="GM20" s="6"/>
      <c r="GN20" s="6"/>
      <c r="GO20" s="6"/>
      <c r="GP20" s="6"/>
      <c r="GQ20" s="6"/>
      <c r="GR20" s="6"/>
      <c r="GS20" s="6"/>
    </row>
    <row r="21" spans="2:201" x14ac:dyDescent="0.15">
      <c r="B21" s="6">
        <v>18</v>
      </c>
      <c r="C21" s="346">
        <v>8.0313098752831227E-2</v>
      </c>
      <c r="D21" s="6">
        <v>403.03459915965254</v>
      </c>
      <c r="E21" s="6">
        <v>0.24811765592459059</v>
      </c>
      <c r="F21" s="6">
        <v>241.20232730264351</v>
      </c>
      <c r="G21" s="6">
        <v>260.57403363471349</v>
      </c>
      <c r="H21" s="6">
        <v>0.28365402649977056</v>
      </c>
      <c r="I21" s="6">
        <v>50000</v>
      </c>
      <c r="J21" s="6">
        <v>1</v>
      </c>
      <c r="K21" s="6">
        <v>50000</v>
      </c>
      <c r="L21" s="6">
        <v>0</v>
      </c>
      <c r="M21" s="6">
        <v>195.23901670436953</v>
      </c>
      <c r="N21" s="6">
        <v>3.5631120548547441</v>
      </c>
      <c r="O21" s="6">
        <v>0.03</v>
      </c>
      <c r="P21" s="6">
        <v>1</v>
      </c>
      <c r="Q21" s="6">
        <v>17.160068621848609</v>
      </c>
      <c r="R21" s="6">
        <v>0.17160068621848618</v>
      </c>
      <c r="S21" s="6">
        <v>17.160068621848609</v>
      </c>
      <c r="T21" s="6">
        <v>0.17160068621848618</v>
      </c>
      <c r="U21" s="6">
        <v>0</v>
      </c>
      <c r="V21" s="6">
        <v>0</v>
      </c>
      <c r="W21" s="6">
        <v>1.3111151887495631E-2</v>
      </c>
      <c r="X21" s="6">
        <v>0.10628484878059791</v>
      </c>
      <c r="Y21" s="6">
        <v>1.3111151887495631E-2</v>
      </c>
      <c r="Z21" s="6">
        <v>5.314242439029896E-3</v>
      </c>
      <c r="AA21" s="7">
        <v>20.724177313650856</v>
      </c>
      <c r="AB21" s="6">
        <v>1.5812201744411967</v>
      </c>
      <c r="AC21" s="6">
        <v>1.0362088656825428</v>
      </c>
      <c r="AD21" s="6">
        <v>20.724177313650856</v>
      </c>
      <c r="AE21" s="6">
        <v>1.5812201744411967</v>
      </c>
      <c r="AF21" s="6">
        <v>1.0362088656825428</v>
      </c>
      <c r="AG21" s="346">
        <v>8.0404229387477794E-2</v>
      </c>
      <c r="AH21" s="6">
        <v>0.25321685005793826</v>
      </c>
      <c r="AI21" s="6">
        <v>364.40832070587822</v>
      </c>
      <c r="AJ21" s="6">
        <v>18.220416035293912</v>
      </c>
      <c r="AK21" s="6">
        <v>48.730521876144678</v>
      </c>
      <c r="AL21" s="6">
        <v>394.91842654672899</v>
      </c>
      <c r="AM21" s="6">
        <v>42.150304393438347</v>
      </c>
      <c r="AN21" s="6">
        <v>0</v>
      </c>
      <c r="AO21" s="6">
        <v>2.1075152196719174</v>
      </c>
      <c r="AP21" s="6">
        <v>40.04278917376643</v>
      </c>
      <c r="AQ21" s="6">
        <v>3.9237392723589291</v>
      </c>
      <c r="AR21" s="6">
        <v>3.5092985233810006</v>
      </c>
      <c r="AS21" s="6">
        <v>0.99542665634672001</v>
      </c>
      <c r="AT21" s="6">
        <v>3.142006520397933</v>
      </c>
      <c r="AU21" s="6">
        <v>0</v>
      </c>
      <c r="AV21" s="6">
        <v>1.4752606537703423</v>
      </c>
      <c r="AW21" s="6">
        <v>1.4752606537703423</v>
      </c>
      <c r="AX21" s="6">
        <v>0.26682918268724337</v>
      </c>
      <c r="AY21" s="6">
        <v>0.26682918268724337</v>
      </c>
      <c r="AZ21" s="6">
        <v>12.339389251156808</v>
      </c>
      <c r="BA21" s="6" t="str">
        <v>#N/A</v>
      </c>
      <c r="BB21" s="6" t="str">
        <v>#N/A</v>
      </c>
      <c r="BC21" s="6">
        <v>245.96031111569525</v>
      </c>
      <c r="BD21" s="6">
        <v>244.96079465648199</v>
      </c>
      <c r="BE21" s="6">
        <v>0</v>
      </c>
      <c r="BF21" s="6">
        <v>1.7420898364575856</v>
      </c>
      <c r="BG21" s="6">
        <v>0.49415079663552097</v>
      </c>
      <c r="BH21" s="6">
        <v>1.7058555555848731</v>
      </c>
      <c r="BI21" s="6">
        <v>287.43648570582957</v>
      </c>
      <c r="BJ21" s="6">
        <v>81.532516533402301</v>
      </c>
      <c r="BK21" s="6">
        <v>243.1656208626128</v>
      </c>
      <c r="BL21" s="6">
        <v>0</v>
      </c>
      <c r="BM21" s="6">
        <v>0</v>
      </c>
      <c r="BN21" s="6">
        <v>0.63597687452192309</v>
      </c>
      <c r="BO21" s="6">
        <v>57.792432697187991</v>
      </c>
      <c r="BP21" s="6">
        <v>0.50451109767173841</v>
      </c>
      <c r="BQ21" s="6">
        <v>81.78799474549028</v>
      </c>
      <c r="BR21" s="6">
        <v>4.0303459915965272</v>
      </c>
      <c r="BS21" s="6">
        <v>2.5632068469775202</v>
      </c>
      <c r="BT21" s="6">
        <v>232.92349946572369</v>
      </c>
      <c r="BU21" s="6">
        <v>2.0333542802172548</v>
      </c>
      <c r="BV21" s="6">
        <v>329.6339167832046</v>
      </c>
      <c r="BW21" s="6">
        <v>839.06552202082446</v>
      </c>
      <c r="BX21" s="6">
        <v>1181.7676517268546</v>
      </c>
      <c r="BY21" s="6">
        <v>1102.8032969249773</v>
      </c>
      <c r="BZ21" s="6">
        <v>49.732008007149112</v>
      </c>
      <c r="CA21" s="6">
        <v>11.891621724966743</v>
      </c>
      <c r="CB21" s="6">
        <v>2.1508278537690178</v>
      </c>
      <c r="CC21" s="6">
        <v>0</v>
      </c>
      <c r="CD21" s="6">
        <v>1166.5777545108622</v>
      </c>
      <c r="CE21" s="6">
        <v>-23.050170796112706</v>
      </c>
      <c r="CF21" s="6">
        <v>1.0690584670441992</v>
      </c>
      <c r="CG21" s="6">
        <v>0.45856261897399181</v>
      </c>
      <c r="CH21" s="6">
        <v>-22.888858893762595</v>
      </c>
      <c r="CI21" s="6">
        <v>0.32569133082461299</v>
      </c>
      <c r="CJ21" s="6">
        <v>1.363241657543667</v>
      </c>
      <c r="CK21" s="6">
        <v>-324.18399630129477</v>
      </c>
      <c r="CL21" s="6">
        <v>20.406057472654311</v>
      </c>
      <c r="CM21" s="6">
        <v>-312.8558411703583</v>
      </c>
      <c r="CN21" s="6">
        <v>19.692996410731343</v>
      </c>
      <c r="CO21" s="6">
        <v>195.23901670436953</v>
      </c>
      <c r="CP21" s="6">
        <v>97.619508352184766</v>
      </c>
      <c r="CQ21" s="6">
        <v>64754.391875444082</v>
      </c>
      <c r="CR21" s="6">
        <v>23606.423651331093</v>
      </c>
      <c r="CS21" s="6">
        <v>17704.817738498321</v>
      </c>
      <c r="CT21" s="6">
        <v>4030.3459915965273</v>
      </c>
      <c r="CU21" s="6">
        <v>59016.059128327732</v>
      </c>
      <c r="CV21" s="6">
        <v>26557.226607747481</v>
      </c>
      <c r="CW21" s="6">
        <v>5239.4497890754856</v>
      </c>
      <c r="CX21" s="6">
        <v>-72.399409960029004</v>
      </c>
      <c r="CY21" s="6">
        <v>104.39136892225686</v>
      </c>
      <c r="CZ21" s="6" t="e">
        <v>#N/A</v>
      </c>
      <c r="DA21" s="6"/>
      <c r="DB21" s="6"/>
      <c r="DC21" s="6"/>
      <c r="DD21" s="6"/>
      <c r="DE21" s="6"/>
      <c r="DF21" s="6"/>
      <c r="DG21" s="6"/>
      <c r="DH21" s="6"/>
      <c r="DI21" s="6"/>
      <c r="DJ21" s="6"/>
      <c r="DK21" s="6"/>
      <c r="DL21" s="6"/>
      <c r="DM21" s="6"/>
      <c r="DN21" s="6"/>
      <c r="DO21" s="6"/>
      <c r="DP21" s="6"/>
      <c r="DQ21" s="6"/>
      <c r="DR21" s="6"/>
      <c r="DS21" s="6"/>
      <c r="DT21" s="6"/>
      <c r="DU21" s="6"/>
      <c r="DV21" s="6"/>
      <c r="DW21" s="6"/>
      <c r="DX21" s="6"/>
      <c r="DY21" s="6"/>
      <c r="DZ21" s="6"/>
      <c r="EA21" s="6"/>
      <c r="EB21" s="6"/>
      <c r="EC21" s="6"/>
      <c r="ED21" s="6"/>
      <c r="EE21" s="6"/>
      <c r="EF21" s="6"/>
      <c r="EG21" s="6"/>
      <c r="EH21" s="6"/>
      <c r="EI21" s="6"/>
      <c r="EJ21" s="6"/>
      <c r="EK21" s="6"/>
      <c r="EL21" s="6"/>
      <c r="EM21" s="6"/>
      <c r="EN21" s="6"/>
      <c r="EO21" s="6"/>
      <c r="EP21" s="6"/>
      <c r="EQ21" s="6"/>
      <c r="ER21" s="6"/>
      <c r="ES21" s="6"/>
      <c r="ET21" s="6"/>
      <c r="EU21" s="6"/>
      <c r="EV21" s="6"/>
      <c r="EW21" s="6"/>
      <c r="EX21" s="6"/>
      <c r="EY21" s="6"/>
      <c r="EZ21" s="6"/>
      <c r="FA21" s="6"/>
      <c r="FB21" s="6"/>
      <c r="FC21" s="6"/>
      <c r="FD21" s="6"/>
      <c r="FE21" s="6"/>
      <c r="FF21" s="6"/>
      <c r="FG21" s="6"/>
      <c r="FH21" s="6"/>
      <c r="FI21" s="6"/>
      <c r="FJ21" s="6"/>
      <c r="FK21" s="6"/>
      <c r="FL21" s="6"/>
      <c r="FM21" s="6"/>
      <c r="FN21" s="6"/>
      <c r="FO21" s="6"/>
      <c r="FP21" s="6"/>
      <c r="FQ21" s="6"/>
      <c r="FR21" s="6"/>
      <c r="FS21" s="6"/>
      <c r="FT21" s="6"/>
      <c r="FU21" s="6"/>
      <c r="FV21" s="6"/>
      <c r="FW21" s="6"/>
      <c r="FX21" s="6"/>
      <c r="FY21" s="6"/>
      <c r="FZ21" s="6"/>
      <c r="GA21" s="6"/>
      <c r="GB21" s="6"/>
      <c r="GC21" s="6"/>
      <c r="GD21" s="6"/>
      <c r="GE21" s="6"/>
      <c r="GF21" s="6"/>
      <c r="GG21" s="6"/>
      <c r="GH21" s="6"/>
      <c r="GI21" s="6"/>
      <c r="GJ21" s="6"/>
      <c r="GK21" s="6"/>
      <c r="GL21" s="6"/>
      <c r="GM21" s="6"/>
      <c r="GN21" s="6"/>
      <c r="GO21" s="6"/>
      <c r="GP21" s="6"/>
      <c r="GQ21" s="6"/>
      <c r="GR21" s="6"/>
      <c r="GS21" s="6"/>
    </row>
    <row r="22" spans="2:201" x14ac:dyDescent="0.15">
      <c r="B22" s="6">
        <v>19</v>
      </c>
      <c r="C22" s="346">
        <v>8.0439633199545085E-2</v>
      </c>
      <c r="D22" s="6">
        <v>436.79415610257894</v>
      </c>
      <c r="E22" s="6">
        <v>0.2289407919104931</v>
      </c>
      <c r="F22" s="6">
        <v>254.78436574562471</v>
      </c>
      <c r="G22" s="6">
        <v>275.27912667118153</v>
      </c>
      <c r="H22" s="6">
        <v>0.26447726129982413</v>
      </c>
      <c r="I22" s="6">
        <v>50000</v>
      </c>
      <c r="J22" s="6">
        <v>1</v>
      </c>
      <c r="K22" s="6">
        <v>50000</v>
      </c>
      <c r="L22" s="6">
        <v>0</v>
      </c>
      <c r="M22" s="6">
        <v>195.65161983602982</v>
      </c>
      <c r="N22" s="6">
        <v>3.5706420620075443</v>
      </c>
      <c r="O22" s="6">
        <v>0.03</v>
      </c>
      <c r="P22" s="6">
        <v>1</v>
      </c>
      <c r="Q22" s="6">
        <v>17.682670514337378</v>
      </c>
      <c r="R22" s="6">
        <v>0.17682670514337387</v>
      </c>
      <c r="S22" s="6">
        <v>17.682670514337378</v>
      </c>
      <c r="T22" s="6">
        <v>0.17682670514337387</v>
      </c>
      <c r="U22" s="6">
        <v>0</v>
      </c>
      <c r="V22" s="6">
        <v>0</v>
      </c>
      <c r="W22" s="6">
        <v>1.3111151887495631E-2</v>
      </c>
      <c r="X22" s="6">
        <v>9.3173696893102273E-2</v>
      </c>
      <c r="Y22" s="6">
        <v>1.3111151887495631E-2</v>
      </c>
      <c r="Z22" s="6">
        <v>4.6586848446551138E-3</v>
      </c>
      <c r="AA22" s="7">
        <v>20.220891928167383</v>
      </c>
      <c r="AB22" s="6">
        <v>1.6702582589250623</v>
      </c>
      <c r="AC22" s="6">
        <v>1.0110445964083692</v>
      </c>
      <c r="AD22" s="6">
        <v>20.220891928167383</v>
      </c>
      <c r="AE22" s="6">
        <v>1.6702582589250623</v>
      </c>
      <c r="AF22" s="6">
        <v>1.0110445964083692</v>
      </c>
      <c r="AG22" s="346">
        <v>8.0241884741955011E-2</v>
      </c>
      <c r="AH22" s="6">
        <v>0.23369208008352257</v>
      </c>
      <c r="AI22" s="6">
        <v>394.91842654672899</v>
      </c>
      <c r="AJ22" s="6">
        <v>19.74592132733645</v>
      </c>
      <c r="AK22" s="6">
        <v>52.741012278759484</v>
      </c>
      <c r="AL22" s="6">
        <v>427.91351749815203</v>
      </c>
      <c r="AM22" s="6">
        <v>40.04278917376643</v>
      </c>
      <c r="AN22" s="6">
        <v>0</v>
      </c>
      <c r="AO22" s="6">
        <v>2.0021394586883217</v>
      </c>
      <c r="AP22" s="6">
        <v>38.040649715078111</v>
      </c>
      <c r="AQ22" s="6">
        <v>4.0030040635761868</v>
      </c>
      <c r="AR22" s="6">
        <v>3.5801910561072119</v>
      </c>
      <c r="AS22" s="6">
        <v>0.94687912544936037</v>
      </c>
      <c r="AT22" s="6">
        <v>4.0888856458472933</v>
      </c>
      <c r="AU22" s="6">
        <v>0</v>
      </c>
      <c r="AV22" s="6">
        <v>1.4014976210818251</v>
      </c>
      <c r="AW22" s="6">
        <v>1.4014976210818251</v>
      </c>
      <c r="AX22" s="6">
        <v>0.2339420673590859</v>
      </c>
      <c r="AY22" s="6">
        <v>0.2339420673590859</v>
      </c>
      <c r="AZ22" s="6">
        <v>12.325156865133909</v>
      </c>
      <c r="BA22" s="6" t="str">
        <v>#N/A</v>
      </c>
      <c r="BB22" s="6" t="str">
        <v>#N/A</v>
      </c>
      <c r="BC22" s="6">
        <v>258.57096593158491</v>
      </c>
      <c r="BD22" s="6">
        <v>257.52020316766192</v>
      </c>
      <c r="BE22" s="6">
        <v>0</v>
      </c>
      <c r="BF22" s="6">
        <v>1.635439688440911</v>
      </c>
      <c r="BG22" s="6">
        <v>0.43253660981988978</v>
      </c>
      <c r="BH22" s="6">
        <v>2.1383921654047628</v>
      </c>
      <c r="BI22" s="6">
        <v>310.51634123787517</v>
      </c>
      <c r="BJ22" s="6">
        <v>82.124511519434861</v>
      </c>
      <c r="BK22" s="6">
        <v>325.29013238204766</v>
      </c>
      <c r="BL22" s="6">
        <v>0</v>
      </c>
      <c r="BM22" s="6">
        <v>0</v>
      </c>
      <c r="BN22" s="6">
        <v>0.63597687452192309</v>
      </c>
      <c r="BO22" s="6">
        <v>57.792432697187991</v>
      </c>
      <c r="BP22" s="6">
        <v>0.50451109767173841</v>
      </c>
      <c r="BQ22" s="6">
        <v>81.78799474549028</v>
      </c>
      <c r="BR22" s="6">
        <v>4.3679415610257912</v>
      </c>
      <c r="BS22" s="6">
        <v>2.7779098220755927</v>
      </c>
      <c r="BT22" s="6">
        <v>252.4339686908333</v>
      </c>
      <c r="BU22" s="6">
        <v>2.2036749915191285</v>
      </c>
      <c r="BV22" s="6">
        <v>357.24518144178603</v>
      </c>
      <c r="BW22" s="6">
        <v>911.27026814215196</v>
      </c>
      <c r="BX22" s="6">
        <v>1283.4632059212704</v>
      </c>
      <c r="BY22" s="6">
        <v>1282.7283140442412</v>
      </c>
      <c r="BZ22" s="6">
        <v>53.835564917380758</v>
      </c>
      <c r="CA22" s="6">
        <v>12.24331941360416</v>
      </c>
      <c r="CB22" s="6">
        <v>2.043690557780093</v>
      </c>
      <c r="CC22" s="6">
        <v>0</v>
      </c>
      <c r="CD22" s="6">
        <v>1350.8508889330062</v>
      </c>
      <c r="CE22" s="6">
        <v>-26.616445546020255</v>
      </c>
      <c r="CF22" s="6">
        <v>-4.0802995184988324</v>
      </c>
      <c r="CG22" s="6">
        <v>0.43823516678702212</v>
      </c>
      <c r="CH22" s="6">
        <v>-26.514311304327201</v>
      </c>
      <c r="CI22" s="6">
        <v>0.31408498271901975</v>
      </c>
      <c r="CJ22" s="6">
        <v>-3.8540150927377632</v>
      </c>
      <c r="CK22" s="6">
        <v>-436.88279073356205</v>
      </c>
      <c r="CL22" s="6">
        <v>-62.639465914988705</v>
      </c>
      <c r="CM22" s="6">
        <v>-432.11030679115714</v>
      </c>
      <c r="CN22" s="6">
        <v>-61.955195782173107</v>
      </c>
      <c r="CO22" s="6">
        <v>195.65161983602982</v>
      </c>
      <c r="CP22" s="6">
        <v>97.825809918014912</v>
      </c>
      <c r="CQ22" s="6">
        <v>70326.751009384679</v>
      </c>
      <c r="CR22" s="6">
        <v>25637.845252914383</v>
      </c>
      <c r="CS22" s="6">
        <v>19228.383939685784</v>
      </c>
      <c r="CT22" s="6">
        <v>4367.9415610257911</v>
      </c>
      <c r="CU22" s="6">
        <v>64094.613132285958</v>
      </c>
      <c r="CV22" s="6">
        <v>28842.575909528678</v>
      </c>
      <c r="CW22" s="6">
        <v>5678.3240293335284</v>
      </c>
      <c r="CX22" s="6">
        <v>-67.647421787973315</v>
      </c>
      <c r="CY22" s="6">
        <v>104.39136892225686</v>
      </c>
      <c r="CZ22" s="6" t="e">
        <v>#N/A</v>
      </c>
      <c r="DA22" s="6"/>
      <c r="DB22" s="6"/>
      <c r="DC22" s="6"/>
      <c r="DD22" s="6"/>
      <c r="DE22" s="6"/>
      <c r="DF22" s="6"/>
      <c r="DG22" s="6"/>
      <c r="DH22" s="6"/>
      <c r="DI22" s="6"/>
      <c r="DJ22" s="6"/>
      <c r="DK22" s="6"/>
      <c r="DL22" s="6"/>
      <c r="DM22" s="6"/>
      <c r="DN22" s="6"/>
      <c r="DO22" s="6"/>
      <c r="DP22" s="6"/>
      <c r="DQ22" s="6"/>
      <c r="DR22" s="6"/>
      <c r="DS22" s="6"/>
      <c r="DT22" s="6"/>
      <c r="DU22" s="6"/>
      <c r="DV22" s="6"/>
      <c r="DW22" s="6"/>
      <c r="DX22" s="6"/>
      <c r="DY22" s="6"/>
      <c r="DZ22" s="6"/>
      <c r="EA22" s="6"/>
      <c r="EB22" s="6"/>
      <c r="EC22" s="6"/>
      <c r="ED22" s="6"/>
      <c r="EE22" s="6"/>
      <c r="EF22" s="6"/>
      <c r="EG22" s="6"/>
      <c r="EH22" s="6"/>
      <c r="EI22" s="6"/>
      <c r="EJ22" s="6"/>
      <c r="EK22" s="6"/>
      <c r="EL22" s="6"/>
      <c r="EM22" s="6"/>
      <c r="EN22" s="6"/>
      <c r="EO22" s="6"/>
      <c r="EP22" s="6"/>
      <c r="EQ22" s="6"/>
      <c r="ER22" s="6"/>
      <c r="ES22" s="6"/>
      <c r="ET22" s="6"/>
      <c r="EU22" s="6"/>
      <c r="EV22" s="6"/>
      <c r="EW22" s="6"/>
      <c r="EX22" s="6"/>
      <c r="EY22" s="6"/>
      <c r="EZ22" s="6"/>
      <c r="FA22" s="6"/>
      <c r="FB22" s="6"/>
      <c r="FC22" s="6"/>
      <c r="FD22" s="6"/>
      <c r="FE22" s="6"/>
      <c r="FF22" s="6"/>
      <c r="FG22" s="6"/>
      <c r="FH22" s="6"/>
      <c r="FI22" s="6"/>
      <c r="FJ22" s="6"/>
      <c r="FK22" s="6"/>
      <c r="FL22" s="6"/>
      <c r="FM22" s="6"/>
      <c r="FN22" s="6"/>
      <c r="FO22" s="6"/>
      <c r="FP22" s="6"/>
      <c r="FQ22" s="6"/>
      <c r="FR22" s="6"/>
      <c r="FS22" s="6"/>
      <c r="FT22" s="6"/>
      <c r="FU22" s="6"/>
      <c r="FV22" s="6"/>
      <c r="FW22" s="6"/>
      <c r="FX22" s="6"/>
      <c r="FY22" s="6"/>
      <c r="FZ22" s="6"/>
      <c r="GA22" s="6"/>
      <c r="GB22" s="6"/>
      <c r="GC22" s="6"/>
      <c r="GD22" s="6"/>
      <c r="GE22" s="6"/>
      <c r="GF22" s="6"/>
      <c r="GG22" s="6"/>
      <c r="GH22" s="6"/>
      <c r="GI22" s="6"/>
      <c r="GJ22" s="6"/>
      <c r="GK22" s="6"/>
      <c r="GL22" s="6"/>
      <c r="GM22" s="6"/>
      <c r="GN22" s="6"/>
      <c r="GO22" s="6"/>
      <c r="GP22" s="6"/>
      <c r="GQ22" s="6"/>
      <c r="GR22" s="6"/>
      <c r="GS22" s="6"/>
    </row>
    <row r="23" spans="2:201" x14ac:dyDescent="0.15">
      <c r="B23" s="6">
        <v>20</v>
      </c>
      <c r="C23" s="346">
        <v>8.3398048339838715E-2</v>
      </c>
      <c r="D23" s="6">
        <v>474.78406173456062</v>
      </c>
      <c r="E23" s="6">
        <v>0.21062206602863462</v>
      </c>
      <c r="F23" s="6">
        <v>252.81163816002862</v>
      </c>
      <c r="G23" s="6">
        <v>273.89563538017251</v>
      </c>
      <c r="H23" s="6">
        <v>0.24659696394160663</v>
      </c>
      <c r="I23" s="6">
        <v>50000</v>
      </c>
      <c r="J23" s="6">
        <v>1</v>
      </c>
      <c r="K23" s="6">
        <v>50000</v>
      </c>
      <c r="L23" s="6">
        <v>0</v>
      </c>
      <c r="M23" s="6">
        <v>203.90023420796314</v>
      </c>
      <c r="N23" s="6">
        <v>3.7211792742953271</v>
      </c>
      <c r="O23" s="6">
        <v>0.03</v>
      </c>
      <c r="P23" s="6">
        <v>1</v>
      </c>
      <c r="Q23" s="6">
        <v>18.22118800390512</v>
      </c>
      <c r="R23" s="6">
        <v>0.18221188003905128</v>
      </c>
      <c r="S23" s="6">
        <v>18.22118800390512</v>
      </c>
      <c r="T23" s="6">
        <v>0.18221188003905128</v>
      </c>
      <c r="U23" s="6">
        <v>0</v>
      </c>
      <c r="V23" s="6">
        <v>0</v>
      </c>
      <c r="W23" s="6">
        <v>1.3111151887495631E-2</v>
      </c>
      <c r="X23" s="6">
        <v>8.0062545005606639E-2</v>
      </c>
      <c r="Y23" s="6">
        <v>1.3111151887495631E-2</v>
      </c>
      <c r="Z23" s="6">
        <v>4.0031272502803325E-3</v>
      </c>
      <c r="AA23" s="7">
        <v>18.407001046171022</v>
      </c>
      <c r="AB23" s="6">
        <v>1.6573258934213608</v>
      </c>
      <c r="AC23" s="6">
        <v>0.92035005230855105</v>
      </c>
      <c r="AD23" s="6">
        <v>18.407001046171022</v>
      </c>
      <c r="AE23" s="6">
        <v>1.6573258934213608</v>
      </c>
      <c r="AF23" s="6">
        <v>0.92035005230855105</v>
      </c>
      <c r="AG23" s="346">
        <v>8.0144896965511289E-2</v>
      </c>
      <c r="AH23" s="6">
        <v>0.21569372351580887</v>
      </c>
      <c r="AI23" s="6">
        <v>427.91351749815203</v>
      </c>
      <c r="AJ23" s="6">
        <v>21.395675874907603</v>
      </c>
      <c r="AK23" s="6">
        <v>57.102510281296112</v>
      </c>
      <c r="AL23" s="6">
        <v>463.62035190454054</v>
      </c>
      <c r="AM23" s="6">
        <v>38.040649715078111</v>
      </c>
      <c r="AN23" s="6">
        <v>0</v>
      </c>
      <c r="AO23" s="6">
        <v>1.9020324857539057</v>
      </c>
      <c r="AP23" s="6">
        <v>36.138617229324204</v>
      </c>
      <c r="AQ23" s="6">
        <v>4.0838701097929739</v>
      </c>
      <c r="AR23" s="6">
        <v>3.6525157129923831</v>
      </c>
      <c r="AS23" s="6">
        <v>0.90069928557293433</v>
      </c>
      <c r="AT23" s="6">
        <v>4.9895849314202279</v>
      </c>
      <c r="AU23" s="6">
        <v>4.9895849314202279</v>
      </c>
      <c r="AV23" s="6">
        <v>1.3314227400277341</v>
      </c>
      <c r="AW23" s="6">
        <v>1.3314227400277341</v>
      </c>
      <c r="AX23" s="6">
        <v>0.20512823455014481</v>
      </c>
      <c r="AY23" s="6">
        <v>0.20512823455014481</v>
      </c>
      <c r="AZ23" s="6">
        <v>12.316653064672517</v>
      </c>
      <c r="BA23" s="6" t="str">
        <v>#N/A</v>
      </c>
      <c r="BB23" s="6" t="str">
        <v>#N/A</v>
      </c>
      <c r="BC23" s="6">
        <v>271.82818284590485</v>
      </c>
      <c r="BD23" s="6">
        <v>270.72354632304445</v>
      </c>
      <c r="BE23" s="6">
        <v>0</v>
      </c>
      <c r="BF23" s="6">
        <v>1.5365509745778789</v>
      </c>
      <c r="BG23" s="6">
        <v>0.37890880527242171</v>
      </c>
      <c r="BH23" s="6">
        <v>2.5173009706771845</v>
      </c>
      <c r="BI23" s="6">
        <v>335.76250269948082</v>
      </c>
      <c r="BJ23" s="6">
        <v>82.798013771127472</v>
      </c>
      <c r="BK23" s="6">
        <v>408.0881461531751</v>
      </c>
      <c r="BL23" s="6">
        <v>2.5173009706771845</v>
      </c>
      <c r="BM23" s="6">
        <v>408.0881461531751</v>
      </c>
      <c r="BN23" s="6">
        <v>0.63597687452192309</v>
      </c>
      <c r="BO23" s="6">
        <v>57.792432697187991</v>
      </c>
      <c r="BP23" s="6">
        <v>0.50451109767173841</v>
      </c>
      <c r="BQ23" s="6">
        <v>81.78799474549028</v>
      </c>
      <c r="BR23" s="6">
        <v>4.7478406173456076</v>
      </c>
      <c r="BS23" s="6">
        <v>3.0195168365476972</v>
      </c>
      <c r="BT23" s="6">
        <v>274.38925933492152</v>
      </c>
      <c r="BU23" s="6">
        <v>2.3953382814274966</v>
      </c>
      <c r="BV23" s="6">
        <v>388.31636346388791</v>
      </c>
      <c r="BW23" s="6">
        <v>1032.2877883969027</v>
      </c>
      <c r="BX23" s="6">
        <v>1453.9082867593249</v>
      </c>
      <c r="BY23" s="6">
        <v>1476.1348003372825</v>
      </c>
      <c r="BZ23" s="6">
        <v>58.477505690206435</v>
      </c>
      <c r="CA23" s="6">
        <v>12.642765927922515</v>
      </c>
      <c r="CB23" s="6">
        <v>1.9478323275231482</v>
      </c>
      <c r="CC23" s="6">
        <v>0</v>
      </c>
      <c r="CD23" s="6">
        <v>1549.2029042829347</v>
      </c>
      <c r="CE23" s="6">
        <v>-26.84793118946023</v>
      </c>
      <c r="CF23" s="6">
        <v>-4.9494844615143512</v>
      </c>
      <c r="CG23" s="6">
        <v>0.44971112301994254</v>
      </c>
      <c r="CH23" s="6">
        <v>-26.807587296964343</v>
      </c>
      <c r="CI23" s="6">
        <v>0.32907398352156875</v>
      </c>
      <c r="CJ23" s="6">
        <v>-4.7885034295200812</v>
      </c>
      <c r="CK23" s="6">
        <v>-515.2180069945548</v>
      </c>
      <c r="CL23" s="6">
        <v>-91.27482832935948</v>
      </c>
      <c r="CM23" s="6">
        <v>-559.80657109999913</v>
      </c>
      <c r="CN23" s="6">
        <v>-99.174035032008916</v>
      </c>
      <c r="CO23" s="6">
        <v>203.90023420796314</v>
      </c>
      <c r="CP23" s="6">
        <v>101.95011710398157</v>
      </c>
      <c r="CQ23" s="6">
        <v>79666.207493661655</v>
      </c>
      <c r="CR23" s="6">
        <v>29042.574415765492</v>
      </c>
      <c r="CS23" s="6">
        <v>21781.930811824121</v>
      </c>
      <c r="CT23" s="6">
        <v>4747.8406173456078</v>
      </c>
      <c r="CU23" s="6">
        <v>72606.436039413733</v>
      </c>
      <c r="CV23" s="6">
        <v>32672.896217736179</v>
      </c>
      <c r="CW23" s="6">
        <v>6172.1928025492907</v>
      </c>
      <c r="CX23" s="6">
        <v>-65.733220777756202</v>
      </c>
      <c r="CY23" s="6">
        <v>104.39136892225686</v>
      </c>
      <c r="CZ23" s="6" t="e">
        <v>#N/A</v>
      </c>
      <c r="DA23" s="6"/>
      <c r="DB23" s="6"/>
      <c r="DC23" s="6"/>
      <c r="DD23" s="6"/>
      <c r="DE23" s="6"/>
      <c r="DF23" s="6"/>
      <c r="DG23" s="6"/>
      <c r="DH23" s="6"/>
      <c r="DI23" s="6"/>
      <c r="DJ23" s="6"/>
      <c r="DK23" s="6"/>
      <c r="DL23" s="6"/>
      <c r="DM23" s="6"/>
      <c r="DN23" s="6"/>
      <c r="DO23" s="6"/>
      <c r="DP23" s="6"/>
      <c r="DQ23" s="6"/>
      <c r="DR23" s="6"/>
      <c r="DS23" s="6"/>
      <c r="DT23" s="6"/>
      <c r="DU23" s="6"/>
      <c r="DV23" s="6"/>
      <c r="DW23" s="6"/>
      <c r="DX23" s="6"/>
      <c r="DY23" s="6"/>
      <c r="DZ23" s="6"/>
      <c r="EA23" s="6"/>
      <c r="EB23" s="6"/>
      <c r="EC23" s="6"/>
      <c r="ED23" s="6"/>
      <c r="EE23" s="6"/>
      <c r="EF23" s="6"/>
      <c r="EG23" s="6"/>
      <c r="EH23" s="6"/>
      <c r="EI23" s="6"/>
      <c r="EJ23" s="6"/>
      <c r="EK23" s="6"/>
      <c r="EL23" s="6"/>
      <c r="EM23" s="6"/>
      <c r="EN23" s="6"/>
      <c r="EO23" s="6"/>
      <c r="EP23" s="6"/>
      <c r="EQ23" s="6"/>
      <c r="ER23" s="6"/>
      <c r="ES23" s="6"/>
      <c r="ET23" s="6"/>
      <c r="EU23" s="6"/>
      <c r="EV23" s="6"/>
      <c r="EW23" s="6"/>
      <c r="EX23" s="6"/>
      <c r="EY23" s="6"/>
      <c r="EZ23" s="6"/>
      <c r="FA23" s="6"/>
      <c r="FB23" s="6"/>
      <c r="FC23" s="6"/>
      <c r="FD23" s="6"/>
      <c r="FE23" s="6"/>
      <c r="FF23" s="6"/>
      <c r="FG23" s="6"/>
      <c r="FH23" s="6"/>
      <c r="FI23" s="6"/>
      <c r="FJ23" s="6"/>
      <c r="FK23" s="6"/>
      <c r="FL23" s="6"/>
      <c r="FM23" s="6"/>
      <c r="FN23" s="6"/>
      <c r="FO23" s="6"/>
      <c r="FP23" s="6"/>
      <c r="FQ23" s="6"/>
      <c r="FR23" s="6"/>
      <c r="FS23" s="6"/>
      <c r="FT23" s="6"/>
      <c r="FU23" s="6"/>
      <c r="FV23" s="6"/>
      <c r="FW23" s="6"/>
      <c r="FX23" s="6"/>
      <c r="FY23" s="6"/>
      <c r="FZ23" s="6"/>
      <c r="GA23" s="6"/>
      <c r="GB23" s="6"/>
      <c r="GC23" s="6"/>
      <c r="GD23" s="6"/>
      <c r="GE23" s="6"/>
      <c r="GF23" s="6"/>
      <c r="GG23" s="6"/>
      <c r="GH23" s="6"/>
      <c r="GI23" s="6"/>
      <c r="GJ23" s="6"/>
      <c r="GK23" s="6"/>
      <c r="GL23" s="6"/>
      <c r="GM23" s="6"/>
      <c r="GN23" s="6"/>
      <c r="GO23" s="6"/>
      <c r="GP23" s="6"/>
      <c r="GQ23" s="6"/>
      <c r="GR23" s="6"/>
      <c r="GS23" s="6"/>
    </row>
    <row r="24" spans="2:201" x14ac:dyDescent="0.15">
      <c r="B24" t="e">
        <v>#N/A</v>
      </c>
      <c r="C24" s="348" t="e">
        <v>#N/A</v>
      </c>
      <c r="D24" t="e">
        <v>#N/A</v>
      </c>
      <c r="E24" t="e">
        <v>#N/A</v>
      </c>
      <c r="F24" t="e">
        <v>#N/A</v>
      </c>
      <c r="G24" t="e">
        <v>#N/A</v>
      </c>
      <c r="H24" t="e">
        <v>#N/A</v>
      </c>
      <c r="I24" t="e">
        <v>#N/A</v>
      </c>
      <c r="J24" t="e">
        <v>#N/A</v>
      </c>
      <c r="K24" t="e">
        <v>#N/A</v>
      </c>
      <c r="L24" t="e">
        <v>#N/A</v>
      </c>
      <c r="M24" t="e">
        <v>#N/A</v>
      </c>
      <c r="N24" t="e">
        <v>#N/A</v>
      </c>
      <c r="O24" t="e">
        <v>#N/A</v>
      </c>
      <c r="P24" t="e">
        <v>#N/A</v>
      </c>
      <c r="Q24" t="e">
        <v>#N/A</v>
      </c>
      <c r="R24" t="e">
        <v>#N/A</v>
      </c>
      <c r="S24" t="e">
        <v>#N/A</v>
      </c>
      <c r="T24" t="e">
        <v>#N/A</v>
      </c>
      <c r="U24" t="e">
        <v>#N/A</v>
      </c>
      <c r="V24" t="e">
        <v>#N/A</v>
      </c>
      <c r="W24" t="e">
        <v>#N/A</v>
      </c>
      <c r="X24" t="e">
        <v>#N/A</v>
      </c>
      <c r="Y24" t="e">
        <v>#N/A</v>
      </c>
      <c r="Z24" t="e">
        <v>#N/A</v>
      </c>
      <c r="AA24" t="e">
        <v>#N/A</v>
      </c>
      <c r="AB24" t="e">
        <v>#N/A</v>
      </c>
      <c r="AC24" t="e">
        <v>#N/A</v>
      </c>
      <c r="AD24" t="e">
        <v>#N/A</v>
      </c>
      <c r="AE24" t="e">
        <v>#N/A</v>
      </c>
      <c r="AF24" t="e">
        <v>#N/A</v>
      </c>
      <c r="AG24" s="348" t="e">
        <v>#N/A</v>
      </c>
      <c r="AH24" t="e">
        <v>#N/A</v>
      </c>
      <c r="AI24" t="e">
        <v>#N/A</v>
      </c>
      <c r="AJ24" t="e">
        <v>#N/A</v>
      </c>
      <c r="AK24" t="e">
        <v>#N/A</v>
      </c>
      <c r="AL24" t="e">
        <v>#N/A</v>
      </c>
      <c r="AM24" t="e">
        <v>#N/A</v>
      </c>
      <c r="AN24" t="e">
        <v>#N/A</v>
      </c>
      <c r="AO24" t="e">
        <v>#N/A</v>
      </c>
      <c r="AP24" t="e">
        <v>#N/A</v>
      </c>
      <c r="AQ24" t="e">
        <v>#N/A</v>
      </c>
      <c r="AR24" t="e">
        <v>#N/A</v>
      </c>
      <c r="AS24" t="e">
        <v>#N/A</v>
      </c>
      <c r="AT24" t="e">
        <v>#N/A</v>
      </c>
      <c r="AU24" t="e">
        <v>#N/A</v>
      </c>
      <c r="AV24" t="e">
        <v>#N/A</v>
      </c>
      <c r="AW24" t="e">
        <v>#N/A</v>
      </c>
      <c r="AX24" t="e">
        <v>#N/A</v>
      </c>
      <c r="AY24" t="e">
        <v>#N/A</v>
      </c>
      <c r="AZ24" t="e">
        <v>#N/A</v>
      </c>
      <c r="BA24" t="e">
        <v>#N/A</v>
      </c>
      <c r="BB24" t="e">
        <v>#N/A</v>
      </c>
      <c r="BC24" t="e">
        <v>#N/A</v>
      </c>
      <c r="BD24" t="e">
        <v>#N/A</v>
      </c>
      <c r="BE24" t="e">
        <v>#N/A</v>
      </c>
      <c r="BF24" t="e">
        <v>#N/A</v>
      </c>
      <c r="BG24" t="e">
        <v>#N/A</v>
      </c>
      <c r="BH24" t="e">
        <v>#N/A</v>
      </c>
      <c r="BI24" t="e">
        <v>#N/A</v>
      </c>
      <c r="BJ24" t="e">
        <v>#N/A</v>
      </c>
      <c r="BK24" t="e">
        <v>#N/A</v>
      </c>
      <c r="BL24" t="e">
        <v>#N/A</v>
      </c>
      <c r="BM24" t="e">
        <v>#N/A</v>
      </c>
      <c r="BN24" t="e">
        <v>#N/A</v>
      </c>
      <c r="BO24" t="e">
        <v>#N/A</v>
      </c>
      <c r="BP24" t="e">
        <v>#N/A</v>
      </c>
      <c r="BQ24" t="e">
        <v>#N/A</v>
      </c>
      <c r="BR24" t="e">
        <v>#N/A</v>
      </c>
      <c r="BS24" t="e">
        <v>#N/A</v>
      </c>
      <c r="BT24" t="e">
        <v>#N/A</v>
      </c>
      <c r="BU24" t="e">
        <v>#N/A</v>
      </c>
      <c r="BV24" t="e">
        <v>#N/A</v>
      </c>
      <c r="BW24" t="e">
        <v>#N/A</v>
      </c>
      <c r="BX24" t="e">
        <v>#N/A</v>
      </c>
      <c r="BY24" t="e">
        <v>#N/A</v>
      </c>
      <c r="BZ24" t="e">
        <v>#N/A</v>
      </c>
      <c r="CA24" t="e">
        <v>#N/A</v>
      </c>
      <c r="CB24" t="e">
        <v>#N/A</v>
      </c>
      <c r="CC24" t="e">
        <v>#N/A</v>
      </c>
      <c r="CD24" t="e">
        <v>#N/A</v>
      </c>
      <c r="CE24" t="e">
        <v>#N/A</v>
      </c>
      <c r="CF24" t="e">
        <v>#N/A</v>
      </c>
      <c r="CG24" t="e">
        <v>#N/A</v>
      </c>
      <c r="CH24" t="e">
        <v>#N/A</v>
      </c>
      <c r="CI24" t="e">
        <v>#N/A</v>
      </c>
      <c r="CJ24" t="e">
        <v>#N/A</v>
      </c>
      <c r="CK24" t="e">
        <v>#N/A</v>
      </c>
      <c r="CL24" t="e">
        <v>#N/A</v>
      </c>
      <c r="CM24" t="e">
        <v>#N/A</v>
      </c>
      <c r="CN24" t="e">
        <v>#N/A</v>
      </c>
      <c r="CO24" t="e">
        <v>#N/A</v>
      </c>
      <c r="CP24" t="e">
        <v>#N/A</v>
      </c>
      <c r="CQ24" t="e">
        <v>#N/A</v>
      </c>
      <c r="CR24" t="e">
        <v>#N/A</v>
      </c>
      <c r="CS24" t="e">
        <v>#N/A</v>
      </c>
      <c r="CT24" t="e">
        <v>#N/A</v>
      </c>
      <c r="CU24" t="e">
        <v>#N/A</v>
      </c>
      <c r="CV24" t="e">
        <v>#N/A</v>
      </c>
      <c r="CW24" t="e">
        <v>#N/A</v>
      </c>
      <c r="CX24" t="e">
        <v>#N/A</v>
      </c>
      <c r="CY24" t="e">
        <v>#N/A</v>
      </c>
      <c r="CZ24" t="e">
        <v>#N/A</v>
      </c>
    </row>
    <row r="25" spans="2:201" x14ac:dyDescent="0.15">
      <c r="B25" t="e">
        <v>#N/A</v>
      </c>
      <c r="C25" s="348" t="e">
        <v>#N/A</v>
      </c>
      <c r="D25" t="e">
        <v>#N/A</v>
      </c>
      <c r="E25" t="e">
        <v>#N/A</v>
      </c>
      <c r="F25" t="e">
        <v>#N/A</v>
      </c>
      <c r="G25" t="e">
        <v>#N/A</v>
      </c>
      <c r="H25" t="e">
        <v>#N/A</v>
      </c>
      <c r="I25" t="e">
        <v>#N/A</v>
      </c>
      <c r="J25" t="e">
        <v>#N/A</v>
      </c>
      <c r="K25" t="e">
        <v>#N/A</v>
      </c>
      <c r="L25" t="e">
        <v>#N/A</v>
      </c>
      <c r="M25" t="e">
        <v>#N/A</v>
      </c>
      <c r="N25" t="e">
        <v>#N/A</v>
      </c>
      <c r="O25" t="e">
        <v>#N/A</v>
      </c>
      <c r="P25" t="e">
        <v>#N/A</v>
      </c>
      <c r="Q25" t="e">
        <v>#N/A</v>
      </c>
      <c r="R25" t="e">
        <v>#N/A</v>
      </c>
      <c r="S25" t="e">
        <v>#N/A</v>
      </c>
      <c r="T25" t="e">
        <v>#N/A</v>
      </c>
      <c r="U25" t="e">
        <v>#N/A</v>
      </c>
      <c r="V25" t="e">
        <v>#N/A</v>
      </c>
      <c r="W25" t="e">
        <v>#N/A</v>
      </c>
      <c r="X25" t="e">
        <v>#N/A</v>
      </c>
      <c r="Y25" t="e">
        <v>#N/A</v>
      </c>
      <c r="Z25" t="e">
        <v>#N/A</v>
      </c>
      <c r="AA25" t="e">
        <v>#N/A</v>
      </c>
      <c r="AB25" t="e">
        <v>#N/A</v>
      </c>
      <c r="AC25" t="e">
        <v>#N/A</v>
      </c>
      <c r="AD25" t="e">
        <v>#N/A</v>
      </c>
      <c r="AE25" t="e">
        <v>#N/A</v>
      </c>
      <c r="AF25" t="e">
        <v>#N/A</v>
      </c>
      <c r="AG25" s="348" t="e">
        <v>#N/A</v>
      </c>
      <c r="AH25" t="e">
        <v>#N/A</v>
      </c>
      <c r="AI25" t="e">
        <v>#N/A</v>
      </c>
      <c r="AJ25" t="e">
        <v>#N/A</v>
      </c>
      <c r="AK25" t="e">
        <v>#N/A</v>
      </c>
      <c r="AL25" t="e">
        <v>#N/A</v>
      </c>
      <c r="AM25" t="e">
        <v>#N/A</v>
      </c>
      <c r="AN25" t="e">
        <v>#N/A</v>
      </c>
      <c r="AO25" t="e">
        <v>#N/A</v>
      </c>
      <c r="AP25" t="e">
        <v>#N/A</v>
      </c>
      <c r="AQ25" t="e">
        <v>#N/A</v>
      </c>
      <c r="AR25" t="e">
        <v>#N/A</v>
      </c>
      <c r="AS25" t="e">
        <v>#N/A</v>
      </c>
      <c r="AT25" t="e">
        <v>#N/A</v>
      </c>
      <c r="AU25" t="e">
        <v>#N/A</v>
      </c>
      <c r="AV25" t="e">
        <v>#N/A</v>
      </c>
      <c r="AW25" t="e">
        <v>#N/A</v>
      </c>
      <c r="AX25" t="e">
        <v>#N/A</v>
      </c>
      <c r="AY25" t="e">
        <v>#N/A</v>
      </c>
      <c r="AZ25" t="e">
        <v>#N/A</v>
      </c>
      <c r="BA25" t="e">
        <v>#N/A</v>
      </c>
      <c r="BB25" t="e">
        <v>#N/A</v>
      </c>
      <c r="BC25" t="e">
        <v>#N/A</v>
      </c>
      <c r="BD25" t="e">
        <v>#N/A</v>
      </c>
      <c r="BE25" t="e">
        <v>#N/A</v>
      </c>
      <c r="BF25" t="e">
        <v>#N/A</v>
      </c>
      <c r="BG25" t="e">
        <v>#N/A</v>
      </c>
      <c r="BH25" t="e">
        <v>#N/A</v>
      </c>
      <c r="BI25" t="e">
        <v>#N/A</v>
      </c>
      <c r="BJ25" t="e">
        <v>#N/A</v>
      </c>
      <c r="BK25" t="e">
        <v>#N/A</v>
      </c>
      <c r="BL25" t="e">
        <v>#N/A</v>
      </c>
      <c r="BM25" t="e">
        <v>#N/A</v>
      </c>
      <c r="BN25" t="e">
        <v>#N/A</v>
      </c>
      <c r="BO25" t="e">
        <v>#N/A</v>
      </c>
      <c r="BP25" t="e">
        <v>#N/A</v>
      </c>
      <c r="BQ25" t="e">
        <v>#N/A</v>
      </c>
      <c r="BR25" t="e">
        <v>#N/A</v>
      </c>
      <c r="BS25" t="e">
        <v>#N/A</v>
      </c>
      <c r="BT25" t="e">
        <v>#N/A</v>
      </c>
      <c r="BU25" t="e">
        <v>#N/A</v>
      </c>
      <c r="BV25" t="e">
        <v>#N/A</v>
      </c>
      <c r="BW25" t="e">
        <v>#N/A</v>
      </c>
      <c r="BX25" t="e">
        <v>#N/A</v>
      </c>
      <c r="BY25" t="e">
        <v>#N/A</v>
      </c>
      <c r="BZ25" t="e">
        <v>#N/A</v>
      </c>
      <c r="CA25" t="e">
        <v>#N/A</v>
      </c>
      <c r="CB25" t="e">
        <v>#N/A</v>
      </c>
      <c r="CC25" t="e">
        <v>#N/A</v>
      </c>
      <c r="CD25" t="e">
        <v>#N/A</v>
      </c>
      <c r="CE25" t="e">
        <v>#N/A</v>
      </c>
      <c r="CF25" t="e">
        <v>#N/A</v>
      </c>
      <c r="CG25" t="e">
        <v>#N/A</v>
      </c>
      <c r="CH25" t="e">
        <v>#N/A</v>
      </c>
      <c r="CI25" t="e">
        <v>#N/A</v>
      </c>
      <c r="CJ25" t="e">
        <v>#N/A</v>
      </c>
      <c r="CK25" t="e">
        <v>#N/A</v>
      </c>
      <c r="CL25" t="e">
        <v>#N/A</v>
      </c>
      <c r="CM25" t="e">
        <v>#N/A</v>
      </c>
      <c r="CN25" t="e">
        <v>#N/A</v>
      </c>
      <c r="CO25" t="e">
        <v>#N/A</v>
      </c>
      <c r="CP25" t="e">
        <v>#N/A</v>
      </c>
      <c r="CQ25" t="e">
        <v>#N/A</v>
      </c>
      <c r="CR25" t="e">
        <v>#N/A</v>
      </c>
      <c r="CS25" t="e">
        <v>#N/A</v>
      </c>
      <c r="CT25" t="e">
        <v>#N/A</v>
      </c>
      <c r="CU25" t="e">
        <v>#N/A</v>
      </c>
      <c r="CV25" t="e">
        <v>#N/A</v>
      </c>
      <c r="CW25" t="e">
        <v>#N/A</v>
      </c>
      <c r="CX25" t="e">
        <v>#N/A</v>
      </c>
      <c r="CY25" t="e">
        <v>#N/A</v>
      </c>
      <c r="CZ25" t="e">
        <v>#N/A</v>
      </c>
    </row>
    <row r="26" spans="2:201" x14ac:dyDescent="0.15">
      <c r="B26" s="1"/>
      <c r="GS26" s="1"/>
    </row>
    <row r="28" spans="2:201" s="15" customFormat="1" x14ac:dyDescent="0.15">
      <c r="B28" s="14">
        <v>0</v>
      </c>
      <c r="C28" s="14">
        <v>2</v>
      </c>
      <c r="D28" s="14">
        <v>3</v>
      </c>
      <c r="E28" s="14">
        <v>4</v>
      </c>
      <c r="F28" s="14">
        <v>6</v>
      </c>
      <c r="G28" s="14">
        <v>7</v>
      </c>
      <c r="H28" s="14">
        <v>9</v>
      </c>
      <c r="I28" s="14" t="e">
        <v>#N/A</v>
      </c>
      <c r="J28" s="14" t="e">
        <v>#N/A</v>
      </c>
      <c r="K28" s="14" t="e">
        <v>#N/A</v>
      </c>
      <c r="L28" s="14" t="e">
        <v>#N/A</v>
      </c>
      <c r="M28" s="14">
        <v>12</v>
      </c>
      <c r="N28" s="14">
        <v>13</v>
      </c>
      <c r="O28" s="14" t="e">
        <v>#N/A</v>
      </c>
      <c r="P28" s="14" t="e">
        <v>#N/A</v>
      </c>
      <c r="Q28" s="14">
        <v>19</v>
      </c>
      <c r="R28" s="14">
        <f>Q28+1</f>
        <v>20</v>
      </c>
      <c r="S28" s="14">
        <f>R28+2</f>
        <v>22</v>
      </c>
      <c r="T28" s="14">
        <f>S28+1</f>
        <v>23</v>
      </c>
      <c r="U28" s="14">
        <v>27</v>
      </c>
      <c r="V28" s="14">
        <v>28</v>
      </c>
      <c r="W28" s="14">
        <v>71</v>
      </c>
      <c r="X28" s="14">
        <v>73</v>
      </c>
      <c r="Y28" s="14">
        <f>X28+1</f>
        <v>74</v>
      </c>
      <c r="Z28" s="14">
        <f>Y28+1</f>
        <v>75</v>
      </c>
      <c r="AA28" s="14">
        <v>79</v>
      </c>
      <c r="AB28" s="14">
        <f>AA28+1</f>
        <v>80</v>
      </c>
      <c r="AC28" s="14">
        <f>AB28+1</f>
        <v>81</v>
      </c>
      <c r="AD28" s="14">
        <v>83</v>
      </c>
      <c r="AE28" s="14">
        <f>AD28+1</f>
        <v>84</v>
      </c>
      <c r="AF28" s="14">
        <f>AE28+1</f>
        <v>85</v>
      </c>
      <c r="AG28" s="14">
        <v>90</v>
      </c>
      <c r="AH28" s="14">
        <v>91</v>
      </c>
      <c r="AI28" s="14">
        <f>AH28+3</f>
        <v>94</v>
      </c>
      <c r="AJ28" s="14">
        <f>AI28+1</f>
        <v>95</v>
      </c>
      <c r="AK28" s="14">
        <f>AJ28+1</f>
        <v>96</v>
      </c>
      <c r="AL28" s="14">
        <f>AK28+1</f>
        <v>97</v>
      </c>
      <c r="AM28" s="14">
        <v>99</v>
      </c>
      <c r="AN28" s="14">
        <v>100</v>
      </c>
      <c r="AO28" s="14">
        <f>AN28+1</f>
        <v>101</v>
      </c>
      <c r="AP28" s="14">
        <f>AO28+1</f>
        <v>102</v>
      </c>
      <c r="AQ28" s="14">
        <v>104</v>
      </c>
      <c r="AR28" s="14">
        <f>AQ28+1</f>
        <v>105</v>
      </c>
      <c r="AS28" s="14">
        <f>AR28+2</f>
        <v>107</v>
      </c>
      <c r="AT28" s="14">
        <f>AS28+1</f>
        <v>108</v>
      </c>
      <c r="AU28" s="14">
        <f>AT28+1</f>
        <v>109</v>
      </c>
      <c r="AV28" s="14">
        <v>112</v>
      </c>
      <c r="AW28" s="14">
        <f>AV28+1</f>
        <v>113</v>
      </c>
      <c r="AX28" s="14">
        <v>115</v>
      </c>
      <c r="AY28" s="14">
        <f>AX28+1</f>
        <v>116</v>
      </c>
      <c r="AZ28" s="14">
        <f>AY28+1</f>
        <v>117</v>
      </c>
      <c r="BA28" s="14" t="e">
        <v>#N/A</v>
      </c>
      <c r="BB28" s="14" t="e">
        <v>#N/A</v>
      </c>
      <c r="BC28" s="14">
        <v>119</v>
      </c>
      <c r="BD28" s="14">
        <v>120</v>
      </c>
      <c r="BE28" s="14">
        <v>121</v>
      </c>
      <c r="BF28" s="14">
        <v>125</v>
      </c>
      <c r="BG28" s="14">
        <f>BF28+1</f>
        <v>126</v>
      </c>
      <c r="BH28" s="14">
        <f>BG28+1</f>
        <v>127</v>
      </c>
      <c r="BI28" s="14">
        <f>BH28+2</f>
        <v>129</v>
      </c>
      <c r="BJ28" s="14">
        <f>BI28+1</f>
        <v>130</v>
      </c>
      <c r="BK28" s="14">
        <f>BJ28+1</f>
        <v>131</v>
      </c>
      <c r="BL28" s="14">
        <f>BK28+3</f>
        <v>134</v>
      </c>
      <c r="BM28" s="14">
        <f>BL28+1</f>
        <v>135</v>
      </c>
      <c r="BN28" s="14">
        <f>BM28+4</f>
        <v>139</v>
      </c>
      <c r="BO28" s="14">
        <f>BN28+1</f>
        <v>140</v>
      </c>
      <c r="BP28" s="14">
        <f>BO28+2</f>
        <v>142</v>
      </c>
      <c r="BQ28" s="14">
        <f>BP28+1</f>
        <v>143</v>
      </c>
      <c r="BR28" s="14">
        <f>BQ28+4</f>
        <v>147</v>
      </c>
      <c r="BS28" s="14">
        <f>BR28+2</f>
        <v>149</v>
      </c>
      <c r="BT28" s="14">
        <f>BS28+1</f>
        <v>150</v>
      </c>
      <c r="BU28" s="14">
        <f>BT28+2</f>
        <v>152</v>
      </c>
      <c r="BV28" s="14">
        <f>BU28+1</f>
        <v>153</v>
      </c>
      <c r="BW28" s="14">
        <v>158</v>
      </c>
      <c r="BX28" s="14">
        <f>BW28+1</f>
        <v>159</v>
      </c>
      <c r="BY28" s="14">
        <f>BX28+3</f>
        <v>162</v>
      </c>
      <c r="BZ28" s="14">
        <f>BY28+1</f>
        <v>163</v>
      </c>
      <c r="CA28" s="14">
        <f>BZ28+1</f>
        <v>164</v>
      </c>
      <c r="CB28" s="14">
        <f>CA28+1</f>
        <v>165</v>
      </c>
      <c r="CC28" s="14">
        <f>CB28+1</f>
        <v>166</v>
      </c>
      <c r="CD28" s="14">
        <f>CC28+1</f>
        <v>167</v>
      </c>
      <c r="CE28" s="14">
        <f>CD28+3</f>
        <v>170</v>
      </c>
      <c r="CF28" s="14">
        <f>CE28+1</f>
        <v>171</v>
      </c>
      <c r="CG28" s="14">
        <f>CF28+5</f>
        <v>176</v>
      </c>
      <c r="CH28" s="14">
        <f>CG28+1</f>
        <v>177</v>
      </c>
      <c r="CI28" s="14">
        <f>CH28+2</f>
        <v>179</v>
      </c>
      <c r="CJ28" s="14">
        <f>CI28+1</f>
        <v>180</v>
      </c>
      <c r="CK28" s="14">
        <f>CJ28+5</f>
        <v>185</v>
      </c>
      <c r="CL28" s="14">
        <f>CK28+1</f>
        <v>186</v>
      </c>
      <c r="CM28" s="14">
        <f>CL28+2</f>
        <v>188</v>
      </c>
      <c r="CN28" s="14">
        <f>CM28+1</f>
        <v>189</v>
      </c>
      <c r="CO28" s="14" t="e">
        <v>#N/A</v>
      </c>
      <c r="CP28" s="14" t="e">
        <v>#N/A</v>
      </c>
      <c r="CQ28" s="14" t="e">
        <v>#N/A</v>
      </c>
      <c r="CR28" s="14" t="e">
        <v>#N/A</v>
      </c>
      <c r="CS28" s="14" t="e">
        <v>#N/A</v>
      </c>
      <c r="CT28" s="14" t="e">
        <v>#N/A</v>
      </c>
      <c r="CU28" s="14" t="e">
        <v>#N/A</v>
      </c>
      <c r="CV28" s="14" t="e">
        <v>#N/A</v>
      </c>
      <c r="CW28" s="14" t="e">
        <v>#N/A</v>
      </c>
      <c r="CX28" s="14" t="e">
        <v>#N/A</v>
      </c>
      <c r="CY28" s="14" t="e">
        <v>#N/A</v>
      </c>
    </row>
    <row r="29" spans="2:201" x14ac:dyDescent="0.15">
      <c r="B29" s="7">
        <f t="shared" ref="B29:K44" ca="1" si="108">IF($A$1=FALSE,"-",B3-OFFSET($A54,0,B$28))</f>
        <v>0</v>
      </c>
      <c r="C29" s="7">
        <f t="shared" ca="1" si="108"/>
        <v>0</v>
      </c>
      <c r="D29" s="7">
        <f t="shared" ca="1" si="108"/>
        <v>0</v>
      </c>
      <c r="E29" s="7">
        <f t="shared" ca="1" si="108"/>
        <v>0</v>
      </c>
      <c r="F29" s="7">
        <f t="shared" ca="1" si="108"/>
        <v>0</v>
      </c>
      <c r="G29" s="7">
        <f t="shared" ca="1" si="108"/>
        <v>0</v>
      </c>
      <c r="H29" s="7">
        <f t="shared" ca="1" si="108"/>
        <v>0</v>
      </c>
      <c r="I29" s="7" t="e">
        <f t="shared" ca="1" si="108"/>
        <v>#N/A</v>
      </c>
      <c r="J29" s="7" t="e">
        <f t="shared" ca="1" si="108"/>
        <v>#N/A</v>
      </c>
      <c r="K29" s="7" t="e">
        <f t="shared" ca="1" si="108"/>
        <v>#N/A</v>
      </c>
      <c r="L29" s="7"/>
      <c r="M29" s="7">
        <f t="shared" ref="M29:BX32" ca="1" si="109">IF($A$1=FALSE,"-",M3-OFFSET($A54,0,M$28))</f>
        <v>0</v>
      </c>
      <c r="N29" s="7">
        <f t="shared" ca="1" si="109"/>
        <v>0</v>
      </c>
      <c r="O29" s="7" t="e">
        <f t="shared" ca="1" si="109"/>
        <v>#N/A</v>
      </c>
      <c r="P29" s="7" t="e">
        <f t="shared" ca="1" si="109"/>
        <v>#N/A</v>
      </c>
      <c r="Q29" s="7">
        <f t="shared" ca="1" si="109"/>
        <v>0</v>
      </c>
      <c r="R29" s="7">
        <f t="shared" ca="1" si="109"/>
        <v>0</v>
      </c>
      <c r="S29" s="7">
        <f t="shared" ca="1" si="109"/>
        <v>0</v>
      </c>
      <c r="T29" s="7">
        <f t="shared" ca="1" si="109"/>
        <v>0</v>
      </c>
      <c r="U29" s="7"/>
      <c r="V29" s="7"/>
      <c r="W29" s="7">
        <f t="shared" ca="1" si="109"/>
        <v>0</v>
      </c>
      <c r="X29" s="7">
        <f t="shared" ca="1" si="109"/>
        <v>0</v>
      </c>
      <c r="Y29" s="7">
        <f t="shared" ca="1" si="109"/>
        <v>0</v>
      </c>
      <c r="Z29" s="7"/>
      <c r="AA29" s="7"/>
      <c r="AB29" s="7"/>
      <c r="AC29" s="7"/>
      <c r="AD29" s="7"/>
      <c r="AE29" s="7"/>
      <c r="AF29" s="7"/>
      <c r="AG29" s="7">
        <f t="shared" ca="1" si="109"/>
        <v>0</v>
      </c>
      <c r="AH29" s="7">
        <f t="shared" ca="1" si="109"/>
        <v>0</v>
      </c>
      <c r="AI29" s="7"/>
      <c r="AJ29" s="7"/>
      <c r="AK29" s="7"/>
      <c r="AL29" s="7">
        <f t="shared" ca="1" si="109"/>
        <v>0</v>
      </c>
      <c r="AM29" s="7"/>
      <c r="AN29" s="7"/>
      <c r="AO29" s="7"/>
      <c r="AP29" s="7">
        <f t="shared" ca="1" si="109"/>
        <v>0</v>
      </c>
      <c r="AQ29" s="7"/>
      <c r="AR29" s="7"/>
      <c r="AS29" s="7"/>
      <c r="AT29" s="7">
        <f t="shared" ca="1" si="109"/>
        <v>0</v>
      </c>
      <c r="AU29" s="7">
        <f t="shared" ca="1" si="109"/>
        <v>0</v>
      </c>
      <c r="AV29" s="7"/>
      <c r="AW29" s="7"/>
      <c r="AX29" s="7"/>
      <c r="AY29" s="7"/>
      <c r="AZ29" s="7"/>
      <c r="BA29" s="7" t="e">
        <f t="shared" ca="1" si="109"/>
        <v>#VALUE!</v>
      </c>
      <c r="BB29" s="7" t="e">
        <f t="shared" ca="1" si="109"/>
        <v>#VALUE!</v>
      </c>
      <c r="BC29" s="7"/>
      <c r="BD29" s="7"/>
      <c r="BE29" s="7"/>
      <c r="BF29" s="7"/>
      <c r="BG29" s="7"/>
      <c r="BH29" s="7"/>
      <c r="BI29" s="7"/>
      <c r="BJ29" s="7"/>
      <c r="BK29" s="7"/>
      <c r="BL29" s="7">
        <f t="shared" ca="1" si="109"/>
        <v>0</v>
      </c>
      <c r="BM29" s="7">
        <f t="shared" ca="1" si="109"/>
        <v>0</v>
      </c>
      <c r="BN29" s="7"/>
      <c r="BO29" s="7"/>
      <c r="BP29" s="7"/>
      <c r="BQ29" s="7"/>
      <c r="BR29" s="7"/>
      <c r="BS29" s="7"/>
      <c r="BT29" s="7"/>
      <c r="BU29" s="7"/>
      <c r="BV29" s="7"/>
      <c r="BW29" s="7"/>
      <c r="BX29" s="7"/>
      <c r="BY29" s="7"/>
      <c r="BZ29" s="7"/>
      <c r="CA29" s="7"/>
      <c r="CB29" s="7"/>
      <c r="CC29" s="7"/>
      <c r="CD29" s="7"/>
      <c r="CE29" s="7"/>
      <c r="CF29" s="7"/>
      <c r="CG29" s="7"/>
      <c r="CH29" s="7"/>
      <c r="CI29" s="7"/>
      <c r="CJ29" s="7"/>
      <c r="CK29" s="7"/>
      <c r="CL29" s="7"/>
      <c r="CM29" s="7"/>
      <c r="CN29" s="7"/>
      <c r="CO29" s="7" t="e">
        <f t="shared" ref="BY29:CQ42" ca="1" si="110">IF($A$1=FALSE,"-",CO3-OFFSET($A54,0,CO$28))</f>
        <v>#N/A</v>
      </c>
      <c r="CP29" s="7" t="e">
        <f t="shared" ca="1" si="110"/>
        <v>#N/A</v>
      </c>
      <c r="CQ29" s="7" t="e">
        <f t="shared" ca="1" si="110"/>
        <v>#N/A</v>
      </c>
      <c r="CR29" s="7" t="e">
        <f t="shared" ref="CR29:CY29" ca="1" si="111">IF($A$1=FALSE,"-",CR3-OFFSET($A54,0,CR$28))</f>
        <v>#N/A</v>
      </c>
      <c r="CS29" s="7" t="e">
        <f t="shared" ca="1" si="111"/>
        <v>#N/A</v>
      </c>
      <c r="CT29" s="7" t="e">
        <f t="shared" ca="1" si="111"/>
        <v>#N/A</v>
      </c>
      <c r="CU29" s="7" t="e">
        <f t="shared" ca="1" si="111"/>
        <v>#N/A</v>
      </c>
      <c r="CV29" s="7" t="e">
        <f t="shared" ca="1" si="111"/>
        <v>#N/A</v>
      </c>
      <c r="CW29" s="7" t="e">
        <f t="shared" ca="1" si="111"/>
        <v>#N/A</v>
      </c>
      <c r="CX29" s="7" t="e">
        <f t="shared" ca="1" si="111"/>
        <v>#N/A</v>
      </c>
      <c r="CY29" s="7" t="e">
        <f t="shared" ca="1" si="111"/>
        <v>#N/A</v>
      </c>
    </row>
    <row r="30" spans="2:201" x14ac:dyDescent="0.15">
      <c r="B30" s="7">
        <f t="shared" ca="1" si="108"/>
        <v>0</v>
      </c>
      <c r="C30" s="7">
        <f t="shared" ca="1" si="108"/>
        <v>0</v>
      </c>
      <c r="D30" s="7">
        <f t="shared" ca="1" si="108"/>
        <v>0</v>
      </c>
      <c r="E30" s="7">
        <f t="shared" ca="1" si="108"/>
        <v>0</v>
      </c>
      <c r="F30" s="7">
        <f t="shared" ca="1" si="108"/>
        <v>0</v>
      </c>
      <c r="G30" s="7">
        <f t="shared" ca="1" si="108"/>
        <v>0</v>
      </c>
      <c r="H30" s="7">
        <f t="shared" ca="1" si="108"/>
        <v>0</v>
      </c>
      <c r="I30" s="7" t="e">
        <f t="shared" ca="1" si="108"/>
        <v>#N/A</v>
      </c>
      <c r="J30" s="7" t="e">
        <f t="shared" ca="1" si="108"/>
        <v>#N/A</v>
      </c>
      <c r="K30" s="7" t="e">
        <f t="shared" ca="1" si="108"/>
        <v>#N/A</v>
      </c>
      <c r="L30" s="7" t="e">
        <f t="shared" ref="L30:L49" ca="1" si="112">IF($A$1=FALSE,"-",L4-OFFSET($A55,0,L$28))</f>
        <v>#N/A</v>
      </c>
      <c r="M30" s="7">
        <f t="shared" ca="1" si="109"/>
        <v>0</v>
      </c>
      <c r="N30" s="7">
        <f t="shared" ca="1" si="109"/>
        <v>0</v>
      </c>
      <c r="O30" s="7" t="e">
        <f t="shared" ca="1" si="109"/>
        <v>#N/A</v>
      </c>
      <c r="P30" s="7" t="e">
        <f t="shared" ca="1" si="109"/>
        <v>#N/A</v>
      </c>
      <c r="Q30" s="7">
        <f t="shared" ca="1" si="109"/>
        <v>0</v>
      </c>
      <c r="R30" s="7">
        <f t="shared" ca="1" si="109"/>
        <v>0</v>
      </c>
      <c r="S30" s="7">
        <f t="shared" ca="1" si="109"/>
        <v>0</v>
      </c>
      <c r="T30" s="7">
        <f t="shared" ca="1" si="109"/>
        <v>0</v>
      </c>
      <c r="U30" s="7">
        <f t="shared" ca="1" si="109"/>
        <v>0</v>
      </c>
      <c r="V30" s="7">
        <f t="shared" ca="1" si="109"/>
        <v>0</v>
      </c>
      <c r="W30" s="7">
        <f t="shared" ca="1" si="109"/>
        <v>0</v>
      </c>
      <c r="X30" s="7">
        <f t="shared" ca="1" si="109"/>
        <v>0</v>
      </c>
      <c r="Y30" s="7">
        <f t="shared" ca="1" si="109"/>
        <v>0</v>
      </c>
      <c r="Z30" s="7">
        <f t="shared" ca="1" si="109"/>
        <v>0</v>
      </c>
      <c r="AA30" s="7">
        <f t="shared" ca="1" si="109"/>
        <v>0</v>
      </c>
      <c r="AB30" s="7">
        <f t="shared" ca="1" si="109"/>
        <v>0</v>
      </c>
      <c r="AC30" s="7">
        <f t="shared" ca="1" si="109"/>
        <v>0</v>
      </c>
      <c r="AD30" s="7">
        <f t="shared" ca="1" si="109"/>
        <v>0</v>
      </c>
      <c r="AE30" s="7">
        <f t="shared" ca="1" si="109"/>
        <v>0</v>
      </c>
      <c r="AF30" s="7">
        <f t="shared" ca="1" si="109"/>
        <v>0</v>
      </c>
      <c r="AG30" s="7">
        <f t="shared" ca="1" si="109"/>
        <v>0</v>
      </c>
      <c r="AH30" s="7">
        <f t="shared" ca="1" si="109"/>
        <v>0</v>
      </c>
      <c r="AI30" s="7">
        <f t="shared" ca="1" si="109"/>
        <v>0</v>
      </c>
      <c r="AJ30" s="7">
        <f t="shared" ca="1" si="109"/>
        <v>0</v>
      </c>
      <c r="AK30" s="7">
        <f t="shared" ca="1" si="109"/>
        <v>0</v>
      </c>
      <c r="AL30" s="7">
        <f t="shared" ca="1" si="109"/>
        <v>0</v>
      </c>
      <c r="AM30" s="7">
        <f t="shared" ca="1" si="109"/>
        <v>0</v>
      </c>
      <c r="AN30" s="7">
        <f t="shared" ca="1" si="109"/>
        <v>0</v>
      </c>
      <c r="AO30" s="7">
        <f t="shared" ca="1" si="109"/>
        <v>0</v>
      </c>
      <c r="AP30" s="7">
        <f t="shared" ca="1" si="109"/>
        <v>0</v>
      </c>
      <c r="AQ30" s="7">
        <f t="shared" ca="1" si="109"/>
        <v>0</v>
      </c>
      <c r="AR30" s="7">
        <f t="shared" ca="1" si="109"/>
        <v>0</v>
      </c>
      <c r="AS30" s="7">
        <f t="shared" ca="1" si="109"/>
        <v>0</v>
      </c>
      <c r="AT30" s="7">
        <f t="shared" ca="1" si="109"/>
        <v>0</v>
      </c>
      <c r="AU30" s="7">
        <f t="shared" ca="1" si="109"/>
        <v>0</v>
      </c>
      <c r="AV30" s="7">
        <f t="shared" ca="1" si="109"/>
        <v>0</v>
      </c>
      <c r="AW30" s="7">
        <f t="shared" ca="1" si="109"/>
        <v>0</v>
      </c>
      <c r="AX30" s="7">
        <f t="shared" ca="1" si="109"/>
        <v>0</v>
      </c>
      <c r="AY30" s="7">
        <f t="shared" ca="1" si="109"/>
        <v>0</v>
      </c>
      <c r="AZ30" s="7">
        <f t="shared" ca="1" si="109"/>
        <v>0</v>
      </c>
      <c r="BA30" s="7" t="e">
        <f t="shared" ca="1" si="109"/>
        <v>#VALUE!</v>
      </c>
      <c r="BB30" s="7" t="e">
        <f t="shared" ca="1" si="109"/>
        <v>#VALUE!</v>
      </c>
      <c r="BC30" s="7">
        <f t="shared" ca="1" si="109"/>
        <v>0</v>
      </c>
      <c r="BD30" s="7">
        <f t="shared" ca="1" si="109"/>
        <v>0</v>
      </c>
      <c r="BE30" s="7">
        <f t="shared" ca="1" si="109"/>
        <v>0</v>
      </c>
      <c r="BF30" s="7">
        <f t="shared" ca="1" si="109"/>
        <v>0</v>
      </c>
      <c r="BG30" s="7">
        <f t="shared" ca="1" si="109"/>
        <v>0</v>
      </c>
      <c r="BH30" s="7">
        <f t="shared" ca="1" si="109"/>
        <v>0</v>
      </c>
      <c r="BI30" s="7">
        <f t="shared" ca="1" si="109"/>
        <v>0</v>
      </c>
      <c r="BJ30" s="7">
        <f t="shared" ca="1" si="109"/>
        <v>0</v>
      </c>
      <c r="BK30" s="7">
        <f t="shared" ca="1" si="109"/>
        <v>0</v>
      </c>
      <c r="BL30" s="7">
        <f t="shared" ca="1" si="109"/>
        <v>0</v>
      </c>
      <c r="BM30" s="7">
        <f t="shared" ca="1" si="109"/>
        <v>0</v>
      </c>
      <c r="BN30" s="7">
        <f t="shared" ca="1" si="109"/>
        <v>0</v>
      </c>
      <c r="BO30" s="7">
        <f t="shared" ca="1" si="109"/>
        <v>0</v>
      </c>
      <c r="BP30" s="7">
        <f t="shared" ca="1" si="109"/>
        <v>0</v>
      </c>
      <c r="BQ30" s="7">
        <f t="shared" ca="1" si="109"/>
        <v>0</v>
      </c>
      <c r="BR30" s="7">
        <f t="shared" ca="1" si="109"/>
        <v>0</v>
      </c>
      <c r="BS30" s="7">
        <f t="shared" ca="1" si="109"/>
        <v>0</v>
      </c>
      <c r="BT30" s="7">
        <f t="shared" ca="1" si="109"/>
        <v>0</v>
      </c>
      <c r="BU30" s="7">
        <f t="shared" ca="1" si="109"/>
        <v>0</v>
      </c>
      <c r="BV30" s="7">
        <f t="shared" ca="1" si="109"/>
        <v>0</v>
      </c>
      <c r="BW30" s="7">
        <f t="shared" ca="1" si="109"/>
        <v>0</v>
      </c>
      <c r="BX30" s="7">
        <f t="shared" ca="1" si="109"/>
        <v>0</v>
      </c>
      <c r="BY30" s="7">
        <f t="shared" ca="1" si="110"/>
        <v>0</v>
      </c>
      <c r="BZ30" s="7">
        <f t="shared" ca="1" si="110"/>
        <v>1.7763568394002505E-15</v>
      </c>
      <c r="CA30" s="7">
        <f t="shared" ca="1" si="110"/>
        <v>0</v>
      </c>
      <c r="CB30" s="7">
        <f t="shared" ca="1" si="110"/>
        <v>0</v>
      </c>
      <c r="CC30" s="7">
        <f t="shared" ca="1" si="110"/>
        <v>0</v>
      </c>
      <c r="CD30" s="7">
        <f t="shared" ca="1" si="110"/>
        <v>0</v>
      </c>
      <c r="CE30" s="7">
        <f t="shared" ca="1" si="110"/>
        <v>0</v>
      </c>
      <c r="CF30" s="7">
        <f t="shared" ca="1" si="110"/>
        <v>0</v>
      </c>
      <c r="CG30" s="7">
        <f t="shared" ca="1" si="110"/>
        <v>0</v>
      </c>
      <c r="CH30" s="7">
        <f t="shared" ca="1" si="110"/>
        <v>3.5527136788005009E-15</v>
      </c>
      <c r="CI30" s="7">
        <f t="shared" ca="1" si="110"/>
        <v>0</v>
      </c>
      <c r="CJ30" s="7">
        <f t="shared" ca="1" si="110"/>
        <v>0</v>
      </c>
      <c r="CK30" s="7">
        <f t="shared" ca="1" si="110"/>
        <v>0</v>
      </c>
      <c r="CL30" s="7">
        <f t="shared" ca="1" si="110"/>
        <v>0</v>
      </c>
      <c r="CM30" s="7" t="e">
        <f t="shared" ca="1" si="110"/>
        <v>#VALUE!</v>
      </c>
      <c r="CN30" s="7" t="e">
        <f t="shared" ca="1" si="110"/>
        <v>#VALUE!</v>
      </c>
      <c r="CO30" s="7" t="e">
        <f t="shared" ca="1" si="110"/>
        <v>#N/A</v>
      </c>
      <c r="CP30" s="7" t="e">
        <f t="shared" ca="1" si="110"/>
        <v>#N/A</v>
      </c>
      <c r="CQ30" s="7" t="e">
        <f t="shared" ca="1" si="110"/>
        <v>#N/A</v>
      </c>
      <c r="CR30" s="7" t="e">
        <f t="shared" ref="CR30:CY30" ca="1" si="113">IF($A$1=FALSE,"-",CR4-OFFSET($A55,0,CR$28))</f>
        <v>#N/A</v>
      </c>
      <c r="CS30" s="7" t="e">
        <f t="shared" ca="1" si="113"/>
        <v>#N/A</v>
      </c>
      <c r="CT30" s="7" t="e">
        <f t="shared" ca="1" si="113"/>
        <v>#N/A</v>
      </c>
      <c r="CU30" s="7" t="e">
        <f t="shared" ca="1" si="113"/>
        <v>#N/A</v>
      </c>
      <c r="CV30" s="7" t="e">
        <f t="shared" ca="1" si="113"/>
        <v>#N/A</v>
      </c>
      <c r="CW30" s="7" t="e">
        <f t="shared" ca="1" si="113"/>
        <v>#N/A</v>
      </c>
      <c r="CX30" s="7" t="e">
        <f t="shared" ca="1" si="113"/>
        <v>#N/A</v>
      </c>
      <c r="CY30" s="7" t="e">
        <f t="shared" ca="1" si="113"/>
        <v>#N/A</v>
      </c>
    </row>
    <row r="31" spans="2:201" x14ac:dyDescent="0.15">
      <c r="B31" s="7">
        <f t="shared" ca="1" si="108"/>
        <v>0</v>
      </c>
      <c r="C31" s="7">
        <f t="shared" ca="1" si="108"/>
        <v>0</v>
      </c>
      <c r="D31" s="7">
        <f t="shared" ca="1" si="108"/>
        <v>0</v>
      </c>
      <c r="E31" s="7">
        <f t="shared" ca="1" si="108"/>
        <v>0</v>
      </c>
      <c r="F31" s="7">
        <f t="shared" ca="1" si="108"/>
        <v>0</v>
      </c>
      <c r="G31" s="7">
        <f t="shared" ca="1" si="108"/>
        <v>0</v>
      </c>
      <c r="H31" s="7">
        <f t="shared" ca="1" si="108"/>
        <v>0</v>
      </c>
      <c r="I31" s="7" t="e">
        <f t="shared" ca="1" si="108"/>
        <v>#N/A</v>
      </c>
      <c r="J31" s="7" t="e">
        <f t="shared" ca="1" si="108"/>
        <v>#N/A</v>
      </c>
      <c r="K31" s="7" t="e">
        <f t="shared" ca="1" si="108"/>
        <v>#N/A</v>
      </c>
      <c r="L31" s="7" t="e">
        <f t="shared" ca="1" si="112"/>
        <v>#N/A</v>
      </c>
      <c r="M31" s="7">
        <f t="shared" ca="1" si="109"/>
        <v>0</v>
      </c>
      <c r="N31" s="7">
        <f t="shared" ca="1" si="109"/>
        <v>0</v>
      </c>
      <c r="O31" s="7" t="e">
        <f t="shared" ca="1" si="109"/>
        <v>#N/A</v>
      </c>
      <c r="P31" s="7" t="e">
        <f t="shared" ca="1" si="109"/>
        <v>#N/A</v>
      </c>
      <c r="Q31" s="7">
        <f t="shared" ca="1" si="109"/>
        <v>0</v>
      </c>
      <c r="R31" s="7">
        <f t="shared" ca="1" si="109"/>
        <v>0</v>
      </c>
      <c r="S31" s="7">
        <f t="shared" ca="1" si="109"/>
        <v>0</v>
      </c>
      <c r="T31" s="7">
        <f t="shared" ca="1" si="109"/>
        <v>0</v>
      </c>
      <c r="U31" s="7">
        <f t="shared" ca="1" si="109"/>
        <v>0</v>
      </c>
      <c r="V31" s="7">
        <f t="shared" ca="1" si="109"/>
        <v>0</v>
      </c>
      <c r="W31" s="7">
        <f t="shared" ca="1" si="109"/>
        <v>0</v>
      </c>
      <c r="X31" s="7">
        <f t="shared" ca="1" si="109"/>
        <v>0</v>
      </c>
      <c r="Y31" s="7">
        <f t="shared" ca="1" si="109"/>
        <v>0</v>
      </c>
      <c r="Z31" s="7">
        <f t="shared" ca="1" si="109"/>
        <v>0</v>
      </c>
      <c r="AA31" s="7">
        <f t="shared" ca="1" si="109"/>
        <v>0</v>
      </c>
      <c r="AB31" s="7">
        <f t="shared" ca="1" si="109"/>
        <v>0</v>
      </c>
      <c r="AC31" s="7">
        <f t="shared" ca="1" si="109"/>
        <v>0</v>
      </c>
      <c r="AD31" s="7">
        <f t="shared" ca="1" si="109"/>
        <v>0</v>
      </c>
      <c r="AE31" s="7">
        <f t="shared" ca="1" si="109"/>
        <v>0</v>
      </c>
      <c r="AF31" s="7">
        <f t="shared" ca="1" si="109"/>
        <v>0</v>
      </c>
      <c r="AG31" s="7">
        <f t="shared" ca="1" si="109"/>
        <v>0</v>
      </c>
      <c r="AH31" s="7">
        <f t="shared" ca="1" si="109"/>
        <v>0</v>
      </c>
      <c r="AI31" s="7">
        <f t="shared" ca="1" si="109"/>
        <v>0</v>
      </c>
      <c r="AJ31" s="7">
        <f t="shared" ca="1" si="109"/>
        <v>0</v>
      </c>
      <c r="AK31" s="7">
        <f t="shared" ca="1" si="109"/>
        <v>0</v>
      </c>
      <c r="AL31" s="7">
        <f t="shared" ca="1" si="109"/>
        <v>0</v>
      </c>
      <c r="AM31" s="7">
        <f t="shared" ca="1" si="109"/>
        <v>0</v>
      </c>
      <c r="AN31" s="7">
        <f t="shared" ca="1" si="109"/>
        <v>0</v>
      </c>
      <c r="AO31" s="7">
        <f t="shared" ca="1" si="109"/>
        <v>0</v>
      </c>
      <c r="AP31" s="7">
        <f t="shared" ca="1" si="109"/>
        <v>0</v>
      </c>
      <c r="AQ31" s="7">
        <f t="shared" ca="1" si="109"/>
        <v>0</v>
      </c>
      <c r="AR31" s="7">
        <f t="shared" ca="1" si="109"/>
        <v>0</v>
      </c>
      <c r="AS31" s="7">
        <f t="shared" ca="1" si="109"/>
        <v>0</v>
      </c>
      <c r="AT31" s="7">
        <f t="shared" ca="1" si="109"/>
        <v>0</v>
      </c>
      <c r="AU31" s="7">
        <f t="shared" ca="1" si="109"/>
        <v>0</v>
      </c>
      <c r="AV31" s="7">
        <f t="shared" ca="1" si="109"/>
        <v>0</v>
      </c>
      <c r="AW31" s="7">
        <f t="shared" ca="1" si="109"/>
        <v>0</v>
      </c>
      <c r="AX31" s="7">
        <f t="shared" ca="1" si="109"/>
        <v>0</v>
      </c>
      <c r="AY31" s="7">
        <f t="shared" ca="1" si="109"/>
        <v>0</v>
      </c>
      <c r="AZ31" s="7">
        <f t="shared" ca="1" si="109"/>
        <v>0</v>
      </c>
      <c r="BA31" s="7" t="e">
        <f t="shared" ca="1" si="109"/>
        <v>#VALUE!</v>
      </c>
      <c r="BB31" s="7" t="e">
        <f t="shared" ca="1" si="109"/>
        <v>#VALUE!</v>
      </c>
      <c r="BC31" s="7">
        <f t="shared" ca="1" si="109"/>
        <v>0</v>
      </c>
      <c r="BD31" s="7">
        <f t="shared" ca="1" si="109"/>
        <v>0</v>
      </c>
      <c r="BE31" s="7">
        <f t="shared" ca="1" si="109"/>
        <v>0</v>
      </c>
      <c r="BF31" s="7">
        <f t="shared" ca="1" si="109"/>
        <v>0</v>
      </c>
      <c r="BG31" s="7">
        <f t="shared" ca="1" si="109"/>
        <v>0</v>
      </c>
      <c r="BH31" s="7">
        <f t="shared" ca="1" si="109"/>
        <v>0</v>
      </c>
      <c r="BI31" s="7">
        <f t="shared" ca="1" si="109"/>
        <v>0</v>
      </c>
      <c r="BJ31" s="7">
        <f t="shared" ca="1" si="109"/>
        <v>0</v>
      </c>
      <c r="BK31" s="7">
        <f t="shared" ca="1" si="109"/>
        <v>0</v>
      </c>
      <c r="BL31" s="7">
        <f t="shared" ca="1" si="109"/>
        <v>0</v>
      </c>
      <c r="BM31" s="7">
        <f t="shared" ca="1" si="109"/>
        <v>0</v>
      </c>
      <c r="BN31" s="7">
        <f t="shared" ca="1" si="109"/>
        <v>0</v>
      </c>
      <c r="BO31" s="7">
        <f t="shared" ca="1" si="109"/>
        <v>0</v>
      </c>
      <c r="BP31" s="7">
        <f t="shared" ca="1" si="109"/>
        <v>0</v>
      </c>
      <c r="BQ31" s="7">
        <f t="shared" ca="1" si="109"/>
        <v>0</v>
      </c>
      <c r="BR31" s="7">
        <f t="shared" ca="1" si="109"/>
        <v>0</v>
      </c>
      <c r="BS31" s="7">
        <f t="shared" ca="1" si="109"/>
        <v>0</v>
      </c>
      <c r="BT31" s="7">
        <f t="shared" ca="1" si="109"/>
        <v>0</v>
      </c>
      <c r="BU31" s="7">
        <f t="shared" ca="1" si="109"/>
        <v>0</v>
      </c>
      <c r="BV31" s="7">
        <f t="shared" ca="1" si="109"/>
        <v>0</v>
      </c>
      <c r="BW31" s="7">
        <f t="shared" ca="1" si="109"/>
        <v>0</v>
      </c>
      <c r="BX31" s="7">
        <f t="shared" ca="1" si="109"/>
        <v>0</v>
      </c>
      <c r="BY31" s="7">
        <f t="shared" ca="1" si="110"/>
        <v>0</v>
      </c>
      <c r="BZ31" s="7">
        <f t="shared" ca="1" si="110"/>
        <v>0</v>
      </c>
      <c r="CA31" s="7">
        <f t="shared" ca="1" si="110"/>
        <v>0</v>
      </c>
      <c r="CB31" s="7">
        <f t="shared" ca="1" si="110"/>
        <v>0</v>
      </c>
      <c r="CC31" s="7">
        <f t="shared" ca="1" si="110"/>
        <v>0</v>
      </c>
      <c r="CD31" s="7">
        <f t="shared" ca="1" si="110"/>
        <v>0</v>
      </c>
      <c r="CE31" s="7">
        <f t="shared" ca="1" si="110"/>
        <v>0</v>
      </c>
      <c r="CF31" s="7">
        <f t="shared" ca="1" si="110"/>
        <v>0</v>
      </c>
      <c r="CG31" s="7">
        <f t="shared" ca="1" si="110"/>
        <v>0</v>
      </c>
      <c r="CH31" s="7">
        <f t="shared" ca="1" si="110"/>
        <v>0</v>
      </c>
      <c r="CI31" s="7">
        <f t="shared" ca="1" si="110"/>
        <v>0</v>
      </c>
      <c r="CJ31" s="7">
        <f t="shared" ca="1" si="110"/>
        <v>0</v>
      </c>
      <c r="CK31" s="7">
        <f t="shared" ca="1" si="110"/>
        <v>0</v>
      </c>
      <c r="CL31" s="7">
        <f t="shared" ca="1" si="110"/>
        <v>0</v>
      </c>
      <c r="CM31" s="7" t="e">
        <f t="shared" ca="1" si="110"/>
        <v>#VALUE!</v>
      </c>
      <c r="CN31" s="7" t="e">
        <f t="shared" ca="1" si="110"/>
        <v>#VALUE!</v>
      </c>
      <c r="CO31" s="7" t="e">
        <f t="shared" ca="1" si="110"/>
        <v>#N/A</v>
      </c>
      <c r="CP31" s="7" t="e">
        <f t="shared" ca="1" si="110"/>
        <v>#N/A</v>
      </c>
      <c r="CQ31" s="7" t="e">
        <f t="shared" ca="1" si="110"/>
        <v>#N/A</v>
      </c>
      <c r="CR31" s="7" t="e">
        <f t="shared" ref="CR31:CY31" ca="1" si="114">IF($A$1=FALSE,"-",CR5-OFFSET($A56,0,CR$28))</f>
        <v>#N/A</v>
      </c>
      <c r="CS31" s="7" t="e">
        <f t="shared" ca="1" si="114"/>
        <v>#N/A</v>
      </c>
      <c r="CT31" s="7" t="e">
        <f t="shared" ca="1" si="114"/>
        <v>#N/A</v>
      </c>
      <c r="CU31" s="7" t="e">
        <f t="shared" ca="1" si="114"/>
        <v>#N/A</v>
      </c>
      <c r="CV31" s="7" t="e">
        <f t="shared" ca="1" si="114"/>
        <v>#N/A</v>
      </c>
      <c r="CW31" s="7" t="e">
        <f t="shared" ca="1" si="114"/>
        <v>#N/A</v>
      </c>
      <c r="CX31" s="7" t="e">
        <f t="shared" ca="1" si="114"/>
        <v>#N/A</v>
      </c>
      <c r="CY31" s="7" t="e">
        <f t="shared" ca="1" si="114"/>
        <v>#N/A</v>
      </c>
    </row>
    <row r="32" spans="2:201" x14ac:dyDescent="0.15">
      <c r="B32" s="7">
        <f t="shared" ca="1" si="108"/>
        <v>0</v>
      </c>
      <c r="C32" s="7">
        <f t="shared" ca="1" si="108"/>
        <v>0</v>
      </c>
      <c r="D32" s="7">
        <f t="shared" ca="1" si="108"/>
        <v>0</v>
      </c>
      <c r="E32" s="7">
        <f t="shared" ca="1" si="108"/>
        <v>0</v>
      </c>
      <c r="F32" s="7">
        <f t="shared" ca="1" si="108"/>
        <v>0</v>
      </c>
      <c r="G32" s="7">
        <f t="shared" ca="1" si="108"/>
        <v>0</v>
      </c>
      <c r="H32" s="7">
        <f t="shared" ca="1" si="108"/>
        <v>0</v>
      </c>
      <c r="I32" s="7" t="e">
        <f t="shared" ca="1" si="108"/>
        <v>#N/A</v>
      </c>
      <c r="J32" s="7" t="e">
        <f t="shared" ca="1" si="108"/>
        <v>#N/A</v>
      </c>
      <c r="K32" s="7" t="e">
        <f t="shared" ca="1" si="108"/>
        <v>#N/A</v>
      </c>
      <c r="L32" s="7" t="e">
        <f t="shared" ca="1" si="112"/>
        <v>#N/A</v>
      </c>
      <c r="M32" s="7">
        <f t="shared" ca="1" si="109"/>
        <v>0</v>
      </c>
      <c r="N32" s="7">
        <f t="shared" ca="1" si="109"/>
        <v>0</v>
      </c>
      <c r="O32" s="7" t="e">
        <f t="shared" ca="1" si="109"/>
        <v>#N/A</v>
      </c>
      <c r="P32" s="7" t="e">
        <f t="shared" ca="1" si="109"/>
        <v>#N/A</v>
      </c>
      <c r="Q32" s="7">
        <f t="shared" ca="1" si="109"/>
        <v>0</v>
      </c>
      <c r="R32" s="7">
        <f t="shared" ca="1" si="109"/>
        <v>0</v>
      </c>
      <c r="S32" s="7">
        <f t="shared" ca="1" si="109"/>
        <v>0</v>
      </c>
      <c r="T32" s="7">
        <f t="shared" ca="1" si="109"/>
        <v>0</v>
      </c>
      <c r="U32" s="7">
        <f t="shared" ca="1" si="109"/>
        <v>0</v>
      </c>
      <c r="V32" s="7">
        <f t="shared" ca="1" si="109"/>
        <v>0</v>
      </c>
      <c r="W32" s="7">
        <f t="shared" ca="1" si="109"/>
        <v>0</v>
      </c>
      <c r="X32" s="7">
        <f t="shared" ca="1" si="109"/>
        <v>0</v>
      </c>
      <c r="Y32" s="7">
        <f t="shared" ca="1" si="109"/>
        <v>0</v>
      </c>
      <c r="Z32" s="7">
        <f t="shared" ca="1" si="109"/>
        <v>0</v>
      </c>
      <c r="AA32" s="7">
        <f t="shared" ca="1" si="109"/>
        <v>0</v>
      </c>
      <c r="AB32" s="7">
        <f t="shared" ca="1" si="109"/>
        <v>0</v>
      </c>
      <c r="AC32" s="7">
        <f t="shared" ca="1" si="109"/>
        <v>0</v>
      </c>
      <c r="AD32" s="7">
        <f t="shared" ca="1" si="109"/>
        <v>0</v>
      </c>
      <c r="AE32" s="7">
        <f t="shared" ca="1" si="109"/>
        <v>0</v>
      </c>
      <c r="AF32" s="7">
        <f t="shared" ca="1" si="109"/>
        <v>0</v>
      </c>
      <c r="AG32" s="7">
        <f t="shared" ca="1" si="109"/>
        <v>0</v>
      </c>
      <c r="AH32" s="7">
        <f t="shared" ca="1" si="109"/>
        <v>0</v>
      </c>
      <c r="AI32" s="7">
        <f t="shared" ca="1" si="109"/>
        <v>0</v>
      </c>
      <c r="AJ32" s="7">
        <f t="shared" ca="1" si="109"/>
        <v>0</v>
      </c>
      <c r="AK32" s="7">
        <f t="shared" ca="1" si="109"/>
        <v>0</v>
      </c>
      <c r="AL32" s="7">
        <f t="shared" ca="1" si="109"/>
        <v>0</v>
      </c>
      <c r="AM32" s="7">
        <f t="shared" ca="1" si="109"/>
        <v>0</v>
      </c>
      <c r="AN32" s="7">
        <f t="shared" ca="1" si="109"/>
        <v>0</v>
      </c>
      <c r="AO32" s="7">
        <f t="shared" ca="1" si="109"/>
        <v>0</v>
      </c>
      <c r="AP32" s="7">
        <f t="shared" ca="1" si="109"/>
        <v>0</v>
      </c>
      <c r="AQ32" s="7">
        <f t="shared" ca="1" si="109"/>
        <v>0</v>
      </c>
      <c r="AR32" s="7">
        <f t="shared" ca="1" si="109"/>
        <v>0</v>
      </c>
      <c r="AS32" s="7">
        <f t="shared" ca="1" si="109"/>
        <v>0</v>
      </c>
      <c r="AT32" s="7">
        <f t="shared" ca="1" si="109"/>
        <v>0</v>
      </c>
      <c r="AU32" s="7">
        <f t="shared" ca="1" si="109"/>
        <v>0</v>
      </c>
      <c r="AV32" s="7">
        <f t="shared" ca="1" si="109"/>
        <v>0</v>
      </c>
      <c r="AW32" s="7">
        <f t="shared" ca="1" si="109"/>
        <v>0</v>
      </c>
      <c r="AX32" s="7">
        <f t="shared" ca="1" si="109"/>
        <v>0</v>
      </c>
      <c r="AY32" s="7">
        <f t="shared" ca="1" si="109"/>
        <v>0</v>
      </c>
      <c r="AZ32" s="7">
        <f t="shared" ca="1" si="109"/>
        <v>0</v>
      </c>
      <c r="BA32" s="7" t="e">
        <f t="shared" ca="1" si="109"/>
        <v>#VALUE!</v>
      </c>
      <c r="BB32" s="7" t="e">
        <f t="shared" ca="1" si="109"/>
        <v>#VALUE!</v>
      </c>
      <c r="BC32" s="7">
        <f t="shared" ca="1" si="109"/>
        <v>0</v>
      </c>
      <c r="BD32" s="7">
        <f t="shared" ca="1" si="109"/>
        <v>0</v>
      </c>
      <c r="BE32" s="7">
        <f t="shared" ca="1" si="109"/>
        <v>0</v>
      </c>
      <c r="BF32" s="7">
        <f t="shared" ca="1" si="109"/>
        <v>0</v>
      </c>
      <c r="BG32" s="7">
        <f t="shared" ca="1" si="109"/>
        <v>0</v>
      </c>
      <c r="BH32" s="7">
        <f t="shared" ca="1" si="109"/>
        <v>0</v>
      </c>
      <c r="BI32" s="7">
        <f t="shared" ca="1" si="109"/>
        <v>0</v>
      </c>
      <c r="BJ32" s="7">
        <f t="shared" ca="1" si="109"/>
        <v>0</v>
      </c>
      <c r="BK32" s="7">
        <f t="shared" ca="1" si="109"/>
        <v>0</v>
      </c>
      <c r="BL32" s="7">
        <f t="shared" ca="1" si="109"/>
        <v>0</v>
      </c>
      <c r="BM32" s="7">
        <f t="shared" ca="1" si="109"/>
        <v>0</v>
      </c>
      <c r="BN32" s="7">
        <f t="shared" ca="1" si="109"/>
        <v>0</v>
      </c>
      <c r="BO32" s="7">
        <f t="shared" ca="1" si="109"/>
        <v>0</v>
      </c>
      <c r="BP32" s="7">
        <f t="shared" ca="1" si="109"/>
        <v>0</v>
      </c>
      <c r="BQ32" s="7">
        <f t="shared" ca="1" si="109"/>
        <v>0</v>
      </c>
      <c r="BR32" s="7">
        <f t="shared" ca="1" si="109"/>
        <v>0</v>
      </c>
      <c r="BS32" s="7">
        <f t="shared" ca="1" si="109"/>
        <v>0</v>
      </c>
      <c r="BT32" s="7">
        <f t="shared" ca="1" si="109"/>
        <v>0</v>
      </c>
      <c r="BU32" s="7">
        <f t="shared" ca="1" si="109"/>
        <v>0</v>
      </c>
      <c r="BV32" s="7">
        <f t="shared" ca="1" si="109"/>
        <v>0</v>
      </c>
      <c r="BW32" s="7">
        <f t="shared" ca="1" si="109"/>
        <v>0</v>
      </c>
      <c r="BX32" s="7">
        <f t="shared" ref="BX32" ca="1" si="115">IF($A$1=FALSE,"-",BX6-OFFSET($A57,0,BX$28))</f>
        <v>0</v>
      </c>
      <c r="BY32" s="7">
        <f t="shared" ca="1" si="110"/>
        <v>0</v>
      </c>
      <c r="BZ32" s="7">
        <f t="shared" ca="1" si="110"/>
        <v>0</v>
      </c>
      <c r="CA32" s="7">
        <f t="shared" ca="1" si="110"/>
        <v>0</v>
      </c>
      <c r="CB32" s="7">
        <f t="shared" ca="1" si="110"/>
        <v>0</v>
      </c>
      <c r="CC32" s="7">
        <f t="shared" ca="1" si="110"/>
        <v>0</v>
      </c>
      <c r="CD32" s="7">
        <f t="shared" ca="1" si="110"/>
        <v>0</v>
      </c>
      <c r="CE32" s="7">
        <f t="shared" ca="1" si="110"/>
        <v>0</v>
      </c>
      <c r="CF32" s="7">
        <f t="shared" ca="1" si="110"/>
        <v>0</v>
      </c>
      <c r="CG32" s="7">
        <f t="shared" ca="1" si="110"/>
        <v>0</v>
      </c>
      <c r="CH32" s="7">
        <f t="shared" ca="1" si="110"/>
        <v>0</v>
      </c>
      <c r="CI32" s="7">
        <f t="shared" ca="1" si="110"/>
        <v>0</v>
      </c>
      <c r="CJ32" s="7">
        <f t="shared" ca="1" si="110"/>
        <v>0</v>
      </c>
      <c r="CK32" s="7">
        <f t="shared" ca="1" si="110"/>
        <v>0</v>
      </c>
      <c r="CL32" s="7">
        <f t="shared" ca="1" si="110"/>
        <v>0</v>
      </c>
      <c r="CM32" s="7" t="e">
        <f t="shared" ca="1" si="110"/>
        <v>#VALUE!</v>
      </c>
      <c r="CN32" s="7" t="e">
        <f t="shared" ca="1" si="110"/>
        <v>#VALUE!</v>
      </c>
      <c r="CO32" s="7" t="e">
        <f t="shared" ca="1" si="110"/>
        <v>#N/A</v>
      </c>
      <c r="CP32" s="7" t="e">
        <f t="shared" ca="1" si="110"/>
        <v>#N/A</v>
      </c>
      <c r="CQ32" s="7" t="e">
        <f t="shared" ca="1" si="110"/>
        <v>#N/A</v>
      </c>
      <c r="CR32" s="7" t="e">
        <f t="shared" ref="CR32:CY32" ca="1" si="116">IF($A$1=FALSE,"-",CR6-OFFSET($A57,0,CR$28))</f>
        <v>#N/A</v>
      </c>
      <c r="CS32" s="7" t="e">
        <f t="shared" ca="1" si="116"/>
        <v>#N/A</v>
      </c>
      <c r="CT32" s="7" t="e">
        <f t="shared" ca="1" si="116"/>
        <v>#N/A</v>
      </c>
      <c r="CU32" s="7" t="e">
        <f t="shared" ca="1" si="116"/>
        <v>#N/A</v>
      </c>
      <c r="CV32" s="7" t="e">
        <f t="shared" ca="1" si="116"/>
        <v>#N/A</v>
      </c>
      <c r="CW32" s="7" t="e">
        <f t="shared" ca="1" si="116"/>
        <v>#N/A</v>
      </c>
      <c r="CX32" s="7" t="e">
        <f t="shared" ca="1" si="116"/>
        <v>#N/A</v>
      </c>
      <c r="CY32" s="7" t="e">
        <f t="shared" ca="1" si="116"/>
        <v>#N/A</v>
      </c>
    </row>
    <row r="33" spans="2:103" x14ac:dyDescent="0.15">
      <c r="B33" s="7">
        <f t="shared" ca="1" si="108"/>
        <v>0</v>
      </c>
      <c r="C33" s="7">
        <f t="shared" ca="1" si="108"/>
        <v>0</v>
      </c>
      <c r="D33" s="7">
        <f t="shared" ca="1" si="108"/>
        <v>0</v>
      </c>
      <c r="E33" s="7">
        <f t="shared" ca="1" si="108"/>
        <v>0</v>
      </c>
      <c r="F33" s="7">
        <f t="shared" ca="1" si="108"/>
        <v>0</v>
      </c>
      <c r="G33" s="7">
        <f t="shared" ca="1" si="108"/>
        <v>0</v>
      </c>
      <c r="H33" s="7">
        <f t="shared" ca="1" si="108"/>
        <v>0</v>
      </c>
      <c r="I33" s="7" t="e">
        <f t="shared" ca="1" si="108"/>
        <v>#N/A</v>
      </c>
      <c r="J33" s="7" t="e">
        <f t="shared" ca="1" si="108"/>
        <v>#N/A</v>
      </c>
      <c r="K33" s="7" t="e">
        <f t="shared" ca="1" si="108"/>
        <v>#N/A</v>
      </c>
      <c r="L33" s="7" t="e">
        <f t="shared" ca="1" si="112"/>
        <v>#N/A</v>
      </c>
      <c r="M33" s="7">
        <f t="shared" ref="M33:BX36" ca="1" si="117">IF($A$1=FALSE,"-",M7-OFFSET($A58,0,M$28))</f>
        <v>0</v>
      </c>
      <c r="N33" s="7">
        <f t="shared" ca="1" si="117"/>
        <v>0</v>
      </c>
      <c r="O33" s="7" t="e">
        <f t="shared" ca="1" si="117"/>
        <v>#N/A</v>
      </c>
      <c r="P33" s="7" t="e">
        <f t="shared" ca="1" si="117"/>
        <v>#N/A</v>
      </c>
      <c r="Q33" s="7">
        <f t="shared" ca="1" si="117"/>
        <v>0</v>
      </c>
      <c r="R33" s="7">
        <f t="shared" ca="1" si="117"/>
        <v>0</v>
      </c>
      <c r="S33" s="7">
        <f t="shared" ca="1" si="117"/>
        <v>0</v>
      </c>
      <c r="T33" s="7">
        <f t="shared" ca="1" si="117"/>
        <v>0</v>
      </c>
      <c r="U33" s="7">
        <f t="shared" ca="1" si="117"/>
        <v>0</v>
      </c>
      <c r="V33" s="7">
        <f t="shared" ca="1" si="117"/>
        <v>0</v>
      </c>
      <c r="W33" s="7">
        <f t="shared" ca="1" si="117"/>
        <v>0</v>
      </c>
      <c r="X33" s="7">
        <f t="shared" ca="1" si="117"/>
        <v>0</v>
      </c>
      <c r="Y33" s="7">
        <f t="shared" ca="1" si="117"/>
        <v>0</v>
      </c>
      <c r="Z33" s="7">
        <f t="shared" ca="1" si="117"/>
        <v>0</v>
      </c>
      <c r="AA33" s="7">
        <f t="shared" ca="1" si="117"/>
        <v>0</v>
      </c>
      <c r="AB33" s="7">
        <f t="shared" ca="1" si="117"/>
        <v>0</v>
      </c>
      <c r="AC33" s="7">
        <f t="shared" ca="1" si="117"/>
        <v>0</v>
      </c>
      <c r="AD33" s="7">
        <f t="shared" ca="1" si="117"/>
        <v>0</v>
      </c>
      <c r="AE33" s="7">
        <f t="shared" ca="1" si="117"/>
        <v>0</v>
      </c>
      <c r="AF33" s="7">
        <f t="shared" ca="1" si="117"/>
        <v>0</v>
      </c>
      <c r="AG33" s="7">
        <f t="shared" ca="1" si="117"/>
        <v>0</v>
      </c>
      <c r="AH33" s="7">
        <f t="shared" ca="1" si="117"/>
        <v>0</v>
      </c>
      <c r="AI33" s="7">
        <f t="shared" ca="1" si="117"/>
        <v>0</v>
      </c>
      <c r="AJ33" s="7">
        <f t="shared" ca="1" si="117"/>
        <v>0</v>
      </c>
      <c r="AK33" s="7">
        <f t="shared" ca="1" si="117"/>
        <v>0</v>
      </c>
      <c r="AL33" s="7">
        <f t="shared" ca="1" si="117"/>
        <v>0</v>
      </c>
      <c r="AM33" s="7">
        <f t="shared" ca="1" si="117"/>
        <v>0</v>
      </c>
      <c r="AN33" s="7">
        <f t="shared" ca="1" si="117"/>
        <v>0</v>
      </c>
      <c r="AO33" s="7">
        <f t="shared" ca="1" si="117"/>
        <v>0</v>
      </c>
      <c r="AP33" s="7">
        <f t="shared" ca="1" si="117"/>
        <v>0</v>
      </c>
      <c r="AQ33" s="7">
        <f t="shared" ca="1" si="117"/>
        <v>0</v>
      </c>
      <c r="AR33" s="7">
        <f t="shared" ca="1" si="117"/>
        <v>0</v>
      </c>
      <c r="AS33" s="7">
        <f t="shared" ca="1" si="117"/>
        <v>0</v>
      </c>
      <c r="AT33" s="7">
        <f t="shared" ca="1" si="117"/>
        <v>0</v>
      </c>
      <c r="AU33" s="7">
        <f t="shared" ca="1" si="117"/>
        <v>0</v>
      </c>
      <c r="AV33" s="7">
        <f t="shared" ca="1" si="117"/>
        <v>0</v>
      </c>
      <c r="AW33" s="7">
        <f t="shared" ca="1" si="117"/>
        <v>0</v>
      </c>
      <c r="AX33" s="7">
        <f t="shared" ca="1" si="117"/>
        <v>0</v>
      </c>
      <c r="AY33" s="7">
        <f t="shared" ca="1" si="117"/>
        <v>0</v>
      </c>
      <c r="AZ33" s="7">
        <f t="shared" ca="1" si="117"/>
        <v>0</v>
      </c>
      <c r="BA33" s="7" t="e">
        <f t="shared" ca="1" si="117"/>
        <v>#VALUE!</v>
      </c>
      <c r="BB33" s="7" t="e">
        <f t="shared" ca="1" si="117"/>
        <v>#VALUE!</v>
      </c>
      <c r="BC33" s="7">
        <f t="shared" ca="1" si="117"/>
        <v>0</v>
      </c>
      <c r="BD33" s="7">
        <f t="shared" ca="1" si="117"/>
        <v>0</v>
      </c>
      <c r="BE33" s="7">
        <f t="shared" ca="1" si="117"/>
        <v>0</v>
      </c>
      <c r="BF33" s="7">
        <f t="shared" ca="1" si="117"/>
        <v>0</v>
      </c>
      <c r="BG33" s="7">
        <f t="shared" ca="1" si="117"/>
        <v>0</v>
      </c>
      <c r="BH33" s="7">
        <f t="shared" ca="1" si="117"/>
        <v>0</v>
      </c>
      <c r="BI33" s="7">
        <f t="shared" ca="1" si="117"/>
        <v>0</v>
      </c>
      <c r="BJ33" s="7">
        <f t="shared" ca="1" si="117"/>
        <v>0</v>
      </c>
      <c r="BK33" s="7">
        <f t="shared" ca="1" si="117"/>
        <v>0</v>
      </c>
      <c r="BL33" s="7">
        <f t="shared" ca="1" si="117"/>
        <v>0</v>
      </c>
      <c r="BM33" s="7">
        <f t="shared" ca="1" si="117"/>
        <v>0</v>
      </c>
      <c r="BN33" s="7">
        <f t="shared" ca="1" si="117"/>
        <v>0</v>
      </c>
      <c r="BO33" s="7">
        <f t="shared" ca="1" si="117"/>
        <v>0</v>
      </c>
      <c r="BP33" s="7">
        <f t="shared" ca="1" si="117"/>
        <v>0</v>
      </c>
      <c r="BQ33" s="7">
        <f t="shared" ca="1" si="117"/>
        <v>0</v>
      </c>
      <c r="BR33" s="7">
        <f t="shared" ca="1" si="117"/>
        <v>0</v>
      </c>
      <c r="BS33" s="7">
        <f t="shared" ca="1" si="117"/>
        <v>0</v>
      </c>
      <c r="BT33" s="7">
        <f t="shared" ca="1" si="117"/>
        <v>0</v>
      </c>
      <c r="BU33" s="7">
        <f t="shared" ca="1" si="117"/>
        <v>0</v>
      </c>
      <c r="BV33" s="7">
        <f t="shared" ca="1" si="117"/>
        <v>0</v>
      </c>
      <c r="BW33" s="7">
        <f t="shared" ca="1" si="117"/>
        <v>0</v>
      </c>
      <c r="BX33" s="7">
        <f t="shared" ca="1" si="117"/>
        <v>0</v>
      </c>
      <c r="BY33" s="7">
        <f t="shared" ca="1" si="110"/>
        <v>0</v>
      </c>
      <c r="BZ33" s="7">
        <f t="shared" ca="1" si="110"/>
        <v>0</v>
      </c>
      <c r="CA33" s="7">
        <f t="shared" ca="1" si="110"/>
        <v>0</v>
      </c>
      <c r="CB33" s="7">
        <f t="shared" ca="1" si="110"/>
        <v>0</v>
      </c>
      <c r="CC33" s="7">
        <f t="shared" ca="1" si="110"/>
        <v>0</v>
      </c>
      <c r="CD33" s="7">
        <f t="shared" ca="1" si="110"/>
        <v>0</v>
      </c>
      <c r="CE33" s="7">
        <f t="shared" ca="1" si="110"/>
        <v>0</v>
      </c>
      <c r="CF33" s="7">
        <f t="shared" ca="1" si="110"/>
        <v>8.8817841970012523E-16</v>
      </c>
      <c r="CG33" s="7">
        <f t="shared" ca="1" si="110"/>
        <v>-2.7755575615628914E-17</v>
      </c>
      <c r="CH33" s="7">
        <f t="shared" ca="1" si="110"/>
        <v>1.7763568394002505E-15</v>
      </c>
      <c r="CI33" s="7">
        <f t="shared" ca="1" si="110"/>
        <v>0</v>
      </c>
      <c r="CJ33" s="7">
        <f t="shared" ca="1" si="110"/>
        <v>0</v>
      </c>
      <c r="CK33" s="7">
        <f t="shared" ca="1" si="110"/>
        <v>0</v>
      </c>
      <c r="CL33" s="7">
        <f t="shared" ca="1" si="110"/>
        <v>0</v>
      </c>
      <c r="CM33" s="7" t="e">
        <f t="shared" ca="1" si="110"/>
        <v>#VALUE!</v>
      </c>
      <c r="CN33" s="7" t="e">
        <f t="shared" ca="1" si="110"/>
        <v>#VALUE!</v>
      </c>
      <c r="CO33" s="7" t="e">
        <f t="shared" ca="1" si="110"/>
        <v>#N/A</v>
      </c>
      <c r="CP33" s="7" t="e">
        <f t="shared" ca="1" si="110"/>
        <v>#N/A</v>
      </c>
      <c r="CQ33" s="7" t="e">
        <f t="shared" ca="1" si="110"/>
        <v>#N/A</v>
      </c>
      <c r="CR33" s="7" t="e">
        <f t="shared" ref="CR33:CY33" ca="1" si="118">IF($A$1=FALSE,"-",CR7-OFFSET($A58,0,CR$28))</f>
        <v>#N/A</v>
      </c>
      <c r="CS33" s="7" t="e">
        <f t="shared" ca="1" si="118"/>
        <v>#N/A</v>
      </c>
      <c r="CT33" s="7" t="e">
        <f t="shared" ca="1" si="118"/>
        <v>#N/A</v>
      </c>
      <c r="CU33" s="7" t="e">
        <f t="shared" ca="1" si="118"/>
        <v>#N/A</v>
      </c>
      <c r="CV33" s="7" t="e">
        <f t="shared" ca="1" si="118"/>
        <v>#N/A</v>
      </c>
      <c r="CW33" s="7" t="e">
        <f t="shared" ca="1" si="118"/>
        <v>#N/A</v>
      </c>
      <c r="CX33" s="7" t="e">
        <f t="shared" ca="1" si="118"/>
        <v>#N/A</v>
      </c>
      <c r="CY33" s="7" t="e">
        <f t="shared" ca="1" si="118"/>
        <v>#N/A</v>
      </c>
    </row>
    <row r="34" spans="2:103" x14ac:dyDescent="0.15">
      <c r="B34" s="7">
        <f t="shared" ca="1" si="108"/>
        <v>0</v>
      </c>
      <c r="C34" s="7">
        <f t="shared" ca="1" si="108"/>
        <v>0</v>
      </c>
      <c r="D34" s="7">
        <f t="shared" ca="1" si="108"/>
        <v>0</v>
      </c>
      <c r="E34" s="7">
        <f t="shared" ca="1" si="108"/>
        <v>0</v>
      </c>
      <c r="F34" s="7">
        <f t="shared" ca="1" si="108"/>
        <v>0</v>
      </c>
      <c r="G34" s="7">
        <f t="shared" ca="1" si="108"/>
        <v>0</v>
      </c>
      <c r="H34" s="7">
        <f t="shared" ca="1" si="108"/>
        <v>0</v>
      </c>
      <c r="I34" s="7" t="e">
        <f t="shared" ca="1" si="108"/>
        <v>#N/A</v>
      </c>
      <c r="J34" s="7" t="e">
        <f t="shared" ca="1" si="108"/>
        <v>#N/A</v>
      </c>
      <c r="K34" s="7" t="e">
        <f t="shared" ca="1" si="108"/>
        <v>#N/A</v>
      </c>
      <c r="L34" s="7" t="e">
        <f t="shared" ca="1" si="112"/>
        <v>#N/A</v>
      </c>
      <c r="M34" s="7">
        <f t="shared" ca="1" si="117"/>
        <v>0</v>
      </c>
      <c r="N34" s="7">
        <f t="shared" ca="1" si="117"/>
        <v>0</v>
      </c>
      <c r="O34" s="7" t="e">
        <f t="shared" ca="1" si="117"/>
        <v>#N/A</v>
      </c>
      <c r="P34" s="7" t="e">
        <f t="shared" ca="1" si="117"/>
        <v>#N/A</v>
      </c>
      <c r="Q34" s="7">
        <f t="shared" ca="1" si="117"/>
        <v>0</v>
      </c>
      <c r="R34" s="7">
        <f t="shared" ca="1" si="117"/>
        <v>0</v>
      </c>
      <c r="S34" s="7">
        <f t="shared" ca="1" si="117"/>
        <v>0</v>
      </c>
      <c r="T34" s="7">
        <f t="shared" ca="1" si="117"/>
        <v>0</v>
      </c>
      <c r="U34" s="7">
        <f t="shared" ca="1" si="117"/>
        <v>0</v>
      </c>
      <c r="V34" s="7">
        <f t="shared" ca="1" si="117"/>
        <v>0</v>
      </c>
      <c r="W34" s="7">
        <f t="shared" ca="1" si="117"/>
        <v>0</v>
      </c>
      <c r="X34" s="7">
        <f t="shared" ca="1" si="117"/>
        <v>0</v>
      </c>
      <c r="Y34" s="7">
        <f t="shared" ca="1" si="117"/>
        <v>0</v>
      </c>
      <c r="Z34" s="7">
        <f t="shared" ca="1" si="117"/>
        <v>0</v>
      </c>
      <c r="AA34" s="7">
        <f t="shared" ca="1" si="117"/>
        <v>0</v>
      </c>
      <c r="AB34" s="7">
        <f t="shared" ca="1" si="117"/>
        <v>0</v>
      </c>
      <c r="AC34" s="7">
        <f t="shared" ca="1" si="117"/>
        <v>0</v>
      </c>
      <c r="AD34" s="7">
        <f t="shared" ca="1" si="117"/>
        <v>0</v>
      </c>
      <c r="AE34" s="7">
        <f t="shared" ca="1" si="117"/>
        <v>0</v>
      </c>
      <c r="AF34" s="7">
        <f t="shared" ca="1" si="117"/>
        <v>0</v>
      </c>
      <c r="AG34" s="7">
        <f t="shared" ca="1" si="117"/>
        <v>0</v>
      </c>
      <c r="AH34" s="7">
        <f t="shared" ca="1" si="117"/>
        <v>0</v>
      </c>
      <c r="AI34" s="7">
        <f t="shared" ca="1" si="117"/>
        <v>0</v>
      </c>
      <c r="AJ34" s="7">
        <f t="shared" ca="1" si="117"/>
        <v>0</v>
      </c>
      <c r="AK34" s="7">
        <f t="shared" ca="1" si="117"/>
        <v>0</v>
      </c>
      <c r="AL34" s="7">
        <f t="shared" ca="1" si="117"/>
        <v>0</v>
      </c>
      <c r="AM34" s="7">
        <f t="shared" ca="1" si="117"/>
        <v>0</v>
      </c>
      <c r="AN34" s="7">
        <f t="shared" ca="1" si="117"/>
        <v>0</v>
      </c>
      <c r="AO34" s="7">
        <f t="shared" ca="1" si="117"/>
        <v>0</v>
      </c>
      <c r="AP34" s="7">
        <f t="shared" ca="1" si="117"/>
        <v>0</v>
      </c>
      <c r="AQ34" s="7">
        <f t="shared" ca="1" si="117"/>
        <v>0</v>
      </c>
      <c r="AR34" s="7">
        <f t="shared" ca="1" si="117"/>
        <v>0</v>
      </c>
      <c r="AS34" s="7">
        <f t="shared" ca="1" si="117"/>
        <v>0</v>
      </c>
      <c r="AT34" s="7">
        <f t="shared" ca="1" si="117"/>
        <v>0</v>
      </c>
      <c r="AU34" s="7">
        <f t="shared" ca="1" si="117"/>
        <v>0</v>
      </c>
      <c r="AV34" s="7">
        <f t="shared" ca="1" si="117"/>
        <v>0</v>
      </c>
      <c r="AW34" s="7">
        <f t="shared" ca="1" si="117"/>
        <v>0</v>
      </c>
      <c r="AX34" s="7">
        <f t="shared" ca="1" si="117"/>
        <v>0</v>
      </c>
      <c r="AY34" s="7">
        <f t="shared" ca="1" si="117"/>
        <v>0</v>
      </c>
      <c r="AZ34" s="7">
        <f t="shared" ca="1" si="117"/>
        <v>0</v>
      </c>
      <c r="BA34" s="7" t="e">
        <f t="shared" ca="1" si="117"/>
        <v>#VALUE!</v>
      </c>
      <c r="BB34" s="7" t="e">
        <f t="shared" ca="1" si="117"/>
        <v>#VALUE!</v>
      </c>
      <c r="BC34" s="7">
        <f t="shared" ca="1" si="117"/>
        <v>0</v>
      </c>
      <c r="BD34" s="7">
        <f t="shared" ca="1" si="117"/>
        <v>0</v>
      </c>
      <c r="BE34" s="7">
        <f t="shared" ca="1" si="117"/>
        <v>0</v>
      </c>
      <c r="BF34" s="7">
        <f t="shared" ca="1" si="117"/>
        <v>0</v>
      </c>
      <c r="BG34" s="7">
        <f t="shared" ca="1" si="117"/>
        <v>0</v>
      </c>
      <c r="BH34" s="7">
        <f t="shared" ca="1" si="117"/>
        <v>0</v>
      </c>
      <c r="BI34" s="7">
        <f t="shared" ca="1" si="117"/>
        <v>0</v>
      </c>
      <c r="BJ34" s="7">
        <f t="shared" ca="1" si="117"/>
        <v>0</v>
      </c>
      <c r="BK34" s="7">
        <f t="shared" ca="1" si="117"/>
        <v>0</v>
      </c>
      <c r="BL34" s="7">
        <f t="shared" ca="1" si="117"/>
        <v>0</v>
      </c>
      <c r="BM34" s="7">
        <f t="shared" ca="1" si="117"/>
        <v>0</v>
      </c>
      <c r="BN34" s="7">
        <f t="shared" ca="1" si="117"/>
        <v>0</v>
      </c>
      <c r="BO34" s="7">
        <f t="shared" ca="1" si="117"/>
        <v>0</v>
      </c>
      <c r="BP34" s="7">
        <f t="shared" ca="1" si="117"/>
        <v>0</v>
      </c>
      <c r="BQ34" s="7">
        <f t="shared" ca="1" si="117"/>
        <v>0</v>
      </c>
      <c r="BR34" s="7">
        <f t="shared" ca="1" si="117"/>
        <v>0</v>
      </c>
      <c r="BS34" s="7">
        <f t="shared" ca="1" si="117"/>
        <v>0</v>
      </c>
      <c r="BT34" s="7">
        <f t="shared" ca="1" si="117"/>
        <v>0</v>
      </c>
      <c r="BU34" s="7">
        <f t="shared" ca="1" si="117"/>
        <v>0</v>
      </c>
      <c r="BV34" s="7">
        <f t="shared" ca="1" si="117"/>
        <v>0</v>
      </c>
      <c r="BW34" s="7">
        <f t="shared" ca="1" si="117"/>
        <v>0</v>
      </c>
      <c r="BX34" s="7">
        <f t="shared" ca="1" si="117"/>
        <v>0</v>
      </c>
      <c r="BY34" s="7">
        <f t="shared" ca="1" si="110"/>
        <v>0</v>
      </c>
      <c r="BZ34" s="7">
        <f t="shared" ca="1" si="110"/>
        <v>0</v>
      </c>
      <c r="CA34" s="7">
        <f t="shared" ca="1" si="110"/>
        <v>0</v>
      </c>
      <c r="CB34" s="7">
        <f t="shared" ca="1" si="110"/>
        <v>0</v>
      </c>
      <c r="CC34" s="7">
        <f t="shared" ca="1" si="110"/>
        <v>0</v>
      </c>
      <c r="CD34" s="7">
        <f t="shared" ca="1" si="110"/>
        <v>0</v>
      </c>
      <c r="CE34" s="7">
        <f t="shared" ca="1" si="110"/>
        <v>1.7763568394002505E-15</v>
      </c>
      <c r="CF34" s="7">
        <f t="shared" ca="1" si="110"/>
        <v>0</v>
      </c>
      <c r="CG34" s="7">
        <f t="shared" ca="1" si="110"/>
        <v>0</v>
      </c>
      <c r="CH34" s="7">
        <f t="shared" ca="1" si="110"/>
        <v>0</v>
      </c>
      <c r="CI34" s="7">
        <f t="shared" ca="1" si="110"/>
        <v>0</v>
      </c>
      <c r="CJ34" s="7">
        <f t="shared" ca="1" si="110"/>
        <v>0</v>
      </c>
      <c r="CK34" s="7">
        <f t="shared" ca="1" si="110"/>
        <v>0</v>
      </c>
      <c r="CL34" s="7">
        <f t="shared" ca="1" si="110"/>
        <v>0</v>
      </c>
      <c r="CM34" s="7" t="e">
        <f t="shared" ca="1" si="110"/>
        <v>#VALUE!</v>
      </c>
      <c r="CN34" s="7" t="e">
        <f t="shared" ca="1" si="110"/>
        <v>#VALUE!</v>
      </c>
      <c r="CO34" s="7" t="e">
        <f t="shared" ca="1" si="110"/>
        <v>#N/A</v>
      </c>
      <c r="CP34" s="7" t="e">
        <f t="shared" ca="1" si="110"/>
        <v>#N/A</v>
      </c>
      <c r="CQ34" s="7" t="e">
        <f t="shared" ca="1" si="110"/>
        <v>#N/A</v>
      </c>
      <c r="CR34" s="7" t="e">
        <f t="shared" ref="CR34:CY34" ca="1" si="119">IF($A$1=FALSE,"-",CR8-OFFSET($A59,0,CR$28))</f>
        <v>#N/A</v>
      </c>
      <c r="CS34" s="7" t="e">
        <f t="shared" ca="1" si="119"/>
        <v>#N/A</v>
      </c>
      <c r="CT34" s="7" t="e">
        <f t="shared" ca="1" si="119"/>
        <v>#N/A</v>
      </c>
      <c r="CU34" s="7" t="e">
        <f t="shared" ca="1" si="119"/>
        <v>#N/A</v>
      </c>
      <c r="CV34" s="7" t="e">
        <f t="shared" ca="1" si="119"/>
        <v>#N/A</v>
      </c>
      <c r="CW34" s="7" t="e">
        <f t="shared" ca="1" si="119"/>
        <v>#N/A</v>
      </c>
      <c r="CX34" s="7" t="e">
        <f t="shared" ca="1" si="119"/>
        <v>#N/A</v>
      </c>
      <c r="CY34" s="7" t="e">
        <f t="shared" ca="1" si="119"/>
        <v>#N/A</v>
      </c>
    </row>
    <row r="35" spans="2:103" x14ac:dyDescent="0.15">
      <c r="B35" s="7">
        <f t="shared" ca="1" si="108"/>
        <v>0</v>
      </c>
      <c r="C35" s="7">
        <f t="shared" ca="1" si="108"/>
        <v>0</v>
      </c>
      <c r="D35" s="7">
        <f t="shared" ca="1" si="108"/>
        <v>0</v>
      </c>
      <c r="E35" s="7">
        <f t="shared" ca="1" si="108"/>
        <v>0</v>
      </c>
      <c r="F35" s="7">
        <f t="shared" ca="1" si="108"/>
        <v>0</v>
      </c>
      <c r="G35" s="7">
        <f t="shared" ca="1" si="108"/>
        <v>0</v>
      </c>
      <c r="H35" s="7">
        <f t="shared" ca="1" si="108"/>
        <v>0</v>
      </c>
      <c r="I35" s="7" t="e">
        <f t="shared" ca="1" si="108"/>
        <v>#N/A</v>
      </c>
      <c r="J35" s="7" t="e">
        <f t="shared" ca="1" si="108"/>
        <v>#N/A</v>
      </c>
      <c r="K35" s="7" t="e">
        <f t="shared" ca="1" si="108"/>
        <v>#N/A</v>
      </c>
      <c r="L35" s="7" t="e">
        <f t="shared" ca="1" si="112"/>
        <v>#N/A</v>
      </c>
      <c r="M35" s="7">
        <f t="shared" ca="1" si="117"/>
        <v>0</v>
      </c>
      <c r="N35" s="7">
        <f t="shared" ca="1" si="117"/>
        <v>0</v>
      </c>
      <c r="O35" s="7" t="e">
        <f t="shared" ca="1" si="117"/>
        <v>#N/A</v>
      </c>
      <c r="P35" s="7" t="e">
        <f t="shared" ca="1" si="117"/>
        <v>#N/A</v>
      </c>
      <c r="Q35" s="7">
        <f t="shared" ca="1" si="117"/>
        <v>0</v>
      </c>
      <c r="R35" s="7">
        <f t="shared" ca="1" si="117"/>
        <v>0</v>
      </c>
      <c r="S35" s="7">
        <f t="shared" ca="1" si="117"/>
        <v>0</v>
      </c>
      <c r="T35" s="7">
        <f t="shared" ca="1" si="117"/>
        <v>0</v>
      </c>
      <c r="U35" s="7">
        <f t="shared" ca="1" si="117"/>
        <v>0</v>
      </c>
      <c r="V35" s="7">
        <f t="shared" ca="1" si="117"/>
        <v>0</v>
      </c>
      <c r="W35" s="7">
        <f t="shared" ca="1" si="117"/>
        <v>0</v>
      </c>
      <c r="X35" s="7">
        <f t="shared" ca="1" si="117"/>
        <v>0</v>
      </c>
      <c r="Y35" s="7">
        <f t="shared" ca="1" si="117"/>
        <v>0</v>
      </c>
      <c r="Z35" s="7">
        <f t="shared" ca="1" si="117"/>
        <v>0</v>
      </c>
      <c r="AA35" s="7">
        <f t="shared" ca="1" si="117"/>
        <v>0</v>
      </c>
      <c r="AB35" s="7">
        <f t="shared" ca="1" si="117"/>
        <v>0</v>
      </c>
      <c r="AC35" s="7">
        <f t="shared" ca="1" si="117"/>
        <v>0</v>
      </c>
      <c r="AD35" s="7">
        <f t="shared" ca="1" si="117"/>
        <v>0</v>
      </c>
      <c r="AE35" s="7">
        <f t="shared" ca="1" si="117"/>
        <v>0</v>
      </c>
      <c r="AF35" s="7">
        <f t="shared" ca="1" si="117"/>
        <v>0</v>
      </c>
      <c r="AG35" s="7">
        <f t="shared" ca="1" si="117"/>
        <v>0</v>
      </c>
      <c r="AH35" s="7">
        <f t="shared" ca="1" si="117"/>
        <v>0</v>
      </c>
      <c r="AI35" s="7">
        <f t="shared" ca="1" si="117"/>
        <v>0</v>
      </c>
      <c r="AJ35" s="7">
        <f t="shared" ca="1" si="117"/>
        <v>0</v>
      </c>
      <c r="AK35" s="7">
        <f t="shared" ca="1" si="117"/>
        <v>0</v>
      </c>
      <c r="AL35" s="7">
        <f t="shared" ca="1" si="117"/>
        <v>0</v>
      </c>
      <c r="AM35" s="7">
        <f t="shared" ca="1" si="117"/>
        <v>0</v>
      </c>
      <c r="AN35" s="7">
        <f t="shared" ca="1" si="117"/>
        <v>0</v>
      </c>
      <c r="AO35" s="7">
        <f t="shared" ca="1" si="117"/>
        <v>0</v>
      </c>
      <c r="AP35" s="7">
        <f t="shared" ca="1" si="117"/>
        <v>0</v>
      </c>
      <c r="AQ35" s="7">
        <f t="shared" ca="1" si="117"/>
        <v>0</v>
      </c>
      <c r="AR35" s="7">
        <f t="shared" ca="1" si="117"/>
        <v>0</v>
      </c>
      <c r="AS35" s="7">
        <f t="shared" ca="1" si="117"/>
        <v>0</v>
      </c>
      <c r="AT35" s="7">
        <f t="shared" ca="1" si="117"/>
        <v>0</v>
      </c>
      <c r="AU35" s="7">
        <f t="shared" ca="1" si="117"/>
        <v>0</v>
      </c>
      <c r="AV35" s="7">
        <f t="shared" ca="1" si="117"/>
        <v>0</v>
      </c>
      <c r="AW35" s="7">
        <f t="shared" ca="1" si="117"/>
        <v>0</v>
      </c>
      <c r="AX35" s="7">
        <f t="shared" ca="1" si="117"/>
        <v>0</v>
      </c>
      <c r="AY35" s="7">
        <f t="shared" ca="1" si="117"/>
        <v>0</v>
      </c>
      <c r="AZ35" s="7">
        <f t="shared" ca="1" si="117"/>
        <v>0</v>
      </c>
      <c r="BA35" s="7" t="e">
        <f t="shared" ca="1" si="117"/>
        <v>#VALUE!</v>
      </c>
      <c r="BB35" s="7" t="e">
        <f t="shared" ca="1" si="117"/>
        <v>#VALUE!</v>
      </c>
      <c r="BC35" s="7">
        <f t="shared" ca="1" si="117"/>
        <v>0</v>
      </c>
      <c r="BD35" s="7">
        <f t="shared" ca="1" si="117"/>
        <v>0</v>
      </c>
      <c r="BE35" s="7">
        <f t="shared" ca="1" si="117"/>
        <v>0</v>
      </c>
      <c r="BF35" s="7">
        <f t="shared" ca="1" si="117"/>
        <v>0</v>
      </c>
      <c r="BG35" s="7">
        <f t="shared" ca="1" si="117"/>
        <v>0</v>
      </c>
      <c r="BH35" s="7">
        <f t="shared" ca="1" si="117"/>
        <v>0</v>
      </c>
      <c r="BI35" s="7">
        <f t="shared" ca="1" si="117"/>
        <v>0</v>
      </c>
      <c r="BJ35" s="7">
        <f t="shared" ca="1" si="117"/>
        <v>0</v>
      </c>
      <c r="BK35" s="7">
        <f t="shared" ca="1" si="117"/>
        <v>0</v>
      </c>
      <c r="BL35" s="7">
        <f t="shared" ca="1" si="117"/>
        <v>0</v>
      </c>
      <c r="BM35" s="7">
        <f t="shared" ca="1" si="117"/>
        <v>0</v>
      </c>
      <c r="BN35" s="7">
        <f t="shared" ca="1" si="117"/>
        <v>0</v>
      </c>
      <c r="BO35" s="7">
        <f t="shared" ca="1" si="117"/>
        <v>0</v>
      </c>
      <c r="BP35" s="7">
        <f t="shared" ca="1" si="117"/>
        <v>0</v>
      </c>
      <c r="BQ35" s="7">
        <f t="shared" ca="1" si="117"/>
        <v>0</v>
      </c>
      <c r="BR35" s="7">
        <f t="shared" ca="1" si="117"/>
        <v>0</v>
      </c>
      <c r="BS35" s="7">
        <f t="shared" ca="1" si="117"/>
        <v>0</v>
      </c>
      <c r="BT35" s="7">
        <f t="shared" ca="1" si="117"/>
        <v>0</v>
      </c>
      <c r="BU35" s="7">
        <f t="shared" ca="1" si="117"/>
        <v>0</v>
      </c>
      <c r="BV35" s="7">
        <f t="shared" ca="1" si="117"/>
        <v>0</v>
      </c>
      <c r="BW35" s="7">
        <f t="shared" ca="1" si="117"/>
        <v>0</v>
      </c>
      <c r="BX35" s="7">
        <f t="shared" ca="1" si="117"/>
        <v>0</v>
      </c>
      <c r="BY35" s="7">
        <f t="shared" ca="1" si="110"/>
        <v>0</v>
      </c>
      <c r="BZ35" s="7">
        <f t="shared" ca="1" si="110"/>
        <v>0</v>
      </c>
      <c r="CA35" s="7">
        <f t="shared" ca="1" si="110"/>
        <v>0</v>
      </c>
      <c r="CB35" s="7">
        <f t="shared" ca="1" si="110"/>
        <v>0</v>
      </c>
      <c r="CC35" s="7">
        <f t="shared" ca="1" si="110"/>
        <v>0</v>
      </c>
      <c r="CD35" s="7">
        <f t="shared" ca="1" si="110"/>
        <v>0</v>
      </c>
      <c r="CE35" s="7">
        <f t="shared" ca="1" si="110"/>
        <v>0</v>
      </c>
      <c r="CF35" s="7">
        <f t="shared" ca="1" si="110"/>
        <v>0</v>
      </c>
      <c r="CG35" s="7">
        <f t="shared" ca="1" si="110"/>
        <v>0</v>
      </c>
      <c r="CH35" s="7">
        <f t="shared" ca="1" si="110"/>
        <v>-1.7763568394002505E-15</v>
      </c>
      <c r="CI35" s="7">
        <f t="shared" ca="1" si="110"/>
        <v>5.5511151231257827E-17</v>
      </c>
      <c r="CJ35" s="7">
        <f t="shared" ca="1" si="110"/>
        <v>0</v>
      </c>
      <c r="CK35" s="7">
        <f t="shared" ca="1" si="110"/>
        <v>0</v>
      </c>
      <c r="CL35" s="7">
        <f t="shared" ca="1" si="110"/>
        <v>0</v>
      </c>
      <c r="CM35" s="7">
        <f t="shared" ca="1" si="110"/>
        <v>0</v>
      </c>
      <c r="CN35" s="7">
        <f t="shared" ca="1" si="110"/>
        <v>0</v>
      </c>
      <c r="CO35" s="7" t="e">
        <f t="shared" ca="1" si="110"/>
        <v>#N/A</v>
      </c>
      <c r="CP35" s="7" t="e">
        <f t="shared" ca="1" si="110"/>
        <v>#N/A</v>
      </c>
      <c r="CQ35" s="7" t="e">
        <f t="shared" ca="1" si="110"/>
        <v>#N/A</v>
      </c>
      <c r="CR35" s="7" t="e">
        <f t="shared" ref="CR35:CY35" ca="1" si="120">IF($A$1=FALSE,"-",CR9-OFFSET($A60,0,CR$28))</f>
        <v>#N/A</v>
      </c>
      <c r="CS35" s="7" t="e">
        <f t="shared" ca="1" si="120"/>
        <v>#N/A</v>
      </c>
      <c r="CT35" s="7" t="e">
        <f t="shared" ca="1" si="120"/>
        <v>#N/A</v>
      </c>
      <c r="CU35" s="7" t="e">
        <f t="shared" ca="1" si="120"/>
        <v>#N/A</v>
      </c>
      <c r="CV35" s="7" t="e">
        <f t="shared" ca="1" si="120"/>
        <v>#N/A</v>
      </c>
      <c r="CW35" s="7" t="e">
        <f t="shared" ca="1" si="120"/>
        <v>#N/A</v>
      </c>
      <c r="CX35" s="7" t="e">
        <f t="shared" ca="1" si="120"/>
        <v>#N/A</v>
      </c>
      <c r="CY35" s="7" t="e">
        <f t="shared" ca="1" si="120"/>
        <v>#N/A</v>
      </c>
    </row>
    <row r="36" spans="2:103" x14ac:dyDescent="0.15">
      <c r="B36" s="7">
        <f t="shared" ca="1" si="108"/>
        <v>0</v>
      </c>
      <c r="C36" s="7">
        <f t="shared" ca="1" si="108"/>
        <v>0</v>
      </c>
      <c r="D36" s="7">
        <f t="shared" ca="1" si="108"/>
        <v>0</v>
      </c>
      <c r="E36" s="7">
        <f t="shared" ca="1" si="108"/>
        <v>0</v>
      </c>
      <c r="F36" s="7">
        <f t="shared" ca="1" si="108"/>
        <v>0</v>
      </c>
      <c r="G36" s="7">
        <f t="shared" ca="1" si="108"/>
        <v>0</v>
      </c>
      <c r="H36" s="7">
        <f t="shared" ca="1" si="108"/>
        <v>0</v>
      </c>
      <c r="I36" s="7" t="e">
        <f t="shared" ca="1" si="108"/>
        <v>#N/A</v>
      </c>
      <c r="J36" s="7" t="e">
        <f t="shared" ca="1" si="108"/>
        <v>#N/A</v>
      </c>
      <c r="K36" s="7" t="e">
        <f t="shared" ca="1" si="108"/>
        <v>#N/A</v>
      </c>
      <c r="L36" s="7" t="e">
        <f t="shared" ca="1" si="112"/>
        <v>#N/A</v>
      </c>
      <c r="M36" s="7">
        <f t="shared" ca="1" si="117"/>
        <v>0</v>
      </c>
      <c r="N36" s="7">
        <f t="shared" ca="1" si="117"/>
        <v>0</v>
      </c>
      <c r="O36" s="7" t="e">
        <f t="shared" ca="1" si="117"/>
        <v>#N/A</v>
      </c>
      <c r="P36" s="7" t="e">
        <f t="shared" ca="1" si="117"/>
        <v>#N/A</v>
      </c>
      <c r="Q36" s="7">
        <f t="shared" ca="1" si="117"/>
        <v>0</v>
      </c>
      <c r="R36" s="7">
        <f t="shared" ca="1" si="117"/>
        <v>0</v>
      </c>
      <c r="S36" s="7">
        <f t="shared" ca="1" si="117"/>
        <v>0</v>
      </c>
      <c r="T36" s="7">
        <f t="shared" ca="1" si="117"/>
        <v>0</v>
      </c>
      <c r="U36" s="7">
        <f t="shared" ca="1" si="117"/>
        <v>0</v>
      </c>
      <c r="V36" s="7">
        <f t="shared" ca="1" si="117"/>
        <v>0</v>
      </c>
      <c r="W36" s="7">
        <f t="shared" ca="1" si="117"/>
        <v>0</v>
      </c>
      <c r="X36" s="7">
        <f t="shared" ca="1" si="117"/>
        <v>0</v>
      </c>
      <c r="Y36" s="7">
        <f t="shared" ca="1" si="117"/>
        <v>0</v>
      </c>
      <c r="Z36" s="7">
        <f t="shared" ca="1" si="117"/>
        <v>0</v>
      </c>
      <c r="AA36" s="7">
        <f t="shared" ca="1" si="117"/>
        <v>0</v>
      </c>
      <c r="AB36" s="7">
        <f t="shared" ca="1" si="117"/>
        <v>0</v>
      </c>
      <c r="AC36" s="7">
        <f t="shared" ca="1" si="117"/>
        <v>0</v>
      </c>
      <c r="AD36" s="7">
        <f t="shared" ca="1" si="117"/>
        <v>0</v>
      </c>
      <c r="AE36" s="7">
        <f t="shared" ca="1" si="117"/>
        <v>0</v>
      </c>
      <c r="AF36" s="7">
        <f t="shared" ca="1" si="117"/>
        <v>0</v>
      </c>
      <c r="AG36" s="7">
        <f t="shared" ca="1" si="117"/>
        <v>0</v>
      </c>
      <c r="AH36" s="7">
        <f t="shared" ca="1" si="117"/>
        <v>0</v>
      </c>
      <c r="AI36" s="7">
        <f t="shared" ca="1" si="117"/>
        <v>0</v>
      </c>
      <c r="AJ36" s="7">
        <f t="shared" ca="1" si="117"/>
        <v>0</v>
      </c>
      <c r="AK36" s="7">
        <f t="shared" ca="1" si="117"/>
        <v>0</v>
      </c>
      <c r="AL36" s="7">
        <f t="shared" ca="1" si="117"/>
        <v>0</v>
      </c>
      <c r="AM36" s="7">
        <f t="shared" ca="1" si="117"/>
        <v>0</v>
      </c>
      <c r="AN36" s="7">
        <f t="shared" ca="1" si="117"/>
        <v>0</v>
      </c>
      <c r="AO36" s="7">
        <f t="shared" ca="1" si="117"/>
        <v>0</v>
      </c>
      <c r="AP36" s="7">
        <f t="shared" ca="1" si="117"/>
        <v>0</v>
      </c>
      <c r="AQ36" s="7">
        <f t="shared" ca="1" si="117"/>
        <v>0</v>
      </c>
      <c r="AR36" s="7">
        <f t="shared" ca="1" si="117"/>
        <v>0</v>
      </c>
      <c r="AS36" s="7">
        <f t="shared" ca="1" si="117"/>
        <v>0</v>
      </c>
      <c r="AT36" s="7">
        <f t="shared" ca="1" si="117"/>
        <v>0</v>
      </c>
      <c r="AU36" s="7">
        <f t="shared" ca="1" si="117"/>
        <v>0</v>
      </c>
      <c r="AV36" s="7">
        <f t="shared" ca="1" si="117"/>
        <v>0</v>
      </c>
      <c r="AW36" s="7">
        <f t="shared" ca="1" si="117"/>
        <v>0</v>
      </c>
      <c r="AX36" s="7">
        <f t="shared" ca="1" si="117"/>
        <v>0</v>
      </c>
      <c r="AY36" s="7">
        <f t="shared" ca="1" si="117"/>
        <v>0</v>
      </c>
      <c r="AZ36" s="7">
        <f t="shared" ca="1" si="117"/>
        <v>0</v>
      </c>
      <c r="BA36" s="7" t="e">
        <f t="shared" ca="1" si="117"/>
        <v>#VALUE!</v>
      </c>
      <c r="BB36" s="7" t="e">
        <f t="shared" ca="1" si="117"/>
        <v>#VALUE!</v>
      </c>
      <c r="BC36" s="7">
        <f t="shared" ca="1" si="117"/>
        <v>0</v>
      </c>
      <c r="BD36" s="7">
        <f t="shared" ca="1" si="117"/>
        <v>0</v>
      </c>
      <c r="BE36" s="7">
        <f t="shared" ca="1" si="117"/>
        <v>0</v>
      </c>
      <c r="BF36" s="7">
        <f t="shared" ca="1" si="117"/>
        <v>0</v>
      </c>
      <c r="BG36" s="7">
        <f t="shared" ca="1" si="117"/>
        <v>0</v>
      </c>
      <c r="BH36" s="7">
        <f t="shared" ca="1" si="117"/>
        <v>0</v>
      </c>
      <c r="BI36" s="7">
        <f t="shared" ca="1" si="117"/>
        <v>0</v>
      </c>
      <c r="BJ36" s="7">
        <f t="shared" ca="1" si="117"/>
        <v>0</v>
      </c>
      <c r="BK36" s="7">
        <f t="shared" ca="1" si="117"/>
        <v>0</v>
      </c>
      <c r="BL36" s="7">
        <f t="shared" ca="1" si="117"/>
        <v>0</v>
      </c>
      <c r="BM36" s="7">
        <f t="shared" ca="1" si="117"/>
        <v>0</v>
      </c>
      <c r="BN36" s="7">
        <f t="shared" ca="1" si="117"/>
        <v>0</v>
      </c>
      <c r="BO36" s="7">
        <f t="shared" ca="1" si="117"/>
        <v>0</v>
      </c>
      <c r="BP36" s="7">
        <f t="shared" ca="1" si="117"/>
        <v>0</v>
      </c>
      <c r="BQ36" s="7">
        <f t="shared" ca="1" si="117"/>
        <v>0</v>
      </c>
      <c r="BR36" s="7">
        <f t="shared" ca="1" si="117"/>
        <v>0</v>
      </c>
      <c r="BS36" s="7">
        <f t="shared" ca="1" si="117"/>
        <v>0</v>
      </c>
      <c r="BT36" s="7">
        <f t="shared" ca="1" si="117"/>
        <v>0</v>
      </c>
      <c r="BU36" s="7">
        <f t="shared" ca="1" si="117"/>
        <v>0</v>
      </c>
      <c r="BV36" s="7">
        <f t="shared" ca="1" si="117"/>
        <v>0</v>
      </c>
      <c r="BW36" s="7">
        <f t="shared" ca="1" si="117"/>
        <v>0</v>
      </c>
      <c r="BX36" s="7">
        <f t="shared" ref="BX36" ca="1" si="121">IF($A$1=FALSE,"-",BX10-OFFSET($A61,0,BX$28))</f>
        <v>0</v>
      </c>
      <c r="BY36" s="7">
        <f t="shared" ca="1" si="110"/>
        <v>0</v>
      </c>
      <c r="BZ36" s="7">
        <f t="shared" ca="1" si="110"/>
        <v>0</v>
      </c>
      <c r="CA36" s="7">
        <f t="shared" ca="1" si="110"/>
        <v>-8.8817841970012523E-16</v>
      </c>
      <c r="CB36" s="7">
        <f t="shared" ca="1" si="110"/>
        <v>0</v>
      </c>
      <c r="CC36" s="7">
        <f t="shared" ca="1" si="110"/>
        <v>0</v>
      </c>
      <c r="CD36" s="7">
        <f t="shared" ca="1" si="110"/>
        <v>0</v>
      </c>
      <c r="CE36" s="7">
        <f t="shared" ca="1" si="110"/>
        <v>0</v>
      </c>
      <c r="CF36" s="7">
        <f t="shared" ca="1" si="110"/>
        <v>4.4408920985006262E-16</v>
      </c>
      <c r="CG36" s="7">
        <f t="shared" ca="1" si="110"/>
        <v>0</v>
      </c>
      <c r="CH36" s="7">
        <f t="shared" ca="1" si="110"/>
        <v>0</v>
      </c>
      <c r="CI36" s="7">
        <f t="shared" ca="1" si="110"/>
        <v>0</v>
      </c>
      <c r="CJ36" s="7">
        <f t="shared" ca="1" si="110"/>
        <v>-4.4408920985006262E-16</v>
      </c>
      <c r="CK36" s="7">
        <f t="shared" ca="1" si="110"/>
        <v>0</v>
      </c>
      <c r="CL36" s="7">
        <f t="shared" ca="1" si="110"/>
        <v>0</v>
      </c>
      <c r="CM36" s="7">
        <f t="shared" ca="1" si="110"/>
        <v>0</v>
      </c>
      <c r="CN36" s="7">
        <f t="shared" ca="1" si="110"/>
        <v>0</v>
      </c>
      <c r="CO36" s="7" t="e">
        <f t="shared" ca="1" si="110"/>
        <v>#N/A</v>
      </c>
      <c r="CP36" s="7" t="e">
        <f t="shared" ca="1" si="110"/>
        <v>#N/A</v>
      </c>
      <c r="CQ36" s="7" t="e">
        <f t="shared" ca="1" si="110"/>
        <v>#N/A</v>
      </c>
      <c r="CR36" s="7" t="e">
        <f t="shared" ref="CR36:CY36" ca="1" si="122">IF($A$1=FALSE,"-",CR10-OFFSET($A61,0,CR$28))</f>
        <v>#N/A</v>
      </c>
      <c r="CS36" s="7" t="e">
        <f t="shared" ca="1" si="122"/>
        <v>#N/A</v>
      </c>
      <c r="CT36" s="7" t="e">
        <f t="shared" ca="1" si="122"/>
        <v>#N/A</v>
      </c>
      <c r="CU36" s="7" t="e">
        <f t="shared" ca="1" si="122"/>
        <v>#N/A</v>
      </c>
      <c r="CV36" s="7" t="e">
        <f t="shared" ca="1" si="122"/>
        <v>#N/A</v>
      </c>
      <c r="CW36" s="7" t="e">
        <f t="shared" ca="1" si="122"/>
        <v>#N/A</v>
      </c>
      <c r="CX36" s="7" t="e">
        <f t="shared" ca="1" si="122"/>
        <v>#N/A</v>
      </c>
      <c r="CY36" s="7" t="e">
        <f t="shared" ca="1" si="122"/>
        <v>#N/A</v>
      </c>
    </row>
    <row r="37" spans="2:103" x14ac:dyDescent="0.15">
      <c r="B37" s="7">
        <f t="shared" ca="1" si="108"/>
        <v>0</v>
      </c>
      <c r="C37" s="7">
        <f t="shared" ca="1" si="108"/>
        <v>0</v>
      </c>
      <c r="D37" s="7">
        <f t="shared" ca="1" si="108"/>
        <v>0</v>
      </c>
      <c r="E37" s="7">
        <f t="shared" ca="1" si="108"/>
        <v>0</v>
      </c>
      <c r="F37" s="7">
        <f t="shared" ca="1" si="108"/>
        <v>0</v>
      </c>
      <c r="G37" s="7">
        <f t="shared" ca="1" si="108"/>
        <v>0</v>
      </c>
      <c r="H37" s="7">
        <f t="shared" ca="1" si="108"/>
        <v>0</v>
      </c>
      <c r="I37" s="7" t="e">
        <f t="shared" ca="1" si="108"/>
        <v>#N/A</v>
      </c>
      <c r="J37" s="7" t="e">
        <f t="shared" ca="1" si="108"/>
        <v>#N/A</v>
      </c>
      <c r="K37" s="7" t="e">
        <f t="shared" ca="1" si="108"/>
        <v>#N/A</v>
      </c>
      <c r="L37" s="7" t="e">
        <f t="shared" ca="1" si="112"/>
        <v>#N/A</v>
      </c>
      <c r="M37" s="7">
        <f t="shared" ref="M37:BX40" ca="1" si="123">IF($A$1=FALSE,"-",M11-OFFSET($A62,0,M$28))</f>
        <v>0</v>
      </c>
      <c r="N37" s="7">
        <f t="shared" ca="1" si="123"/>
        <v>0</v>
      </c>
      <c r="O37" s="7" t="e">
        <f t="shared" ca="1" si="123"/>
        <v>#N/A</v>
      </c>
      <c r="P37" s="7" t="e">
        <f t="shared" ca="1" si="123"/>
        <v>#N/A</v>
      </c>
      <c r="Q37" s="7">
        <f t="shared" ca="1" si="123"/>
        <v>0</v>
      </c>
      <c r="R37" s="7">
        <f t="shared" ca="1" si="123"/>
        <v>0</v>
      </c>
      <c r="S37" s="7">
        <f t="shared" ca="1" si="123"/>
        <v>0</v>
      </c>
      <c r="T37" s="7">
        <f t="shared" ca="1" si="123"/>
        <v>0</v>
      </c>
      <c r="U37" s="7">
        <f t="shared" ca="1" si="123"/>
        <v>0</v>
      </c>
      <c r="V37" s="7">
        <f t="shared" ca="1" si="123"/>
        <v>0</v>
      </c>
      <c r="W37" s="7">
        <f t="shared" ca="1" si="123"/>
        <v>0</v>
      </c>
      <c r="X37" s="7">
        <f t="shared" ca="1" si="123"/>
        <v>0</v>
      </c>
      <c r="Y37" s="7">
        <f t="shared" ca="1" si="123"/>
        <v>0</v>
      </c>
      <c r="Z37" s="7">
        <f t="shared" ca="1" si="123"/>
        <v>0</v>
      </c>
      <c r="AA37" s="7">
        <f t="shared" ca="1" si="123"/>
        <v>0</v>
      </c>
      <c r="AB37" s="7">
        <f t="shared" ca="1" si="123"/>
        <v>0</v>
      </c>
      <c r="AC37" s="7">
        <f t="shared" ca="1" si="123"/>
        <v>0</v>
      </c>
      <c r="AD37" s="7">
        <f t="shared" ca="1" si="123"/>
        <v>0</v>
      </c>
      <c r="AE37" s="7">
        <f t="shared" ca="1" si="123"/>
        <v>0</v>
      </c>
      <c r="AF37" s="7">
        <f t="shared" ca="1" si="123"/>
        <v>0</v>
      </c>
      <c r="AG37" s="7">
        <f t="shared" ca="1" si="123"/>
        <v>0</v>
      </c>
      <c r="AH37" s="7">
        <f t="shared" ca="1" si="123"/>
        <v>0</v>
      </c>
      <c r="AI37" s="7">
        <f t="shared" ca="1" si="123"/>
        <v>0</v>
      </c>
      <c r="AJ37" s="7">
        <f t="shared" ca="1" si="123"/>
        <v>0</v>
      </c>
      <c r="AK37" s="7">
        <f t="shared" ca="1" si="123"/>
        <v>0</v>
      </c>
      <c r="AL37" s="7">
        <f t="shared" ca="1" si="123"/>
        <v>0</v>
      </c>
      <c r="AM37" s="7">
        <f t="shared" ca="1" si="123"/>
        <v>0</v>
      </c>
      <c r="AN37" s="7">
        <f t="shared" ca="1" si="123"/>
        <v>0</v>
      </c>
      <c r="AO37" s="7">
        <f t="shared" ca="1" si="123"/>
        <v>0</v>
      </c>
      <c r="AP37" s="7">
        <f t="shared" ca="1" si="123"/>
        <v>0</v>
      </c>
      <c r="AQ37" s="7">
        <f t="shared" ca="1" si="123"/>
        <v>0</v>
      </c>
      <c r="AR37" s="7">
        <f t="shared" ca="1" si="123"/>
        <v>0</v>
      </c>
      <c r="AS37" s="7">
        <f t="shared" ca="1" si="123"/>
        <v>0</v>
      </c>
      <c r="AT37" s="7">
        <f t="shared" ca="1" si="123"/>
        <v>0</v>
      </c>
      <c r="AU37" s="7">
        <f t="shared" ca="1" si="123"/>
        <v>0</v>
      </c>
      <c r="AV37" s="7">
        <f t="shared" ca="1" si="123"/>
        <v>0</v>
      </c>
      <c r="AW37" s="7">
        <f t="shared" ca="1" si="123"/>
        <v>0</v>
      </c>
      <c r="AX37" s="7">
        <f t="shared" ca="1" si="123"/>
        <v>0</v>
      </c>
      <c r="AY37" s="7">
        <f t="shared" ca="1" si="123"/>
        <v>0</v>
      </c>
      <c r="AZ37" s="7">
        <f t="shared" ca="1" si="123"/>
        <v>0</v>
      </c>
      <c r="BA37" s="7" t="e">
        <f t="shared" ca="1" si="123"/>
        <v>#VALUE!</v>
      </c>
      <c r="BB37" s="7" t="e">
        <f t="shared" ca="1" si="123"/>
        <v>#VALUE!</v>
      </c>
      <c r="BC37" s="7">
        <f t="shared" ca="1" si="123"/>
        <v>0</v>
      </c>
      <c r="BD37" s="7">
        <f t="shared" ca="1" si="123"/>
        <v>0</v>
      </c>
      <c r="BE37" s="7">
        <f t="shared" ca="1" si="123"/>
        <v>0</v>
      </c>
      <c r="BF37" s="7">
        <f t="shared" ca="1" si="123"/>
        <v>0</v>
      </c>
      <c r="BG37" s="7">
        <f t="shared" ca="1" si="123"/>
        <v>0</v>
      </c>
      <c r="BH37" s="7">
        <f t="shared" ca="1" si="123"/>
        <v>0</v>
      </c>
      <c r="BI37" s="7">
        <f t="shared" ca="1" si="123"/>
        <v>0</v>
      </c>
      <c r="BJ37" s="7">
        <f t="shared" ca="1" si="123"/>
        <v>0</v>
      </c>
      <c r="BK37" s="7">
        <f t="shared" ca="1" si="123"/>
        <v>0</v>
      </c>
      <c r="BL37" s="7">
        <f t="shared" ca="1" si="123"/>
        <v>0</v>
      </c>
      <c r="BM37" s="7">
        <f t="shared" ca="1" si="123"/>
        <v>0</v>
      </c>
      <c r="BN37" s="7">
        <f t="shared" ca="1" si="123"/>
        <v>0</v>
      </c>
      <c r="BO37" s="7">
        <f t="shared" ca="1" si="123"/>
        <v>0</v>
      </c>
      <c r="BP37" s="7">
        <f t="shared" ca="1" si="123"/>
        <v>0</v>
      </c>
      <c r="BQ37" s="7">
        <f t="shared" ca="1" si="123"/>
        <v>0</v>
      </c>
      <c r="BR37" s="7">
        <f t="shared" ca="1" si="123"/>
        <v>0</v>
      </c>
      <c r="BS37" s="7">
        <f t="shared" ca="1" si="123"/>
        <v>0</v>
      </c>
      <c r="BT37" s="7">
        <f t="shared" ca="1" si="123"/>
        <v>0</v>
      </c>
      <c r="BU37" s="7">
        <f t="shared" ca="1" si="123"/>
        <v>0</v>
      </c>
      <c r="BV37" s="7">
        <f t="shared" ca="1" si="123"/>
        <v>0</v>
      </c>
      <c r="BW37" s="7">
        <f t="shared" ca="1" si="123"/>
        <v>0</v>
      </c>
      <c r="BX37" s="7">
        <f t="shared" ca="1" si="123"/>
        <v>0</v>
      </c>
      <c r="BY37" s="7">
        <f t="shared" ca="1" si="110"/>
        <v>0</v>
      </c>
      <c r="BZ37" s="7">
        <f t="shared" ca="1" si="110"/>
        <v>0</v>
      </c>
      <c r="CA37" s="7">
        <f t="shared" ca="1" si="110"/>
        <v>0</v>
      </c>
      <c r="CB37" s="7">
        <f t="shared" ca="1" si="110"/>
        <v>0</v>
      </c>
      <c r="CC37" s="7">
        <f t="shared" ca="1" si="110"/>
        <v>0</v>
      </c>
      <c r="CD37" s="7">
        <f t="shared" ca="1" si="110"/>
        <v>0</v>
      </c>
      <c r="CE37" s="7">
        <f t="shared" ca="1" si="110"/>
        <v>-1.7763568394002505E-15</v>
      </c>
      <c r="CF37" s="7">
        <f t="shared" ca="1" si="110"/>
        <v>0</v>
      </c>
      <c r="CG37" s="7">
        <f t="shared" ca="1" si="110"/>
        <v>0</v>
      </c>
      <c r="CH37" s="7">
        <f t="shared" ca="1" si="110"/>
        <v>0</v>
      </c>
      <c r="CI37" s="7">
        <f t="shared" ca="1" si="110"/>
        <v>0</v>
      </c>
      <c r="CJ37" s="7">
        <f t="shared" ca="1" si="110"/>
        <v>0</v>
      </c>
      <c r="CK37" s="7">
        <f t="shared" ca="1" si="110"/>
        <v>0</v>
      </c>
      <c r="CL37" s="7">
        <f t="shared" ca="1" si="110"/>
        <v>0</v>
      </c>
      <c r="CM37" s="7">
        <f t="shared" ca="1" si="110"/>
        <v>0</v>
      </c>
      <c r="CN37" s="7">
        <f t="shared" ca="1" si="110"/>
        <v>0</v>
      </c>
      <c r="CO37" s="7" t="e">
        <f t="shared" ca="1" si="110"/>
        <v>#N/A</v>
      </c>
      <c r="CP37" s="7" t="e">
        <f t="shared" ca="1" si="110"/>
        <v>#N/A</v>
      </c>
      <c r="CQ37" s="7" t="e">
        <f t="shared" ca="1" si="110"/>
        <v>#N/A</v>
      </c>
      <c r="CR37" s="7" t="e">
        <f t="shared" ref="CR37:CY37" ca="1" si="124">IF($A$1=FALSE,"-",CR11-OFFSET($A62,0,CR$28))</f>
        <v>#N/A</v>
      </c>
      <c r="CS37" s="7" t="e">
        <f t="shared" ca="1" si="124"/>
        <v>#N/A</v>
      </c>
      <c r="CT37" s="7" t="e">
        <f t="shared" ca="1" si="124"/>
        <v>#N/A</v>
      </c>
      <c r="CU37" s="7" t="e">
        <f t="shared" ca="1" si="124"/>
        <v>#N/A</v>
      </c>
      <c r="CV37" s="7" t="e">
        <f t="shared" ca="1" si="124"/>
        <v>#N/A</v>
      </c>
      <c r="CW37" s="7" t="e">
        <f t="shared" ca="1" si="124"/>
        <v>#N/A</v>
      </c>
      <c r="CX37" s="7" t="e">
        <f t="shared" ca="1" si="124"/>
        <v>#N/A</v>
      </c>
      <c r="CY37" s="7" t="e">
        <f t="shared" ca="1" si="124"/>
        <v>#N/A</v>
      </c>
    </row>
    <row r="38" spans="2:103" x14ac:dyDescent="0.15">
      <c r="B38" s="7">
        <f t="shared" ca="1" si="108"/>
        <v>0</v>
      </c>
      <c r="C38" s="7">
        <f t="shared" ca="1" si="108"/>
        <v>0</v>
      </c>
      <c r="D38" s="7">
        <f t="shared" ca="1" si="108"/>
        <v>0</v>
      </c>
      <c r="E38" s="7">
        <f t="shared" ca="1" si="108"/>
        <v>0</v>
      </c>
      <c r="F38" s="7">
        <f t="shared" ca="1" si="108"/>
        <v>0</v>
      </c>
      <c r="G38" s="7">
        <f t="shared" ca="1" si="108"/>
        <v>0</v>
      </c>
      <c r="H38" s="7">
        <f t="shared" ca="1" si="108"/>
        <v>0</v>
      </c>
      <c r="I38" s="7" t="e">
        <f t="shared" ca="1" si="108"/>
        <v>#N/A</v>
      </c>
      <c r="J38" s="7" t="e">
        <f t="shared" ca="1" si="108"/>
        <v>#N/A</v>
      </c>
      <c r="K38" s="7" t="e">
        <f t="shared" ca="1" si="108"/>
        <v>#N/A</v>
      </c>
      <c r="L38" s="7" t="e">
        <f t="shared" ca="1" si="112"/>
        <v>#N/A</v>
      </c>
      <c r="M38" s="7">
        <f t="shared" ca="1" si="123"/>
        <v>0</v>
      </c>
      <c r="N38" s="7">
        <f t="shared" ca="1" si="123"/>
        <v>0</v>
      </c>
      <c r="O38" s="7" t="e">
        <f t="shared" ca="1" si="123"/>
        <v>#N/A</v>
      </c>
      <c r="P38" s="7" t="e">
        <f t="shared" ca="1" si="123"/>
        <v>#N/A</v>
      </c>
      <c r="Q38" s="7">
        <f t="shared" ca="1" si="123"/>
        <v>0</v>
      </c>
      <c r="R38" s="7">
        <f t="shared" ca="1" si="123"/>
        <v>0</v>
      </c>
      <c r="S38" s="7">
        <f t="shared" ca="1" si="123"/>
        <v>0</v>
      </c>
      <c r="T38" s="7">
        <f t="shared" ca="1" si="123"/>
        <v>0</v>
      </c>
      <c r="U38" s="7">
        <f t="shared" ca="1" si="123"/>
        <v>0</v>
      </c>
      <c r="V38" s="7">
        <f t="shared" ca="1" si="123"/>
        <v>0</v>
      </c>
      <c r="W38" s="7">
        <f t="shared" ca="1" si="123"/>
        <v>0</v>
      </c>
      <c r="X38" s="7">
        <f t="shared" ca="1" si="123"/>
        <v>0</v>
      </c>
      <c r="Y38" s="7">
        <f t="shared" ca="1" si="123"/>
        <v>0</v>
      </c>
      <c r="Z38" s="7">
        <f t="shared" ca="1" si="123"/>
        <v>0</v>
      </c>
      <c r="AA38" s="7">
        <f t="shared" ca="1" si="123"/>
        <v>0</v>
      </c>
      <c r="AB38" s="7">
        <f t="shared" ca="1" si="123"/>
        <v>0</v>
      </c>
      <c r="AC38" s="7">
        <f t="shared" ca="1" si="123"/>
        <v>0</v>
      </c>
      <c r="AD38" s="7">
        <f t="shared" ca="1" si="123"/>
        <v>0</v>
      </c>
      <c r="AE38" s="7">
        <f t="shared" ca="1" si="123"/>
        <v>0</v>
      </c>
      <c r="AF38" s="7">
        <f t="shared" ca="1" si="123"/>
        <v>0</v>
      </c>
      <c r="AG38" s="7">
        <f t="shared" ca="1" si="123"/>
        <v>0</v>
      </c>
      <c r="AH38" s="7">
        <f t="shared" ca="1" si="123"/>
        <v>0</v>
      </c>
      <c r="AI38" s="7">
        <f t="shared" ca="1" si="123"/>
        <v>0</v>
      </c>
      <c r="AJ38" s="7">
        <f t="shared" ca="1" si="123"/>
        <v>0</v>
      </c>
      <c r="AK38" s="7">
        <f t="shared" ca="1" si="123"/>
        <v>0</v>
      </c>
      <c r="AL38" s="7">
        <f t="shared" ca="1" si="123"/>
        <v>0</v>
      </c>
      <c r="AM38" s="7">
        <f t="shared" ca="1" si="123"/>
        <v>0</v>
      </c>
      <c r="AN38" s="7">
        <f t="shared" ca="1" si="123"/>
        <v>0</v>
      </c>
      <c r="AO38" s="7">
        <f t="shared" ca="1" si="123"/>
        <v>0</v>
      </c>
      <c r="AP38" s="7">
        <f t="shared" ca="1" si="123"/>
        <v>0</v>
      </c>
      <c r="AQ38" s="7">
        <f t="shared" ca="1" si="123"/>
        <v>0</v>
      </c>
      <c r="AR38" s="7">
        <f t="shared" ca="1" si="123"/>
        <v>0</v>
      </c>
      <c r="AS38" s="7">
        <f t="shared" ca="1" si="123"/>
        <v>0</v>
      </c>
      <c r="AT38" s="7">
        <f t="shared" ca="1" si="123"/>
        <v>0</v>
      </c>
      <c r="AU38" s="7">
        <f t="shared" ca="1" si="123"/>
        <v>0</v>
      </c>
      <c r="AV38" s="7">
        <f t="shared" ca="1" si="123"/>
        <v>0</v>
      </c>
      <c r="AW38" s="7">
        <f t="shared" ca="1" si="123"/>
        <v>0</v>
      </c>
      <c r="AX38" s="7">
        <f t="shared" ca="1" si="123"/>
        <v>0</v>
      </c>
      <c r="AY38" s="7">
        <f t="shared" ca="1" si="123"/>
        <v>0</v>
      </c>
      <c r="AZ38" s="7">
        <f t="shared" ca="1" si="123"/>
        <v>0</v>
      </c>
      <c r="BA38" s="7" t="e">
        <f t="shared" ca="1" si="123"/>
        <v>#VALUE!</v>
      </c>
      <c r="BB38" s="7" t="e">
        <f t="shared" ca="1" si="123"/>
        <v>#VALUE!</v>
      </c>
      <c r="BC38" s="7">
        <f t="shared" ca="1" si="123"/>
        <v>0</v>
      </c>
      <c r="BD38" s="7">
        <f t="shared" ca="1" si="123"/>
        <v>0</v>
      </c>
      <c r="BE38" s="7">
        <f t="shared" ca="1" si="123"/>
        <v>0</v>
      </c>
      <c r="BF38" s="7">
        <f t="shared" ca="1" si="123"/>
        <v>0</v>
      </c>
      <c r="BG38" s="7">
        <f t="shared" ca="1" si="123"/>
        <v>0</v>
      </c>
      <c r="BH38" s="7">
        <f t="shared" ca="1" si="123"/>
        <v>0</v>
      </c>
      <c r="BI38" s="7">
        <f t="shared" ca="1" si="123"/>
        <v>0</v>
      </c>
      <c r="BJ38" s="7">
        <f t="shared" ca="1" si="123"/>
        <v>0</v>
      </c>
      <c r="BK38" s="7">
        <f t="shared" ca="1" si="123"/>
        <v>0</v>
      </c>
      <c r="BL38" s="7">
        <f t="shared" ca="1" si="123"/>
        <v>0</v>
      </c>
      <c r="BM38" s="7">
        <f t="shared" ca="1" si="123"/>
        <v>0</v>
      </c>
      <c r="BN38" s="7">
        <f t="shared" ca="1" si="123"/>
        <v>0</v>
      </c>
      <c r="BO38" s="7">
        <f t="shared" ca="1" si="123"/>
        <v>0</v>
      </c>
      <c r="BP38" s="7">
        <f t="shared" ca="1" si="123"/>
        <v>0</v>
      </c>
      <c r="BQ38" s="7">
        <f t="shared" ca="1" si="123"/>
        <v>0</v>
      </c>
      <c r="BR38" s="7">
        <f t="shared" ca="1" si="123"/>
        <v>0</v>
      </c>
      <c r="BS38" s="7">
        <f t="shared" ca="1" si="123"/>
        <v>0</v>
      </c>
      <c r="BT38" s="7">
        <f t="shared" ca="1" si="123"/>
        <v>0</v>
      </c>
      <c r="BU38" s="7">
        <f t="shared" ca="1" si="123"/>
        <v>0</v>
      </c>
      <c r="BV38" s="7">
        <f t="shared" ca="1" si="123"/>
        <v>0</v>
      </c>
      <c r="BW38" s="7">
        <f t="shared" ca="1" si="123"/>
        <v>0</v>
      </c>
      <c r="BX38" s="7">
        <f t="shared" ca="1" si="123"/>
        <v>0</v>
      </c>
      <c r="BY38" s="7">
        <f t="shared" ca="1" si="110"/>
        <v>0</v>
      </c>
      <c r="BZ38" s="7">
        <f t="shared" ca="1" si="110"/>
        <v>0</v>
      </c>
      <c r="CA38" s="7">
        <f t="shared" ca="1" si="110"/>
        <v>0</v>
      </c>
      <c r="CB38" s="7">
        <f t="shared" ca="1" si="110"/>
        <v>0</v>
      </c>
      <c r="CC38" s="7">
        <f t="shared" ca="1" si="110"/>
        <v>0</v>
      </c>
      <c r="CD38" s="7">
        <f t="shared" ca="1" si="110"/>
        <v>0</v>
      </c>
      <c r="CE38" s="7">
        <f t="shared" ca="1" si="110"/>
        <v>0</v>
      </c>
      <c r="CF38" s="7">
        <f t="shared" ca="1" si="110"/>
        <v>0</v>
      </c>
      <c r="CG38" s="7">
        <f t="shared" ca="1" si="110"/>
        <v>0</v>
      </c>
      <c r="CH38" s="7">
        <f t="shared" ca="1" si="110"/>
        <v>0</v>
      </c>
      <c r="CI38" s="7">
        <f t="shared" ca="1" si="110"/>
        <v>0</v>
      </c>
      <c r="CJ38" s="7">
        <f t="shared" ca="1" si="110"/>
        <v>-2.2204460492503131E-16</v>
      </c>
      <c r="CK38" s="7">
        <f t="shared" ca="1" si="110"/>
        <v>0</v>
      </c>
      <c r="CL38" s="7">
        <f t="shared" ca="1" si="110"/>
        <v>0</v>
      </c>
      <c r="CM38" s="7">
        <f t="shared" ca="1" si="110"/>
        <v>0</v>
      </c>
      <c r="CN38" s="7">
        <f t="shared" ca="1" si="110"/>
        <v>0</v>
      </c>
      <c r="CO38" s="7" t="e">
        <f t="shared" ca="1" si="110"/>
        <v>#N/A</v>
      </c>
      <c r="CP38" s="7" t="e">
        <f t="shared" ca="1" si="110"/>
        <v>#N/A</v>
      </c>
      <c r="CQ38" s="7" t="e">
        <f t="shared" ca="1" si="110"/>
        <v>#N/A</v>
      </c>
      <c r="CR38" s="7" t="e">
        <f t="shared" ref="CR38:CY38" ca="1" si="125">IF($A$1=FALSE,"-",CR12-OFFSET($A63,0,CR$28))</f>
        <v>#N/A</v>
      </c>
      <c r="CS38" s="7" t="e">
        <f t="shared" ca="1" si="125"/>
        <v>#N/A</v>
      </c>
      <c r="CT38" s="7" t="e">
        <f t="shared" ca="1" si="125"/>
        <v>#N/A</v>
      </c>
      <c r="CU38" s="7" t="e">
        <f t="shared" ca="1" si="125"/>
        <v>#N/A</v>
      </c>
      <c r="CV38" s="7" t="e">
        <f t="shared" ca="1" si="125"/>
        <v>#N/A</v>
      </c>
      <c r="CW38" s="7" t="e">
        <f t="shared" ca="1" si="125"/>
        <v>#N/A</v>
      </c>
      <c r="CX38" s="7" t="e">
        <f t="shared" ca="1" si="125"/>
        <v>#N/A</v>
      </c>
      <c r="CY38" s="7" t="e">
        <f t="shared" ca="1" si="125"/>
        <v>#N/A</v>
      </c>
    </row>
    <row r="39" spans="2:103" x14ac:dyDescent="0.15">
      <c r="B39" s="7">
        <f t="shared" ca="1" si="108"/>
        <v>0</v>
      </c>
      <c r="C39" s="7">
        <f t="shared" ca="1" si="108"/>
        <v>0</v>
      </c>
      <c r="D39" s="7">
        <f t="shared" ca="1" si="108"/>
        <v>0</v>
      </c>
      <c r="E39" s="7">
        <f t="shared" ca="1" si="108"/>
        <v>0</v>
      </c>
      <c r="F39" s="7">
        <f t="shared" ca="1" si="108"/>
        <v>0</v>
      </c>
      <c r="G39" s="7">
        <f t="shared" ca="1" si="108"/>
        <v>0</v>
      </c>
      <c r="H39" s="7">
        <f t="shared" ca="1" si="108"/>
        <v>0</v>
      </c>
      <c r="I39" s="7" t="e">
        <f t="shared" ca="1" si="108"/>
        <v>#N/A</v>
      </c>
      <c r="J39" s="7" t="e">
        <f t="shared" ca="1" si="108"/>
        <v>#N/A</v>
      </c>
      <c r="K39" s="7" t="e">
        <f t="shared" ca="1" si="108"/>
        <v>#N/A</v>
      </c>
      <c r="L39" s="7" t="e">
        <f t="shared" ca="1" si="112"/>
        <v>#N/A</v>
      </c>
      <c r="M39" s="7">
        <f t="shared" ca="1" si="123"/>
        <v>0</v>
      </c>
      <c r="N39" s="7">
        <f t="shared" ca="1" si="123"/>
        <v>0</v>
      </c>
      <c r="O39" s="7" t="e">
        <f t="shared" ca="1" si="123"/>
        <v>#N/A</v>
      </c>
      <c r="P39" s="7" t="e">
        <f t="shared" ca="1" si="123"/>
        <v>#N/A</v>
      </c>
      <c r="Q39" s="7">
        <f t="shared" ca="1" si="123"/>
        <v>0</v>
      </c>
      <c r="R39" s="7">
        <f t="shared" ca="1" si="123"/>
        <v>0</v>
      </c>
      <c r="S39" s="7">
        <f t="shared" ca="1" si="123"/>
        <v>0</v>
      </c>
      <c r="T39" s="7">
        <f t="shared" ca="1" si="123"/>
        <v>0</v>
      </c>
      <c r="U39" s="7">
        <f t="shared" ca="1" si="123"/>
        <v>0</v>
      </c>
      <c r="V39" s="7">
        <f t="shared" ca="1" si="123"/>
        <v>0</v>
      </c>
      <c r="W39" s="7">
        <f t="shared" ca="1" si="123"/>
        <v>0</v>
      </c>
      <c r="X39" s="7">
        <f t="shared" ca="1" si="123"/>
        <v>0</v>
      </c>
      <c r="Y39" s="7">
        <f t="shared" ca="1" si="123"/>
        <v>0</v>
      </c>
      <c r="Z39" s="7">
        <f t="shared" ca="1" si="123"/>
        <v>0</v>
      </c>
      <c r="AA39" s="7">
        <f t="shared" ca="1" si="123"/>
        <v>0</v>
      </c>
      <c r="AB39" s="7">
        <f t="shared" ca="1" si="123"/>
        <v>0</v>
      </c>
      <c r="AC39" s="7">
        <f t="shared" ca="1" si="123"/>
        <v>0</v>
      </c>
      <c r="AD39" s="7">
        <f t="shared" ca="1" si="123"/>
        <v>0</v>
      </c>
      <c r="AE39" s="7">
        <f t="shared" ca="1" si="123"/>
        <v>0</v>
      </c>
      <c r="AF39" s="7">
        <f t="shared" ca="1" si="123"/>
        <v>0</v>
      </c>
      <c r="AG39" s="7">
        <f t="shared" ca="1" si="123"/>
        <v>0</v>
      </c>
      <c r="AH39" s="7">
        <f t="shared" ca="1" si="123"/>
        <v>0</v>
      </c>
      <c r="AI39" s="7">
        <f t="shared" ca="1" si="123"/>
        <v>0</v>
      </c>
      <c r="AJ39" s="7">
        <f t="shared" ca="1" si="123"/>
        <v>0</v>
      </c>
      <c r="AK39" s="7">
        <f t="shared" ca="1" si="123"/>
        <v>0</v>
      </c>
      <c r="AL39" s="7">
        <f t="shared" ca="1" si="123"/>
        <v>0</v>
      </c>
      <c r="AM39" s="7">
        <f t="shared" ca="1" si="123"/>
        <v>0</v>
      </c>
      <c r="AN39" s="7">
        <f t="shared" ca="1" si="123"/>
        <v>0</v>
      </c>
      <c r="AO39" s="7">
        <f t="shared" ca="1" si="123"/>
        <v>0</v>
      </c>
      <c r="AP39" s="7">
        <f t="shared" ca="1" si="123"/>
        <v>0</v>
      </c>
      <c r="AQ39" s="7">
        <f t="shared" ca="1" si="123"/>
        <v>0</v>
      </c>
      <c r="AR39" s="7">
        <f t="shared" ca="1" si="123"/>
        <v>0</v>
      </c>
      <c r="AS39" s="7">
        <f t="shared" ca="1" si="123"/>
        <v>0</v>
      </c>
      <c r="AT39" s="7">
        <f t="shared" ca="1" si="123"/>
        <v>0</v>
      </c>
      <c r="AU39" s="7">
        <f t="shared" ca="1" si="123"/>
        <v>0</v>
      </c>
      <c r="AV39" s="7">
        <f t="shared" ca="1" si="123"/>
        <v>0</v>
      </c>
      <c r="AW39" s="7">
        <f t="shared" ca="1" si="123"/>
        <v>0</v>
      </c>
      <c r="AX39" s="7">
        <f t="shared" ca="1" si="123"/>
        <v>0</v>
      </c>
      <c r="AY39" s="7">
        <f t="shared" ca="1" si="123"/>
        <v>0</v>
      </c>
      <c r="AZ39" s="7">
        <f t="shared" ca="1" si="123"/>
        <v>0</v>
      </c>
      <c r="BA39" s="7" t="e">
        <f t="shared" ca="1" si="123"/>
        <v>#VALUE!</v>
      </c>
      <c r="BB39" s="7" t="e">
        <f t="shared" ca="1" si="123"/>
        <v>#VALUE!</v>
      </c>
      <c r="BC39" s="7">
        <f t="shared" ca="1" si="123"/>
        <v>0</v>
      </c>
      <c r="BD39" s="7">
        <f t="shared" ca="1" si="123"/>
        <v>0</v>
      </c>
      <c r="BE39" s="7">
        <f t="shared" ca="1" si="123"/>
        <v>0</v>
      </c>
      <c r="BF39" s="7">
        <f t="shared" ca="1" si="123"/>
        <v>0</v>
      </c>
      <c r="BG39" s="7">
        <f t="shared" ca="1" si="123"/>
        <v>0</v>
      </c>
      <c r="BH39" s="7">
        <f t="shared" ca="1" si="123"/>
        <v>0</v>
      </c>
      <c r="BI39" s="7">
        <f t="shared" ca="1" si="123"/>
        <v>0</v>
      </c>
      <c r="BJ39" s="7">
        <f t="shared" ca="1" si="123"/>
        <v>0</v>
      </c>
      <c r="BK39" s="7">
        <f t="shared" ca="1" si="123"/>
        <v>0</v>
      </c>
      <c r="BL39" s="7">
        <f t="shared" ca="1" si="123"/>
        <v>0</v>
      </c>
      <c r="BM39" s="7">
        <f t="shared" ca="1" si="123"/>
        <v>0</v>
      </c>
      <c r="BN39" s="7">
        <f t="shared" ca="1" si="123"/>
        <v>0</v>
      </c>
      <c r="BO39" s="7">
        <f t="shared" ca="1" si="123"/>
        <v>0</v>
      </c>
      <c r="BP39" s="7">
        <f t="shared" ca="1" si="123"/>
        <v>0</v>
      </c>
      <c r="BQ39" s="7">
        <f t="shared" ca="1" si="123"/>
        <v>0</v>
      </c>
      <c r="BR39" s="7">
        <f t="shared" ca="1" si="123"/>
        <v>0</v>
      </c>
      <c r="BS39" s="7">
        <f t="shared" ca="1" si="123"/>
        <v>0</v>
      </c>
      <c r="BT39" s="7">
        <f t="shared" ca="1" si="123"/>
        <v>0</v>
      </c>
      <c r="BU39" s="7">
        <f t="shared" ca="1" si="123"/>
        <v>0</v>
      </c>
      <c r="BV39" s="7">
        <f t="shared" ca="1" si="123"/>
        <v>0</v>
      </c>
      <c r="BW39" s="7">
        <f t="shared" ca="1" si="123"/>
        <v>0</v>
      </c>
      <c r="BX39" s="7">
        <f t="shared" ca="1" si="123"/>
        <v>0</v>
      </c>
      <c r="BY39" s="7">
        <f t="shared" ca="1" si="110"/>
        <v>0</v>
      </c>
      <c r="BZ39" s="7">
        <f t="shared" ca="1" si="110"/>
        <v>-3.5527136788005009E-15</v>
      </c>
      <c r="CA39" s="7">
        <f t="shared" ca="1" si="110"/>
        <v>0</v>
      </c>
      <c r="CB39" s="7">
        <f t="shared" ca="1" si="110"/>
        <v>0</v>
      </c>
      <c r="CC39" s="7">
        <f t="shared" ca="1" si="110"/>
        <v>0</v>
      </c>
      <c r="CD39" s="7">
        <f t="shared" ca="1" si="110"/>
        <v>0</v>
      </c>
      <c r="CE39" s="7">
        <f t="shared" ca="1" si="110"/>
        <v>-8.8817841970012523E-16</v>
      </c>
      <c r="CF39" s="7">
        <f t="shared" ca="1" si="110"/>
        <v>0</v>
      </c>
      <c r="CG39" s="7">
        <f t="shared" ca="1" si="110"/>
        <v>0</v>
      </c>
      <c r="CH39" s="7">
        <f t="shared" ca="1" si="110"/>
        <v>0</v>
      </c>
      <c r="CI39" s="7">
        <f t="shared" ca="1" si="110"/>
        <v>-2.2204460492503131E-16</v>
      </c>
      <c r="CJ39" s="7">
        <f t="shared" ca="1" si="110"/>
        <v>2.2204460492503131E-16</v>
      </c>
      <c r="CK39" s="7">
        <f t="shared" ca="1" si="110"/>
        <v>0</v>
      </c>
      <c r="CL39" s="7">
        <f t="shared" ca="1" si="110"/>
        <v>0</v>
      </c>
      <c r="CM39" s="7">
        <f t="shared" ca="1" si="110"/>
        <v>0</v>
      </c>
      <c r="CN39" s="7">
        <f t="shared" ca="1" si="110"/>
        <v>0</v>
      </c>
      <c r="CO39" s="7" t="e">
        <f t="shared" ca="1" si="110"/>
        <v>#N/A</v>
      </c>
      <c r="CP39" s="7" t="e">
        <f t="shared" ca="1" si="110"/>
        <v>#N/A</v>
      </c>
      <c r="CQ39" s="7" t="e">
        <f t="shared" ca="1" si="110"/>
        <v>#N/A</v>
      </c>
      <c r="CR39" s="7" t="e">
        <f t="shared" ref="CR39:CY39" ca="1" si="126">IF($A$1=FALSE,"-",CR13-OFFSET($A64,0,CR$28))</f>
        <v>#N/A</v>
      </c>
      <c r="CS39" s="7" t="e">
        <f t="shared" ca="1" si="126"/>
        <v>#N/A</v>
      </c>
      <c r="CT39" s="7" t="e">
        <f t="shared" ca="1" si="126"/>
        <v>#N/A</v>
      </c>
      <c r="CU39" s="7" t="e">
        <f t="shared" ca="1" si="126"/>
        <v>#N/A</v>
      </c>
      <c r="CV39" s="7" t="e">
        <f t="shared" ca="1" si="126"/>
        <v>#N/A</v>
      </c>
      <c r="CW39" s="7" t="e">
        <f t="shared" ca="1" si="126"/>
        <v>#N/A</v>
      </c>
      <c r="CX39" s="7" t="e">
        <f t="shared" ca="1" si="126"/>
        <v>#N/A</v>
      </c>
      <c r="CY39" s="7" t="e">
        <f t="shared" ca="1" si="126"/>
        <v>#N/A</v>
      </c>
    </row>
    <row r="40" spans="2:103" x14ac:dyDescent="0.15">
      <c r="B40" s="7">
        <f t="shared" ca="1" si="108"/>
        <v>0</v>
      </c>
      <c r="C40" s="7">
        <f t="shared" ca="1" si="108"/>
        <v>0</v>
      </c>
      <c r="D40" s="7">
        <f t="shared" ca="1" si="108"/>
        <v>0</v>
      </c>
      <c r="E40" s="7">
        <f t="shared" ca="1" si="108"/>
        <v>0</v>
      </c>
      <c r="F40" s="7">
        <f t="shared" ca="1" si="108"/>
        <v>0</v>
      </c>
      <c r="G40" s="7">
        <f t="shared" ca="1" si="108"/>
        <v>0</v>
      </c>
      <c r="H40" s="7">
        <f t="shared" ca="1" si="108"/>
        <v>0</v>
      </c>
      <c r="I40" s="7" t="e">
        <f t="shared" ca="1" si="108"/>
        <v>#N/A</v>
      </c>
      <c r="J40" s="7" t="e">
        <f t="shared" ca="1" si="108"/>
        <v>#N/A</v>
      </c>
      <c r="K40" s="7" t="e">
        <f t="shared" ca="1" si="108"/>
        <v>#N/A</v>
      </c>
      <c r="L40" s="7" t="e">
        <f t="shared" ca="1" si="112"/>
        <v>#N/A</v>
      </c>
      <c r="M40" s="7">
        <f t="shared" ca="1" si="123"/>
        <v>0</v>
      </c>
      <c r="N40" s="7">
        <f t="shared" ca="1" si="123"/>
        <v>0</v>
      </c>
      <c r="O40" s="7" t="e">
        <f t="shared" ca="1" si="123"/>
        <v>#N/A</v>
      </c>
      <c r="P40" s="7" t="e">
        <f t="shared" ca="1" si="123"/>
        <v>#N/A</v>
      </c>
      <c r="Q40" s="7">
        <f t="shared" ca="1" si="123"/>
        <v>0</v>
      </c>
      <c r="R40" s="7">
        <f t="shared" ca="1" si="123"/>
        <v>0</v>
      </c>
      <c r="S40" s="7">
        <f t="shared" ca="1" si="123"/>
        <v>0</v>
      </c>
      <c r="T40" s="7">
        <f t="shared" ca="1" si="123"/>
        <v>0</v>
      </c>
      <c r="U40" s="7">
        <f t="shared" ca="1" si="123"/>
        <v>0</v>
      </c>
      <c r="V40" s="7">
        <f t="shared" ca="1" si="123"/>
        <v>0</v>
      </c>
      <c r="W40" s="7">
        <f t="shared" ca="1" si="123"/>
        <v>0</v>
      </c>
      <c r="X40" s="7">
        <f t="shared" ca="1" si="123"/>
        <v>0</v>
      </c>
      <c r="Y40" s="7">
        <f t="shared" ca="1" si="123"/>
        <v>0</v>
      </c>
      <c r="Z40" s="7">
        <f t="shared" ca="1" si="123"/>
        <v>0</v>
      </c>
      <c r="AA40" s="7">
        <f t="shared" ca="1" si="123"/>
        <v>0</v>
      </c>
      <c r="AB40" s="7">
        <f t="shared" ca="1" si="123"/>
        <v>0</v>
      </c>
      <c r="AC40" s="7">
        <f t="shared" ca="1" si="123"/>
        <v>0</v>
      </c>
      <c r="AD40" s="7">
        <f t="shared" ca="1" si="123"/>
        <v>0</v>
      </c>
      <c r="AE40" s="7">
        <f t="shared" ca="1" si="123"/>
        <v>0</v>
      </c>
      <c r="AF40" s="7">
        <f t="shared" ca="1" si="123"/>
        <v>0</v>
      </c>
      <c r="AG40" s="7">
        <f t="shared" ca="1" si="123"/>
        <v>0</v>
      </c>
      <c r="AH40" s="7">
        <f t="shared" ca="1" si="123"/>
        <v>0</v>
      </c>
      <c r="AI40" s="7">
        <f t="shared" ca="1" si="123"/>
        <v>0</v>
      </c>
      <c r="AJ40" s="7">
        <f t="shared" ca="1" si="123"/>
        <v>0</v>
      </c>
      <c r="AK40" s="7">
        <f t="shared" ca="1" si="123"/>
        <v>0</v>
      </c>
      <c r="AL40" s="7">
        <f t="shared" ca="1" si="123"/>
        <v>0</v>
      </c>
      <c r="AM40" s="7">
        <f t="shared" ca="1" si="123"/>
        <v>0</v>
      </c>
      <c r="AN40" s="7">
        <f t="shared" ca="1" si="123"/>
        <v>0</v>
      </c>
      <c r="AO40" s="7">
        <f t="shared" ca="1" si="123"/>
        <v>0</v>
      </c>
      <c r="AP40" s="7">
        <f t="shared" ca="1" si="123"/>
        <v>0</v>
      </c>
      <c r="AQ40" s="7">
        <f t="shared" ca="1" si="123"/>
        <v>0</v>
      </c>
      <c r="AR40" s="7">
        <f t="shared" ca="1" si="123"/>
        <v>0</v>
      </c>
      <c r="AS40" s="7">
        <f t="shared" ca="1" si="123"/>
        <v>0</v>
      </c>
      <c r="AT40" s="7">
        <f t="shared" ca="1" si="123"/>
        <v>0</v>
      </c>
      <c r="AU40" s="7">
        <f t="shared" ca="1" si="123"/>
        <v>0</v>
      </c>
      <c r="AV40" s="7">
        <f t="shared" ca="1" si="123"/>
        <v>0</v>
      </c>
      <c r="AW40" s="7">
        <f t="shared" ca="1" si="123"/>
        <v>0</v>
      </c>
      <c r="AX40" s="7">
        <f t="shared" ca="1" si="123"/>
        <v>0</v>
      </c>
      <c r="AY40" s="7">
        <f t="shared" ca="1" si="123"/>
        <v>0</v>
      </c>
      <c r="AZ40" s="7">
        <f t="shared" ca="1" si="123"/>
        <v>0</v>
      </c>
      <c r="BA40" s="7" t="e">
        <f t="shared" ca="1" si="123"/>
        <v>#VALUE!</v>
      </c>
      <c r="BB40" s="7" t="e">
        <f t="shared" ca="1" si="123"/>
        <v>#VALUE!</v>
      </c>
      <c r="BC40" s="7">
        <f t="shared" ca="1" si="123"/>
        <v>0</v>
      </c>
      <c r="BD40" s="7">
        <f t="shared" ca="1" si="123"/>
        <v>0</v>
      </c>
      <c r="BE40" s="7">
        <f t="shared" ca="1" si="123"/>
        <v>0</v>
      </c>
      <c r="BF40" s="7">
        <f t="shared" ca="1" si="123"/>
        <v>0</v>
      </c>
      <c r="BG40" s="7">
        <f t="shared" ca="1" si="123"/>
        <v>0</v>
      </c>
      <c r="BH40" s="7">
        <f t="shared" ca="1" si="123"/>
        <v>0</v>
      </c>
      <c r="BI40" s="7">
        <f t="shared" ca="1" si="123"/>
        <v>0</v>
      </c>
      <c r="BJ40" s="7">
        <f t="shared" ca="1" si="123"/>
        <v>0</v>
      </c>
      <c r="BK40" s="7">
        <f t="shared" ca="1" si="123"/>
        <v>0</v>
      </c>
      <c r="BL40" s="7">
        <f t="shared" ca="1" si="123"/>
        <v>0</v>
      </c>
      <c r="BM40" s="7">
        <f t="shared" ca="1" si="123"/>
        <v>0</v>
      </c>
      <c r="BN40" s="7">
        <f t="shared" ca="1" si="123"/>
        <v>0</v>
      </c>
      <c r="BO40" s="7">
        <f t="shared" ca="1" si="123"/>
        <v>0</v>
      </c>
      <c r="BP40" s="7">
        <f t="shared" ca="1" si="123"/>
        <v>0</v>
      </c>
      <c r="BQ40" s="7">
        <f t="shared" ca="1" si="123"/>
        <v>0</v>
      </c>
      <c r="BR40" s="7">
        <f t="shared" ca="1" si="123"/>
        <v>0</v>
      </c>
      <c r="BS40" s="7">
        <f t="shared" ca="1" si="123"/>
        <v>0</v>
      </c>
      <c r="BT40" s="7">
        <f t="shared" ca="1" si="123"/>
        <v>0</v>
      </c>
      <c r="BU40" s="7">
        <f t="shared" ca="1" si="123"/>
        <v>0</v>
      </c>
      <c r="BV40" s="7">
        <f t="shared" ca="1" si="123"/>
        <v>0</v>
      </c>
      <c r="BW40" s="7">
        <f t="shared" ca="1" si="123"/>
        <v>0</v>
      </c>
      <c r="BX40" s="7">
        <f t="shared" ref="BX40" ca="1" si="127">IF($A$1=FALSE,"-",BX14-OFFSET($A65,0,BX$28))</f>
        <v>0</v>
      </c>
      <c r="BY40" s="7">
        <f t="shared" ca="1" si="110"/>
        <v>0</v>
      </c>
      <c r="BZ40" s="7">
        <f t="shared" ca="1" si="110"/>
        <v>0</v>
      </c>
      <c r="CA40" s="7">
        <f t="shared" ca="1" si="110"/>
        <v>0</v>
      </c>
      <c r="CB40" s="7">
        <f t="shared" ca="1" si="110"/>
        <v>-4.4408920985006262E-16</v>
      </c>
      <c r="CC40" s="7">
        <f t="shared" ca="1" si="110"/>
        <v>0</v>
      </c>
      <c r="CD40" s="7">
        <f t="shared" ca="1" si="110"/>
        <v>0</v>
      </c>
      <c r="CE40" s="7">
        <f t="shared" ca="1" si="110"/>
        <v>-8.8817841970012523E-16</v>
      </c>
      <c r="CF40" s="7">
        <f t="shared" ca="1" si="110"/>
        <v>0</v>
      </c>
      <c r="CG40" s="7">
        <f t="shared" ca="1" si="110"/>
        <v>0</v>
      </c>
      <c r="CH40" s="7">
        <f t="shared" ca="1" si="110"/>
        <v>0</v>
      </c>
      <c r="CI40" s="7">
        <f t="shared" ca="1" si="110"/>
        <v>0</v>
      </c>
      <c r="CJ40" s="7">
        <f t="shared" ca="1" si="110"/>
        <v>0</v>
      </c>
      <c r="CK40" s="7">
        <f t="shared" ca="1" si="110"/>
        <v>0</v>
      </c>
      <c r="CL40" s="7">
        <f t="shared" ca="1" si="110"/>
        <v>0</v>
      </c>
      <c r="CM40" s="7">
        <f t="shared" ca="1" si="110"/>
        <v>0</v>
      </c>
      <c r="CN40" s="7">
        <f t="shared" ca="1" si="110"/>
        <v>0</v>
      </c>
      <c r="CO40" s="7" t="e">
        <f t="shared" ca="1" si="110"/>
        <v>#N/A</v>
      </c>
      <c r="CP40" s="7" t="e">
        <f t="shared" ca="1" si="110"/>
        <v>#N/A</v>
      </c>
      <c r="CQ40" s="7" t="e">
        <f t="shared" ca="1" si="110"/>
        <v>#N/A</v>
      </c>
      <c r="CR40" s="7" t="e">
        <f t="shared" ref="CR40:CY40" ca="1" si="128">IF($A$1=FALSE,"-",CR14-OFFSET($A65,0,CR$28))</f>
        <v>#N/A</v>
      </c>
      <c r="CS40" s="7" t="e">
        <f t="shared" ca="1" si="128"/>
        <v>#N/A</v>
      </c>
      <c r="CT40" s="7" t="e">
        <f t="shared" ca="1" si="128"/>
        <v>#N/A</v>
      </c>
      <c r="CU40" s="7" t="e">
        <f t="shared" ca="1" si="128"/>
        <v>#N/A</v>
      </c>
      <c r="CV40" s="7" t="e">
        <f t="shared" ca="1" si="128"/>
        <v>#N/A</v>
      </c>
      <c r="CW40" s="7" t="e">
        <f t="shared" ca="1" si="128"/>
        <v>#N/A</v>
      </c>
      <c r="CX40" s="7" t="e">
        <f t="shared" ca="1" si="128"/>
        <v>#N/A</v>
      </c>
      <c r="CY40" s="7" t="e">
        <f t="shared" ca="1" si="128"/>
        <v>#N/A</v>
      </c>
    </row>
    <row r="41" spans="2:103" x14ac:dyDescent="0.15">
      <c r="B41" s="7">
        <f t="shared" ca="1" si="108"/>
        <v>0</v>
      </c>
      <c r="C41" s="7">
        <f t="shared" ca="1" si="108"/>
        <v>0</v>
      </c>
      <c r="D41" s="7">
        <f t="shared" ca="1" si="108"/>
        <v>0</v>
      </c>
      <c r="E41" s="7">
        <f t="shared" ca="1" si="108"/>
        <v>0</v>
      </c>
      <c r="F41" s="7">
        <f t="shared" ca="1" si="108"/>
        <v>0</v>
      </c>
      <c r="G41" s="7">
        <f t="shared" ca="1" si="108"/>
        <v>0</v>
      </c>
      <c r="H41" s="7">
        <f t="shared" ca="1" si="108"/>
        <v>0</v>
      </c>
      <c r="I41" s="7" t="e">
        <f t="shared" ca="1" si="108"/>
        <v>#N/A</v>
      </c>
      <c r="J41" s="7" t="e">
        <f t="shared" ca="1" si="108"/>
        <v>#N/A</v>
      </c>
      <c r="K41" s="7" t="e">
        <f t="shared" ca="1" si="108"/>
        <v>#N/A</v>
      </c>
      <c r="L41" s="7" t="e">
        <f t="shared" ca="1" si="112"/>
        <v>#N/A</v>
      </c>
      <c r="M41" s="7">
        <f t="shared" ref="M41:BX44" ca="1" si="129">IF($A$1=FALSE,"-",M15-OFFSET($A66,0,M$28))</f>
        <v>0</v>
      </c>
      <c r="N41" s="7">
        <f t="shared" ca="1" si="129"/>
        <v>0</v>
      </c>
      <c r="O41" s="7" t="e">
        <f t="shared" ca="1" si="129"/>
        <v>#N/A</v>
      </c>
      <c r="P41" s="7" t="e">
        <f t="shared" ca="1" si="129"/>
        <v>#N/A</v>
      </c>
      <c r="Q41" s="7">
        <f t="shared" ca="1" si="129"/>
        <v>0</v>
      </c>
      <c r="R41" s="7">
        <f t="shared" ca="1" si="129"/>
        <v>0</v>
      </c>
      <c r="S41" s="7">
        <f t="shared" ca="1" si="129"/>
        <v>0</v>
      </c>
      <c r="T41" s="7">
        <f t="shared" ca="1" si="129"/>
        <v>0</v>
      </c>
      <c r="U41" s="7">
        <f t="shared" ca="1" si="129"/>
        <v>0</v>
      </c>
      <c r="V41" s="7">
        <f t="shared" ca="1" si="129"/>
        <v>0</v>
      </c>
      <c r="W41" s="7">
        <f t="shared" ca="1" si="129"/>
        <v>0</v>
      </c>
      <c r="X41" s="7">
        <f t="shared" ca="1" si="129"/>
        <v>0</v>
      </c>
      <c r="Y41" s="7">
        <f t="shared" ca="1" si="129"/>
        <v>0</v>
      </c>
      <c r="Z41" s="7">
        <f t="shared" ca="1" si="129"/>
        <v>0</v>
      </c>
      <c r="AA41" s="7">
        <f t="shared" ca="1" si="129"/>
        <v>0</v>
      </c>
      <c r="AB41" s="7">
        <f t="shared" ca="1" si="129"/>
        <v>0</v>
      </c>
      <c r="AC41" s="7">
        <f t="shared" ca="1" si="129"/>
        <v>0</v>
      </c>
      <c r="AD41" s="7">
        <f t="shared" ca="1" si="129"/>
        <v>0</v>
      </c>
      <c r="AE41" s="7">
        <f t="shared" ca="1" si="129"/>
        <v>0</v>
      </c>
      <c r="AF41" s="7">
        <f t="shared" ca="1" si="129"/>
        <v>0</v>
      </c>
      <c r="AG41" s="7">
        <f t="shared" ca="1" si="129"/>
        <v>0</v>
      </c>
      <c r="AH41" s="7">
        <f t="shared" ca="1" si="129"/>
        <v>0</v>
      </c>
      <c r="AI41" s="7">
        <f t="shared" ca="1" si="129"/>
        <v>0</v>
      </c>
      <c r="AJ41" s="7">
        <f t="shared" ca="1" si="129"/>
        <v>0</v>
      </c>
      <c r="AK41" s="7">
        <f t="shared" ca="1" si="129"/>
        <v>0</v>
      </c>
      <c r="AL41" s="7">
        <f t="shared" ca="1" si="129"/>
        <v>0</v>
      </c>
      <c r="AM41" s="7">
        <f t="shared" ca="1" si="129"/>
        <v>0</v>
      </c>
      <c r="AN41" s="7">
        <f t="shared" ca="1" si="129"/>
        <v>0</v>
      </c>
      <c r="AO41" s="7">
        <f t="shared" ca="1" si="129"/>
        <v>0</v>
      </c>
      <c r="AP41" s="7">
        <f t="shared" ca="1" si="129"/>
        <v>0</v>
      </c>
      <c r="AQ41" s="7">
        <f t="shared" ca="1" si="129"/>
        <v>0</v>
      </c>
      <c r="AR41" s="7">
        <f t="shared" ca="1" si="129"/>
        <v>0</v>
      </c>
      <c r="AS41" s="7">
        <f t="shared" ca="1" si="129"/>
        <v>0</v>
      </c>
      <c r="AT41" s="7">
        <f t="shared" ca="1" si="129"/>
        <v>0</v>
      </c>
      <c r="AU41" s="7">
        <f t="shared" ca="1" si="129"/>
        <v>0</v>
      </c>
      <c r="AV41" s="7">
        <f t="shared" ca="1" si="129"/>
        <v>0</v>
      </c>
      <c r="AW41" s="7">
        <f t="shared" ca="1" si="129"/>
        <v>0</v>
      </c>
      <c r="AX41" s="7">
        <f t="shared" ca="1" si="129"/>
        <v>0</v>
      </c>
      <c r="AY41" s="7">
        <f t="shared" ca="1" si="129"/>
        <v>0</v>
      </c>
      <c r="AZ41" s="7">
        <f t="shared" ca="1" si="129"/>
        <v>0</v>
      </c>
      <c r="BA41" s="7" t="e">
        <f t="shared" ca="1" si="129"/>
        <v>#VALUE!</v>
      </c>
      <c r="BB41" s="7" t="e">
        <f t="shared" ca="1" si="129"/>
        <v>#VALUE!</v>
      </c>
      <c r="BC41" s="7">
        <f t="shared" ca="1" si="129"/>
        <v>0</v>
      </c>
      <c r="BD41" s="7">
        <f t="shared" ca="1" si="129"/>
        <v>0</v>
      </c>
      <c r="BE41" s="7">
        <f t="shared" ca="1" si="129"/>
        <v>0</v>
      </c>
      <c r="BF41" s="7">
        <f t="shared" ca="1" si="129"/>
        <v>0</v>
      </c>
      <c r="BG41" s="7">
        <f t="shared" ca="1" si="129"/>
        <v>0</v>
      </c>
      <c r="BH41" s="7">
        <f t="shared" ca="1" si="129"/>
        <v>0</v>
      </c>
      <c r="BI41" s="7">
        <f t="shared" ca="1" si="129"/>
        <v>0</v>
      </c>
      <c r="BJ41" s="7">
        <f t="shared" ca="1" si="129"/>
        <v>0</v>
      </c>
      <c r="BK41" s="7">
        <f t="shared" ca="1" si="129"/>
        <v>0</v>
      </c>
      <c r="BL41" s="7">
        <f t="shared" ca="1" si="129"/>
        <v>0</v>
      </c>
      <c r="BM41" s="7">
        <f t="shared" ca="1" si="129"/>
        <v>0</v>
      </c>
      <c r="BN41" s="7">
        <f t="shared" ca="1" si="129"/>
        <v>0</v>
      </c>
      <c r="BO41" s="7">
        <f t="shared" ca="1" si="129"/>
        <v>0</v>
      </c>
      <c r="BP41" s="7">
        <f t="shared" ca="1" si="129"/>
        <v>0</v>
      </c>
      <c r="BQ41" s="7">
        <f t="shared" ca="1" si="129"/>
        <v>0</v>
      </c>
      <c r="BR41" s="7">
        <f t="shared" ca="1" si="129"/>
        <v>0</v>
      </c>
      <c r="BS41" s="7">
        <f t="shared" ca="1" si="129"/>
        <v>0</v>
      </c>
      <c r="BT41" s="7">
        <f t="shared" ca="1" si="129"/>
        <v>0</v>
      </c>
      <c r="BU41" s="7">
        <f t="shared" ca="1" si="129"/>
        <v>0</v>
      </c>
      <c r="BV41" s="7">
        <f t="shared" ca="1" si="129"/>
        <v>0</v>
      </c>
      <c r="BW41" s="7">
        <f t="shared" ca="1" si="129"/>
        <v>0</v>
      </c>
      <c r="BX41" s="7">
        <f t="shared" ca="1" si="129"/>
        <v>0</v>
      </c>
      <c r="BY41" s="7">
        <f t="shared" ca="1" si="110"/>
        <v>-5.6843418860808015E-14</v>
      </c>
      <c r="BZ41" s="7">
        <f t="shared" ca="1" si="110"/>
        <v>0</v>
      </c>
      <c r="CA41" s="7">
        <f t="shared" ca="1" si="110"/>
        <v>0</v>
      </c>
      <c r="CB41" s="7">
        <f t="shared" ca="1" si="110"/>
        <v>0</v>
      </c>
      <c r="CC41" s="7">
        <f t="shared" ca="1" si="110"/>
        <v>0</v>
      </c>
      <c r="CD41" s="7">
        <f t="shared" ca="1" si="110"/>
        <v>-5.6843418860808015E-14</v>
      </c>
      <c r="CE41" s="7">
        <f t="shared" ca="1" si="110"/>
        <v>1.021405182655144E-14</v>
      </c>
      <c r="CF41" s="7">
        <f t="shared" ca="1" si="110"/>
        <v>1.0658141036401503E-14</v>
      </c>
      <c r="CG41" s="7">
        <f t="shared" ca="1" si="110"/>
        <v>0</v>
      </c>
      <c r="CH41" s="7">
        <f t="shared" ca="1" si="110"/>
        <v>1.021405182655144E-14</v>
      </c>
      <c r="CI41" s="7">
        <f t="shared" ca="1" si="110"/>
        <v>0</v>
      </c>
      <c r="CJ41" s="7">
        <f t="shared" ca="1" si="110"/>
        <v>1.0658141036401503E-14</v>
      </c>
      <c r="CK41" s="7">
        <f t="shared" ca="1" si="110"/>
        <v>5.6843418860808015E-14</v>
      </c>
      <c r="CL41" s="7">
        <f t="shared" ca="1" si="110"/>
        <v>5.6843418860808015E-14</v>
      </c>
      <c r="CM41" s="7">
        <f t="shared" ca="1" si="110"/>
        <v>6.7501559897209518E-14</v>
      </c>
      <c r="CN41" s="7">
        <f t="shared" ca="1" si="110"/>
        <v>7.1054273576010019E-14</v>
      </c>
      <c r="CO41" s="7" t="e">
        <f t="shared" ca="1" si="110"/>
        <v>#N/A</v>
      </c>
      <c r="CP41" s="7" t="e">
        <f t="shared" ca="1" si="110"/>
        <v>#N/A</v>
      </c>
      <c r="CQ41" s="7" t="e">
        <f t="shared" ca="1" si="110"/>
        <v>#N/A</v>
      </c>
      <c r="CR41" s="7" t="e">
        <f t="shared" ref="CR41:CY41" ca="1" si="130">IF($A$1=FALSE,"-",CR15-OFFSET($A66,0,CR$28))</f>
        <v>#N/A</v>
      </c>
      <c r="CS41" s="7" t="e">
        <f t="shared" ca="1" si="130"/>
        <v>#N/A</v>
      </c>
      <c r="CT41" s="7" t="e">
        <f t="shared" ca="1" si="130"/>
        <v>#N/A</v>
      </c>
      <c r="CU41" s="7" t="e">
        <f t="shared" ca="1" si="130"/>
        <v>#N/A</v>
      </c>
      <c r="CV41" s="7" t="e">
        <f t="shared" ca="1" si="130"/>
        <v>#N/A</v>
      </c>
      <c r="CW41" s="7" t="e">
        <f t="shared" ca="1" si="130"/>
        <v>#N/A</v>
      </c>
      <c r="CX41" s="7" t="e">
        <f t="shared" ca="1" si="130"/>
        <v>#N/A</v>
      </c>
      <c r="CY41" s="7" t="e">
        <f t="shared" ca="1" si="130"/>
        <v>#N/A</v>
      </c>
    </row>
    <row r="42" spans="2:103" x14ac:dyDescent="0.15">
      <c r="B42" s="7">
        <f t="shared" ca="1" si="108"/>
        <v>0</v>
      </c>
      <c r="C42" s="7">
        <f t="shared" ca="1" si="108"/>
        <v>0</v>
      </c>
      <c r="D42" s="7">
        <f t="shared" ca="1" si="108"/>
        <v>0</v>
      </c>
      <c r="E42" s="7">
        <f t="shared" ca="1" si="108"/>
        <v>0</v>
      </c>
      <c r="F42" s="7">
        <f t="shared" ca="1" si="108"/>
        <v>0</v>
      </c>
      <c r="G42" s="7">
        <f t="shared" ca="1" si="108"/>
        <v>0</v>
      </c>
      <c r="H42" s="7">
        <f t="shared" ca="1" si="108"/>
        <v>0</v>
      </c>
      <c r="I42" s="7" t="e">
        <f t="shared" ca="1" si="108"/>
        <v>#N/A</v>
      </c>
      <c r="J42" s="7" t="e">
        <f t="shared" ca="1" si="108"/>
        <v>#N/A</v>
      </c>
      <c r="K42" s="7" t="e">
        <f t="shared" ca="1" si="108"/>
        <v>#N/A</v>
      </c>
      <c r="L42" s="7" t="e">
        <f t="shared" ca="1" si="112"/>
        <v>#N/A</v>
      </c>
      <c r="M42" s="7">
        <f t="shared" ca="1" si="129"/>
        <v>0</v>
      </c>
      <c r="N42" s="7">
        <f t="shared" ca="1" si="129"/>
        <v>0</v>
      </c>
      <c r="O42" s="7" t="e">
        <f t="shared" ca="1" si="129"/>
        <v>#N/A</v>
      </c>
      <c r="P42" s="7" t="e">
        <f t="shared" ca="1" si="129"/>
        <v>#N/A</v>
      </c>
      <c r="Q42" s="7">
        <f t="shared" ca="1" si="129"/>
        <v>0</v>
      </c>
      <c r="R42" s="7">
        <f t="shared" ca="1" si="129"/>
        <v>0</v>
      </c>
      <c r="S42" s="7">
        <f t="shared" ca="1" si="129"/>
        <v>0</v>
      </c>
      <c r="T42" s="7">
        <f t="shared" ca="1" si="129"/>
        <v>0</v>
      </c>
      <c r="U42" s="7">
        <f t="shared" ca="1" si="129"/>
        <v>0</v>
      </c>
      <c r="V42" s="7">
        <f t="shared" ca="1" si="129"/>
        <v>0</v>
      </c>
      <c r="W42" s="7">
        <f t="shared" ca="1" si="129"/>
        <v>0</v>
      </c>
      <c r="X42" s="7">
        <f t="shared" ca="1" si="129"/>
        <v>0</v>
      </c>
      <c r="Y42" s="7">
        <f t="shared" ca="1" si="129"/>
        <v>0</v>
      </c>
      <c r="Z42" s="7">
        <f t="shared" ca="1" si="129"/>
        <v>0</v>
      </c>
      <c r="AA42" s="7">
        <f t="shared" ca="1" si="129"/>
        <v>0</v>
      </c>
      <c r="AB42" s="7">
        <f t="shared" ca="1" si="129"/>
        <v>0</v>
      </c>
      <c r="AC42" s="7">
        <f t="shared" ca="1" si="129"/>
        <v>0</v>
      </c>
      <c r="AD42" s="7">
        <f t="shared" ca="1" si="129"/>
        <v>0</v>
      </c>
      <c r="AE42" s="7">
        <f t="shared" ca="1" si="129"/>
        <v>0</v>
      </c>
      <c r="AF42" s="7">
        <f t="shared" ca="1" si="129"/>
        <v>0</v>
      </c>
      <c r="AG42" s="7">
        <f t="shared" ca="1" si="129"/>
        <v>0</v>
      </c>
      <c r="AH42" s="7">
        <f t="shared" ca="1" si="129"/>
        <v>0</v>
      </c>
      <c r="AI42" s="7">
        <f t="shared" ca="1" si="129"/>
        <v>0</v>
      </c>
      <c r="AJ42" s="7">
        <f t="shared" ca="1" si="129"/>
        <v>0</v>
      </c>
      <c r="AK42" s="7">
        <f t="shared" ca="1" si="129"/>
        <v>0</v>
      </c>
      <c r="AL42" s="7">
        <f t="shared" ca="1" si="129"/>
        <v>0</v>
      </c>
      <c r="AM42" s="7">
        <f t="shared" ca="1" si="129"/>
        <v>0</v>
      </c>
      <c r="AN42" s="7">
        <f t="shared" ca="1" si="129"/>
        <v>0</v>
      </c>
      <c r="AO42" s="7">
        <f t="shared" ca="1" si="129"/>
        <v>0</v>
      </c>
      <c r="AP42" s="7">
        <f t="shared" ca="1" si="129"/>
        <v>0</v>
      </c>
      <c r="AQ42" s="7">
        <f t="shared" ca="1" si="129"/>
        <v>0</v>
      </c>
      <c r="AR42" s="7">
        <f t="shared" ca="1" si="129"/>
        <v>0</v>
      </c>
      <c r="AS42" s="7">
        <f t="shared" ca="1" si="129"/>
        <v>0</v>
      </c>
      <c r="AT42" s="7">
        <f t="shared" ca="1" si="129"/>
        <v>0</v>
      </c>
      <c r="AU42" s="7">
        <f t="shared" ca="1" si="129"/>
        <v>0</v>
      </c>
      <c r="AV42" s="7">
        <f t="shared" ca="1" si="129"/>
        <v>0</v>
      </c>
      <c r="AW42" s="7">
        <f t="shared" ca="1" si="129"/>
        <v>0</v>
      </c>
      <c r="AX42" s="7">
        <f t="shared" ca="1" si="129"/>
        <v>0</v>
      </c>
      <c r="AY42" s="7">
        <f t="shared" ca="1" si="129"/>
        <v>0</v>
      </c>
      <c r="AZ42" s="7">
        <f t="shared" ca="1" si="129"/>
        <v>0</v>
      </c>
      <c r="BA42" s="7" t="e">
        <f t="shared" ca="1" si="129"/>
        <v>#VALUE!</v>
      </c>
      <c r="BB42" s="7" t="e">
        <f t="shared" ca="1" si="129"/>
        <v>#VALUE!</v>
      </c>
      <c r="BC42" s="7">
        <f t="shared" ca="1" si="129"/>
        <v>0</v>
      </c>
      <c r="BD42" s="7">
        <f t="shared" ca="1" si="129"/>
        <v>0</v>
      </c>
      <c r="BE42" s="7">
        <f t="shared" ca="1" si="129"/>
        <v>0</v>
      </c>
      <c r="BF42" s="7">
        <f t="shared" ca="1" si="129"/>
        <v>0</v>
      </c>
      <c r="BG42" s="7">
        <f t="shared" ca="1" si="129"/>
        <v>0</v>
      </c>
      <c r="BH42" s="7">
        <f t="shared" ca="1" si="129"/>
        <v>0</v>
      </c>
      <c r="BI42" s="7">
        <f t="shared" ca="1" si="129"/>
        <v>0</v>
      </c>
      <c r="BJ42" s="7">
        <f t="shared" ca="1" si="129"/>
        <v>0</v>
      </c>
      <c r="BK42" s="7">
        <f t="shared" ca="1" si="129"/>
        <v>0</v>
      </c>
      <c r="BL42" s="7">
        <f t="shared" ca="1" si="129"/>
        <v>0</v>
      </c>
      <c r="BM42" s="7">
        <f t="shared" ca="1" si="129"/>
        <v>0</v>
      </c>
      <c r="BN42" s="7">
        <f t="shared" ca="1" si="129"/>
        <v>0</v>
      </c>
      <c r="BO42" s="7">
        <f t="shared" ca="1" si="129"/>
        <v>0</v>
      </c>
      <c r="BP42" s="7">
        <f t="shared" ca="1" si="129"/>
        <v>0</v>
      </c>
      <c r="BQ42" s="7">
        <f t="shared" ca="1" si="129"/>
        <v>0</v>
      </c>
      <c r="BR42" s="7">
        <f t="shared" ca="1" si="129"/>
        <v>0</v>
      </c>
      <c r="BS42" s="7">
        <f t="shared" ca="1" si="129"/>
        <v>0</v>
      </c>
      <c r="BT42" s="7">
        <f t="shared" ca="1" si="129"/>
        <v>0</v>
      </c>
      <c r="BU42" s="7">
        <f t="shared" ca="1" si="129"/>
        <v>0</v>
      </c>
      <c r="BV42" s="7">
        <f t="shared" ca="1" si="129"/>
        <v>0</v>
      </c>
      <c r="BW42" s="7">
        <f t="shared" ca="1" si="129"/>
        <v>0</v>
      </c>
      <c r="BX42" s="7">
        <f t="shared" ca="1" si="129"/>
        <v>0</v>
      </c>
      <c r="BY42" s="7">
        <f t="shared" ca="1" si="110"/>
        <v>5.6843418860808015E-14</v>
      </c>
      <c r="BZ42" s="7">
        <f t="shared" ca="1" si="110"/>
        <v>0</v>
      </c>
      <c r="CA42" s="7">
        <f t="shared" ca="1" si="110"/>
        <v>0</v>
      </c>
      <c r="CB42" s="7">
        <f t="shared" ca="1" si="110"/>
        <v>0</v>
      </c>
      <c r="CC42" s="7">
        <f t="shared" ca="1" si="110"/>
        <v>0</v>
      </c>
      <c r="CD42" s="7">
        <f t="shared" ca="1" si="110"/>
        <v>0</v>
      </c>
      <c r="CE42" s="7">
        <f t="shared" ca="1" si="110"/>
        <v>0</v>
      </c>
      <c r="CF42" s="7">
        <f t="shared" ca="1" si="110"/>
        <v>0</v>
      </c>
      <c r="CG42" s="7">
        <f t="shared" ref="CG42:CQ42" ca="1" si="131">IF($A$1=FALSE,"-",CG16-OFFSET($A67,0,CG$28))</f>
        <v>0</v>
      </c>
      <c r="CH42" s="7">
        <f t="shared" ca="1" si="131"/>
        <v>0</v>
      </c>
      <c r="CI42" s="7">
        <f t="shared" ca="1" si="131"/>
        <v>1.1102230246251565E-16</v>
      </c>
      <c r="CJ42" s="7">
        <f t="shared" ca="1" si="131"/>
        <v>8.8817841970012523E-16</v>
      </c>
      <c r="CK42" s="7">
        <f t="shared" ca="1" si="131"/>
        <v>0</v>
      </c>
      <c r="CL42" s="7">
        <f t="shared" ca="1" si="131"/>
        <v>0</v>
      </c>
      <c r="CM42" s="7">
        <f t="shared" ca="1" si="131"/>
        <v>0</v>
      </c>
      <c r="CN42" s="7">
        <f t="shared" ca="1" si="131"/>
        <v>0</v>
      </c>
      <c r="CO42" s="7" t="e">
        <f t="shared" ca="1" si="131"/>
        <v>#N/A</v>
      </c>
      <c r="CP42" s="7" t="e">
        <f t="shared" ca="1" si="131"/>
        <v>#N/A</v>
      </c>
      <c r="CQ42" s="7" t="e">
        <f t="shared" ca="1" si="131"/>
        <v>#N/A</v>
      </c>
      <c r="CR42" s="7" t="e">
        <f t="shared" ref="CR42:CY42" ca="1" si="132">IF($A$1=FALSE,"-",CR16-OFFSET($A67,0,CR$28))</f>
        <v>#N/A</v>
      </c>
      <c r="CS42" s="7" t="e">
        <f t="shared" ca="1" si="132"/>
        <v>#N/A</v>
      </c>
      <c r="CT42" s="7" t="e">
        <f t="shared" ca="1" si="132"/>
        <v>#N/A</v>
      </c>
      <c r="CU42" s="7" t="e">
        <f t="shared" ca="1" si="132"/>
        <v>#N/A</v>
      </c>
      <c r="CV42" s="7" t="e">
        <f t="shared" ca="1" si="132"/>
        <v>#N/A</v>
      </c>
      <c r="CW42" s="7" t="e">
        <f t="shared" ca="1" si="132"/>
        <v>#N/A</v>
      </c>
      <c r="CX42" s="7" t="e">
        <f t="shared" ca="1" si="132"/>
        <v>#N/A</v>
      </c>
      <c r="CY42" s="7" t="e">
        <f t="shared" ca="1" si="132"/>
        <v>#N/A</v>
      </c>
    </row>
    <row r="43" spans="2:103" x14ac:dyDescent="0.15">
      <c r="B43" s="7">
        <f t="shared" ca="1" si="108"/>
        <v>0</v>
      </c>
      <c r="C43" s="7">
        <f t="shared" ca="1" si="108"/>
        <v>0</v>
      </c>
      <c r="D43" s="7">
        <f t="shared" ca="1" si="108"/>
        <v>0</v>
      </c>
      <c r="E43" s="7">
        <f t="shared" ca="1" si="108"/>
        <v>0</v>
      </c>
      <c r="F43" s="7">
        <f t="shared" ca="1" si="108"/>
        <v>0</v>
      </c>
      <c r="G43" s="7">
        <f t="shared" ca="1" si="108"/>
        <v>0</v>
      </c>
      <c r="H43" s="7">
        <f t="shared" ca="1" si="108"/>
        <v>0</v>
      </c>
      <c r="I43" s="7" t="e">
        <f t="shared" ca="1" si="108"/>
        <v>#N/A</v>
      </c>
      <c r="J43" s="7" t="e">
        <f t="shared" ca="1" si="108"/>
        <v>#N/A</v>
      </c>
      <c r="K43" s="7" t="e">
        <f t="shared" ca="1" si="108"/>
        <v>#N/A</v>
      </c>
      <c r="L43" s="7" t="e">
        <f t="shared" ca="1" si="112"/>
        <v>#N/A</v>
      </c>
      <c r="M43" s="7">
        <f t="shared" ca="1" si="129"/>
        <v>0</v>
      </c>
      <c r="N43" s="7">
        <f t="shared" ca="1" si="129"/>
        <v>0</v>
      </c>
      <c r="O43" s="7" t="e">
        <f t="shared" ca="1" si="129"/>
        <v>#N/A</v>
      </c>
      <c r="P43" s="7" t="e">
        <f t="shared" ca="1" si="129"/>
        <v>#N/A</v>
      </c>
      <c r="Q43" s="7">
        <f t="shared" ca="1" si="129"/>
        <v>0</v>
      </c>
      <c r="R43" s="7">
        <f t="shared" ca="1" si="129"/>
        <v>0</v>
      </c>
      <c r="S43" s="7">
        <f t="shared" ca="1" si="129"/>
        <v>0</v>
      </c>
      <c r="T43" s="7">
        <f t="shared" ca="1" si="129"/>
        <v>0</v>
      </c>
      <c r="U43" s="7">
        <f t="shared" ca="1" si="129"/>
        <v>0</v>
      </c>
      <c r="V43" s="7">
        <f t="shared" ca="1" si="129"/>
        <v>0</v>
      </c>
      <c r="W43" s="7">
        <f t="shared" ca="1" si="129"/>
        <v>0</v>
      </c>
      <c r="X43" s="7">
        <f t="shared" ca="1" si="129"/>
        <v>0</v>
      </c>
      <c r="Y43" s="7">
        <f t="shared" ca="1" si="129"/>
        <v>0</v>
      </c>
      <c r="Z43" s="7">
        <f t="shared" ca="1" si="129"/>
        <v>0</v>
      </c>
      <c r="AA43" s="7">
        <f t="shared" ca="1" si="129"/>
        <v>0</v>
      </c>
      <c r="AB43" s="7">
        <f t="shared" ca="1" si="129"/>
        <v>0</v>
      </c>
      <c r="AC43" s="7">
        <f t="shared" ca="1" si="129"/>
        <v>0</v>
      </c>
      <c r="AD43" s="7">
        <f t="shared" ca="1" si="129"/>
        <v>0</v>
      </c>
      <c r="AE43" s="7">
        <f t="shared" ca="1" si="129"/>
        <v>0</v>
      </c>
      <c r="AF43" s="7">
        <f t="shared" ca="1" si="129"/>
        <v>0</v>
      </c>
      <c r="AG43" s="7">
        <f t="shared" ca="1" si="129"/>
        <v>0</v>
      </c>
      <c r="AH43" s="7">
        <f t="shared" ca="1" si="129"/>
        <v>0</v>
      </c>
      <c r="AI43" s="7">
        <f t="shared" ca="1" si="129"/>
        <v>0</v>
      </c>
      <c r="AJ43" s="7">
        <f t="shared" ca="1" si="129"/>
        <v>0</v>
      </c>
      <c r="AK43" s="7">
        <f t="shared" ca="1" si="129"/>
        <v>0</v>
      </c>
      <c r="AL43" s="7">
        <f t="shared" ca="1" si="129"/>
        <v>0</v>
      </c>
      <c r="AM43" s="7">
        <f t="shared" ca="1" si="129"/>
        <v>0</v>
      </c>
      <c r="AN43" s="7">
        <f t="shared" ca="1" si="129"/>
        <v>0</v>
      </c>
      <c r="AO43" s="7">
        <f t="shared" ca="1" si="129"/>
        <v>0</v>
      </c>
      <c r="AP43" s="7">
        <f t="shared" ca="1" si="129"/>
        <v>0</v>
      </c>
      <c r="AQ43" s="7">
        <f t="shared" ca="1" si="129"/>
        <v>0</v>
      </c>
      <c r="AR43" s="7">
        <f t="shared" ca="1" si="129"/>
        <v>0</v>
      </c>
      <c r="AS43" s="7">
        <f t="shared" ca="1" si="129"/>
        <v>0</v>
      </c>
      <c r="AT43" s="7">
        <f t="shared" ca="1" si="129"/>
        <v>0</v>
      </c>
      <c r="AU43" s="7">
        <f t="shared" ca="1" si="129"/>
        <v>0</v>
      </c>
      <c r="AV43" s="7">
        <f t="shared" ca="1" si="129"/>
        <v>0</v>
      </c>
      <c r="AW43" s="7">
        <f t="shared" ca="1" si="129"/>
        <v>0</v>
      </c>
      <c r="AX43" s="7">
        <f t="shared" ca="1" si="129"/>
        <v>0</v>
      </c>
      <c r="AY43" s="7">
        <f t="shared" ca="1" si="129"/>
        <v>0</v>
      </c>
      <c r="AZ43" s="7">
        <f t="shared" ca="1" si="129"/>
        <v>0</v>
      </c>
      <c r="BA43" s="7" t="e">
        <f t="shared" ca="1" si="129"/>
        <v>#VALUE!</v>
      </c>
      <c r="BB43" s="7" t="e">
        <f t="shared" ca="1" si="129"/>
        <v>#VALUE!</v>
      </c>
      <c r="BC43" s="7">
        <f t="shared" ca="1" si="129"/>
        <v>0</v>
      </c>
      <c r="BD43" s="7">
        <f t="shared" ca="1" si="129"/>
        <v>0</v>
      </c>
      <c r="BE43" s="7">
        <f t="shared" ca="1" si="129"/>
        <v>0</v>
      </c>
      <c r="BF43" s="7">
        <f t="shared" ca="1" si="129"/>
        <v>0</v>
      </c>
      <c r="BG43" s="7">
        <f t="shared" ca="1" si="129"/>
        <v>0</v>
      </c>
      <c r="BH43" s="7">
        <f t="shared" ca="1" si="129"/>
        <v>0</v>
      </c>
      <c r="BI43" s="7">
        <f t="shared" ca="1" si="129"/>
        <v>0</v>
      </c>
      <c r="BJ43" s="7">
        <f t="shared" ca="1" si="129"/>
        <v>0</v>
      </c>
      <c r="BK43" s="7">
        <f t="shared" ca="1" si="129"/>
        <v>0</v>
      </c>
      <c r="BL43" s="7">
        <f t="shared" ca="1" si="129"/>
        <v>0</v>
      </c>
      <c r="BM43" s="7">
        <f t="shared" ca="1" si="129"/>
        <v>0</v>
      </c>
      <c r="BN43" s="7">
        <f t="shared" ca="1" si="129"/>
        <v>0</v>
      </c>
      <c r="BO43" s="7">
        <f t="shared" ca="1" si="129"/>
        <v>0</v>
      </c>
      <c r="BP43" s="7">
        <f t="shared" ca="1" si="129"/>
        <v>0</v>
      </c>
      <c r="BQ43" s="7">
        <f t="shared" ca="1" si="129"/>
        <v>0</v>
      </c>
      <c r="BR43" s="7">
        <f t="shared" ca="1" si="129"/>
        <v>0</v>
      </c>
      <c r="BS43" s="7">
        <f t="shared" ca="1" si="129"/>
        <v>0</v>
      </c>
      <c r="BT43" s="7">
        <f t="shared" ca="1" si="129"/>
        <v>0</v>
      </c>
      <c r="BU43" s="7">
        <f t="shared" ca="1" si="129"/>
        <v>0</v>
      </c>
      <c r="BV43" s="7">
        <f t="shared" ca="1" si="129"/>
        <v>0</v>
      </c>
      <c r="BW43" s="7">
        <f t="shared" ca="1" si="129"/>
        <v>0</v>
      </c>
      <c r="BX43" s="7">
        <f t="shared" ca="1" si="129"/>
        <v>0</v>
      </c>
      <c r="BY43" s="7">
        <f t="shared" ref="BY43:CQ49" ca="1" si="133">IF($A$1=FALSE,"-",BY17-OFFSET($A68,0,BY$28))</f>
        <v>0</v>
      </c>
      <c r="BZ43" s="7">
        <f t="shared" ca="1" si="133"/>
        <v>7.1054273576010019E-15</v>
      </c>
      <c r="CA43" s="7">
        <f t="shared" ca="1" si="133"/>
        <v>1.7763568394002505E-15</v>
      </c>
      <c r="CB43" s="7">
        <f t="shared" ca="1" si="133"/>
        <v>0</v>
      </c>
      <c r="CC43" s="7">
        <f t="shared" ca="1" si="133"/>
        <v>0</v>
      </c>
      <c r="CD43" s="7">
        <f t="shared" ca="1" si="133"/>
        <v>0</v>
      </c>
      <c r="CE43" s="7">
        <f t="shared" ca="1" si="133"/>
        <v>0</v>
      </c>
      <c r="CF43" s="7">
        <f t="shared" ca="1" si="133"/>
        <v>0</v>
      </c>
      <c r="CG43" s="7">
        <f t="shared" ca="1" si="133"/>
        <v>0</v>
      </c>
      <c r="CH43" s="7">
        <f t="shared" ca="1" si="133"/>
        <v>0</v>
      </c>
      <c r="CI43" s="7">
        <f t="shared" ca="1" si="133"/>
        <v>0</v>
      </c>
      <c r="CJ43" s="7">
        <f t="shared" ca="1" si="133"/>
        <v>-2.2204460492503131E-16</v>
      </c>
      <c r="CK43" s="7">
        <f t="shared" ca="1" si="133"/>
        <v>0</v>
      </c>
      <c r="CL43" s="7">
        <f t="shared" ca="1" si="133"/>
        <v>0</v>
      </c>
      <c r="CM43" s="7">
        <f t="shared" ca="1" si="133"/>
        <v>0</v>
      </c>
      <c r="CN43" s="7">
        <f t="shared" ca="1" si="133"/>
        <v>0</v>
      </c>
      <c r="CO43" s="7" t="e">
        <f t="shared" ca="1" si="133"/>
        <v>#N/A</v>
      </c>
      <c r="CP43" s="7" t="e">
        <f t="shared" ca="1" si="133"/>
        <v>#N/A</v>
      </c>
      <c r="CQ43" s="7" t="e">
        <f t="shared" ca="1" si="133"/>
        <v>#N/A</v>
      </c>
      <c r="CR43" s="7" t="e">
        <f t="shared" ref="CR43:CY43" ca="1" si="134">IF($A$1=FALSE,"-",CR17-OFFSET($A68,0,CR$28))</f>
        <v>#N/A</v>
      </c>
      <c r="CS43" s="7" t="e">
        <f t="shared" ca="1" si="134"/>
        <v>#N/A</v>
      </c>
      <c r="CT43" s="7" t="e">
        <f t="shared" ca="1" si="134"/>
        <v>#N/A</v>
      </c>
      <c r="CU43" s="7" t="e">
        <f t="shared" ca="1" si="134"/>
        <v>#N/A</v>
      </c>
      <c r="CV43" s="7" t="e">
        <f t="shared" ca="1" si="134"/>
        <v>#N/A</v>
      </c>
      <c r="CW43" s="7" t="e">
        <f t="shared" ca="1" si="134"/>
        <v>#N/A</v>
      </c>
      <c r="CX43" s="7" t="e">
        <f t="shared" ca="1" si="134"/>
        <v>#N/A</v>
      </c>
      <c r="CY43" s="7" t="e">
        <f t="shared" ca="1" si="134"/>
        <v>#N/A</v>
      </c>
    </row>
    <row r="44" spans="2:103" x14ac:dyDescent="0.15">
      <c r="B44" s="7">
        <f t="shared" ca="1" si="108"/>
        <v>0</v>
      </c>
      <c r="C44" s="7">
        <f t="shared" ca="1" si="108"/>
        <v>0</v>
      </c>
      <c r="D44" s="7">
        <f t="shared" ca="1" si="108"/>
        <v>0</v>
      </c>
      <c r="E44" s="7">
        <f t="shared" ca="1" si="108"/>
        <v>0</v>
      </c>
      <c r="F44" s="7">
        <f t="shared" ca="1" si="108"/>
        <v>0</v>
      </c>
      <c r="G44" s="7">
        <f t="shared" ca="1" si="108"/>
        <v>0</v>
      </c>
      <c r="H44" s="7">
        <f t="shared" ca="1" si="108"/>
        <v>0</v>
      </c>
      <c r="I44" s="7" t="e">
        <f t="shared" ca="1" si="108"/>
        <v>#N/A</v>
      </c>
      <c r="J44" s="7" t="e">
        <f t="shared" ca="1" si="108"/>
        <v>#N/A</v>
      </c>
      <c r="K44" s="7" t="e">
        <f t="shared" ca="1" si="108"/>
        <v>#N/A</v>
      </c>
      <c r="L44" s="7" t="e">
        <f t="shared" ca="1" si="112"/>
        <v>#N/A</v>
      </c>
      <c r="M44" s="7">
        <f t="shared" ca="1" si="129"/>
        <v>0</v>
      </c>
      <c r="N44" s="7">
        <f t="shared" ca="1" si="129"/>
        <v>0</v>
      </c>
      <c r="O44" s="7" t="e">
        <f t="shared" ca="1" si="129"/>
        <v>#N/A</v>
      </c>
      <c r="P44" s="7" t="e">
        <f t="shared" ca="1" si="129"/>
        <v>#N/A</v>
      </c>
      <c r="Q44" s="7">
        <f t="shared" ca="1" si="129"/>
        <v>0</v>
      </c>
      <c r="R44" s="7">
        <f t="shared" ca="1" si="129"/>
        <v>0</v>
      </c>
      <c r="S44" s="7">
        <f t="shared" ca="1" si="129"/>
        <v>0</v>
      </c>
      <c r="T44" s="7">
        <f t="shared" ca="1" si="129"/>
        <v>0</v>
      </c>
      <c r="U44" s="7">
        <f t="shared" ca="1" si="129"/>
        <v>0</v>
      </c>
      <c r="V44" s="7">
        <f t="shared" ca="1" si="129"/>
        <v>0</v>
      </c>
      <c r="W44" s="7">
        <f t="shared" ca="1" si="129"/>
        <v>0</v>
      </c>
      <c r="X44" s="7">
        <f t="shared" ca="1" si="129"/>
        <v>0</v>
      </c>
      <c r="Y44" s="7">
        <f t="shared" ca="1" si="129"/>
        <v>0</v>
      </c>
      <c r="Z44" s="7">
        <f t="shared" ca="1" si="129"/>
        <v>0</v>
      </c>
      <c r="AA44" s="7">
        <f t="shared" ca="1" si="129"/>
        <v>0</v>
      </c>
      <c r="AB44" s="7">
        <f t="shared" ca="1" si="129"/>
        <v>0</v>
      </c>
      <c r="AC44" s="7">
        <f t="shared" ca="1" si="129"/>
        <v>0</v>
      </c>
      <c r="AD44" s="7">
        <f t="shared" ca="1" si="129"/>
        <v>0</v>
      </c>
      <c r="AE44" s="7">
        <f t="shared" ca="1" si="129"/>
        <v>0</v>
      </c>
      <c r="AF44" s="7">
        <f t="shared" ca="1" si="129"/>
        <v>0</v>
      </c>
      <c r="AG44" s="7">
        <f t="shared" ca="1" si="129"/>
        <v>0</v>
      </c>
      <c r="AH44" s="7">
        <f t="shared" ca="1" si="129"/>
        <v>0</v>
      </c>
      <c r="AI44" s="7">
        <f t="shared" ca="1" si="129"/>
        <v>0</v>
      </c>
      <c r="AJ44" s="7">
        <f t="shared" ca="1" si="129"/>
        <v>0</v>
      </c>
      <c r="AK44" s="7">
        <f t="shared" ca="1" si="129"/>
        <v>0</v>
      </c>
      <c r="AL44" s="7">
        <f t="shared" ca="1" si="129"/>
        <v>0</v>
      </c>
      <c r="AM44" s="7">
        <f t="shared" ca="1" si="129"/>
        <v>0</v>
      </c>
      <c r="AN44" s="7">
        <f t="shared" ca="1" si="129"/>
        <v>0</v>
      </c>
      <c r="AO44" s="7">
        <f t="shared" ca="1" si="129"/>
        <v>0</v>
      </c>
      <c r="AP44" s="7">
        <f t="shared" ca="1" si="129"/>
        <v>0</v>
      </c>
      <c r="AQ44" s="7">
        <f t="shared" ca="1" si="129"/>
        <v>0</v>
      </c>
      <c r="AR44" s="7">
        <f t="shared" ca="1" si="129"/>
        <v>0</v>
      </c>
      <c r="AS44" s="7">
        <f t="shared" ca="1" si="129"/>
        <v>0</v>
      </c>
      <c r="AT44" s="7">
        <f t="shared" ca="1" si="129"/>
        <v>0</v>
      </c>
      <c r="AU44" s="7">
        <f t="shared" ca="1" si="129"/>
        <v>0</v>
      </c>
      <c r="AV44" s="7">
        <f t="shared" ca="1" si="129"/>
        <v>0</v>
      </c>
      <c r="AW44" s="7">
        <f t="shared" ca="1" si="129"/>
        <v>0</v>
      </c>
      <c r="AX44" s="7">
        <f t="shared" ca="1" si="129"/>
        <v>0</v>
      </c>
      <c r="AY44" s="7">
        <f t="shared" ca="1" si="129"/>
        <v>0</v>
      </c>
      <c r="AZ44" s="7">
        <f t="shared" ca="1" si="129"/>
        <v>0</v>
      </c>
      <c r="BA44" s="7" t="e">
        <f t="shared" ca="1" si="129"/>
        <v>#VALUE!</v>
      </c>
      <c r="BB44" s="7" t="e">
        <f t="shared" ca="1" si="129"/>
        <v>#VALUE!</v>
      </c>
      <c r="BC44" s="7">
        <f t="shared" ca="1" si="129"/>
        <v>0</v>
      </c>
      <c r="BD44" s="7">
        <f t="shared" ca="1" si="129"/>
        <v>0</v>
      </c>
      <c r="BE44" s="7">
        <f t="shared" ca="1" si="129"/>
        <v>0</v>
      </c>
      <c r="BF44" s="7">
        <f t="shared" ca="1" si="129"/>
        <v>0</v>
      </c>
      <c r="BG44" s="7">
        <f t="shared" ca="1" si="129"/>
        <v>0</v>
      </c>
      <c r="BH44" s="7">
        <f t="shared" ca="1" si="129"/>
        <v>0</v>
      </c>
      <c r="BI44" s="7">
        <f t="shared" ca="1" si="129"/>
        <v>0</v>
      </c>
      <c r="BJ44" s="7">
        <f t="shared" ca="1" si="129"/>
        <v>0</v>
      </c>
      <c r="BK44" s="7">
        <f t="shared" ca="1" si="129"/>
        <v>0</v>
      </c>
      <c r="BL44" s="7">
        <f t="shared" ca="1" si="129"/>
        <v>0</v>
      </c>
      <c r="BM44" s="7">
        <f t="shared" ca="1" si="129"/>
        <v>0</v>
      </c>
      <c r="BN44" s="7">
        <f t="shared" ca="1" si="129"/>
        <v>0</v>
      </c>
      <c r="BO44" s="7">
        <f t="shared" ca="1" si="129"/>
        <v>0</v>
      </c>
      <c r="BP44" s="7">
        <f t="shared" ca="1" si="129"/>
        <v>0</v>
      </c>
      <c r="BQ44" s="7">
        <f t="shared" ca="1" si="129"/>
        <v>0</v>
      </c>
      <c r="BR44" s="7">
        <f t="shared" ca="1" si="129"/>
        <v>0</v>
      </c>
      <c r="BS44" s="7">
        <f t="shared" ca="1" si="129"/>
        <v>0</v>
      </c>
      <c r="BT44" s="7">
        <f t="shared" ca="1" si="129"/>
        <v>0</v>
      </c>
      <c r="BU44" s="7">
        <f t="shared" ca="1" si="129"/>
        <v>0</v>
      </c>
      <c r="BV44" s="7">
        <f t="shared" ca="1" si="129"/>
        <v>0</v>
      </c>
      <c r="BW44" s="7">
        <f t="shared" ca="1" si="129"/>
        <v>0</v>
      </c>
      <c r="BX44" s="7">
        <f t="shared" ref="BX44" ca="1" si="135">IF($A$1=FALSE,"-",BX18-OFFSET($A69,0,BX$28))</f>
        <v>0</v>
      </c>
      <c r="BY44" s="7">
        <f t="shared" ca="1" si="133"/>
        <v>-1.1368683772161603E-13</v>
      </c>
      <c r="BZ44" s="7">
        <f t="shared" ca="1" si="133"/>
        <v>0</v>
      </c>
      <c r="CA44" s="7">
        <f t="shared" ca="1" si="133"/>
        <v>0</v>
      </c>
      <c r="CB44" s="7">
        <f t="shared" ca="1" si="133"/>
        <v>0</v>
      </c>
      <c r="CC44" s="7">
        <f t="shared" ca="1" si="133"/>
        <v>0</v>
      </c>
      <c r="CD44" s="7">
        <f t="shared" ca="1" si="133"/>
        <v>-1.1368683772161603E-13</v>
      </c>
      <c r="CE44" s="7">
        <f t="shared" ca="1" si="133"/>
        <v>1.4210854715202004E-14</v>
      </c>
      <c r="CF44" s="7">
        <f t="shared" ca="1" si="133"/>
        <v>1.2434497875801753E-14</v>
      </c>
      <c r="CG44" s="7">
        <f t="shared" ca="1" si="133"/>
        <v>-5.5511151231257827E-17</v>
      </c>
      <c r="CH44" s="7">
        <f t="shared" ca="1" si="133"/>
        <v>1.4210854715202004E-14</v>
      </c>
      <c r="CI44" s="7">
        <f t="shared" ca="1" si="133"/>
        <v>-1.1102230246251565E-16</v>
      </c>
      <c r="CJ44" s="7">
        <f t="shared" ca="1" si="133"/>
        <v>1.4210854715202004E-14</v>
      </c>
      <c r="CK44" s="7">
        <f t="shared" ca="1" si="133"/>
        <v>1.1368683772161603E-13</v>
      </c>
      <c r="CL44" s="7">
        <f t="shared" ca="1" si="133"/>
        <v>1.1368683772161603E-13</v>
      </c>
      <c r="CM44" s="7">
        <f t="shared" ca="1" si="133"/>
        <v>9.9475983006414026E-14</v>
      </c>
      <c r="CN44" s="7">
        <f t="shared" ca="1" si="133"/>
        <v>1.1368683772161603E-13</v>
      </c>
      <c r="CO44" s="7" t="e">
        <f t="shared" ca="1" si="133"/>
        <v>#N/A</v>
      </c>
      <c r="CP44" s="7" t="e">
        <f t="shared" ca="1" si="133"/>
        <v>#N/A</v>
      </c>
      <c r="CQ44" s="7" t="e">
        <f t="shared" ca="1" si="133"/>
        <v>#N/A</v>
      </c>
      <c r="CR44" s="7" t="e">
        <f t="shared" ref="CR44:CY44" ca="1" si="136">IF($A$1=FALSE,"-",CR18-OFFSET($A69,0,CR$28))</f>
        <v>#N/A</v>
      </c>
      <c r="CS44" s="7" t="e">
        <f t="shared" ca="1" si="136"/>
        <v>#N/A</v>
      </c>
      <c r="CT44" s="7" t="e">
        <f t="shared" ca="1" si="136"/>
        <v>#N/A</v>
      </c>
      <c r="CU44" s="7" t="e">
        <f t="shared" ca="1" si="136"/>
        <v>#N/A</v>
      </c>
      <c r="CV44" s="7" t="e">
        <f t="shared" ca="1" si="136"/>
        <v>#N/A</v>
      </c>
      <c r="CW44" s="7" t="e">
        <f t="shared" ca="1" si="136"/>
        <v>#N/A</v>
      </c>
      <c r="CX44" s="7" t="e">
        <f t="shared" ca="1" si="136"/>
        <v>#N/A</v>
      </c>
      <c r="CY44" s="7" t="e">
        <f t="shared" ca="1" si="136"/>
        <v>#N/A</v>
      </c>
    </row>
    <row r="45" spans="2:103" x14ac:dyDescent="0.15">
      <c r="B45" s="7">
        <f t="shared" ref="B45:K49" ca="1" si="137">IF($A$1=FALSE,"-",B19-OFFSET($A70,0,B$28))</f>
        <v>0</v>
      </c>
      <c r="C45" s="7">
        <f t="shared" ca="1" si="137"/>
        <v>0</v>
      </c>
      <c r="D45" s="7">
        <f t="shared" ca="1" si="137"/>
        <v>0</v>
      </c>
      <c r="E45" s="7">
        <f t="shared" ca="1" si="137"/>
        <v>0</v>
      </c>
      <c r="F45" s="7">
        <f t="shared" ca="1" si="137"/>
        <v>0</v>
      </c>
      <c r="G45" s="7">
        <f t="shared" ca="1" si="137"/>
        <v>0</v>
      </c>
      <c r="H45" s="7">
        <f t="shared" ca="1" si="137"/>
        <v>0</v>
      </c>
      <c r="I45" s="7" t="e">
        <f t="shared" ca="1" si="137"/>
        <v>#N/A</v>
      </c>
      <c r="J45" s="7" t="e">
        <f t="shared" ca="1" si="137"/>
        <v>#N/A</v>
      </c>
      <c r="K45" s="7" t="e">
        <f t="shared" ca="1" si="137"/>
        <v>#N/A</v>
      </c>
      <c r="L45" s="7" t="e">
        <f t="shared" ca="1" si="112"/>
        <v>#N/A</v>
      </c>
      <c r="M45" s="7">
        <f t="shared" ref="M45:BX48" ca="1" si="138">IF($A$1=FALSE,"-",M19-OFFSET($A70,0,M$28))</f>
        <v>0</v>
      </c>
      <c r="N45" s="7">
        <f t="shared" ca="1" si="138"/>
        <v>0</v>
      </c>
      <c r="O45" s="7" t="e">
        <f t="shared" ca="1" si="138"/>
        <v>#N/A</v>
      </c>
      <c r="P45" s="7" t="e">
        <f t="shared" ca="1" si="138"/>
        <v>#N/A</v>
      </c>
      <c r="Q45" s="7">
        <f t="shared" ca="1" si="138"/>
        <v>0</v>
      </c>
      <c r="R45" s="7">
        <f t="shared" ca="1" si="138"/>
        <v>0</v>
      </c>
      <c r="S45" s="7">
        <f t="shared" ca="1" si="138"/>
        <v>0</v>
      </c>
      <c r="T45" s="7">
        <f t="shared" ca="1" si="138"/>
        <v>0</v>
      </c>
      <c r="U45" s="7">
        <f t="shared" ca="1" si="138"/>
        <v>0</v>
      </c>
      <c r="V45" s="7">
        <f t="shared" ca="1" si="138"/>
        <v>0</v>
      </c>
      <c r="W45" s="7">
        <f t="shared" ca="1" si="138"/>
        <v>0</v>
      </c>
      <c r="X45" s="7">
        <f t="shared" ca="1" si="138"/>
        <v>0</v>
      </c>
      <c r="Y45" s="7">
        <f t="shared" ca="1" si="138"/>
        <v>0</v>
      </c>
      <c r="Z45" s="7">
        <f t="shared" ca="1" si="138"/>
        <v>0</v>
      </c>
      <c r="AA45" s="7">
        <f t="shared" ca="1" si="138"/>
        <v>0</v>
      </c>
      <c r="AB45" s="7">
        <f t="shared" ca="1" si="138"/>
        <v>0</v>
      </c>
      <c r="AC45" s="7">
        <f t="shared" ca="1" si="138"/>
        <v>0</v>
      </c>
      <c r="AD45" s="7">
        <f t="shared" ca="1" si="138"/>
        <v>0</v>
      </c>
      <c r="AE45" s="7">
        <f t="shared" ca="1" si="138"/>
        <v>0</v>
      </c>
      <c r="AF45" s="7">
        <f t="shared" ca="1" si="138"/>
        <v>0</v>
      </c>
      <c r="AG45" s="7">
        <f t="shared" ca="1" si="138"/>
        <v>0</v>
      </c>
      <c r="AH45" s="7">
        <f t="shared" ca="1" si="138"/>
        <v>0</v>
      </c>
      <c r="AI45" s="7">
        <f t="shared" ca="1" si="138"/>
        <v>0</v>
      </c>
      <c r="AJ45" s="7">
        <f t="shared" ca="1" si="138"/>
        <v>0</v>
      </c>
      <c r="AK45" s="7">
        <f t="shared" ca="1" si="138"/>
        <v>0</v>
      </c>
      <c r="AL45" s="7">
        <f t="shared" ca="1" si="138"/>
        <v>0</v>
      </c>
      <c r="AM45" s="7">
        <f t="shared" ca="1" si="138"/>
        <v>0</v>
      </c>
      <c r="AN45" s="7">
        <f t="shared" ca="1" si="138"/>
        <v>0</v>
      </c>
      <c r="AO45" s="7">
        <f t="shared" ca="1" si="138"/>
        <v>0</v>
      </c>
      <c r="AP45" s="7">
        <f t="shared" ca="1" si="138"/>
        <v>0</v>
      </c>
      <c r="AQ45" s="7">
        <f t="shared" ca="1" si="138"/>
        <v>0</v>
      </c>
      <c r="AR45" s="7">
        <f t="shared" ca="1" si="138"/>
        <v>0</v>
      </c>
      <c r="AS45" s="7">
        <f t="shared" ca="1" si="138"/>
        <v>0</v>
      </c>
      <c r="AT45" s="7">
        <f t="shared" ca="1" si="138"/>
        <v>0</v>
      </c>
      <c r="AU45" s="7">
        <f t="shared" ca="1" si="138"/>
        <v>0</v>
      </c>
      <c r="AV45" s="7">
        <f t="shared" ca="1" si="138"/>
        <v>0</v>
      </c>
      <c r="AW45" s="7">
        <f t="shared" ca="1" si="138"/>
        <v>0</v>
      </c>
      <c r="AX45" s="7">
        <f t="shared" ca="1" si="138"/>
        <v>0</v>
      </c>
      <c r="AY45" s="7">
        <f t="shared" ca="1" si="138"/>
        <v>0</v>
      </c>
      <c r="AZ45" s="7">
        <f t="shared" ca="1" si="138"/>
        <v>0</v>
      </c>
      <c r="BA45" s="7" t="e">
        <f t="shared" ca="1" si="138"/>
        <v>#VALUE!</v>
      </c>
      <c r="BB45" s="7" t="e">
        <f t="shared" ca="1" si="138"/>
        <v>#VALUE!</v>
      </c>
      <c r="BC45" s="7">
        <f t="shared" ca="1" si="138"/>
        <v>0</v>
      </c>
      <c r="BD45" s="7">
        <f t="shared" ca="1" si="138"/>
        <v>0</v>
      </c>
      <c r="BE45" s="7">
        <f t="shared" ca="1" si="138"/>
        <v>0</v>
      </c>
      <c r="BF45" s="7">
        <f t="shared" ca="1" si="138"/>
        <v>0</v>
      </c>
      <c r="BG45" s="7">
        <f t="shared" ca="1" si="138"/>
        <v>0</v>
      </c>
      <c r="BH45" s="7">
        <f t="shared" ca="1" si="138"/>
        <v>0</v>
      </c>
      <c r="BI45" s="7">
        <f t="shared" ca="1" si="138"/>
        <v>0</v>
      </c>
      <c r="BJ45" s="7">
        <f t="shared" ca="1" si="138"/>
        <v>0</v>
      </c>
      <c r="BK45" s="7">
        <f t="shared" ca="1" si="138"/>
        <v>0</v>
      </c>
      <c r="BL45" s="7">
        <f t="shared" ca="1" si="138"/>
        <v>0</v>
      </c>
      <c r="BM45" s="7">
        <f t="shared" ca="1" si="138"/>
        <v>0</v>
      </c>
      <c r="BN45" s="7">
        <f t="shared" ca="1" si="138"/>
        <v>0</v>
      </c>
      <c r="BO45" s="7">
        <f t="shared" ca="1" si="138"/>
        <v>0</v>
      </c>
      <c r="BP45" s="7">
        <f t="shared" ca="1" si="138"/>
        <v>0</v>
      </c>
      <c r="BQ45" s="7">
        <f t="shared" ca="1" si="138"/>
        <v>0</v>
      </c>
      <c r="BR45" s="7">
        <f t="shared" ca="1" si="138"/>
        <v>0</v>
      </c>
      <c r="BS45" s="7">
        <f t="shared" ca="1" si="138"/>
        <v>0</v>
      </c>
      <c r="BT45" s="7">
        <f t="shared" ca="1" si="138"/>
        <v>0</v>
      </c>
      <c r="BU45" s="7">
        <f t="shared" ca="1" si="138"/>
        <v>0</v>
      </c>
      <c r="BV45" s="7">
        <f t="shared" ca="1" si="138"/>
        <v>0</v>
      </c>
      <c r="BW45" s="7">
        <f t="shared" ca="1" si="138"/>
        <v>0</v>
      </c>
      <c r="BX45" s="7">
        <f t="shared" ca="1" si="138"/>
        <v>0</v>
      </c>
      <c r="BY45" s="7">
        <f t="shared" ca="1" si="133"/>
        <v>0</v>
      </c>
      <c r="BZ45" s="7">
        <f t="shared" ca="1" si="133"/>
        <v>0</v>
      </c>
      <c r="CA45" s="7">
        <f t="shared" ca="1" si="133"/>
        <v>0</v>
      </c>
      <c r="CB45" s="7">
        <f t="shared" ca="1" si="133"/>
        <v>0</v>
      </c>
      <c r="CC45" s="7">
        <f t="shared" ca="1" si="133"/>
        <v>0</v>
      </c>
      <c r="CD45" s="7">
        <f t="shared" ca="1" si="133"/>
        <v>0</v>
      </c>
      <c r="CE45" s="7">
        <f t="shared" ca="1" si="133"/>
        <v>0</v>
      </c>
      <c r="CF45" s="7">
        <f t="shared" ca="1" si="133"/>
        <v>0</v>
      </c>
      <c r="CG45" s="7">
        <f t="shared" ca="1" si="133"/>
        <v>0</v>
      </c>
      <c r="CH45" s="7">
        <f t="shared" ca="1" si="133"/>
        <v>3.5527136788005009E-15</v>
      </c>
      <c r="CI45" s="7">
        <f t="shared" ca="1" si="133"/>
        <v>0</v>
      </c>
      <c r="CJ45" s="7">
        <f t="shared" ca="1" si="133"/>
        <v>0</v>
      </c>
      <c r="CK45" s="7">
        <f t="shared" ca="1" si="133"/>
        <v>0</v>
      </c>
      <c r="CL45" s="7">
        <f t="shared" ca="1" si="133"/>
        <v>0</v>
      </c>
      <c r="CM45" s="7">
        <f t="shared" ca="1" si="133"/>
        <v>0</v>
      </c>
      <c r="CN45" s="7">
        <f t="shared" ca="1" si="133"/>
        <v>0</v>
      </c>
      <c r="CO45" s="7" t="e">
        <f t="shared" ca="1" si="133"/>
        <v>#N/A</v>
      </c>
      <c r="CP45" s="7" t="e">
        <f t="shared" ca="1" si="133"/>
        <v>#N/A</v>
      </c>
      <c r="CQ45" s="7" t="e">
        <f t="shared" ca="1" si="133"/>
        <v>#N/A</v>
      </c>
      <c r="CR45" s="7" t="e">
        <f t="shared" ref="CR45:CY45" ca="1" si="139">IF($A$1=FALSE,"-",CR19-OFFSET($A70,0,CR$28))</f>
        <v>#N/A</v>
      </c>
      <c r="CS45" s="7" t="e">
        <f t="shared" ca="1" si="139"/>
        <v>#N/A</v>
      </c>
      <c r="CT45" s="7" t="e">
        <f t="shared" ca="1" si="139"/>
        <v>#N/A</v>
      </c>
      <c r="CU45" s="7" t="e">
        <f t="shared" ca="1" si="139"/>
        <v>#N/A</v>
      </c>
      <c r="CV45" s="7" t="e">
        <f t="shared" ca="1" si="139"/>
        <v>#N/A</v>
      </c>
      <c r="CW45" s="7" t="e">
        <f t="shared" ca="1" si="139"/>
        <v>#N/A</v>
      </c>
      <c r="CX45" s="7" t="e">
        <f t="shared" ca="1" si="139"/>
        <v>#N/A</v>
      </c>
      <c r="CY45" s="7" t="e">
        <f t="shared" ca="1" si="139"/>
        <v>#N/A</v>
      </c>
    </row>
    <row r="46" spans="2:103" x14ac:dyDescent="0.15">
      <c r="B46" s="7">
        <f t="shared" ca="1" si="137"/>
        <v>0</v>
      </c>
      <c r="C46" s="7">
        <f t="shared" ca="1" si="137"/>
        <v>0</v>
      </c>
      <c r="D46" s="7">
        <f t="shared" ca="1" si="137"/>
        <v>0</v>
      </c>
      <c r="E46" s="7">
        <f t="shared" ca="1" si="137"/>
        <v>0</v>
      </c>
      <c r="F46" s="7">
        <f t="shared" ca="1" si="137"/>
        <v>0</v>
      </c>
      <c r="G46" s="7">
        <f t="shared" ca="1" si="137"/>
        <v>0</v>
      </c>
      <c r="H46" s="7">
        <f t="shared" ca="1" si="137"/>
        <v>0</v>
      </c>
      <c r="I46" s="7" t="e">
        <f t="shared" ca="1" si="137"/>
        <v>#N/A</v>
      </c>
      <c r="J46" s="7" t="e">
        <f t="shared" ca="1" si="137"/>
        <v>#N/A</v>
      </c>
      <c r="K46" s="7" t="e">
        <f t="shared" ca="1" si="137"/>
        <v>#N/A</v>
      </c>
      <c r="L46" s="7" t="e">
        <f t="shared" ca="1" si="112"/>
        <v>#N/A</v>
      </c>
      <c r="M46" s="7">
        <f t="shared" ca="1" si="138"/>
        <v>0</v>
      </c>
      <c r="N46" s="7">
        <f t="shared" ca="1" si="138"/>
        <v>0</v>
      </c>
      <c r="O46" s="7" t="e">
        <f t="shared" ca="1" si="138"/>
        <v>#N/A</v>
      </c>
      <c r="P46" s="7" t="e">
        <f t="shared" ca="1" si="138"/>
        <v>#N/A</v>
      </c>
      <c r="Q46" s="7">
        <f t="shared" ca="1" si="138"/>
        <v>0</v>
      </c>
      <c r="R46" s="7">
        <f t="shared" ca="1" si="138"/>
        <v>0</v>
      </c>
      <c r="S46" s="7">
        <f t="shared" ca="1" si="138"/>
        <v>0</v>
      </c>
      <c r="T46" s="7">
        <f t="shared" ca="1" si="138"/>
        <v>0</v>
      </c>
      <c r="U46" s="7">
        <f t="shared" ca="1" si="138"/>
        <v>0</v>
      </c>
      <c r="V46" s="7">
        <f t="shared" ca="1" si="138"/>
        <v>0</v>
      </c>
      <c r="W46" s="7">
        <f t="shared" ca="1" si="138"/>
        <v>0</v>
      </c>
      <c r="X46" s="7">
        <f t="shared" ca="1" si="138"/>
        <v>0</v>
      </c>
      <c r="Y46" s="7">
        <f t="shared" ca="1" si="138"/>
        <v>0</v>
      </c>
      <c r="Z46" s="7">
        <f t="shared" ca="1" si="138"/>
        <v>0</v>
      </c>
      <c r="AA46" s="7">
        <f t="shared" ca="1" si="138"/>
        <v>0</v>
      </c>
      <c r="AB46" s="7">
        <f t="shared" ca="1" si="138"/>
        <v>0</v>
      </c>
      <c r="AC46" s="7">
        <f t="shared" ca="1" si="138"/>
        <v>0</v>
      </c>
      <c r="AD46" s="7">
        <f t="shared" ca="1" si="138"/>
        <v>0</v>
      </c>
      <c r="AE46" s="7">
        <f t="shared" ca="1" si="138"/>
        <v>0</v>
      </c>
      <c r="AF46" s="7">
        <f t="shared" ca="1" si="138"/>
        <v>0</v>
      </c>
      <c r="AG46" s="7">
        <f t="shared" ca="1" si="138"/>
        <v>0</v>
      </c>
      <c r="AH46" s="7">
        <f t="shared" ca="1" si="138"/>
        <v>0</v>
      </c>
      <c r="AI46" s="7">
        <f t="shared" ca="1" si="138"/>
        <v>0</v>
      </c>
      <c r="AJ46" s="7">
        <f t="shared" ca="1" si="138"/>
        <v>0</v>
      </c>
      <c r="AK46" s="7">
        <f t="shared" ca="1" si="138"/>
        <v>0</v>
      </c>
      <c r="AL46" s="7">
        <f t="shared" ca="1" si="138"/>
        <v>0</v>
      </c>
      <c r="AM46" s="7">
        <f t="shared" ca="1" si="138"/>
        <v>0</v>
      </c>
      <c r="AN46" s="7">
        <f t="shared" ca="1" si="138"/>
        <v>0</v>
      </c>
      <c r="AO46" s="7">
        <f t="shared" ca="1" si="138"/>
        <v>0</v>
      </c>
      <c r="AP46" s="7">
        <f t="shared" ca="1" si="138"/>
        <v>0</v>
      </c>
      <c r="AQ46" s="7">
        <f t="shared" ca="1" si="138"/>
        <v>0</v>
      </c>
      <c r="AR46" s="7">
        <f t="shared" ca="1" si="138"/>
        <v>0</v>
      </c>
      <c r="AS46" s="7">
        <f t="shared" ca="1" si="138"/>
        <v>0</v>
      </c>
      <c r="AT46" s="7">
        <f t="shared" ca="1" si="138"/>
        <v>0</v>
      </c>
      <c r="AU46" s="7">
        <f t="shared" ca="1" si="138"/>
        <v>0</v>
      </c>
      <c r="AV46" s="7">
        <f t="shared" ca="1" si="138"/>
        <v>0</v>
      </c>
      <c r="AW46" s="7">
        <f t="shared" ca="1" si="138"/>
        <v>0</v>
      </c>
      <c r="AX46" s="7">
        <f t="shared" ca="1" si="138"/>
        <v>0</v>
      </c>
      <c r="AY46" s="7">
        <f t="shared" ca="1" si="138"/>
        <v>0</v>
      </c>
      <c r="AZ46" s="7">
        <f t="shared" ca="1" si="138"/>
        <v>0</v>
      </c>
      <c r="BA46" s="7" t="e">
        <f t="shared" ca="1" si="138"/>
        <v>#VALUE!</v>
      </c>
      <c r="BB46" s="7" t="e">
        <f t="shared" ca="1" si="138"/>
        <v>#VALUE!</v>
      </c>
      <c r="BC46" s="7">
        <f t="shared" ca="1" si="138"/>
        <v>0</v>
      </c>
      <c r="BD46" s="7">
        <f t="shared" ca="1" si="138"/>
        <v>0</v>
      </c>
      <c r="BE46" s="7">
        <f t="shared" ca="1" si="138"/>
        <v>0</v>
      </c>
      <c r="BF46" s="7">
        <f t="shared" ca="1" si="138"/>
        <v>0</v>
      </c>
      <c r="BG46" s="7">
        <f t="shared" ca="1" si="138"/>
        <v>0</v>
      </c>
      <c r="BH46" s="7">
        <f t="shared" ca="1" si="138"/>
        <v>0</v>
      </c>
      <c r="BI46" s="7">
        <f t="shared" ca="1" si="138"/>
        <v>0</v>
      </c>
      <c r="BJ46" s="7">
        <f t="shared" ca="1" si="138"/>
        <v>0</v>
      </c>
      <c r="BK46" s="7">
        <f t="shared" ca="1" si="138"/>
        <v>0</v>
      </c>
      <c r="BL46" s="7">
        <f t="shared" ca="1" si="138"/>
        <v>0</v>
      </c>
      <c r="BM46" s="7">
        <f t="shared" ca="1" si="138"/>
        <v>0</v>
      </c>
      <c r="BN46" s="7">
        <f t="shared" ca="1" si="138"/>
        <v>0</v>
      </c>
      <c r="BO46" s="7">
        <f t="shared" ca="1" si="138"/>
        <v>0</v>
      </c>
      <c r="BP46" s="7">
        <f t="shared" ca="1" si="138"/>
        <v>0</v>
      </c>
      <c r="BQ46" s="7">
        <f t="shared" ca="1" si="138"/>
        <v>0</v>
      </c>
      <c r="BR46" s="7">
        <f t="shared" ca="1" si="138"/>
        <v>0</v>
      </c>
      <c r="BS46" s="7">
        <f t="shared" ca="1" si="138"/>
        <v>0</v>
      </c>
      <c r="BT46" s="7">
        <f t="shared" ca="1" si="138"/>
        <v>0</v>
      </c>
      <c r="BU46" s="7">
        <f t="shared" ca="1" si="138"/>
        <v>0</v>
      </c>
      <c r="BV46" s="7">
        <f t="shared" ca="1" si="138"/>
        <v>0</v>
      </c>
      <c r="BW46" s="7">
        <f t="shared" ca="1" si="138"/>
        <v>0</v>
      </c>
      <c r="BX46" s="7">
        <f t="shared" ca="1" si="138"/>
        <v>0</v>
      </c>
      <c r="BY46" s="7">
        <f t="shared" ca="1" si="133"/>
        <v>-1.1368683772161603E-13</v>
      </c>
      <c r="BZ46" s="7">
        <f t="shared" ca="1" si="133"/>
        <v>0</v>
      </c>
      <c r="CA46" s="7">
        <f t="shared" ca="1" si="133"/>
        <v>-1.7763568394002505E-15</v>
      </c>
      <c r="CB46" s="7">
        <f t="shared" ca="1" si="133"/>
        <v>0</v>
      </c>
      <c r="CC46" s="7">
        <f t="shared" ca="1" si="133"/>
        <v>0</v>
      </c>
      <c r="CD46" s="7">
        <f t="shared" ca="1" si="133"/>
        <v>-1.1368683772161603E-13</v>
      </c>
      <c r="CE46" s="7">
        <f t="shared" ca="1" si="133"/>
        <v>7.1054273576010019E-15</v>
      </c>
      <c r="CF46" s="7">
        <f t="shared" ca="1" si="133"/>
        <v>8.8817841970012523E-15</v>
      </c>
      <c r="CG46" s="7">
        <f t="shared" ca="1" si="133"/>
        <v>-5.5511151231257827E-17</v>
      </c>
      <c r="CH46" s="7">
        <f t="shared" ca="1" si="133"/>
        <v>1.0658141036401503E-14</v>
      </c>
      <c r="CI46" s="7">
        <f t="shared" ca="1" si="133"/>
        <v>0</v>
      </c>
      <c r="CJ46" s="7">
        <f t="shared" ca="1" si="133"/>
        <v>9.7699626167013776E-15</v>
      </c>
      <c r="CK46" s="7">
        <f t="shared" ca="1" si="133"/>
        <v>1.1368683772161603E-13</v>
      </c>
      <c r="CL46" s="7">
        <f t="shared" ca="1" si="133"/>
        <v>1.1368683772161603E-13</v>
      </c>
      <c r="CM46" s="7">
        <f t="shared" ca="1" si="133"/>
        <v>8.5265128291212022E-14</v>
      </c>
      <c r="CN46" s="7">
        <f t="shared" ca="1" si="133"/>
        <v>1.1368683772161603E-13</v>
      </c>
      <c r="CO46" s="7" t="e">
        <f t="shared" ca="1" si="133"/>
        <v>#N/A</v>
      </c>
      <c r="CP46" s="7" t="e">
        <f t="shared" ca="1" si="133"/>
        <v>#N/A</v>
      </c>
      <c r="CQ46" s="7" t="e">
        <f t="shared" ca="1" si="133"/>
        <v>#N/A</v>
      </c>
      <c r="CR46" s="7" t="e">
        <f t="shared" ref="CR46:CY46" ca="1" si="140">IF($A$1=FALSE,"-",CR20-OFFSET($A71,0,CR$28))</f>
        <v>#N/A</v>
      </c>
      <c r="CS46" s="7" t="e">
        <f t="shared" ca="1" si="140"/>
        <v>#N/A</v>
      </c>
      <c r="CT46" s="7" t="e">
        <f t="shared" ca="1" si="140"/>
        <v>#N/A</v>
      </c>
      <c r="CU46" s="7" t="e">
        <f t="shared" ca="1" si="140"/>
        <v>#N/A</v>
      </c>
      <c r="CV46" s="7" t="e">
        <f t="shared" ca="1" si="140"/>
        <v>#N/A</v>
      </c>
      <c r="CW46" s="7" t="e">
        <f t="shared" ca="1" si="140"/>
        <v>#N/A</v>
      </c>
      <c r="CX46" s="7" t="e">
        <f t="shared" ca="1" si="140"/>
        <v>#N/A</v>
      </c>
      <c r="CY46" s="7" t="e">
        <f t="shared" ca="1" si="140"/>
        <v>#N/A</v>
      </c>
    </row>
    <row r="47" spans="2:103" x14ac:dyDescent="0.15">
      <c r="B47" s="7">
        <f t="shared" ca="1" si="137"/>
        <v>0</v>
      </c>
      <c r="C47" s="7">
        <f t="shared" ca="1" si="137"/>
        <v>0</v>
      </c>
      <c r="D47" s="7">
        <f t="shared" ca="1" si="137"/>
        <v>0</v>
      </c>
      <c r="E47" s="7">
        <f t="shared" ca="1" si="137"/>
        <v>0</v>
      </c>
      <c r="F47" s="7">
        <f t="shared" ca="1" si="137"/>
        <v>0</v>
      </c>
      <c r="G47" s="7">
        <f t="shared" ca="1" si="137"/>
        <v>0</v>
      </c>
      <c r="H47" s="7">
        <f t="shared" ca="1" si="137"/>
        <v>0</v>
      </c>
      <c r="I47" s="7" t="e">
        <f t="shared" ca="1" si="137"/>
        <v>#N/A</v>
      </c>
      <c r="J47" s="7" t="e">
        <f t="shared" ca="1" si="137"/>
        <v>#N/A</v>
      </c>
      <c r="K47" s="7" t="e">
        <f t="shared" ca="1" si="137"/>
        <v>#N/A</v>
      </c>
      <c r="L47" s="7" t="e">
        <f t="shared" ca="1" si="112"/>
        <v>#N/A</v>
      </c>
      <c r="M47" s="7">
        <f t="shared" ca="1" si="138"/>
        <v>0</v>
      </c>
      <c r="N47" s="7">
        <f t="shared" ca="1" si="138"/>
        <v>0</v>
      </c>
      <c r="O47" s="7" t="e">
        <f t="shared" ca="1" si="138"/>
        <v>#N/A</v>
      </c>
      <c r="P47" s="7" t="e">
        <f t="shared" ca="1" si="138"/>
        <v>#N/A</v>
      </c>
      <c r="Q47" s="7">
        <f t="shared" ca="1" si="138"/>
        <v>0</v>
      </c>
      <c r="R47" s="7">
        <f t="shared" ca="1" si="138"/>
        <v>0</v>
      </c>
      <c r="S47" s="7">
        <f t="shared" ca="1" si="138"/>
        <v>0</v>
      </c>
      <c r="T47" s="7">
        <f t="shared" ca="1" si="138"/>
        <v>0</v>
      </c>
      <c r="U47" s="7">
        <f t="shared" ca="1" si="138"/>
        <v>0</v>
      </c>
      <c r="V47" s="7">
        <f t="shared" ca="1" si="138"/>
        <v>0</v>
      </c>
      <c r="W47" s="7">
        <f t="shared" ca="1" si="138"/>
        <v>0</v>
      </c>
      <c r="X47" s="7">
        <f t="shared" ca="1" si="138"/>
        <v>0</v>
      </c>
      <c r="Y47" s="7">
        <f t="shared" ca="1" si="138"/>
        <v>0</v>
      </c>
      <c r="Z47" s="7">
        <f t="shared" ca="1" si="138"/>
        <v>0</v>
      </c>
      <c r="AA47" s="7">
        <f t="shared" ca="1" si="138"/>
        <v>0</v>
      </c>
      <c r="AB47" s="7">
        <f t="shared" ca="1" si="138"/>
        <v>0</v>
      </c>
      <c r="AC47" s="7">
        <f t="shared" ca="1" si="138"/>
        <v>0</v>
      </c>
      <c r="AD47" s="7">
        <f t="shared" ca="1" si="138"/>
        <v>0</v>
      </c>
      <c r="AE47" s="7">
        <f t="shared" ca="1" si="138"/>
        <v>0</v>
      </c>
      <c r="AF47" s="7">
        <f t="shared" ca="1" si="138"/>
        <v>0</v>
      </c>
      <c r="AG47" s="7">
        <f t="shared" ca="1" si="138"/>
        <v>0</v>
      </c>
      <c r="AH47" s="7">
        <f t="shared" ca="1" si="138"/>
        <v>0</v>
      </c>
      <c r="AI47" s="7">
        <f t="shared" ca="1" si="138"/>
        <v>0</v>
      </c>
      <c r="AJ47" s="7">
        <f t="shared" ca="1" si="138"/>
        <v>0</v>
      </c>
      <c r="AK47" s="7">
        <f t="shared" ca="1" si="138"/>
        <v>0</v>
      </c>
      <c r="AL47" s="7">
        <f t="shared" ca="1" si="138"/>
        <v>0</v>
      </c>
      <c r="AM47" s="7">
        <f t="shared" ca="1" si="138"/>
        <v>0</v>
      </c>
      <c r="AN47" s="7">
        <f t="shared" ca="1" si="138"/>
        <v>0</v>
      </c>
      <c r="AO47" s="7">
        <f t="shared" ca="1" si="138"/>
        <v>0</v>
      </c>
      <c r="AP47" s="7">
        <f t="shared" ca="1" si="138"/>
        <v>0</v>
      </c>
      <c r="AQ47" s="7">
        <f t="shared" ca="1" si="138"/>
        <v>0</v>
      </c>
      <c r="AR47" s="7">
        <f t="shared" ca="1" si="138"/>
        <v>0</v>
      </c>
      <c r="AS47" s="7">
        <f t="shared" ca="1" si="138"/>
        <v>0</v>
      </c>
      <c r="AT47" s="7">
        <f t="shared" ca="1" si="138"/>
        <v>0</v>
      </c>
      <c r="AU47" s="7">
        <f t="shared" ca="1" si="138"/>
        <v>0</v>
      </c>
      <c r="AV47" s="7">
        <f t="shared" ca="1" si="138"/>
        <v>0</v>
      </c>
      <c r="AW47" s="7">
        <f t="shared" ca="1" si="138"/>
        <v>0</v>
      </c>
      <c r="AX47" s="7">
        <f t="shared" ca="1" si="138"/>
        <v>0</v>
      </c>
      <c r="AY47" s="7">
        <f t="shared" ca="1" si="138"/>
        <v>0</v>
      </c>
      <c r="AZ47" s="7">
        <f t="shared" ca="1" si="138"/>
        <v>0</v>
      </c>
      <c r="BA47" s="7" t="e">
        <f t="shared" ca="1" si="138"/>
        <v>#VALUE!</v>
      </c>
      <c r="BB47" s="7" t="e">
        <f t="shared" ca="1" si="138"/>
        <v>#VALUE!</v>
      </c>
      <c r="BC47" s="7">
        <f t="shared" ca="1" si="138"/>
        <v>0</v>
      </c>
      <c r="BD47" s="7">
        <f t="shared" ca="1" si="138"/>
        <v>0</v>
      </c>
      <c r="BE47" s="7">
        <f t="shared" ca="1" si="138"/>
        <v>0</v>
      </c>
      <c r="BF47" s="7">
        <f t="shared" ca="1" si="138"/>
        <v>0</v>
      </c>
      <c r="BG47" s="7">
        <f t="shared" ca="1" si="138"/>
        <v>0</v>
      </c>
      <c r="BH47" s="7">
        <f t="shared" ca="1" si="138"/>
        <v>0</v>
      </c>
      <c r="BI47" s="7">
        <f t="shared" ca="1" si="138"/>
        <v>0</v>
      </c>
      <c r="BJ47" s="7">
        <f t="shared" ca="1" si="138"/>
        <v>0</v>
      </c>
      <c r="BK47" s="7">
        <f t="shared" ca="1" si="138"/>
        <v>0</v>
      </c>
      <c r="BL47" s="7">
        <f t="shared" ca="1" si="138"/>
        <v>0</v>
      </c>
      <c r="BM47" s="7">
        <f t="shared" ca="1" si="138"/>
        <v>0</v>
      </c>
      <c r="BN47" s="7">
        <f t="shared" ca="1" si="138"/>
        <v>0</v>
      </c>
      <c r="BO47" s="7">
        <f t="shared" ca="1" si="138"/>
        <v>0</v>
      </c>
      <c r="BP47" s="7">
        <f t="shared" ca="1" si="138"/>
        <v>0</v>
      </c>
      <c r="BQ47" s="7">
        <f t="shared" ca="1" si="138"/>
        <v>0</v>
      </c>
      <c r="BR47" s="7">
        <f t="shared" ca="1" si="138"/>
        <v>0</v>
      </c>
      <c r="BS47" s="7">
        <f t="shared" ca="1" si="138"/>
        <v>0</v>
      </c>
      <c r="BT47" s="7">
        <f t="shared" ca="1" si="138"/>
        <v>0</v>
      </c>
      <c r="BU47" s="7">
        <f t="shared" ca="1" si="138"/>
        <v>0</v>
      </c>
      <c r="BV47" s="7">
        <f t="shared" ca="1" si="138"/>
        <v>0</v>
      </c>
      <c r="BW47" s="7">
        <f t="shared" ca="1" si="138"/>
        <v>0</v>
      </c>
      <c r="BX47" s="7">
        <f t="shared" ca="1" si="138"/>
        <v>0</v>
      </c>
      <c r="BY47" s="7">
        <f t="shared" ca="1" si="133"/>
        <v>0</v>
      </c>
      <c r="BZ47" s="7">
        <f t="shared" ca="1" si="133"/>
        <v>0</v>
      </c>
      <c r="CA47" s="7">
        <f t="shared" ca="1" si="133"/>
        <v>0</v>
      </c>
      <c r="CB47" s="7">
        <f t="shared" ca="1" si="133"/>
        <v>0</v>
      </c>
      <c r="CC47" s="7">
        <f t="shared" ca="1" si="133"/>
        <v>0</v>
      </c>
      <c r="CD47" s="7">
        <f t="shared" ca="1" si="133"/>
        <v>0</v>
      </c>
      <c r="CE47" s="7">
        <f t="shared" ca="1" si="133"/>
        <v>0</v>
      </c>
      <c r="CF47" s="7">
        <f t="shared" ca="1" si="133"/>
        <v>0</v>
      </c>
      <c r="CG47" s="7">
        <f t="shared" ca="1" si="133"/>
        <v>5.5511151231257827E-17</v>
      </c>
      <c r="CH47" s="7">
        <f t="shared" ca="1" si="133"/>
        <v>0</v>
      </c>
      <c r="CI47" s="7">
        <f t="shared" ca="1" si="133"/>
        <v>5.5511151231257827E-17</v>
      </c>
      <c r="CJ47" s="7">
        <f t="shared" ca="1" si="133"/>
        <v>2.2204460492503131E-16</v>
      </c>
      <c r="CK47" s="7">
        <f t="shared" ca="1" si="133"/>
        <v>0</v>
      </c>
      <c r="CL47" s="7">
        <f t="shared" ca="1" si="133"/>
        <v>0</v>
      </c>
      <c r="CM47" s="7">
        <f t="shared" ca="1" si="133"/>
        <v>0</v>
      </c>
      <c r="CN47" s="7">
        <f t="shared" ca="1" si="133"/>
        <v>0</v>
      </c>
      <c r="CO47" s="7" t="e">
        <f t="shared" ca="1" si="133"/>
        <v>#N/A</v>
      </c>
      <c r="CP47" s="7" t="e">
        <f t="shared" ca="1" si="133"/>
        <v>#N/A</v>
      </c>
      <c r="CQ47" s="7" t="e">
        <f t="shared" ca="1" si="133"/>
        <v>#N/A</v>
      </c>
      <c r="CR47" s="7" t="e">
        <f t="shared" ref="CR47:CY47" ca="1" si="141">IF($A$1=FALSE,"-",CR21-OFFSET($A72,0,CR$28))</f>
        <v>#N/A</v>
      </c>
      <c r="CS47" s="7" t="e">
        <f t="shared" ca="1" si="141"/>
        <v>#N/A</v>
      </c>
      <c r="CT47" s="7" t="e">
        <f t="shared" ca="1" si="141"/>
        <v>#N/A</v>
      </c>
      <c r="CU47" s="7" t="e">
        <f t="shared" ca="1" si="141"/>
        <v>#N/A</v>
      </c>
      <c r="CV47" s="7" t="e">
        <f t="shared" ca="1" si="141"/>
        <v>#N/A</v>
      </c>
      <c r="CW47" s="7" t="e">
        <f t="shared" ca="1" si="141"/>
        <v>#N/A</v>
      </c>
      <c r="CX47" s="7" t="e">
        <f t="shared" ca="1" si="141"/>
        <v>#N/A</v>
      </c>
      <c r="CY47" s="7" t="e">
        <f t="shared" ca="1" si="141"/>
        <v>#N/A</v>
      </c>
    </row>
    <row r="48" spans="2:103" x14ac:dyDescent="0.15">
      <c r="B48" s="7">
        <f t="shared" ca="1" si="137"/>
        <v>0</v>
      </c>
      <c r="C48" s="7">
        <f t="shared" ca="1" si="137"/>
        <v>0</v>
      </c>
      <c r="D48" s="7">
        <f t="shared" ca="1" si="137"/>
        <v>0</v>
      </c>
      <c r="E48" s="7">
        <f t="shared" ca="1" si="137"/>
        <v>0</v>
      </c>
      <c r="F48" s="7">
        <f t="shared" ca="1" si="137"/>
        <v>0</v>
      </c>
      <c r="G48" s="7">
        <f t="shared" ca="1" si="137"/>
        <v>0</v>
      </c>
      <c r="H48" s="7">
        <f t="shared" ca="1" si="137"/>
        <v>0</v>
      </c>
      <c r="I48" s="7" t="e">
        <f t="shared" ca="1" si="137"/>
        <v>#N/A</v>
      </c>
      <c r="J48" s="7" t="e">
        <f t="shared" ca="1" si="137"/>
        <v>#N/A</v>
      </c>
      <c r="K48" s="7" t="e">
        <f t="shared" ca="1" si="137"/>
        <v>#N/A</v>
      </c>
      <c r="L48" s="7" t="e">
        <f t="shared" ca="1" si="112"/>
        <v>#N/A</v>
      </c>
      <c r="M48" s="7">
        <f t="shared" ca="1" si="138"/>
        <v>0</v>
      </c>
      <c r="N48" s="7">
        <f t="shared" ca="1" si="138"/>
        <v>0</v>
      </c>
      <c r="O48" s="7" t="e">
        <f t="shared" ca="1" si="138"/>
        <v>#N/A</v>
      </c>
      <c r="P48" s="7" t="e">
        <f t="shared" ca="1" si="138"/>
        <v>#N/A</v>
      </c>
      <c r="Q48" s="7">
        <f t="shared" ca="1" si="138"/>
        <v>0</v>
      </c>
      <c r="R48" s="7">
        <f t="shared" ca="1" si="138"/>
        <v>0</v>
      </c>
      <c r="S48" s="7">
        <f t="shared" ca="1" si="138"/>
        <v>0</v>
      </c>
      <c r="T48" s="7">
        <f t="shared" ca="1" si="138"/>
        <v>0</v>
      </c>
      <c r="U48" s="7">
        <f t="shared" ca="1" si="138"/>
        <v>0</v>
      </c>
      <c r="V48" s="7">
        <f t="shared" ca="1" si="138"/>
        <v>0</v>
      </c>
      <c r="W48" s="7">
        <f t="shared" ca="1" si="138"/>
        <v>0</v>
      </c>
      <c r="X48" s="7">
        <f t="shared" ca="1" si="138"/>
        <v>0</v>
      </c>
      <c r="Y48" s="7">
        <f t="shared" ca="1" si="138"/>
        <v>0</v>
      </c>
      <c r="Z48" s="7">
        <f t="shared" ca="1" si="138"/>
        <v>0</v>
      </c>
      <c r="AA48" s="7">
        <f t="shared" ca="1" si="138"/>
        <v>0</v>
      </c>
      <c r="AB48" s="7">
        <f t="shared" ca="1" si="138"/>
        <v>0</v>
      </c>
      <c r="AC48" s="7">
        <f t="shared" ca="1" si="138"/>
        <v>0</v>
      </c>
      <c r="AD48" s="7">
        <f t="shared" ca="1" si="138"/>
        <v>0</v>
      </c>
      <c r="AE48" s="7">
        <f t="shared" ca="1" si="138"/>
        <v>0</v>
      </c>
      <c r="AF48" s="7">
        <f t="shared" ca="1" si="138"/>
        <v>0</v>
      </c>
      <c r="AG48" s="7">
        <f t="shared" ca="1" si="138"/>
        <v>0</v>
      </c>
      <c r="AH48" s="7">
        <f t="shared" ca="1" si="138"/>
        <v>0</v>
      </c>
      <c r="AI48" s="7">
        <f t="shared" ca="1" si="138"/>
        <v>0</v>
      </c>
      <c r="AJ48" s="7">
        <f t="shared" ca="1" si="138"/>
        <v>0</v>
      </c>
      <c r="AK48" s="7">
        <f t="shared" ca="1" si="138"/>
        <v>0</v>
      </c>
      <c r="AL48" s="7">
        <f t="shared" ca="1" si="138"/>
        <v>0</v>
      </c>
      <c r="AM48" s="7">
        <f t="shared" ca="1" si="138"/>
        <v>0</v>
      </c>
      <c r="AN48" s="7">
        <f t="shared" ca="1" si="138"/>
        <v>0</v>
      </c>
      <c r="AO48" s="7">
        <f t="shared" ca="1" si="138"/>
        <v>0</v>
      </c>
      <c r="AP48" s="7">
        <f t="shared" ca="1" si="138"/>
        <v>0</v>
      </c>
      <c r="AQ48" s="7">
        <f t="shared" ca="1" si="138"/>
        <v>0</v>
      </c>
      <c r="AR48" s="7">
        <f t="shared" ca="1" si="138"/>
        <v>0</v>
      </c>
      <c r="AS48" s="7">
        <f t="shared" ca="1" si="138"/>
        <v>0</v>
      </c>
      <c r="AT48" s="7">
        <f t="shared" ca="1" si="138"/>
        <v>0</v>
      </c>
      <c r="AU48" s="7">
        <f t="shared" ca="1" si="138"/>
        <v>0</v>
      </c>
      <c r="AV48" s="7">
        <f t="shared" ca="1" si="138"/>
        <v>0</v>
      </c>
      <c r="AW48" s="7">
        <f t="shared" ca="1" si="138"/>
        <v>0</v>
      </c>
      <c r="AX48" s="7">
        <f t="shared" ca="1" si="138"/>
        <v>0</v>
      </c>
      <c r="AY48" s="7">
        <f t="shared" ca="1" si="138"/>
        <v>0</v>
      </c>
      <c r="AZ48" s="7">
        <f t="shared" ca="1" si="138"/>
        <v>0</v>
      </c>
      <c r="BA48" s="7" t="e">
        <f t="shared" ca="1" si="138"/>
        <v>#VALUE!</v>
      </c>
      <c r="BB48" s="7" t="e">
        <f t="shared" ca="1" si="138"/>
        <v>#VALUE!</v>
      </c>
      <c r="BC48" s="7">
        <f t="shared" ca="1" si="138"/>
        <v>0</v>
      </c>
      <c r="BD48" s="7">
        <f t="shared" ca="1" si="138"/>
        <v>0</v>
      </c>
      <c r="BE48" s="7">
        <f t="shared" ca="1" si="138"/>
        <v>0</v>
      </c>
      <c r="BF48" s="7">
        <f t="shared" ca="1" si="138"/>
        <v>0</v>
      </c>
      <c r="BG48" s="7">
        <f t="shared" ca="1" si="138"/>
        <v>0</v>
      </c>
      <c r="BH48" s="7">
        <f t="shared" ca="1" si="138"/>
        <v>0</v>
      </c>
      <c r="BI48" s="7">
        <f t="shared" ca="1" si="138"/>
        <v>0</v>
      </c>
      <c r="BJ48" s="7">
        <f t="shared" ca="1" si="138"/>
        <v>0</v>
      </c>
      <c r="BK48" s="7">
        <f t="shared" ca="1" si="138"/>
        <v>0</v>
      </c>
      <c r="BL48" s="7">
        <f t="shared" ca="1" si="138"/>
        <v>0</v>
      </c>
      <c r="BM48" s="7">
        <f t="shared" ca="1" si="138"/>
        <v>0</v>
      </c>
      <c r="BN48" s="7">
        <f t="shared" ca="1" si="138"/>
        <v>0</v>
      </c>
      <c r="BO48" s="7">
        <f t="shared" ca="1" si="138"/>
        <v>0</v>
      </c>
      <c r="BP48" s="7">
        <f t="shared" ca="1" si="138"/>
        <v>0</v>
      </c>
      <c r="BQ48" s="7">
        <f t="shared" ca="1" si="138"/>
        <v>0</v>
      </c>
      <c r="BR48" s="7">
        <f t="shared" ca="1" si="138"/>
        <v>0</v>
      </c>
      <c r="BS48" s="7">
        <f t="shared" ca="1" si="138"/>
        <v>0</v>
      </c>
      <c r="BT48" s="7">
        <f t="shared" ca="1" si="138"/>
        <v>0</v>
      </c>
      <c r="BU48" s="7">
        <f t="shared" ca="1" si="138"/>
        <v>0</v>
      </c>
      <c r="BV48" s="7">
        <f t="shared" ca="1" si="138"/>
        <v>0</v>
      </c>
      <c r="BW48" s="7">
        <f t="shared" ca="1" si="138"/>
        <v>0</v>
      </c>
      <c r="BX48" s="7">
        <f t="shared" ref="BX48" ca="1" si="142">IF($A$1=FALSE,"-",BX22-OFFSET($A73,0,BX$28))</f>
        <v>0</v>
      </c>
      <c r="BY48" s="7">
        <f t="shared" ca="1" si="133"/>
        <v>2.2737367544323206E-13</v>
      </c>
      <c r="BZ48" s="7">
        <f t="shared" ca="1" si="133"/>
        <v>7.1054273576010019E-15</v>
      </c>
      <c r="CA48" s="7">
        <f t="shared" ca="1" si="133"/>
        <v>1.7763568394002505E-15</v>
      </c>
      <c r="CB48" s="7">
        <f t="shared" ca="1" si="133"/>
        <v>0</v>
      </c>
      <c r="CC48" s="7">
        <f t="shared" ca="1" si="133"/>
        <v>0</v>
      </c>
      <c r="CD48" s="7">
        <f t="shared" ca="1" si="133"/>
        <v>2.2737367544323206E-13</v>
      </c>
      <c r="CE48" s="7">
        <f t="shared" ca="1" si="133"/>
        <v>-1.7763568394002505E-14</v>
      </c>
      <c r="CF48" s="7">
        <f t="shared" ca="1" si="133"/>
        <v>-1.4210854715202004E-14</v>
      </c>
      <c r="CG48" s="7">
        <f t="shared" ca="1" si="133"/>
        <v>0</v>
      </c>
      <c r="CH48" s="7">
        <f t="shared" ca="1" si="133"/>
        <v>-1.4210854715202004E-14</v>
      </c>
      <c r="CI48" s="7">
        <f t="shared" ca="1" si="133"/>
        <v>0</v>
      </c>
      <c r="CJ48" s="7">
        <f t="shared" ca="1" si="133"/>
        <v>-1.3766765505351941E-14</v>
      </c>
      <c r="CK48" s="7">
        <f t="shared" ca="1" si="133"/>
        <v>-2.2737367544323206E-13</v>
      </c>
      <c r="CL48" s="7">
        <f t="shared" ca="1" si="133"/>
        <v>-2.2737367544323206E-13</v>
      </c>
      <c r="CM48" s="7">
        <f t="shared" ca="1" si="133"/>
        <v>-2.2737367544323206E-13</v>
      </c>
      <c r="CN48" s="7">
        <f t="shared" ca="1" si="133"/>
        <v>-2.2737367544323206E-13</v>
      </c>
      <c r="CO48" s="7" t="e">
        <f t="shared" ca="1" si="133"/>
        <v>#N/A</v>
      </c>
      <c r="CP48" s="7" t="e">
        <f t="shared" ca="1" si="133"/>
        <v>#N/A</v>
      </c>
      <c r="CQ48" s="7" t="e">
        <f t="shared" ca="1" si="133"/>
        <v>#N/A</v>
      </c>
      <c r="CR48" s="7" t="e">
        <f t="shared" ref="CR48:CY48" ca="1" si="143">IF($A$1=FALSE,"-",CR22-OFFSET($A73,0,CR$28))</f>
        <v>#N/A</v>
      </c>
      <c r="CS48" s="7" t="e">
        <f t="shared" ca="1" si="143"/>
        <v>#N/A</v>
      </c>
      <c r="CT48" s="7" t="e">
        <f t="shared" ca="1" si="143"/>
        <v>#N/A</v>
      </c>
      <c r="CU48" s="7" t="e">
        <f t="shared" ca="1" si="143"/>
        <v>#N/A</v>
      </c>
      <c r="CV48" s="7" t="e">
        <f t="shared" ca="1" si="143"/>
        <v>#N/A</v>
      </c>
      <c r="CW48" s="7" t="e">
        <f t="shared" ca="1" si="143"/>
        <v>#N/A</v>
      </c>
      <c r="CX48" s="7" t="e">
        <f t="shared" ca="1" si="143"/>
        <v>#N/A</v>
      </c>
      <c r="CY48" s="7" t="e">
        <f t="shared" ca="1" si="143"/>
        <v>#N/A</v>
      </c>
    </row>
    <row r="49" spans="1:300" x14ac:dyDescent="0.15">
      <c r="B49" s="7">
        <f t="shared" ca="1" si="137"/>
        <v>0</v>
      </c>
      <c r="C49" s="7">
        <f t="shared" ca="1" si="137"/>
        <v>0</v>
      </c>
      <c r="D49" s="7">
        <f t="shared" ca="1" si="137"/>
        <v>0</v>
      </c>
      <c r="E49" s="7">
        <f t="shared" ca="1" si="137"/>
        <v>2.7755575615628914E-17</v>
      </c>
      <c r="F49" s="7">
        <f t="shared" ca="1" si="137"/>
        <v>0</v>
      </c>
      <c r="G49" s="7">
        <f t="shared" ca="1" si="137"/>
        <v>0</v>
      </c>
      <c r="H49" s="7">
        <f t="shared" ca="1" si="137"/>
        <v>0</v>
      </c>
      <c r="I49" s="7" t="e">
        <f t="shared" ca="1" si="137"/>
        <v>#N/A</v>
      </c>
      <c r="J49" s="7" t="e">
        <f t="shared" ca="1" si="137"/>
        <v>#N/A</v>
      </c>
      <c r="K49" s="7" t="e">
        <f t="shared" ca="1" si="137"/>
        <v>#N/A</v>
      </c>
      <c r="L49" s="7" t="e">
        <f t="shared" ca="1" si="112"/>
        <v>#N/A</v>
      </c>
      <c r="M49" s="7">
        <f t="shared" ref="M49:BX49" ca="1" si="144">IF($A$1=FALSE,"-",M23-OFFSET($A74,0,M$28))</f>
        <v>0</v>
      </c>
      <c r="N49" s="7">
        <f t="shared" ca="1" si="144"/>
        <v>0</v>
      </c>
      <c r="O49" s="7" t="e">
        <f t="shared" ca="1" si="144"/>
        <v>#N/A</v>
      </c>
      <c r="P49" s="7" t="e">
        <f t="shared" ca="1" si="144"/>
        <v>#N/A</v>
      </c>
      <c r="Q49" s="7">
        <f t="shared" ca="1" si="144"/>
        <v>0</v>
      </c>
      <c r="R49" s="7">
        <f t="shared" ca="1" si="144"/>
        <v>0</v>
      </c>
      <c r="S49" s="7">
        <f t="shared" ca="1" si="144"/>
        <v>0</v>
      </c>
      <c r="T49" s="7">
        <f t="shared" ca="1" si="144"/>
        <v>0</v>
      </c>
      <c r="U49" s="7">
        <f t="shared" ca="1" si="144"/>
        <v>0</v>
      </c>
      <c r="V49" s="7">
        <f t="shared" ca="1" si="144"/>
        <v>0</v>
      </c>
      <c r="W49" s="7">
        <f t="shared" ca="1" si="144"/>
        <v>0</v>
      </c>
      <c r="X49" s="7">
        <f t="shared" ca="1" si="144"/>
        <v>0</v>
      </c>
      <c r="Y49" s="7">
        <f t="shared" ca="1" si="144"/>
        <v>0</v>
      </c>
      <c r="Z49" s="7">
        <f t="shared" ca="1" si="144"/>
        <v>0</v>
      </c>
      <c r="AA49" s="7">
        <f t="shared" ca="1" si="144"/>
        <v>0</v>
      </c>
      <c r="AB49" s="7">
        <f t="shared" ca="1" si="144"/>
        <v>0</v>
      </c>
      <c r="AC49" s="7">
        <f t="shared" ca="1" si="144"/>
        <v>0</v>
      </c>
      <c r="AD49" s="7">
        <f t="shared" ca="1" si="144"/>
        <v>0</v>
      </c>
      <c r="AE49" s="7">
        <f t="shared" ca="1" si="144"/>
        <v>0</v>
      </c>
      <c r="AF49" s="7">
        <f t="shared" ca="1" si="144"/>
        <v>0</v>
      </c>
      <c r="AG49" s="7">
        <f t="shared" ca="1" si="144"/>
        <v>0</v>
      </c>
      <c r="AH49" s="7">
        <f t="shared" ca="1" si="144"/>
        <v>0</v>
      </c>
      <c r="AI49" s="7">
        <f t="shared" ca="1" si="144"/>
        <v>0</v>
      </c>
      <c r="AJ49" s="7">
        <f t="shared" ca="1" si="144"/>
        <v>0</v>
      </c>
      <c r="AK49" s="7">
        <f t="shared" ca="1" si="144"/>
        <v>0</v>
      </c>
      <c r="AL49" s="7">
        <f t="shared" ca="1" si="144"/>
        <v>0</v>
      </c>
      <c r="AM49" s="7">
        <f t="shared" ca="1" si="144"/>
        <v>0</v>
      </c>
      <c r="AN49" s="7">
        <f t="shared" ca="1" si="144"/>
        <v>0</v>
      </c>
      <c r="AO49" s="7">
        <f t="shared" ca="1" si="144"/>
        <v>0</v>
      </c>
      <c r="AP49" s="7">
        <f t="shared" ca="1" si="144"/>
        <v>0</v>
      </c>
      <c r="AQ49" s="7">
        <f t="shared" ca="1" si="144"/>
        <v>0</v>
      </c>
      <c r="AR49" s="7">
        <f t="shared" ca="1" si="144"/>
        <v>0</v>
      </c>
      <c r="AS49" s="7">
        <f t="shared" ca="1" si="144"/>
        <v>0</v>
      </c>
      <c r="AT49" s="7">
        <f t="shared" ca="1" si="144"/>
        <v>0</v>
      </c>
      <c r="AU49" s="7">
        <f t="shared" ca="1" si="144"/>
        <v>0</v>
      </c>
      <c r="AV49" s="7">
        <f t="shared" ca="1" si="144"/>
        <v>0</v>
      </c>
      <c r="AW49" s="7">
        <f t="shared" ca="1" si="144"/>
        <v>0</v>
      </c>
      <c r="AX49" s="7">
        <f t="shared" ca="1" si="144"/>
        <v>0</v>
      </c>
      <c r="AY49" s="7">
        <f t="shared" ca="1" si="144"/>
        <v>0</v>
      </c>
      <c r="AZ49" s="7">
        <f t="shared" ca="1" si="144"/>
        <v>0</v>
      </c>
      <c r="BA49" s="7" t="e">
        <f t="shared" ca="1" si="144"/>
        <v>#VALUE!</v>
      </c>
      <c r="BB49" s="7" t="e">
        <f t="shared" ca="1" si="144"/>
        <v>#VALUE!</v>
      </c>
      <c r="BC49" s="7">
        <f t="shared" ca="1" si="144"/>
        <v>0</v>
      </c>
      <c r="BD49" s="7">
        <f t="shared" ca="1" si="144"/>
        <v>0</v>
      </c>
      <c r="BE49" s="7">
        <f t="shared" ca="1" si="144"/>
        <v>0</v>
      </c>
      <c r="BF49" s="7">
        <f t="shared" ca="1" si="144"/>
        <v>0</v>
      </c>
      <c r="BG49" s="7">
        <f t="shared" ca="1" si="144"/>
        <v>0</v>
      </c>
      <c r="BH49" s="7">
        <f t="shared" ca="1" si="144"/>
        <v>0</v>
      </c>
      <c r="BI49" s="7">
        <f t="shared" ca="1" si="144"/>
        <v>0</v>
      </c>
      <c r="BJ49" s="7">
        <f t="shared" ca="1" si="144"/>
        <v>0</v>
      </c>
      <c r="BK49" s="7">
        <f t="shared" ca="1" si="144"/>
        <v>0</v>
      </c>
      <c r="BL49" s="7">
        <f t="shared" ca="1" si="144"/>
        <v>0</v>
      </c>
      <c r="BM49" s="7">
        <f t="shared" ca="1" si="144"/>
        <v>0</v>
      </c>
      <c r="BN49" s="7">
        <f t="shared" ca="1" si="144"/>
        <v>0</v>
      </c>
      <c r="BO49" s="7">
        <f t="shared" ca="1" si="144"/>
        <v>0</v>
      </c>
      <c r="BP49" s="7">
        <f t="shared" ca="1" si="144"/>
        <v>0</v>
      </c>
      <c r="BQ49" s="7">
        <f t="shared" ca="1" si="144"/>
        <v>0</v>
      </c>
      <c r="BR49" s="7">
        <f t="shared" ca="1" si="144"/>
        <v>-8.8817841970012523E-16</v>
      </c>
      <c r="BS49" s="7">
        <f t="shared" ca="1" si="144"/>
        <v>-8.8817841970012523E-16</v>
      </c>
      <c r="BT49" s="7">
        <f t="shared" ca="1" si="144"/>
        <v>-5.6843418860808015E-14</v>
      </c>
      <c r="BU49" s="7">
        <f t="shared" ca="1" si="144"/>
        <v>-4.4408920985006262E-16</v>
      </c>
      <c r="BV49" s="7">
        <f t="shared" ca="1" si="144"/>
        <v>-5.6843418860808015E-14</v>
      </c>
      <c r="BW49" s="7">
        <f t="shared" ca="1" si="144"/>
        <v>-2.2737367544323206E-13</v>
      </c>
      <c r="BX49" s="7">
        <f t="shared" ca="1" si="144"/>
        <v>-2.2737367544323206E-13</v>
      </c>
      <c r="BY49" s="7">
        <f t="shared" ca="1" si="133"/>
        <v>-2.2737367544323206E-13</v>
      </c>
      <c r="BZ49" s="7">
        <f t="shared" ca="1" si="133"/>
        <v>-7.1054273576010019E-15</v>
      </c>
      <c r="CA49" s="7">
        <f t="shared" ca="1" si="133"/>
        <v>-3.5527136788005009E-15</v>
      </c>
      <c r="CB49" s="7">
        <f t="shared" ca="1" si="133"/>
        <v>-4.4408920985006262E-16</v>
      </c>
      <c r="CC49" s="7">
        <f t="shared" ca="1" si="133"/>
        <v>0</v>
      </c>
      <c r="CD49" s="7">
        <f t="shared" ca="1" si="133"/>
        <v>-2.2737367544323206E-13</v>
      </c>
      <c r="CE49" s="7">
        <f t="shared" ca="1" si="133"/>
        <v>-3.5527136788005009E-15</v>
      </c>
      <c r="CF49" s="7">
        <f t="shared" ca="1" si="133"/>
        <v>-8.8817841970012523E-16</v>
      </c>
      <c r="CG49" s="7">
        <f t="shared" ca="1" si="133"/>
        <v>-1.1102230246251565E-16</v>
      </c>
      <c r="CH49" s="7">
        <f t="shared" ca="1" si="133"/>
        <v>-7.1054273576010019E-15</v>
      </c>
      <c r="CI49" s="7">
        <f t="shared" ca="1" si="133"/>
        <v>0</v>
      </c>
      <c r="CJ49" s="7">
        <f t="shared" ca="1" si="133"/>
        <v>-8.8817841970012523E-16</v>
      </c>
      <c r="CK49" s="7">
        <f t="shared" ca="1" si="133"/>
        <v>0</v>
      </c>
      <c r="CL49" s="7">
        <f t="shared" ca="1" si="133"/>
        <v>0</v>
      </c>
      <c r="CM49" s="7">
        <f t="shared" ca="1" si="133"/>
        <v>0</v>
      </c>
      <c r="CN49" s="7">
        <f t="shared" ca="1" si="133"/>
        <v>0</v>
      </c>
      <c r="CO49" s="7" t="e">
        <f t="shared" ca="1" si="133"/>
        <v>#N/A</v>
      </c>
      <c r="CP49" s="7" t="e">
        <f t="shared" ca="1" si="133"/>
        <v>#N/A</v>
      </c>
      <c r="CQ49" s="7" t="e">
        <f t="shared" ca="1" si="133"/>
        <v>#N/A</v>
      </c>
      <c r="CR49" s="7" t="e">
        <f t="shared" ref="CR49:CY49" ca="1" si="145">IF($A$1=FALSE,"-",CR23-OFFSET($A74,0,CR$28))</f>
        <v>#N/A</v>
      </c>
      <c r="CS49" s="7" t="e">
        <f t="shared" ca="1" si="145"/>
        <v>#N/A</v>
      </c>
      <c r="CT49" s="7" t="e">
        <f t="shared" ca="1" si="145"/>
        <v>#N/A</v>
      </c>
      <c r="CU49" s="7" t="e">
        <f t="shared" ca="1" si="145"/>
        <v>#N/A</v>
      </c>
      <c r="CV49" s="7" t="e">
        <f t="shared" ca="1" si="145"/>
        <v>#N/A</v>
      </c>
      <c r="CW49" s="7" t="e">
        <f t="shared" ca="1" si="145"/>
        <v>#N/A</v>
      </c>
      <c r="CX49" s="7" t="e">
        <f t="shared" ca="1" si="145"/>
        <v>#N/A</v>
      </c>
      <c r="CY49" s="7" t="e">
        <f t="shared" ca="1" si="145"/>
        <v>#N/A</v>
      </c>
    </row>
    <row r="50" spans="1:300" x14ac:dyDescent="0.15">
      <c r="C50" s="3"/>
      <c r="E50" s="3">
        <f>'Analysis - with risk'!$D$2:$X$210</f>
        <v>0</v>
      </c>
    </row>
    <row r="51" spans="1:300" x14ac:dyDescent="0.15">
      <c r="C51" s="3"/>
      <c r="E51" s="3"/>
    </row>
    <row r="52" spans="1:300" s="17" customFormat="1" x14ac:dyDescent="0.15">
      <c r="A52" s="16">
        <v>0</v>
      </c>
      <c r="B52" s="16">
        <f>A52+1</f>
        <v>1</v>
      </c>
      <c r="C52" s="16">
        <f t="shared" ref="C52:BN52" si="146">B52+1</f>
        <v>2</v>
      </c>
      <c r="D52" s="16">
        <f t="shared" si="146"/>
        <v>3</v>
      </c>
      <c r="E52" s="16">
        <f t="shared" si="146"/>
        <v>4</v>
      </c>
      <c r="F52" s="16">
        <f t="shared" si="146"/>
        <v>5</v>
      </c>
      <c r="G52" s="16">
        <f t="shared" si="146"/>
        <v>6</v>
      </c>
      <c r="H52" s="16">
        <f t="shared" si="146"/>
        <v>7</v>
      </c>
      <c r="I52" s="16">
        <f t="shared" si="146"/>
        <v>8</v>
      </c>
      <c r="J52" s="16">
        <f t="shared" si="146"/>
        <v>9</v>
      </c>
      <c r="K52" s="16">
        <f t="shared" si="146"/>
        <v>10</v>
      </c>
      <c r="L52" s="16">
        <f t="shared" si="146"/>
        <v>11</v>
      </c>
      <c r="M52" s="16">
        <f t="shared" si="146"/>
        <v>12</v>
      </c>
      <c r="N52" s="16">
        <f t="shared" si="146"/>
        <v>13</v>
      </c>
      <c r="O52" s="16">
        <f t="shared" si="146"/>
        <v>14</v>
      </c>
      <c r="P52" s="16">
        <f t="shared" si="146"/>
        <v>15</v>
      </c>
      <c r="Q52" s="16">
        <f t="shared" si="146"/>
        <v>16</v>
      </c>
      <c r="R52" s="16">
        <f t="shared" si="146"/>
        <v>17</v>
      </c>
      <c r="S52" s="16">
        <f t="shared" si="146"/>
        <v>18</v>
      </c>
      <c r="T52" s="16">
        <f t="shared" si="146"/>
        <v>19</v>
      </c>
      <c r="U52" s="16">
        <f t="shared" si="146"/>
        <v>20</v>
      </c>
      <c r="V52" s="16">
        <f t="shared" si="146"/>
        <v>21</v>
      </c>
      <c r="W52" s="16">
        <f t="shared" si="146"/>
        <v>22</v>
      </c>
      <c r="X52" s="16">
        <f t="shared" si="146"/>
        <v>23</v>
      </c>
      <c r="Y52" s="16">
        <f t="shared" si="146"/>
        <v>24</v>
      </c>
      <c r="Z52" s="16">
        <f t="shared" si="146"/>
        <v>25</v>
      </c>
      <c r="AA52" s="16">
        <f t="shared" si="146"/>
        <v>26</v>
      </c>
      <c r="AB52" s="16">
        <f t="shared" si="146"/>
        <v>27</v>
      </c>
      <c r="AC52" s="16">
        <f t="shared" si="146"/>
        <v>28</v>
      </c>
      <c r="AD52" s="16">
        <f t="shared" si="146"/>
        <v>29</v>
      </c>
      <c r="AE52" s="16">
        <f t="shared" si="146"/>
        <v>30</v>
      </c>
      <c r="AF52" s="16">
        <f t="shared" si="146"/>
        <v>31</v>
      </c>
      <c r="AG52" s="16">
        <f t="shared" si="146"/>
        <v>32</v>
      </c>
      <c r="AH52" s="16">
        <f t="shared" si="146"/>
        <v>33</v>
      </c>
      <c r="AI52" s="16">
        <f t="shared" si="146"/>
        <v>34</v>
      </c>
      <c r="AJ52" s="16">
        <f t="shared" si="146"/>
        <v>35</v>
      </c>
      <c r="AK52" s="16">
        <f t="shared" si="146"/>
        <v>36</v>
      </c>
      <c r="AL52" s="16">
        <f t="shared" si="146"/>
        <v>37</v>
      </c>
      <c r="AM52" s="16">
        <f t="shared" si="146"/>
        <v>38</v>
      </c>
      <c r="AN52" s="16">
        <f t="shared" si="146"/>
        <v>39</v>
      </c>
      <c r="AO52" s="16">
        <f t="shared" si="146"/>
        <v>40</v>
      </c>
      <c r="AP52" s="16">
        <f t="shared" si="146"/>
        <v>41</v>
      </c>
      <c r="AQ52" s="16">
        <f t="shared" si="146"/>
        <v>42</v>
      </c>
      <c r="AR52" s="16">
        <f t="shared" si="146"/>
        <v>43</v>
      </c>
      <c r="AS52" s="16">
        <f t="shared" si="146"/>
        <v>44</v>
      </c>
      <c r="AT52" s="16">
        <f t="shared" si="146"/>
        <v>45</v>
      </c>
      <c r="AU52" s="16">
        <f t="shared" si="146"/>
        <v>46</v>
      </c>
      <c r="AV52" s="16">
        <f t="shared" si="146"/>
        <v>47</v>
      </c>
      <c r="AW52" s="16">
        <f t="shared" si="146"/>
        <v>48</v>
      </c>
      <c r="AX52" s="16">
        <f t="shared" si="146"/>
        <v>49</v>
      </c>
      <c r="AY52" s="16">
        <f t="shared" si="146"/>
        <v>50</v>
      </c>
      <c r="AZ52" s="16">
        <f t="shared" si="146"/>
        <v>51</v>
      </c>
      <c r="BA52" s="16">
        <f t="shared" si="146"/>
        <v>52</v>
      </c>
      <c r="BB52" s="16">
        <f t="shared" si="146"/>
        <v>53</v>
      </c>
      <c r="BC52" s="16">
        <f t="shared" si="146"/>
        <v>54</v>
      </c>
      <c r="BD52" s="16">
        <f t="shared" si="146"/>
        <v>55</v>
      </c>
      <c r="BE52" s="16">
        <f t="shared" si="146"/>
        <v>56</v>
      </c>
      <c r="BF52" s="16">
        <f t="shared" si="146"/>
        <v>57</v>
      </c>
      <c r="BG52" s="16">
        <f t="shared" si="146"/>
        <v>58</v>
      </c>
      <c r="BH52" s="16">
        <f t="shared" si="146"/>
        <v>59</v>
      </c>
      <c r="BI52" s="16">
        <f t="shared" si="146"/>
        <v>60</v>
      </c>
      <c r="BJ52" s="16">
        <f t="shared" si="146"/>
        <v>61</v>
      </c>
      <c r="BK52" s="16">
        <f t="shared" si="146"/>
        <v>62</v>
      </c>
      <c r="BL52" s="16">
        <f t="shared" si="146"/>
        <v>63</v>
      </c>
      <c r="BM52" s="16">
        <f t="shared" si="146"/>
        <v>64</v>
      </c>
      <c r="BN52" s="16">
        <f t="shared" si="146"/>
        <v>65</v>
      </c>
      <c r="BO52" s="16">
        <f t="shared" ref="BO52:DZ52" si="147">BN52+1</f>
        <v>66</v>
      </c>
      <c r="BP52" s="16">
        <f t="shared" si="147"/>
        <v>67</v>
      </c>
      <c r="BQ52" s="16">
        <f t="shared" si="147"/>
        <v>68</v>
      </c>
      <c r="BR52" s="16">
        <f t="shared" si="147"/>
        <v>69</v>
      </c>
      <c r="BS52" s="16">
        <f t="shared" si="147"/>
        <v>70</v>
      </c>
      <c r="BT52" s="16">
        <f t="shared" si="147"/>
        <v>71</v>
      </c>
      <c r="BU52" s="16">
        <f t="shared" si="147"/>
        <v>72</v>
      </c>
      <c r="BV52" s="16">
        <f t="shared" si="147"/>
        <v>73</v>
      </c>
      <c r="BW52" s="16">
        <f t="shared" si="147"/>
        <v>74</v>
      </c>
      <c r="BX52" s="16">
        <f t="shared" si="147"/>
        <v>75</v>
      </c>
      <c r="BY52" s="16">
        <f t="shared" si="147"/>
        <v>76</v>
      </c>
      <c r="BZ52" s="16">
        <f t="shared" si="147"/>
        <v>77</v>
      </c>
      <c r="CA52" s="16">
        <f t="shared" si="147"/>
        <v>78</v>
      </c>
      <c r="CB52" s="16">
        <f t="shared" si="147"/>
        <v>79</v>
      </c>
      <c r="CC52" s="16">
        <f t="shared" si="147"/>
        <v>80</v>
      </c>
      <c r="CD52" s="16">
        <f t="shared" si="147"/>
        <v>81</v>
      </c>
      <c r="CE52" s="16">
        <f t="shared" si="147"/>
        <v>82</v>
      </c>
      <c r="CF52" s="16">
        <f t="shared" si="147"/>
        <v>83</v>
      </c>
      <c r="CG52" s="16">
        <f t="shared" si="147"/>
        <v>84</v>
      </c>
      <c r="CH52" s="16">
        <f t="shared" si="147"/>
        <v>85</v>
      </c>
      <c r="CI52" s="16">
        <f t="shared" si="147"/>
        <v>86</v>
      </c>
      <c r="CJ52" s="16">
        <f t="shared" si="147"/>
        <v>87</v>
      </c>
      <c r="CK52" s="16">
        <f t="shared" si="147"/>
        <v>88</v>
      </c>
      <c r="CL52" s="16">
        <f t="shared" si="147"/>
        <v>89</v>
      </c>
      <c r="CM52" s="16">
        <f t="shared" si="147"/>
        <v>90</v>
      </c>
      <c r="CN52" s="16">
        <f t="shared" si="147"/>
        <v>91</v>
      </c>
      <c r="CO52" s="16">
        <f t="shared" si="147"/>
        <v>92</v>
      </c>
      <c r="CP52" s="16">
        <f t="shared" si="147"/>
        <v>93</v>
      </c>
      <c r="CQ52" s="16">
        <f t="shared" si="147"/>
        <v>94</v>
      </c>
      <c r="CR52" s="16">
        <f t="shared" si="147"/>
        <v>95</v>
      </c>
      <c r="CS52" s="16">
        <f t="shared" si="147"/>
        <v>96</v>
      </c>
      <c r="CT52" s="16">
        <f t="shared" si="147"/>
        <v>97</v>
      </c>
      <c r="CU52" s="16">
        <f t="shared" si="147"/>
        <v>98</v>
      </c>
      <c r="CV52" s="16">
        <f t="shared" si="147"/>
        <v>99</v>
      </c>
      <c r="CW52" s="16">
        <f t="shared" si="147"/>
        <v>100</v>
      </c>
      <c r="CX52" s="16">
        <f t="shared" si="147"/>
        <v>101</v>
      </c>
      <c r="CY52" s="16">
        <f t="shared" si="147"/>
        <v>102</v>
      </c>
      <c r="CZ52" s="16">
        <f t="shared" si="147"/>
        <v>103</v>
      </c>
      <c r="DA52" s="16">
        <f t="shared" si="147"/>
        <v>104</v>
      </c>
      <c r="DB52" s="16">
        <f t="shared" si="147"/>
        <v>105</v>
      </c>
      <c r="DC52" s="16">
        <f t="shared" si="147"/>
        <v>106</v>
      </c>
      <c r="DD52" s="16">
        <f t="shared" si="147"/>
        <v>107</v>
      </c>
      <c r="DE52" s="16">
        <f t="shared" si="147"/>
        <v>108</v>
      </c>
      <c r="DF52" s="16">
        <f t="shared" si="147"/>
        <v>109</v>
      </c>
      <c r="DG52" s="16">
        <f t="shared" si="147"/>
        <v>110</v>
      </c>
      <c r="DH52" s="16">
        <f t="shared" si="147"/>
        <v>111</v>
      </c>
      <c r="DI52" s="16">
        <f t="shared" si="147"/>
        <v>112</v>
      </c>
      <c r="DJ52" s="16">
        <f t="shared" si="147"/>
        <v>113</v>
      </c>
      <c r="DK52" s="16">
        <f t="shared" si="147"/>
        <v>114</v>
      </c>
      <c r="DL52" s="16">
        <f t="shared" si="147"/>
        <v>115</v>
      </c>
      <c r="DM52" s="16">
        <f t="shared" si="147"/>
        <v>116</v>
      </c>
      <c r="DN52" s="16">
        <f t="shared" si="147"/>
        <v>117</v>
      </c>
      <c r="DO52" s="16">
        <f t="shared" si="147"/>
        <v>118</v>
      </c>
      <c r="DP52" s="16">
        <f t="shared" si="147"/>
        <v>119</v>
      </c>
      <c r="DQ52" s="16">
        <f t="shared" si="147"/>
        <v>120</v>
      </c>
      <c r="DR52" s="16">
        <f t="shared" si="147"/>
        <v>121</v>
      </c>
      <c r="DS52" s="16">
        <f t="shared" si="147"/>
        <v>122</v>
      </c>
      <c r="DT52" s="16">
        <f t="shared" si="147"/>
        <v>123</v>
      </c>
      <c r="DU52" s="16">
        <f t="shared" si="147"/>
        <v>124</v>
      </c>
      <c r="DV52" s="16">
        <f t="shared" si="147"/>
        <v>125</v>
      </c>
      <c r="DW52" s="16">
        <f t="shared" si="147"/>
        <v>126</v>
      </c>
      <c r="DX52" s="16">
        <f t="shared" si="147"/>
        <v>127</v>
      </c>
      <c r="DY52" s="16">
        <f t="shared" si="147"/>
        <v>128</v>
      </c>
      <c r="DZ52" s="16">
        <f t="shared" si="147"/>
        <v>129</v>
      </c>
      <c r="EA52" s="16">
        <f t="shared" ref="EA52:GL52" si="148">DZ52+1</f>
        <v>130</v>
      </c>
      <c r="EB52" s="16">
        <f t="shared" si="148"/>
        <v>131</v>
      </c>
      <c r="EC52" s="16">
        <f t="shared" si="148"/>
        <v>132</v>
      </c>
      <c r="ED52" s="16">
        <f t="shared" si="148"/>
        <v>133</v>
      </c>
      <c r="EE52" s="16">
        <f t="shared" si="148"/>
        <v>134</v>
      </c>
      <c r="EF52" s="16">
        <f t="shared" si="148"/>
        <v>135</v>
      </c>
      <c r="EG52" s="16">
        <f t="shared" si="148"/>
        <v>136</v>
      </c>
      <c r="EH52" s="16">
        <f t="shared" si="148"/>
        <v>137</v>
      </c>
      <c r="EI52" s="16">
        <f t="shared" si="148"/>
        <v>138</v>
      </c>
      <c r="EJ52" s="16">
        <f t="shared" si="148"/>
        <v>139</v>
      </c>
      <c r="EK52" s="16">
        <f t="shared" si="148"/>
        <v>140</v>
      </c>
      <c r="EL52" s="16">
        <f t="shared" si="148"/>
        <v>141</v>
      </c>
      <c r="EM52" s="16">
        <f t="shared" si="148"/>
        <v>142</v>
      </c>
      <c r="EN52" s="16">
        <f t="shared" si="148"/>
        <v>143</v>
      </c>
      <c r="EO52" s="16">
        <f t="shared" si="148"/>
        <v>144</v>
      </c>
      <c r="EP52" s="16">
        <f t="shared" si="148"/>
        <v>145</v>
      </c>
      <c r="EQ52" s="16">
        <f t="shared" si="148"/>
        <v>146</v>
      </c>
      <c r="ER52" s="16">
        <f t="shared" si="148"/>
        <v>147</v>
      </c>
      <c r="ES52" s="16">
        <f t="shared" si="148"/>
        <v>148</v>
      </c>
      <c r="ET52" s="16">
        <f t="shared" si="148"/>
        <v>149</v>
      </c>
      <c r="EU52" s="16">
        <f t="shared" si="148"/>
        <v>150</v>
      </c>
      <c r="EV52" s="16">
        <f t="shared" si="148"/>
        <v>151</v>
      </c>
      <c r="EW52" s="16">
        <f t="shared" si="148"/>
        <v>152</v>
      </c>
      <c r="EX52" s="16">
        <f t="shared" si="148"/>
        <v>153</v>
      </c>
      <c r="EY52" s="16">
        <f t="shared" si="148"/>
        <v>154</v>
      </c>
      <c r="EZ52" s="16">
        <f t="shared" si="148"/>
        <v>155</v>
      </c>
      <c r="FA52" s="16">
        <f t="shared" si="148"/>
        <v>156</v>
      </c>
      <c r="FB52" s="16">
        <f t="shared" si="148"/>
        <v>157</v>
      </c>
      <c r="FC52" s="16">
        <f t="shared" si="148"/>
        <v>158</v>
      </c>
      <c r="FD52" s="16">
        <f t="shared" si="148"/>
        <v>159</v>
      </c>
      <c r="FE52" s="16">
        <f t="shared" si="148"/>
        <v>160</v>
      </c>
      <c r="FF52" s="16">
        <f t="shared" si="148"/>
        <v>161</v>
      </c>
      <c r="FG52" s="16">
        <f t="shared" si="148"/>
        <v>162</v>
      </c>
      <c r="FH52" s="16">
        <f t="shared" si="148"/>
        <v>163</v>
      </c>
      <c r="FI52" s="16">
        <f t="shared" si="148"/>
        <v>164</v>
      </c>
      <c r="FJ52" s="16">
        <f t="shared" si="148"/>
        <v>165</v>
      </c>
      <c r="FK52" s="16">
        <f t="shared" si="148"/>
        <v>166</v>
      </c>
      <c r="FL52" s="16">
        <f t="shared" si="148"/>
        <v>167</v>
      </c>
      <c r="FM52" s="16">
        <f t="shared" si="148"/>
        <v>168</v>
      </c>
      <c r="FN52" s="16">
        <f t="shared" si="148"/>
        <v>169</v>
      </c>
      <c r="FO52" s="16">
        <f t="shared" si="148"/>
        <v>170</v>
      </c>
      <c r="FP52" s="16">
        <f t="shared" si="148"/>
        <v>171</v>
      </c>
      <c r="FQ52" s="16">
        <f t="shared" si="148"/>
        <v>172</v>
      </c>
      <c r="FR52" s="16">
        <f t="shared" si="148"/>
        <v>173</v>
      </c>
      <c r="FS52" s="16">
        <f t="shared" si="148"/>
        <v>174</v>
      </c>
      <c r="FT52" s="16">
        <f t="shared" si="148"/>
        <v>175</v>
      </c>
      <c r="FU52" s="16">
        <f t="shared" si="148"/>
        <v>176</v>
      </c>
      <c r="FV52" s="16">
        <f t="shared" si="148"/>
        <v>177</v>
      </c>
      <c r="FW52" s="16">
        <f t="shared" si="148"/>
        <v>178</v>
      </c>
      <c r="FX52" s="16">
        <f t="shared" si="148"/>
        <v>179</v>
      </c>
      <c r="FY52" s="16">
        <f t="shared" si="148"/>
        <v>180</v>
      </c>
      <c r="FZ52" s="16">
        <f t="shared" si="148"/>
        <v>181</v>
      </c>
      <c r="GA52" s="16">
        <f t="shared" si="148"/>
        <v>182</v>
      </c>
      <c r="GB52" s="16">
        <f t="shared" si="148"/>
        <v>183</v>
      </c>
      <c r="GC52" s="16">
        <f t="shared" si="148"/>
        <v>184</v>
      </c>
      <c r="GD52" s="16">
        <f t="shared" si="148"/>
        <v>185</v>
      </c>
      <c r="GE52" s="16">
        <f t="shared" si="148"/>
        <v>186</v>
      </c>
      <c r="GF52" s="16">
        <f t="shared" si="148"/>
        <v>187</v>
      </c>
      <c r="GG52" s="16">
        <f t="shared" si="148"/>
        <v>188</v>
      </c>
      <c r="GH52" s="16">
        <f t="shared" si="148"/>
        <v>189</v>
      </c>
      <c r="GI52" s="16">
        <f t="shared" si="148"/>
        <v>190</v>
      </c>
      <c r="GJ52" s="16">
        <f t="shared" si="148"/>
        <v>191</v>
      </c>
      <c r="GK52" s="16">
        <f t="shared" si="148"/>
        <v>192</v>
      </c>
      <c r="GL52" s="16">
        <f t="shared" si="148"/>
        <v>193</v>
      </c>
      <c r="GM52" s="16">
        <f t="shared" ref="GM52:IX52" si="149">GL52+1</f>
        <v>194</v>
      </c>
      <c r="GN52" s="16">
        <f t="shared" si="149"/>
        <v>195</v>
      </c>
      <c r="GO52" s="16">
        <f t="shared" si="149"/>
        <v>196</v>
      </c>
      <c r="GP52" s="16">
        <f t="shared" si="149"/>
        <v>197</v>
      </c>
      <c r="GQ52" s="16">
        <f t="shared" si="149"/>
        <v>198</v>
      </c>
      <c r="GR52" s="16">
        <f t="shared" si="149"/>
        <v>199</v>
      </c>
      <c r="GS52" s="16">
        <f t="shared" si="149"/>
        <v>200</v>
      </c>
      <c r="GT52" s="16">
        <f t="shared" si="149"/>
        <v>201</v>
      </c>
      <c r="GU52" s="16">
        <f t="shared" si="149"/>
        <v>202</v>
      </c>
      <c r="GV52" s="16">
        <f t="shared" si="149"/>
        <v>203</v>
      </c>
      <c r="GW52" s="16">
        <f t="shared" si="149"/>
        <v>204</v>
      </c>
      <c r="GX52" s="16">
        <f t="shared" si="149"/>
        <v>205</v>
      </c>
      <c r="GY52" s="16">
        <f t="shared" si="149"/>
        <v>206</v>
      </c>
      <c r="GZ52" s="16">
        <f t="shared" si="149"/>
        <v>207</v>
      </c>
      <c r="HA52" s="16">
        <f t="shared" si="149"/>
        <v>208</v>
      </c>
      <c r="HB52" s="16">
        <f t="shared" si="149"/>
        <v>209</v>
      </c>
      <c r="HC52" s="16">
        <f t="shared" si="149"/>
        <v>210</v>
      </c>
      <c r="HD52" s="16">
        <f t="shared" si="149"/>
        <v>211</v>
      </c>
      <c r="HE52" s="16">
        <f t="shared" si="149"/>
        <v>212</v>
      </c>
      <c r="HF52" s="16">
        <f t="shared" si="149"/>
        <v>213</v>
      </c>
      <c r="HG52" s="16">
        <f t="shared" si="149"/>
        <v>214</v>
      </c>
      <c r="HH52" s="16">
        <f t="shared" si="149"/>
        <v>215</v>
      </c>
      <c r="HI52" s="16">
        <f t="shared" si="149"/>
        <v>216</v>
      </c>
      <c r="HJ52" s="16">
        <f t="shared" si="149"/>
        <v>217</v>
      </c>
      <c r="HK52" s="16">
        <f t="shared" si="149"/>
        <v>218</v>
      </c>
      <c r="HL52" s="16">
        <f t="shared" si="149"/>
        <v>219</v>
      </c>
      <c r="HM52" s="16">
        <f t="shared" si="149"/>
        <v>220</v>
      </c>
      <c r="HN52" s="16">
        <f t="shared" si="149"/>
        <v>221</v>
      </c>
      <c r="HO52" s="16">
        <f t="shared" si="149"/>
        <v>222</v>
      </c>
      <c r="HP52" s="16">
        <f t="shared" si="149"/>
        <v>223</v>
      </c>
      <c r="HQ52" s="16">
        <f t="shared" si="149"/>
        <v>224</v>
      </c>
      <c r="HR52" s="16">
        <f t="shared" si="149"/>
        <v>225</v>
      </c>
      <c r="HS52" s="16">
        <f t="shared" si="149"/>
        <v>226</v>
      </c>
      <c r="HT52" s="16">
        <f t="shared" si="149"/>
        <v>227</v>
      </c>
      <c r="HU52" s="16">
        <f t="shared" si="149"/>
        <v>228</v>
      </c>
      <c r="HV52" s="16">
        <f t="shared" si="149"/>
        <v>229</v>
      </c>
      <c r="HW52" s="16">
        <f t="shared" si="149"/>
        <v>230</v>
      </c>
      <c r="HX52" s="16">
        <f t="shared" si="149"/>
        <v>231</v>
      </c>
      <c r="HY52" s="16">
        <f t="shared" si="149"/>
        <v>232</v>
      </c>
      <c r="HZ52" s="16">
        <f t="shared" si="149"/>
        <v>233</v>
      </c>
      <c r="IA52" s="16">
        <f t="shared" si="149"/>
        <v>234</v>
      </c>
      <c r="IB52" s="16">
        <f t="shared" si="149"/>
        <v>235</v>
      </c>
      <c r="IC52" s="16">
        <f t="shared" si="149"/>
        <v>236</v>
      </c>
      <c r="ID52" s="16">
        <f t="shared" si="149"/>
        <v>237</v>
      </c>
      <c r="IE52" s="16">
        <f t="shared" si="149"/>
        <v>238</v>
      </c>
      <c r="IF52" s="16">
        <f t="shared" si="149"/>
        <v>239</v>
      </c>
      <c r="IG52" s="16">
        <f t="shared" si="149"/>
        <v>240</v>
      </c>
      <c r="IH52" s="16">
        <f t="shared" si="149"/>
        <v>241</v>
      </c>
      <c r="II52" s="16">
        <f t="shared" si="149"/>
        <v>242</v>
      </c>
      <c r="IJ52" s="16">
        <f t="shared" si="149"/>
        <v>243</v>
      </c>
      <c r="IK52" s="16">
        <f t="shared" si="149"/>
        <v>244</v>
      </c>
      <c r="IL52" s="16">
        <f t="shared" si="149"/>
        <v>245</v>
      </c>
      <c r="IM52" s="16">
        <f t="shared" si="149"/>
        <v>246</v>
      </c>
      <c r="IN52" s="16">
        <f t="shared" si="149"/>
        <v>247</v>
      </c>
      <c r="IO52" s="16">
        <f t="shared" si="149"/>
        <v>248</v>
      </c>
      <c r="IP52" s="16">
        <f t="shared" si="149"/>
        <v>249</v>
      </c>
      <c r="IQ52" s="16">
        <f t="shared" si="149"/>
        <v>250</v>
      </c>
      <c r="IR52" s="16">
        <f t="shared" si="149"/>
        <v>251</v>
      </c>
      <c r="IS52" s="16">
        <f t="shared" si="149"/>
        <v>252</v>
      </c>
      <c r="IT52" s="16">
        <f t="shared" si="149"/>
        <v>253</v>
      </c>
      <c r="IU52" s="16">
        <f t="shared" si="149"/>
        <v>254</v>
      </c>
      <c r="IV52" s="16">
        <f t="shared" si="149"/>
        <v>255</v>
      </c>
      <c r="IW52" s="16">
        <f t="shared" si="149"/>
        <v>256</v>
      </c>
      <c r="IX52" s="16">
        <f t="shared" si="149"/>
        <v>257</v>
      </c>
      <c r="IY52" s="16">
        <f t="shared" ref="IY52:KN52" si="150">IX52+1</f>
        <v>258</v>
      </c>
      <c r="IZ52" s="16">
        <f t="shared" si="150"/>
        <v>259</v>
      </c>
      <c r="JA52" s="16">
        <f t="shared" si="150"/>
        <v>260</v>
      </c>
      <c r="JB52" s="16">
        <f t="shared" si="150"/>
        <v>261</v>
      </c>
      <c r="JC52" s="16">
        <f t="shared" si="150"/>
        <v>262</v>
      </c>
      <c r="JD52" s="16">
        <f t="shared" si="150"/>
        <v>263</v>
      </c>
      <c r="JE52" s="16">
        <f t="shared" si="150"/>
        <v>264</v>
      </c>
      <c r="JF52" s="16">
        <f t="shared" si="150"/>
        <v>265</v>
      </c>
      <c r="JG52" s="16">
        <f t="shared" si="150"/>
        <v>266</v>
      </c>
      <c r="JH52" s="16">
        <f t="shared" si="150"/>
        <v>267</v>
      </c>
      <c r="JI52" s="16">
        <f t="shared" si="150"/>
        <v>268</v>
      </c>
      <c r="JJ52" s="16">
        <f t="shared" si="150"/>
        <v>269</v>
      </c>
      <c r="JK52" s="16">
        <f t="shared" si="150"/>
        <v>270</v>
      </c>
      <c r="JL52" s="16">
        <f t="shared" si="150"/>
        <v>271</v>
      </c>
      <c r="JM52" s="16">
        <f t="shared" si="150"/>
        <v>272</v>
      </c>
      <c r="JN52" s="16">
        <f t="shared" si="150"/>
        <v>273</v>
      </c>
      <c r="JO52" s="16">
        <f t="shared" si="150"/>
        <v>274</v>
      </c>
      <c r="JP52" s="16">
        <f t="shared" si="150"/>
        <v>275</v>
      </c>
      <c r="JQ52" s="16">
        <f t="shared" si="150"/>
        <v>276</v>
      </c>
      <c r="JR52" s="16">
        <f t="shared" si="150"/>
        <v>277</v>
      </c>
      <c r="JS52" s="16">
        <f t="shared" si="150"/>
        <v>278</v>
      </c>
      <c r="JT52" s="16">
        <f t="shared" si="150"/>
        <v>279</v>
      </c>
      <c r="JU52" s="16">
        <f t="shared" si="150"/>
        <v>280</v>
      </c>
      <c r="JV52" s="16">
        <f t="shared" si="150"/>
        <v>281</v>
      </c>
      <c r="JW52" s="16">
        <f t="shared" si="150"/>
        <v>282</v>
      </c>
      <c r="JX52" s="16">
        <f t="shared" si="150"/>
        <v>283</v>
      </c>
      <c r="JY52" s="16">
        <f t="shared" si="150"/>
        <v>284</v>
      </c>
      <c r="JZ52" s="16">
        <f t="shared" si="150"/>
        <v>285</v>
      </c>
      <c r="KA52" s="16">
        <f t="shared" si="150"/>
        <v>286</v>
      </c>
      <c r="KB52" s="16">
        <f t="shared" si="150"/>
        <v>287</v>
      </c>
      <c r="KC52" s="16">
        <f t="shared" si="150"/>
        <v>288</v>
      </c>
      <c r="KD52" s="16">
        <f t="shared" si="150"/>
        <v>289</v>
      </c>
      <c r="KE52" s="16">
        <f t="shared" si="150"/>
        <v>290</v>
      </c>
      <c r="KF52" s="16">
        <f t="shared" si="150"/>
        <v>291</v>
      </c>
      <c r="KG52" s="16">
        <f t="shared" si="150"/>
        <v>292</v>
      </c>
      <c r="KH52" s="16">
        <f t="shared" si="150"/>
        <v>293</v>
      </c>
      <c r="KI52" s="16">
        <f t="shared" si="150"/>
        <v>294</v>
      </c>
      <c r="KJ52" s="16">
        <f t="shared" si="150"/>
        <v>295</v>
      </c>
      <c r="KK52" s="16">
        <f t="shared" si="150"/>
        <v>296</v>
      </c>
      <c r="KL52" s="16">
        <f t="shared" si="150"/>
        <v>297</v>
      </c>
      <c r="KM52" s="16">
        <f t="shared" si="150"/>
        <v>298</v>
      </c>
      <c r="KN52" s="16">
        <f t="shared" si="150"/>
        <v>299</v>
      </c>
    </row>
    <row r="53" spans="1:300" x14ac:dyDescent="0.15">
      <c r="C53" s="3"/>
      <c r="E53" s="3"/>
    </row>
    <row r="54" spans="1:300" x14ac:dyDescent="0.15">
      <c r="A54" s="347">
        <f t="array" ref="A54:KN74">IF($A$1=FALSE,"-",TRANSPOSE('Analysis - with risk'!$D$2:$X$210))</f>
        <v>0</v>
      </c>
      <c r="B54" s="347">
        <v>-1.6353037496385061</v>
      </c>
      <c r="C54" s="347">
        <v>0.05</v>
      </c>
      <c r="D54" s="347">
        <v>100</v>
      </c>
      <c r="E54" s="347">
        <v>1</v>
      </c>
      <c r="F54" s="347">
        <v>1.7555680391337474</v>
      </c>
      <c r="G54" s="347">
        <v>100</v>
      </c>
      <c r="H54" s="347">
        <v>105</v>
      </c>
      <c r="I54" s="347">
        <v>0</v>
      </c>
      <c r="J54" s="347">
        <v>1</v>
      </c>
      <c r="K54" s="347">
        <v>0</v>
      </c>
      <c r="L54" s="347">
        <v>-1.0422164574039192</v>
      </c>
      <c r="M54" s="347">
        <v>150</v>
      </c>
      <c r="N54" s="347">
        <v>1.3687499999999999</v>
      </c>
      <c r="O54" s="347">
        <v>0</v>
      </c>
      <c r="P54" s="347">
        <v>0</v>
      </c>
      <c r="Q54" s="347">
        <v>0</v>
      </c>
      <c r="R54" s="347">
        <v>0</v>
      </c>
      <c r="S54" s="347">
        <v>0</v>
      </c>
      <c r="T54" s="347">
        <v>10</v>
      </c>
      <c r="U54" s="347">
        <v>0.1</v>
      </c>
      <c r="V54" s="347">
        <v>0</v>
      </c>
      <c r="W54" s="347">
        <v>10</v>
      </c>
      <c r="X54" s="347">
        <v>0.1</v>
      </c>
      <c r="Y54" s="347">
        <v>0</v>
      </c>
      <c r="Z54" s="347">
        <v>0</v>
      </c>
      <c r="AA54" s="347">
        <v>0</v>
      </c>
      <c r="AB54" s="347">
        <v>0</v>
      </c>
      <c r="AC54" s="347">
        <v>0</v>
      </c>
      <c r="AD54" s="347">
        <v>0</v>
      </c>
      <c r="AE54" s="347" t="str">
        <v>Total</v>
      </c>
      <c r="AF54" s="347">
        <v>2.7745653195934616E-3</v>
      </c>
      <c r="AG54" s="347">
        <v>4.3458788131125765E-3</v>
      </c>
      <c r="AH54" s="347">
        <v>1.1170074723628741E-2</v>
      </c>
      <c r="AI54" s="347">
        <v>2.6323963175426821E-2</v>
      </c>
      <c r="AJ54" s="347">
        <v>4.780828474116243E-2</v>
      </c>
      <c r="AK54" s="347">
        <v>6.3795401020315126E-2</v>
      </c>
      <c r="AL54" s="347">
        <v>5.1787766970636834E-2</v>
      </c>
      <c r="AM54" s="347">
        <v>3.0590224537782405E-2</v>
      </c>
      <c r="AN54" s="347">
        <v>1.4340279113242921E-2</v>
      </c>
      <c r="AO54" s="347">
        <v>9.2865993350112926E-3</v>
      </c>
      <c r="AP54" s="347">
        <v>0</v>
      </c>
      <c r="AQ54" s="347">
        <v>0</v>
      </c>
      <c r="AR54" s="347">
        <v>0</v>
      </c>
      <c r="AS54" s="347">
        <v>0</v>
      </c>
      <c r="AT54" s="347">
        <v>0</v>
      </c>
      <c r="AU54" s="347">
        <v>0</v>
      </c>
      <c r="AV54" s="347">
        <v>0</v>
      </c>
      <c r="AW54" s="347">
        <v>0</v>
      </c>
      <c r="AX54" s="347">
        <v>0</v>
      </c>
      <c r="AY54" s="347">
        <v>0</v>
      </c>
      <c r="AZ54" s="347">
        <f ca="1"/>
        <v>0</v>
      </c>
      <c r="BA54" s="347">
        <f ca="1"/>
        <v>0</v>
      </c>
      <c r="BB54" s="347">
        <f ca="1"/>
        <v>0</v>
      </c>
      <c r="BC54" s="347">
        <f ca="1"/>
        <v>0</v>
      </c>
      <c r="BD54" s="347">
        <f ca="1"/>
        <v>0</v>
      </c>
      <c r="BE54" s="347">
        <f ca="1"/>
        <v>0</v>
      </c>
      <c r="BF54" s="347">
        <f ca="1"/>
        <v>0</v>
      </c>
      <c r="BG54" s="347">
        <f ca="1"/>
        <v>0</v>
      </c>
      <c r="BH54" s="347">
        <f ca="1"/>
        <v>0</v>
      </c>
      <c r="BI54" s="347">
        <f ca="1"/>
        <v>0</v>
      </c>
      <c r="BJ54" s="347">
        <f ca="1"/>
        <v>0</v>
      </c>
      <c r="BK54" s="347">
        <f ca="1"/>
        <v>0</v>
      </c>
      <c r="BL54" s="347">
        <f ca="1"/>
        <v>0</v>
      </c>
      <c r="BM54" s="347">
        <f ca="1"/>
        <v>0</v>
      </c>
      <c r="BN54" s="347">
        <f ca="1"/>
        <v>0</v>
      </c>
      <c r="BO54" s="347">
        <f ca="1"/>
        <v>0</v>
      </c>
      <c r="BP54" s="347">
        <f ca="1"/>
        <v>0</v>
      </c>
      <c r="BQ54" s="347">
        <f ca="1"/>
        <v>0</v>
      </c>
      <c r="BR54" s="347">
        <f ca="1"/>
        <v>0</v>
      </c>
      <c r="BS54" s="347">
        <f ca="1"/>
        <v>0</v>
      </c>
      <c r="BT54" s="347">
        <f ca="1"/>
        <v>0.26222303774991262</v>
      </c>
      <c r="BU54" s="347">
        <v>0</v>
      </c>
      <c r="BV54" s="347">
        <v>0</v>
      </c>
      <c r="BW54" s="347">
        <v>0</v>
      </c>
      <c r="BX54" s="347">
        <v>0</v>
      </c>
      <c r="BY54" s="347">
        <v>0</v>
      </c>
      <c r="BZ54" s="347">
        <v>0</v>
      </c>
      <c r="CA54" s="347">
        <v>0</v>
      </c>
      <c r="CB54" s="347">
        <v>0</v>
      </c>
      <c r="CC54" s="347">
        <v>0</v>
      </c>
      <c r="CD54" s="347">
        <v>0</v>
      </c>
      <c r="CE54" s="347">
        <v>0</v>
      </c>
      <c r="CF54" s="347">
        <v>0</v>
      </c>
      <c r="CG54" s="347">
        <v>0</v>
      </c>
      <c r="CH54" s="347">
        <v>0</v>
      </c>
      <c r="CI54" s="347">
        <v>0</v>
      </c>
      <c r="CJ54" s="347">
        <v>0</v>
      </c>
      <c r="CK54" s="347">
        <v>0</v>
      </c>
      <c r="CL54" s="347">
        <v>0</v>
      </c>
      <c r="CM54" s="347">
        <v>0.05</v>
      </c>
      <c r="CN54" s="347">
        <v>1</v>
      </c>
      <c r="CO54" s="347">
        <v>0</v>
      </c>
      <c r="CP54" s="347">
        <v>0</v>
      </c>
      <c r="CQ54" s="347">
        <v>0</v>
      </c>
      <c r="CR54" s="347">
        <v>0</v>
      </c>
      <c r="CS54" s="347">
        <v>0</v>
      </c>
      <c r="CT54" s="347">
        <v>100</v>
      </c>
      <c r="CU54" s="347">
        <v>0</v>
      </c>
      <c r="CV54" s="347">
        <v>0</v>
      </c>
      <c r="CW54" s="347">
        <v>0</v>
      </c>
      <c r="CX54" s="347">
        <v>0</v>
      </c>
      <c r="CY54" s="347">
        <v>0</v>
      </c>
      <c r="CZ54" s="347">
        <v>0</v>
      </c>
      <c r="DA54" s="347">
        <v>0</v>
      </c>
      <c r="DB54" s="347">
        <v>0</v>
      </c>
      <c r="DC54" s="347">
        <v>0</v>
      </c>
      <c r="DD54" s="347">
        <v>0</v>
      </c>
      <c r="DE54" s="347">
        <v>0</v>
      </c>
      <c r="DF54" s="347">
        <v>6.6519209510237252</v>
      </c>
      <c r="DG54" s="347">
        <v>0</v>
      </c>
      <c r="DH54" s="347">
        <v>0</v>
      </c>
      <c r="DI54" s="347">
        <v>0</v>
      </c>
      <c r="DJ54" s="347">
        <v>0</v>
      </c>
      <c r="DK54" s="347">
        <v>0</v>
      </c>
      <c r="DL54" s="347">
        <v>0</v>
      </c>
      <c r="DM54" s="347">
        <v>0</v>
      </c>
      <c r="DN54" s="347">
        <v>0</v>
      </c>
      <c r="DO54" s="347">
        <v>0</v>
      </c>
      <c r="DP54" s="347">
        <v>0</v>
      </c>
      <c r="DQ54" s="347">
        <v>0</v>
      </c>
      <c r="DR54" s="347">
        <v>0</v>
      </c>
      <c r="DS54" s="347">
        <v>0</v>
      </c>
      <c r="DT54" s="347">
        <v>0</v>
      </c>
      <c r="DU54" s="347">
        <v>0</v>
      </c>
      <c r="DV54" s="347">
        <v>0</v>
      </c>
      <c r="DW54" s="347">
        <v>0</v>
      </c>
      <c r="DX54" s="347">
        <v>0</v>
      </c>
      <c r="DY54" s="347">
        <v>0</v>
      </c>
      <c r="DZ54" s="347">
        <v>0</v>
      </c>
      <c r="EA54" s="347">
        <v>0</v>
      </c>
      <c r="EB54" s="347">
        <v>0</v>
      </c>
      <c r="EC54" s="347">
        <v>0</v>
      </c>
      <c r="ED54" s="347">
        <v>0</v>
      </c>
      <c r="EE54" s="347">
        <v>1.6604725128080058</v>
      </c>
      <c r="EF54" s="347">
        <v>305.20007953989193</v>
      </c>
      <c r="EG54" s="347">
        <v>0</v>
      </c>
      <c r="EH54" s="347">
        <v>0</v>
      </c>
      <c r="EI54" s="347">
        <v>0</v>
      </c>
      <c r="EJ54" s="347">
        <v>0</v>
      </c>
      <c r="EK54" s="347">
        <v>0</v>
      </c>
      <c r="EL54" s="347">
        <v>0</v>
      </c>
      <c r="EM54" s="347">
        <v>0</v>
      </c>
      <c r="EN54" s="347">
        <v>0</v>
      </c>
      <c r="EO54" s="347">
        <v>0</v>
      </c>
      <c r="EP54" s="347">
        <v>0</v>
      </c>
      <c r="EQ54" s="347">
        <v>0</v>
      </c>
      <c r="ER54" s="347">
        <v>0</v>
      </c>
      <c r="ES54" s="347">
        <v>0</v>
      </c>
      <c r="ET54" s="347">
        <v>0</v>
      </c>
      <c r="EU54" s="347">
        <v>0</v>
      </c>
      <c r="EV54" s="347">
        <v>0</v>
      </c>
      <c r="EW54" s="347">
        <v>0</v>
      </c>
      <c r="EX54" s="347">
        <v>0</v>
      </c>
      <c r="EY54" s="347">
        <v>0</v>
      </c>
      <c r="EZ54" s="347">
        <v>0</v>
      </c>
      <c r="FA54" s="347">
        <v>0</v>
      </c>
      <c r="FB54" s="347">
        <v>0</v>
      </c>
      <c r="FC54" s="347">
        <v>0</v>
      </c>
      <c r="FD54" s="347">
        <v>0</v>
      </c>
      <c r="FE54" s="347">
        <v>0</v>
      </c>
      <c r="FF54" s="347">
        <v>0</v>
      </c>
      <c r="FG54" s="347">
        <v>0</v>
      </c>
      <c r="FH54" s="347">
        <v>0</v>
      </c>
      <c r="FI54" s="347">
        <v>0</v>
      </c>
      <c r="FJ54" s="347">
        <v>0</v>
      </c>
      <c r="FK54" s="347">
        <v>0</v>
      </c>
      <c r="FL54" s="347">
        <v>0</v>
      </c>
      <c r="FM54" s="347">
        <v>0</v>
      </c>
      <c r="FN54" s="347">
        <v>0</v>
      </c>
      <c r="FO54" s="347">
        <v>0</v>
      </c>
      <c r="FP54" s="347">
        <v>0</v>
      </c>
      <c r="FQ54" s="347">
        <v>0</v>
      </c>
      <c r="FR54" s="347">
        <v>0</v>
      </c>
      <c r="FS54" s="347">
        <v>0</v>
      </c>
      <c r="FT54" s="347">
        <v>0</v>
      </c>
      <c r="FU54" s="347">
        <v>0</v>
      </c>
      <c r="FV54" s="347">
        <v>0</v>
      </c>
      <c r="FW54" s="347">
        <v>0</v>
      </c>
      <c r="FX54" s="347">
        <v>0</v>
      </c>
      <c r="FY54" s="347">
        <v>0</v>
      </c>
      <c r="FZ54" s="347">
        <v>0</v>
      </c>
      <c r="GA54" s="347">
        <v>0</v>
      </c>
      <c r="GB54" s="347">
        <v>0</v>
      </c>
      <c r="GC54" s="347">
        <v>0</v>
      </c>
      <c r="GD54" s="347">
        <v>0</v>
      </c>
      <c r="GE54" s="347">
        <v>0</v>
      </c>
      <c r="GF54" s="347">
        <v>0</v>
      </c>
      <c r="GG54" s="347">
        <v>0</v>
      </c>
      <c r="GH54" s="347">
        <v>0</v>
      </c>
      <c r="GI54" s="347">
        <v>0</v>
      </c>
      <c r="GJ54" s="347">
        <v>0</v>
      </c>
      <c r="GK54" s="347">
        <v>0</v>
      </c>
      <c r="GL54" s="347">
        <v>0</v>
      </c>
      <c r="GM54" s="347">
        <v>0</v>
      </c>
      <c r="GN54" s="347">
        <v>1.3687499999999999</v>
      </c>
      <c r="GO54" s="347">
        <v>1.3687499999999999</v>
      </c>
      <c r="GP54" s="347">
        <v>0</v>
      </c>
      <c r="GQ54" s="347">
        <v>0</v>
      </c>
      <c r="GR54" s="347">
        <v>100</v>
      </c>
      <c r="GS54" s="347">
        <v>5</v>
      </c>
      <c r="GT54" s="347">
        <v>1.3687499999999999</v>
      </c>
      <c r="GU54" s="347">
        <v>0</v>
      </c>
      <c r="GV54" s="347">
        <v>100</v>
      </c>
      <c r="GW54" s="347">
        <v>5</v>
      </c>
      <c r="GX54" s="347">
        <v>1.3687499999999999</v>
      </c>
      <c r="GY54" s="347">
        <v>0</v>
      </c>
      <c r="GZ54" s="347">
        <v>0</v>
      </c>
      <c r="HA54" s="347">
        <v>0</v>
      </c>
      <c r="HB54" s="347" t="e">
        <v>#N/A</v>
      </c>
      <c r="HC54" s="347" t="e">
        <v>#N/A</v>
      </c>
      <c r="HD54" s="347" t="e">
        <v>#N/A</v>
      </c>
      <c r="HE54" s="347" t="e">
        <v>#N/A</v>
      </c>
      <c r="HF54" s="347" t="e">
        <v>#N/A</v>
      </c>
      <c r="HG54" s="347" t="e">
        <v>#N/A</v>
      </c>
      <c r="HH54" s="347" t="e">
        <v>#N/A</v>
      </c>
      <c r="HI54" s="347" t="e">
        <v>#N/A</v>
      </c>
      <c r="HJ54" s="347" t="e">
        <v>#N/A</v>
      </c>
      <c r="HK54" s="347" t="e">
        <v>#N/A</v>
      </c>
      <c r="HL54" s="347" t="e">
        <v>#N/A</v>
      </c>
      <c r="HM54" s="347" t="e">
        <v>#N/A</v>
      </c>
      <c r="HN54" s="347" t="e">
        <v>#N/A</v>
      </c>
      <c r="HO54" s="347" t="e">
        <v>#N/A</v>
      </c>
      <c r="HP54" s="347" t="e">
        <v>#N/A</v>
      </c>
      <c r="HQ54" s="347" t="e">
        <v>#N/A</v>
      </c>
      <c r="HR54" s="347" t="e">
        <v>#N/A</v>
      </c>
      <c r="HS54" s="347" t="e">
        <v>#N/A</v>
      </c>
      <c r="HT54" s="347" t="e">
        <v>#N/A</v>
      </c>
      <c r="HU54" s="347" t="e">
        <v>#N/A</v>
      </c>
      <c r="HV54" s="347" t="e">
        <v>#N/A</v>
      </c>
      <c r="HW54" s="347" t="e">
        <v>#N/A</v>
      </c>
      <c r="HX54" s="347" t="e">
        <v>#N/A</v>
      </c>
      <c r="HY54" s="347" t="e">
        <v>#N/A</v>
      </c>
      <c r="HZ54" s="347" t="e">
        <v>#N/A</v>
      </c>
      <c r="IA54" s="347" t="e">
        <v>#N/A</v>
      </c>
      <c r="IB54" s="347" t="e">
        <v>#N/A</v>
      </c>
      <c r="IC54" s="347" t="e">
        <v>#N/A</v>
      </c>
      <c r="ID54" s="347" t="e">
        <v>#N/A</v>
      </c>
      <c r="IE54" s="347" t="e">
        <v>#N/A</v>
      </c>
      <c r="IF54" s="347" t="e">
        <v>#N/A</v>
      </c>
      <c r="IG54" s="347" t="e">
        <v>#N/A</v>
      </c>
      <c r="IH54" s="347" t="e">
        <v>#N/A</v>
      </c>
      <c r="II54" s="347" t="e">
        <v>#N/A</v>
      </c>
      <c r="IJ54" s="347" t="e">
        <v>#N/A</v>
      </c>
      <c r="IK54" s="347" t="e">
        <v>#N/A</v>
      </c>
      <c r="IL54" s="347" t="e">
        <v>#N/A</v>
      </c>
      <c r="IM54" s="347" t="e">
        <v>#N/A</v>
      </c>
      <c r="IN54" s="347" t="e">
        <v>#N/A</v>
      </c>
      <c r="IO54" s="347" t="e">
        <v>#N/A</v>
      </c>
      <c r="IP54" s="347" t="e">
        <v>#N/A</v>
      </c>
      <c r="IQ54" s="347" t="e">
        <v>#N/A</v>
      </c>
      <c r="IR54" s="347" t="e">
        <v>#N/A</v>
      </c>
      <c r="IS54" s="347" t="e">
        <v>#N/A</v>
      </c>
      <c r="IT54" s="347" t="e">
        <v>#N/A</v>
      </c>
      <c r="IU54" s="347" t="e">
        <v>#N/A</v>
      </c>
      <c r="IV54" s="347" t="e">
        <v>#N/A</v>
      </c>
      <c r="IW54" s="347" t="e">
        <v>#N/A</v>
      </c>
      <c r="IX54" s="347" t="e">
        <v>#N/A</v>
      </c>
      <c r="IY54" s="347" t="e">
        <v>#N/A</v>
      </c>
      <c r="IZ54" s="347" t="e">
        <v>#N/A</v>
      </c>
      <c r="JA54" s="347" t="e">
        <v>#N/A</v>
      </c>
      <c r="JB54" s="347" t="e">
        <v>#N/A</v>
      </c>
      <c r="JC54" s="347" t="e">
        <v>#N/A</v>
      </c>
      <c r="JD54" s="347" t="e">
        <v>#N/A</v>
      </c>
      <c r="JE54" s="347" t="e">
        <v>#N/A</v>
      </c>
      <c r="JF54" s="347" t="e">
        <v>#N/A</v>
      </c>
      <c r="JG54" s="347" t="e">
        <v>#N/A</v>
      </c>
      <c r="JH54" s="347" t="e">
        <v>#N/A</v>
      </c>
      <c r="JI54" s="347" t="e">
        <v>#N/A</v>
      </c>
      <c r="JJ54" s="347" t="e">
        <v>#N/A</v>
      </c>
      <c r="JK54" s="347" t="e">
        <v>#N/A</v>
      </c>
      <c r="JL54" s="347" t="e">
        <v>#N/A</v>
      </c>
      <c r="JM54" s="347" t="e">
        <v>#N/A</v>
      </c>
      <c r="JN54" s="347" t="e">
        <v>#N/A</v>
      </c>
      <c r="JO54" s="347" t="e">
        <v>#N/A</v>
      </c>
      <c r="JP54" s="347" t="e">
        <v>#N/A</v>
      </c>
      <c r="JQ54" s="347" t="e">
        <v>#N/A</v>
      </c>
      <c r="JR54" s="347" t="e">
        <v>#N/A</v>
      </c>
      <c r="JS54" s="347" t="e">
        <v>#N/A</v>
      </c>
      <c r="JT54" s="347" t="e">
        <v>#N/A</v>
      </c>
      <c r="JU54" s="347" t="e">
        <v>#N/A</v>
      </c>
      <c r="JV54" s="347" t="e">
        <v>#N/A</v>
      </c>
      <c r="JW54" s="347" t="e">
        <v>#N/A</v>
      </c>
      <c r="JX54" s="347" t="e">
        <v>#N/A</v>
      </c>
      <c r="JY54" s="347" t="e">
        <v>#N/A</v>
      </c>
      <c r="JZ54" s="347" t="e">
        <v>#N/A</v>
      </c>
      <c r="KA54" s="347" t="e">
        <v>#N/A</v>
      </c>
      <c r="KB54" s="347" t="e">
        <v>#N/A</v>
      </c>
      <c r="KC54" s="347" t="e">
        <v>#N/A</v>
      </c>
      <c r="KD54" s="347" t="e">
        <v>#N/A</v>
      </c>
      <c r="KE54" s="347" t="e">
        <v>#N/A</v>
      </c>
      <c r="KF54" s="347" t="e">
        <v>#N/A</v>
      </c>
      <c r="KG54" s="347" t="e">
        <v>#N/A</v>
      </c>
      <c r="KH54" s="347" t="e">
        <v>#N/A</v>
      </c>
      <c r="KI54" s="347" t="e">
        <v>#N/A</v>
      </c>
      <c r="KJ54" s="347" t="e">
        <v>#N/A</v>
      </c>
      <c r="KK54" s="347" t="e">
        <v>#N/A</v>
      </c>
      <c r="KL54" s="347" t="e">
        <v>#N/A</v>
      </c>
      <c r="KM54" s="347" t="e">
        <v>#N/A</v>
      </c>
      <c r="KN54" s="347" t="e">
        <v>#N/A</v>
      </c>
    </row>
    <row r="55" spans="1:300" x14ac:dyDescent="0.15">
      <c r="A55" s="347">
        <v>1</v>
      </c>
      <c r="B55" s="347">
        <v>-0.68541620176237028</v>
      </c>
      <c r="C55" s="347">
        <v>5.7289346495116779E-2</v>
      </c>
      <c r="D55" s="347">
        <v>105.89621730641178</v>
      </c>
      <c r="E55" s="347">
        <v>0.94432079392079682</v>
      </c>
      <c r="F55" s="347">
        <v>-7.9936528915712568E-2</v>
      </c>
      <c r="G55" s="347">
        <v>104.57697044309731</v>
      </c>
      <c r="H55" s="347">
        <v>110.56811673822149</v>
      </c>
      <c r="I55" s="347">
        <v>0</v>
      </c>
      <c r="J55" s="347">
        <v>0.93239381990594827</v>
      </c>
      <c r="K55" s="347">
        <v>0</v>
      </c>
      <c r="L55" s="347">
        <v>-0.62981470852459542</v>
      </c>
      <c r="M55" s="347">
        <v>150.0983660504788</v>
      </c>
      <c r="N55" s="347">
        <v>1.3846589277993275</v>
      </c>
      <c r="O55" s="347">
        <v>0</v>
      </c>
      <c r="P55" s="347">
        <v>0</v>
      </c>
      <c r="Q55" s="347">
        <v>0</v>
      </c>
      <c r="R55" s="347">
        <v>0</v>
      </c>
      <c r="S55" s="347">
        <v>0</v>
      </c>
      <c r="T55" s="347">
        <v>10.304545339535169</v>
      </c>
      <c r="U55" s="347">
        <v>0.1030454533953517</v>
      </c>
      <c r="V55" s="347">
        <v>0</v>
      </c>
      <c r="W55" s="347">
        <v>10.304545339535169</v>
      </c>
      <c r="X55" s="347">
        <v>0.1030454533953517</v>
      </c>
      <c r="Y55" s="347">
        <v>0</v>
      </c>
      <c r="Z55" s="347">
        <v>0</v>
      </c>
      <c r="AA55" s="347">
        <v>0</v>
      </c>
      <c r="AB55" s="347">
        <v>0.58031127083913658</v>
      </c>
      <c r="AC55" s="347">
        <v>0.29015563541956829</v>
      </c>
      <c r="AD55" s="347">
        <v>0</v>
      </c>
      <c r="AE55" s="347">
        <v>0</v>
      </c>
      <c r="AF55" s="347">
        <v>1.3872826597967309E-4</v>
      </c>
      <c r="AG55" s="347">
        <v>0</v>
      </c>
      <c r="AH55" s="347">
        <v>0</v>
      </c>
      <c r="AI55" s="347">
        <v>0</v>
      </c>
      <c r="AJ55" s="347">
        <v>0</v>
      </c>
      <c r="AK55" s="347">
        <v>0</v>
      </c>
      <c r="AL55" s="347">
        <v>0</v>
      </c>
      <c r="AM55" s="347">
        <v>0</v>
      </c>
      <c r="AN55" s="347">
        <v>0</v>
      </c>
      <c r="AO55" s="347">
        <v>0</v>
      </c>
      <c r="AP55" s="347">
        <v>0</v>
      </c>
      <c r="AQ55" s="347">
        <v>0</v>
      </c>
      <c r="AR55" s="347">
        <v>0</v>
      </c>
      <c r="AS55" s="347">
        <v>0</v>
      </c>
      <c r="AT55" s="347">
        <v>0</v>
      </c>
      <c r="AU55" s="347">
        <v>0</v>
      </c>
      <c r="AV55" s="347">
        <v>0</v>
      </c>
      <c r="AW55" s="347">
        <v>0</v>
      </c>
      <c r="AX55" s="347">
        <v>0</v>
      </c>
      <c r="AY55" s="347">
        <v>0</v>
      </c>
      <c r="AZ55" s="347">
        <v>0</v>
      </c>
      <c r="BA55" s="347">
        <v>0</v>
      </c>
      <c r="BB55" s="347">
        <v>0</v>
      </c>
      <c r="BC55" s="347">
        <v>0</v>
      </c>
      <c r="BD55" s="347">
        <v>0</v>
      </c>
      <c r="BE55" s="347">
        <v>0</v>
      </c>
      <c r="BF55" s="347">
        <v>0</v>
      </c>
      <c r="BG55" s="347">
        <v>0</v>
      </c>
      <c r="BH55" s="347">
        <v>0</v>
      </c>
      <c r="BI55" s="347">
        <v>0</v>
      </c>
      <c r="BJ55" s="347">
        <v>0</v>
      </c>
      <c r="BK55" s="347">
        <v>0</v>
      </c>
      <c r="BL55" s="347">
        <v>0</v>
      </c>
      <c r="BM55" s="347">
        <v>0</v>
      </c>
      <c r="BN55" s="347">
        <v>0</v>
      </c>
      <c r="BO55" s="347">
        <v>0</v>
      </c>
      <c r="BP55" s="347">
        <v>0</v>
      </c>
      <c r="BQ55" s="347">
        <v>0</v>
      </c>
      <c r="BR55" s="347">
        <v>0</v>
      </c>
      <c r="BS55" s="347">
        <v>0</v>
      </c>
      <c r="BT55" s="347">
        <v>1.3872826597967309E-4</v>
      </c>
      <c r="BU55" s="347">
        <v>0</v>
      </c>
      <c r="BV55" s="347">
        <v>2.7745653195934616E-3</v>
      </c>
      <c r="BW55" s="347">
        <v>1.3872826597967309E-4</v>
      </c>
      <c r="BX55" s="347">
        <v>1.3872826597967309E-4</v>
      </c>
      <c r="BY55" s="347">
        <v>0</v>
      </c>
      <c r="BZ55" s="347">
        <v>0</v>
      </c>
      <c r="CA55" s="347">
        <v>0</v>
      </c>
      <c r="CB55" s="347">
        <v>0</v>
      </c>
      <c r="CC55" s="347">
        <v>0</v>
      </c>
      <c r="CD55" s="347">
        <v>0</v>
      </c>
      <c r="CE55" s="347">
        <v>0</v>
      </c>
      <c r="CF55" s="347">
        <v>0</v>
      </c>
      <c r="CG55" s="347">
        <v>0</v>
      </c>
      <c r="CH55" s="347">
        <v>0</v>
      </c>
      <c r="CI55" s="347">
        <v>0</v>
      </c>
      <c r="CJ55" s="347">
        <v>0</v>
      </c>
      <c r="CK55" s="347">
        <v>0</v>
      </c>
      <c r="CL55" s="347">
        <v>0</v>
      </c>
      <c r="CM55" s="347">
        <v>5.8091712136414154E-2</v>
      </c>
      <c r="CN55" s="347">
        <v>0.94356340725254528</v>
      </c>
      <c r="CO55" s="347">
        <v>0</v>
      </c>
      <c r="CP55" s="347">
        <v>0</v>
      </c>
      <c r="CQ55" s="347">
        <v>100</v>
      </c>
      <c r="CR55" s="347">
        <v>5</v>
      </c>
      <c r="CS55" s="347">
        <v>10.981218889336333</v>
      </c>
      <c r="CT55" s="347">
        <v>105.98121888933633</v>
      </c>
      <c r="CU55" s="347">
        <v>0</v>
      </c>
      <c r="CV55" s="347">
        <v>0</v>
      </c>
      <c r="CW55" s="347">
        <v>0.58077707951356317</v>
      </c>
      <c r="CX55" s="347">
        <v>2.903885397567816E-2</v>
      </c>
      <c r="CY55" s="347">
        <v>0.55173822553788499</v>
      </c>
      <c r="CZ55" s="347">
        <v>0</v>
      </c>
      <c r="DA55" s="347">
        <v>1.4117051345640335</v>
      </c>
      <c r="DB55" s="347">
        <v>1.4117051345640335</v>
      </c>
      <c r="DC55" s="347">
        <v>0</v>
      </c>
      <c r="DD55" s="347">
        <v>1.3162651429969998</v>
      </c>
      <c r="DE55" s="347">
        <v>1.3162651429969998</v>
      </c>
      <c r="DF55" s="347">
        <v>0</v>
      </c>
      <c r="DG55" s="347">
        <v>0</v>
      </c>
      <c r="DH55" s="347">
        <v>0</v>
      </c>
      <c r="DI55" s="347">
        <v>2.0327197782974711E-2</v>
      </c>
      <c r="DJ55" s="347">
        <v>2.0327197782974711E-2</v>
      </c>
      <c r="DK55" s="347">
        <v>0</v>
      </c>
      <c r="DL55" s="347">
        <v>1.3700000000000002E-2</v>
      </c>
      <c r="DM55" s="347">
        <v>1.3700000000000002E-2</v>
      </c>
      <c r="DN55" s="347">
        <v>10.361476311008202</v>
      </c>
      <c r="DO55" s="347">
        <v>0</v>
      </c>
      <c r="DP55" s="347">
        <v>105.12710963760242</v>
      </c>
      <c r="DQ55" s="347">
        <v>105.12710963760242</v>
      </c>
      <c r="DR55" s="347">
        <v>0</v>
      </c>
      <c r="DS55" s="347">
        <v>0</v>
      </c>
      <c r="DT55" s="347">
        <v>0</v>
      </c>
      <c r="DU55" s="347">
        <v>0</v>
      </c>
      <c r="DV55" s="347">
        <v>3.4027197782974715E-2</v>
      </c>
      <c r="DW55" s="347">
        <v>3.1726748921563006E-2</v>
      </c>
      <c r="DX55" s="347">
        <v>3.1726748921563006E-2</v>
      </c>
      <c r="DY55" s="347">
        <v>0</v>
      </c>
      <c r="DZ55" s="347">
        <v>61.685086379300451</v>
      </c>
      <c r="EA55" s="347">
        <v>57.514793320424324</v>
      </c>
      <c r="EB55" s="347">
        <v>57.514793320424324</v>
      </c>
      <c r="EC55" s="347">
        <v>0</v>
      </c>
      <c r="ED55" s="347">
        <v>0</v>
      </c>
      <c r="EE55" s="347">
        <v>0</v>
      </c>
      <c r="EF55" s="347">
        <v>0</v>
      </c>
      <c r="EG55" s="347">
        <v>0</v>
      </c>
      <c r="EH55" s="347">
        <v>0</v>
      </c>
      <c r="EI55" s="347">
        <v>0</v>
      </c>
      <c r="EJ55" s="347">
        <v>0.63597687452192309</v>
      </c>
      <c r="EK55" s="347">
        <v>57.792432697187991</v>
      </c>
      <c r="EL55" s="347">
        <v>0</v>
      </c>
      <c r="EM55" s="347">
        <v>0.24962300740396809</v>
      </c>
      <c r="EN55" s="347">
        <v>45.881495253325568</v>
      </c>
      <c r="EO55" s="347">
        <v>0</v>
      </c>
      <c r="EP55" s="347">
        <v>0</v>
      </c>
      <c r="EQ55" s="347">
        <v>0</v>
      </c>
      <c r="ER55" s="347">
        <v>1.0589621730641179</v>
      </c>
      <c r="ES55" s="347">
        <v>0</v>
      </c>
      <c r="ET55" s="347">
        <v>0.67347545306226153</v>
      </c>
      <c r="EU55" s="347">
        <v>61.200000115675977</v>
      </c>
      <c r="EV55" s="347">
        <v>0</v>
      </c>
      <c r="EW55" s="347">
        <v>0.26434132236730645</v>
      </c>
      <c r="EX55" s="347">
        <v>48.586767916892654</v>
      </c>
      <c r="EY55" s="347">
        <v>0</v>
      </c>
      <c r="EZ55" s="347">
        <v>0</v>
      </c>
      <c r="FA55" s="347">
        <v>0</v>
      </c>
      <c r="FB55" s="347">
        <v>0</v>
      </c>
      <c r="FC55" s="347">
        <v>85.673660340226974</v>
      </c>
      <c r="FD55" s="347">
        <v>67.642124541041525</v>
      </c>
      <c r="FE55" s="347">
        <v>0</v>
      </c>
      <c r="FF55" s="347">
        <v>0</v>
      </c>
      <c r="FG55" s="347">
        <v>53.557970241294981</v>
      </c>
      <c r="FH55" s="347">
        <v>10.972411470457624</v>
      </c>
      <c r="FI55" s="347">
        <v>4.3051467073126036E-2</v>
      </c>
      <c r="FJ55" s="347">
        <v>2.9015563541956835E-2</v>
      </c>
      <c r="FK55" s="347">
        <v>0</v>
      </c>
      <c r="FL55" s="347">
        <v>64.602448742367699</v>
      </c>
      <c r="FM55" s="347">
        <v>0</v>
      </c>
      <c r="FN55" s="347">
        <v>0</v>
      </c>
      <c r="FO55" s="347">
        <v>18.552756624844015</v>
      </c>
      <c r="FP55" s="347">
        <v>2.6763703192536514</v>
      </c>
      <c r="FQ55" s="347">
        <v>0</v>
      </c>
      <c r="FR55" s="347">
        <v>0</v>
      </c>
      <c r="FS55" s="347">
        <v>0.69333835412900735</v>
      </c>
      <c r="FT55" s="347">
        <v>0</v>
      </c>
      <c r="FU55" s="347">
        <v>0.69333835412900735</v>
      </c>
      <c r="FV55" s="347">
        <v>17.667395861903902</v>
      </c>
      <c r="FW55" s="347">
        <v>0</v>
      </c>
      <c r="FX55" s="347">
        <v>0.19453718809121845</v>
      </c>
      <c r="FY55" s="347">
        <v>2.2898107223513202</v>
      </c>
      <c r="FZ55" s="347">
        <v>0</v>
      </c>
      <c r="GA55" s="347">
        <v>0</v>
      </c>
      <c r="GB55" s="347">
        <v>0</v>
      </c>
      <c r="GC55" s="347">
        <v>0</v>
      </c>
      <c r="GD55" s="347">
        <v>20.065667012028214</v>
      </c>
      <c r="GE55" s="347">
        <v>2.6006424395769443</v>
      </c>
      <c r="GF55" s="347">
        <v>0</v>
      </c>
      <c r="GG55" s="347" t="str">
        <v/>
      </c>
      <c r="GH55" s="347" t="str">
        <v/>
      </c>
      <c r="GI55" s="347">
        <v>0</v>
      </c>
      <c r="GJ55" s="347">
        <v>0</v>
      </c>
      <c r="GK55" s="347" t="str">
        <v>SUMMARY FUNCTION</v>
      </c>
      <c r="GL55" s="347">
        <v>0</v>
      </c>
      <c r="GM55" s="347">
        <v>0</v>
      </c>
      <c r="GN55" s="347">
        <v>1.4117051345640335</v>
      </c>
      <c r="GO55" s="347">
        <v>1.3846589277993275</v>
      </c>
      <c r="GP55" s="347">
        <v>0</v>
      </c>
      <c r="GQ55" s="347">
        <v>0</v>
      </c>
      <c r="GR55" s="347">
        <v>105.12710963760242</v>
      </c>
      <c r="GS55" s="347">
        <v>5.8091712136414158</v>
      </c>
      <c r="GT55" s="347">
        <v>1.4117051345640335</v>
      </c>
      <c r="GU55" s="347">
        <v>0</v>
      </c>
      <c r="GV55" s="347">
        <v>104.57697044309731</v>
      </c>
      <c r="GW55" s="347">
        <v>5.728934649511678</v>
      </c>
      <c r="GX55" s="347">
        <v>1.3846589277993275</v>
      </c>
      <c r="GY55" s="347">
        <v>0</v>
      </c>
      <c r="GZ55" s="347">
        <v>0</v>
      </c>
      <c r="HA55" s="347">
        <v>0</v>
      </c>
      <c r="HB55" s="347" t="e">
        <v>#N/A</v>
      </c>
      <c r="HC55" s="347" t="e">
        <v>#N/A</v>
      </c>
      <c r="HD55" s="347" t="e">
        <v>#N/A</v>
      </c>
      <c r="HE55" s="347" t="e">
        <v>#N/A</v>
      </c>
      <c r="HF55" s="347" t="e">
        <v>#N/A</v>
      </c>
      <c r="HG55" s="347" t="e">
        <v>#N/A</v>
      </c>
      <c r="HH55" s="347" t="e">
        <v>#N/A</v>
      </c>
      <c r="HI55" s="347" t="e">
        <v>#N/A</v>
      </c>
      <c r="HJ55" s="347" t="e">
        <v>#N/A</v>
      </c>
      <c r="HK55" s="347" t="e">
        <v>#N/A</v>
      </c>
      <c r="HL55" s="347" t="e">
        <v>#N/A</v>
      </c>
      <c r="HM55" s="347" t="e">
        <v>#N/A</v>
      </c>
      <c r="HN55" s="347" t="e">
        <v>#N/A</v>
      </c>
      <c r="HO55" s="347" t="e">
        <v>#N/A</v>
      </c>
      <c r="HP55" s="347" t="e">
        <v>#N/A</v>
      </c>
      <c r="HQ55" s="347" t="e">
        <v>#N/A</v>
      </c>
      <c r="HR55" s="347" t="e">
        <v>#N/A</v>
      </c>
      <c r="HS55" s="347" t="e">
        <v>#N/A</v>
      </c>
      <c r="HT55" s="347" t="e">
        <v>#N/A</v>
      </c>
      <c r="HU55" s="347" t="e">
        <v>#N/A</v>
      </c>
      <c r="HV55" s="347" t="e">
        <v>#N/A</v>
      </c>
      <c r="HW55" s="347" t="e">
        <v>#N/A</v>
      </c>
      <c r="HX55" s="347" t="e">
        <v>#N/A</v>
      </c>
      <c r="HY55" s="347" t="e">
        <v>#N/A</v>
      </c>
      <c r="HZ55" s="347" t="e">
        <v>#N/A</v>
      </c>
      <c r="IA55" s="347" t="e">
        <v>#N/A</v>
      </c>
      <c r="IB55" s="347" t="e">
        <v>#N/A</v>
      </c>
      <c r="IC55" s="347" t="e">
        <v>#N/A</v>
      </c>
      <c r="ID55" s="347" t="e">
        <v>#N/A</v>
      </c>
      <c r="IE55" s="347" t="e">
        <v>#N/A</v>
      </c>
      <c r="IF55" s="347" t="e">
        <v>#N/A</v>
      </c>
      <c r="IG55" s="347" t="e">
        <v>#N/A</v>
      </c>
      <c r="IH55" s="347" t="e">
        <v>#N/A</v>
      </c>
      <c r="II55" s="347" t="e">
        <v>#N/A</v>
      </c>
      <c r="IJ55" s="347" t="e">
        <v>#N/A</v>
      </c>
      <c r="IK55" s="347" t="e">
        <v>#N/A</v>
      </c>
      <c r="IL55" s="347" t="e">
        <v>#N/A</v>
      </c>
      <c r="IM55" s="347" t="e">
        <v>#N/A</v>
      </c>
      <c r="IN55" s="347" t="e">
        <v>#N/A</v>
      </c>
      <c r="IO55" s="347" t="e">
        <v>#N/A</v>
      </c>
      <c r="IP55" s="347" t="e">
        <v>#N/A</v>
      </c>
      <c r="IQ55" s="347" t="e">
        <v>#N/A</v>
      </c>
      <c r="IR55" s="347" t="e">
        <v>#N/A</v>
      </c>
      <c r="IS55" s="347" t="e">
        <v>#N/A</v>
      </c>
      <c r="IT55" s="347" t="e">
        <v>#N/A</v>
      </c>
      <c r="IU55" s="347" t="e">
        <v>#N/A</v>
      </c>
      <c r="IV55" s="347" t="e">
        <v>#N/A</v>
      </c>
      <c r="IW55" s="347" t="e">
        <v>#N/A</v>
      </c>
      <c r="IX55" s="347" t="e">
        <v>#N/A</v>
      </c>
      <c r="IY55" s="347" t="e">
        <v>#N/A</v>
      </c>
      <c r="IZ55" s="347" t="e">
        <v>#N/A</v>
      </c>
      <c r="JA55" s="347" t="e">
        <v>#N/A</v>
      </c>
      <c r="JB55" s="347" t="e">
        <v>#N/A</v>
      </c>
      <c r="JC55" s="347" t="e">
        <v>#N/A</v>
      </c>
      <c r="JD55" s="347" t="e">
        <v>#N/A</v>
      </c>
      <c r="JE55" s="347" t="e">
        <v>#N/A</v>
      </c>
      <c r="JF55" s="347" t="e">
        <v>#N/A</v>
      </c>
      <c r="JG55" s="347" t="e">
        <v>#N/A</v>
      </c>
      <c r="JH55" s="347" t="e">
        <v>#N/A</v>
      </c>
      <c r="JI55" s="347" t="e">
        <v>#N/A</v>
      </c>
      <c r="JJ55" s="347" t="e">
        <v>#N/A</v>
      </c>
      <c r="JK55" s="347" t="e">
        <v>#N/A</v>
      </c>
      <c r="JL55" s="347" t="e">
        <v>#N/A</v>
      </c>
      <c r="JM55" s="347" t="e">
        <v>#N/A</v>
      </c>
      <c r="JN55" s="347" t="e">
        <v>#N/A</v>
      </c>
      <c r="JO55" s="347" t="e">
        <v>#N/A</v>
      </c>
      <c r="JP55" s="347" t="e">
        <v>#N/A</v>
      </c>
      <c r="JQ55" s="347" t="e">
        <v>#N/A</v>
      </c>
      <c r="JR55" s="347" t="e">
        <v>#N/A</v>
      </c>
      <c r="JS55" s="347" t="e">
        <v>#N/A</v>
      </c>
      <c r="JT55" s="347" t="e">
        <v>#N/A</v>
      </c>
      <c r="JU55" s="347" t="e">
        <v>#N/A</v>
      </c>
      <c r="JV55" s="347" t="e">
        <v>#N/A</v>
      </c>
      <c r="JW55" s="347" t="e">
        <v>#N/A</v>
      </c>
      <c r="JX55" s="347" t="e">
        <v>#N/A</v>
      </c>
      <c r="JY55" s="347" t="e">
        <v>#N/A</v>
      </c>
      <c r="JZ55" s="347" t="e">
        <v>#N/A</v>
      </c>
      <c r="KA55" s="347" t="e">
        <v>#N/A</v>
      </c>
      <c r="KB55" s="347" t="e">
        <v>#N/A</v>
      </c>
      <c r="KC55" s="347" t="e">
        <v>#N/A</v>
      </c>
      <c r="KD55" s="347" t="e">
        <v>#N/A</v>
      </c>
      <c r="KE55" s="347" t="e">
        <v>#N/A</v>
      </c>
      <c r="KF55" s="347" t="e">
        <v>#N/A</v>
      </c>
      <c r="KG55" s="347" t="e">
        <v>#N/A</v>
      </c>
      <c r="KH55" s="347" t="e">
        <v>#N/A</v>
      </c>
      <c r="KI55" s="347" t="e">
        <v>#N/A</v>
      </c>
      <c r="KJ55" s="347" t="e">
        <v>#N/A</v>
      </c>
      <c r="KK55" s="347" t="e">
        <v>#N/A</v>
      </c>
      <c r="KL55" s="347" t="e">
        <v>#N/A</v>
      </c>
      <c r="KM55" s="347" t="e">
        <v>#N/A</v>
      </c>
      <c r="KN55" s="347" t="e">
        <v>#N/A</v>
      </c>
    </row>
    <row r="56" spans="1:300" x14ac:dyDescent="0.15">
      <c r="A56" s="347">
        <v>2</v>
      </c>
      <c r="B56" s="347">
        <v>0.84212667900485294</v>
      </c>
      <c r="C56" s="347">
        <v>6.5255509700829328E-2</v>
      </c>
      <c r="D56" s="347">
        <v>113.03698230271051</v>
      </c>
      <c r="E56" s="347">
        <v>0.88466622129209216</v>
      </c>
      <c r="F56" s="347">
        <v>1.6302536803610468</v>
      </c>
      <c r="G56" s="347">
        <v>119.12651070351033</v>
      </c>
      <c r="H56" s="347">
        <v>126.90017187834921</v>
      </c>
      <c r="I56" s="347">
        <v>0</v>
      </c>
      <c r="J56" s="347">
        <v>0.86935823539880586</v>
      </c>
      <c r="K56" s="347">
        <v>0</v>
      </c>
      <c r="L56" s="347">
        <v>-0.44791021975275414</v>
      </c>
      <c r="M56" s="347">
        <v>151.0186812798861</v>
      </c>
      <c r="N56" s="347">
        <v>1.4183946379433205</v>
      </c>
      <c r="O56" s="347">
        <v>0</v>
      </c>
      <c r="P56" s="347">
        <v>0</v>
      </c>
      <c r="Q56" s="347">
        <v>0</v>
      </c>
      <c r="R56" s="347">
        <v>0</v>
      </c>
      <c r="S56" s="347">
        <v>0</v>
      </c>
      <c r="T56" s="347">
        <v>10.618365465453598</v>
      </c>
      <c r="U56" s="347">
        <v>0.106183654654536</v>
      </c>
      <c r="V56" s="347">
        <v>0</v>
      </c>
      <c r="W56" s="347">
        <v>10.618365465453598</v>
      </c>
      <c r="X56" s="347">
        <v>0.106183654654536</v>
      </c>
      <c r="Y56" s="347">
        <v>0</v>
      </c>
      <c r="Z56" s="347">
        <v>0</v>
      </c>
      <c r="AA56" s="347">
        <v>0</v>
      </c>
      <c r="AB56" s="347">
        <v>1.0354187578928282</v>
      </c>
      <c r="AC56" s="347">
        <v>0.51770937894641411</v>
      </c>
      <c r="AD56" s="347">
        <v>0</v>
      </c>
      <c r="AE56" s="347">
        <v>0</v>
      </c>
      <c r="AF56" s="347">
        <v>1.3872826597967309E-4</v>
      </c>
      <c r="AG56" s="347">
        <v>2.1729394065562882E-4</v>
      </c>
      <c r="AH56" s="347">
        <v>0</v>
      </c>
      <c r="AI56" s="347">
        <v>0</v>
      </c>
      <c r="AJ56" s="347">
        <v>0</v>
      </c>
      <c r="AK56" s="347">
        <v>0</v>
      </c>
      <c r="AL56" s="347">
        <v>0</v>
      </c>
      <c r="AM56" s="347">
        <v>0</v>
      </c>
      <c r="AN56" s="347">
        <v>0</v>
      </c>
      <c r="AO56" s="347">
        <v>0</v>
      </c>
      <c r="AP56" s="347">
        <v>0</v>
      </c>
      <c r="AQ56" s="347">
        <v>0</v>
      </c>
      <c r="AR56" s="347">
        <v>0</v>
      </c>
      <c r="AS56" s="347">
        <v>0</v>
      </c>
      <c r="AT56" s="347">
        <v>0</v>
      </c>
      <c r="AU56" s="347">
        <v>0</v>
      </c>
      <c r="AV56" s="347">
        <v>0</v>
      </c>
      <c r="AW56" s="347">
        <v>0</v>
      </c>
      <c r="AX56" s="347">
        <v>0</v>
      </c>
      <c r="AY56" s="347">
        <v>0</v>
      </c>
      <c r="AZ56" s="347">
        <v>0</v>
      </c>
      <c r="BA56" s="347">
        <v>0</v>
      </c>
      <c r="BB56" s="347">
        <v>0</v>
      </c>
      <c r="BC56" s="347">
        <v>0</v>
      </c>
      <c r="BD56" s="347">
        <v>0</v>
      </c>
      <c r="BE56" s="347">
        <v>0</v>
      </c>
      <c r="BF56" s="347">
        <v>0</v>
      </c>
      <c r="BG56" s="347">
        <v>0</v>
      </c>
      <c r="BH56" s="347">
        <v>0</v>
      </c>
      <c r="BI56" s="347">
        <v>0</v>
      </c>
      <c r="BJ56" s="347">
        <v>0</v>
      </c>
      <c r="BK56" s="347">
        <v>0</v>
      </c>
      <c r="BL56" s="347">
        <v>0</v>
      </c>
      <c r="BM56" s="347">
        <v>0</v>
      </c>
      <c r="BN56" s="347">
        <v>0</v>
      </c>
      <c r="BO56" s="347">
        <v>0</v>
      </c>
      <c r="BP56" s="347">
        <v>0</v>
      </c>
      <c r="BQ56" s="347">
        <v>0</v>
      </c>
      <c r="BR56" s="347">
        <v>0</v>
      </c>
      <c r="BS56" s="347">
        <v>0</v>
      </c>
      <c r="BT56" s="347">
        <v>3.5602220663530191E-4</v>
      </c>
      <c r="BU56" s="347">
        <v>0</v>
      </c>
      <c r="BV56" s="347">
        <v>6.9817158667263655E-3</v>
      </c>
      <c r="BW56" s="347">
        <v>3.5602220663530191E-4</v>
      </c>
      <c r="BX56" s="347">
        <v>3.4908579333631831E-4</v>
      </c>
      <c r="BY56" s="347">
        <v>0</v>
      </c>
      <c r="BZ56" s="347">
        <v>0</v>
      </c>
      <c r="CA56" s="347">
        <v>0</v>
      </c>
      <c r="CB56" s="347">
        <v>0</v>
      </c>
      <c r="CC56" s="347">
        <v>0</v>
      </c>
      <c r="CD56" s="347">
        <v>0</v>
      </c>
      <c r="CE56" s="347">
        <v>0</v>
      </c>
      <c r="CF56" s="347">
        <v>0</v>
      </c>
      <c r="CG56" s="347">
        <v>0</v>
      </c>
      <c r="CH56" s="347">
        <v>0</v>
      </c>
      <c r="CI56" s="347">
        <v>0</v>
      </c>
      <c r="CJ56" s="347">
        <v>0</v>
      </c>
      <c r="CK56" s="347">
        <v>0</v>
      </c>
      <c r="CL56" s="347">
        <v>0</v>
      </c>
      <c r="CM56" s="347">
        <v>6.4816775092882944E-2</v>
      </c>
      <c r="CN56" s="347">
        <v>0.88434458768139823</v>
      </c>
      <c r="CO56" s="347">
        <v>0</v>
      </c>
      <c r="CP56" s="347">
        <v>0</v>
      </c>
      <c r="CQ56" s="347">
        <v>105.98121888933633</v>
      </c>
      <c r="CR56" s="347">
        <v>5.2990609444668166</v>
      </c>
      <c r="CS56" s="347">
        <v>12.39593558672891</v>
      </c>
      <c r="CT56" s="347">
        <v>113.07809353159843</v>
      </c>
      <c r="CU56" s="347">
        <v>0</v>
      </c>
      <c r="CV56" s="347">
        <v>0.55173822553788499</v>
      </c>
      <c r="CW56" s="347">
        <v>1.0357953367494417</v>
      </c>
      <c r="CX56" s="347">
        <v>7.9376678114366328E-2</v>
      </c>
      <c r="CY56" s="347">
        <v>1.5081568841729602</v>
      </c>
      <c r="CZ56" s="347">
        <v>0</v>
      </c>
      <c r="DA56" s="347">
        <v>1.4663223205731397</v>
      </c>
      <c r="DB56" s="347">
        <v>1.4663223205731397</v>
      </c>
      <c r="DC56" s="347">
        <v>0</v>
      </c>
      <c r="DD56" s="347">
        <v>1.2747593851393468</v>
      </c>
      <c r="DE56" s="347">
        <v>2.5910245281363466</v>
      </c>
      <c r="DF56" s="347">
        <v>0</v>
      </c>
      <c r="DG56" s="347">
        <v>0</v>
      </c>
      <c r="DH56" s="347">
        <v>0</v>
      </c>
      <c r="DI56" s="347">
        <v>5.5563674680056435E-2</v>
      </c>
      <c r="DJ56" s="347">
        <v>5.5563674680056435E-2</v>
      </c>
      <c r="DK56" s="347">
        <v>0</v>
      </c>
      <c r="DL56" s="347">
        <v>3.5098167839284176E-2</v>
      </c>
      <c r="DM56" s="347">
        <v>3.5098167839284176E-2</v>
      </c>
      <c r="DN56" s="347">
        <v>10.96227854537095</v>
      </c>
      <c r="DO56" s="347">
        <v>0</v>
      </c>
      <c r="DP56" s="347">
        <v>110.51709180756478</v>
      </c>
      <c r="DQ56" s="347">
        <v>110.51709180756478</v>
      </c>
      <c r="DR56" s="347">
        <v>0</v>
      </c>
      <c r="DS56" s="347">
        <v>0</v>
      </c>
      <c r="DT56" s="347">
        <v>0</v>
      </c>
      <c r="DU56" s="347">
        <v>0</v>
      </c>
      <c r="DV56" s="347">
        <v>9.0661842519340619E-2</v>
      </c>
      <c r="DW56" s="347">
        <v>7.8817619430618394E-2</v>
      </c>
      <c r="DX56" s="347">
        <v>0.1105443683521814</v>
      </c>
      <c r="DY56" s="347">
        <v>0</v>
      </c>
      <c r="DZ56" s="347">
        <v>66.594819839450182</v>
      </c>
      <c r="EA56" s="347">
        <v>57.8947550623258</v>
      </c>
      <c r="EB56" s="347">
        <v>115.40954838275013</v>
      </c>
      <c r="EC56" s="347">
        <v>0</v>
      </c>
      <c r="ED56" s="347">
        <v>0</v>
      </c>
      <c r="EE56" s="347">
        <v>0</v>
      </c>
      <c r="EF56" s="347">
        <v>0</v>
      </c>
      <c r="EG56" s="347">
        <v>0</v>
      </c>
      <c r="EH56" s="347">
        <v>0</v>
      </c>
      <c r="EI56" s="347">
        <v>0</v>
      </c>
      <c r="EJ56" s="347">
        <v>0.63597687452192309</v>
      </c>
      <c r="EK56" s="347">
        <v>57.792432697187991</v>
      </c>
      <c r="EL56" s="347">
        <v>0</v>
      </c>
      <c r="EM56" s="347">
        <v>0.24962300740396809</v>
      </c>
      <c r="EN56" s="347">
        <v>45.881495253325568</v>
      </c>
      <c r="EO56" s="347">
        <v>0</v>
      </c>
      <c r="EP56" s="347">
        <v>0</v>
      </c>
      <c r="EQ56" s="347">
        <v>0</v>
      </c>
      <c r="ER56" s="347">
        <v>1.1303698230271051</v>
      </c>
      <c r="ES56" s="347">
        <v>0</v>
      </c>
      <c r="ET56" s="347">
        <v>0.71888906710267764</v>
      </c>
      <c r="EU56" s="347">
        <v>65.326821920226266</v>
      </c>
      <c r="EV56" s="347">
        <v>0</v>
      </c>
      <c r="EW56" s="347">
        <v>0.28216631470271714</v>
      </c>
      <c r="EX56" s="347">
        <v>51.863057669720583</v>
      </c>
      <c r="EY56" s="347">
        <v>0</v>
      </c>
      <c r="EZ56" s="347">
        <v>0</v>
      </c>
      <c r="FA56" s="347">
        <v>0</v>
      </c>
      <c r="FB56" s="347">
        <v>0</v>
      </c>
      <c r="FC56" s="347">
        <v>93.678882323581632</v>
      </c>
      <c r="FD56" s="347">
        <v>73.962506093859432</v>
      </c>
      <c r="FE56" s="347">
        <v>0</v>
      </c>
      <c r="FF56" s="347">
        <v>0</v>
      </c>
      <c r="FG56" s="347">
        <v>64.074110838970384</v>
      </c>
      <c r="FH56" s="347">
        <v>12.391428859304792</v>
      </c>
      <c r="FI56" s="347">
        <v>0.12561500222966207</v>
      </c>
      <c r="FJ56" s="347">
        <v>7.9347819538134579E-2</v>
      </c>
      <c r="FK56" s="347">
        <v>0</v>
      </c>
      <c r="FL56" s="347">
        <v>76.670502520042973</v>
      </c>
      <c r="FM56" s="347">
        <v>0</v>
      </c>
      <c r="FN56" s="347">
        <v>0</v>
      </c>
      <c r="FO56" s="347">
        <v>13.081006544742566</v>
      </c>
      <c r="FP56" s="347">
        <v>-2.0826980219877513</v>
      </c>
      <c r="FQ56" s="347">
        <v>0</v>
      </c>
      <c r="FR56" s="347">
        <v>0</v>
      </c>
      <c r="FS56" s="347">
        <v>0</v>
      </c>
      <c r="FT56" s="347">
        <v>0</v>
      </c>
      <c r="FU56" s="347">
        <v>0.58513563409557334</v>
      </c>
      <c r="FV56" s="347">
        <v>12.255340077695566</v>
      </c>
      <c r="FW56" s="347">
        <v>0</v>
      </c>
      <c r="FX56" s="347">
        <v>0.10872536202539125</v>
      </c>
      <c r="FY56" s="347">
        <v>-2.4319542169645612</v>
      </c>
      <c r="FZ56" s="347">
        <v>0</v>
      </c>
      <c r="GA56" s="347">
        <v>0</v>
      </c>
      <c r="GB56" s="347">
        <v>0</v>
      </c>
      <c r="GC56" s="347">
        <v>0</v>
      </c>
      <c r="GD56" s="347">
        <v>15.934819537778722</v>
      </c>
      <c r="GE56" s="347">
        <v>-3.1621114816715163</v>
      </c>
      <c r="GF56" s="347">
        <v>0</v>
      </c>
      <c r="GG56" s="347" t="str">
        <v/>
      </c>
      <c r="GH56" s="347" t="str">
        <v/>
      </c>
      <c r="GI56" s="347">
        <v>0</v>
      </c>
      <c r="GJ56" s="347">
        <v>0</v>
      </c>
      <c r="GK56" s="347">
        <v>0</v>
      </c>
      <c r="GL56" s="347">
        <v>0</v>
      </c>
      <c r="GM56" s="347">
        <v>0</v>
      </c>
      <c r="GN56" s="347">
        <v>1.4663223205731397</v>
      </c>
      <c r="GO56" s="347">
        <v>1.4183946379433205</v>
      </c>
      <c r="GP56" s="347">
        <v>0</v>
      </c>
      <c r="GQ56" s="347">
        <v>0</v>
      </c>
      <c r="GR56" s="347">
        <v>110.51709180756478</v>
      </c>
      <c r="GS56" s="347">
        <v>6.4816775092882946</v>
      </c>
      <c r="GT56" s="347">
        <v>1.4663223205731397</v>
      </c>
      <c r="GU56" s="347">
        <v>0</v>
      </c>
      <c r="GV56" s="347">
        <v>119.12651070351033</v>
      </c>
      <c r="GW56" s="347">
        <v>6.5255509700829331</v>
      </c>
      <c r="GX56" s="347">
        <v>1.4183946379433205</v>
      </c>
      <c r="GY56" s="347">
        <v>0</v>
      </c>
      <c r="GZ56" s="347">
        <v>0</v>
      </c>
      <c r="HA56" s="347">
        <v>0</v>
      </c>
      <c r="HB56" s="347" t="e">
        <v>#N/A</v>
      </c>
      <c r="HC56" s="347" t="e">
        <v>#N/A</v>
      </c>
      <c r="HD56" s="347" t="e">
        <v>#N/A</v>
      </c>
      <c r="HE56" s="347" t="e">
        <v>#N/A</v>
      </c>
      <c r="HF56" s="347" t="e">
        <v>#N/A</v>
      </c>
      <c r="HG56" s="347" t="e">
        <v>#N/A</v>
      </c>
      <c r="HH56" s="347" t="e">
        <v>#N/A</v>
      </c>
      <c r="HI56" s="347" t="e">
        <v>#N/A</v>
      </c>
      <c r="HJ56" s="347" t="e">
        <v>#N/A</v>
      </c>
      <c r="HK56" s="347" t="e">
        <v>#N/A</v>
      </c>
      <c r="HL56" s="347" t="e">
        <v>#N/A</v>
      </c>
      <c r="HM56" s="347" t="e">
        <v>#N/A</v>
      </c>
      <c r="HN56" s="347" t="e">
        <v>#N/A</v>
      </c>
      <c r="HO56" s="347" t="e">
        <v>#N/A</v>
      </c>
      <c r="HP56" s="347" t="e">
        <v>#N/A</v>
      </c>
      <c r="HQ56" s="347" t="e">
        <v>#N/A</v>
      </c>
      <c r="HR56" s="347" t="e">
        <v>#N/A</v>
      </c>
      <c r="HS56" s="347" t="e">
        <v>#N/A</v>
      </c>
      <c r="HT56" s="347" t="e">
        <v>#N/A</v>
      </c>
      <c r="HU56" s="347" t="e">
        <v>#N/A</v>
      </c>
      <c r="HV56" s="347" t="e">
        <v>#N/A</v>
      </c>
      <c r="HW56" s="347" t="e">
        <v>#N/A</v>
      </c>
      <c r="HX56" s="347" t="e">
        <v>#N/A</v>
      </c>
      <c r="HY56" s="347" t="e">
        <v>#N/A</v>
      </c>
      <c r="HZ56" s="347" t="e">
        <v>#N/A</v>
      </c>
      <c r="IA56" s="347" t="e">
        <v>#N/A</v>
      </c>
      <c r="IB56" s="347" t="e">
        <v>#N/A</v>
      </c>
      <c r="IC56" s="347" t="e">
        <v>#N/A</v>
      </c>
      <c r="ID56" s="347" t="e">
        <v>#N/A</v>
      </c>
      <c r="IE56" s="347" t="e">
        <v>#N/A</v>
      </c>
      <c r="IF56" s="347" t="e">
        <v>#N/A</v>
      </c>
      <c r="IG56" s="347" t="e">
        <v>#N/A</v>
      </c>
      <c r="IH56" s="347" t="e">
        <v>#N/A</v>
      </c>
      <c r="II56" s="347" t="e">
        <v>#N/A</v>
      </c>
      <c r="IJ56" s="347" t="e">
        <v>#N/A</v>
      </c>
      <c r="IK56" s="347" t="e">
        <v>#N/A</v>
      </c>
      <c r="IL56" s="347" t="e">
        <v>#N/A</v>
      </c>
      <c r="IM56" s="347" t="e">
        <v>#N/A</v>
      </c>
      <c r="IN56" s="347" t="e">
        <v>#N/A</v>
      </c>
      <c r="IO56" s="347" t="e">
        <v>#N/A</v>
      </c>
      <c r="IP56" s="347" t="e">
        <v>#N/A</v>
      </c>
      <c r="IQ56" s="347" t="e">
        <v>#N/A</v>
      </c>
      <c r="IR56" s="347" t="e">
        <v>#N/A</v>
      </c>
      <c r="IS56" s="347" t="e">
        <v>#N/A</v>
      </c>
      <c r="IT56" s="347" t="e">
        <v>#N/A</v>
      </c>
      <c r="IU56" s="347" t="e">
        <v>#N/A</v>
      </c>
      <c r="IV56" s="347" t="e">
        <v>#N/A</v>
      </c>
      <c r="IW56" s="347" t="e">
        <v>#N/A</v>
      </c>
      <c r="IX56" s="347" t="e">
        <v>#N/A</v>
      </c>
      <c r="IY56" s="347" t="e">
        <v>#N/A</v>
      </c>
      <c r="IZ56" s="347" t="e">
        <v>#N/A</v>
      </c>
      <c r="JA56" s="347" t="e">
        <v>#N/A</v>
      </c>
      <c r="JB56" s="347" t="e">
        <v>#N/A</v>
      </c>
      <c r="JC56" s="347" t="e">
        <v>#N/A</v>
      </c>
      <c r="JD56" s="347" t="e">
        <v>#N/A</v>
      </c>
      <c r="JE56" s="347" t="e">
        <v>#N/A</v>
      </c>
      <c r="JF56" s="347" t="e">
        <v>#N/A</v>
      </c>
      <c r="JG56" s="347" t="e">
        <v>#N/A</v>
      </c>
      <c r="JH56" s="347" t="e">
        <v>#N/A</v>
      </c>
      <c r="JI56" s="347" t="e">
        <v>#N/A</v>
      </c>
      <c r="JJ56" s="347" t="e">
        <v>#N/A</v>
      </c>
      <c r="JK56" s="347" t="e">
        <v>#N/A</v>
      </c>
      <c r="JL56" s="347" t="e">
        <v>#N/A</v>
      </c>
      <c r="JM56" s="347" t="e">
        <v>#N/A</v>
      </c>
      <c r="JN56" s="347" t="e">
        <v>#N/A</v>
      </c>
      <c r="JO56" s="347" t="e">
        <v>#N/A</v>
      </c>
      <c r="JP56" s="347" t="e">
        <v>#N/A</v>
      </c>
      <c r="JQ56" s="347" t="e">
        <v>#N/A</v>
      </c>
      <c r="JR56" s="347" t="e">
        <v>#N/A</v>
      </c>
      <c r="JS56" s="347" t="e">
        <v>#N/A</v>
      </c>
      <c r="JT56" s="347" t="e">
        <v>#N/A</v>
      </c>
      <c r="JU56" s="347" t="e">
        <v>#N/A</v>
      </c>
      <c r="JV56" s="347" t="e">
        <v>#N/A</v>
      </c>
      <c r="JW56" s="347" t="e">
        <v>#N/A</v>
      </c>
      <c r="JX56" s="347" t="e">
        <v>#N/A</v>
      </c>
      <c r="JY56" s="347" t="e">
        <v>#N/A</v>
      </c>
      <c r="JZ56" s="347" t="e">
        <v>#N/A</v>
      </c>
      <c r="KA56" s="347" t="e">
        <v>#N/A</v>
      </c>
      <c r="KB56" s="347" t="e">
        <v>#N/A</v>
      </c>
      <c r="KC56" s="347" t="e">
        <v>#N/A</v>
      </c>
      <c r="KD56" s="347" t="e">
        <v>#N/A</v>
      </c>
      <c r="KE56" s="347" t="e">
        <v>#N/A</v>
      </c>
      <c r="KF56" s="347" t="e">
        <v>#N/A</v>
      </c>
      <c r="KG56" s="347" t="e">
        <v>#N/A</v>
      </c>
      <c r="KH56" s="347" t="e">
        <v>#N/A</v>
      </c>
      <c r="KI56" s="347" t="e">
        <v>#N/A</v>
      </c>
      <c r="KJ56" s="347" t="e">
        <v>#N/A</v>
      </c>
      <c r="KK56" s="347" t="e">
        <v>#N/A</v>
      </c>
      <c r="KL56" s="347" t="e">
        <v>#N/A</v>
      </c>
      <c r="KM56" s="347" t="e">
        <v>#N/A</v>
      </c>
      <c r="KN56" s="347" t="e">
        <v>#N/A</v>
      </c>
    </row>
    <row r="57" spans="1:300" x14ac:dyDescent="0.15">
      <c r="A57" s="347">
        <v>3</v>
      </c>
      <c r="B57" s="347">
        <v>2.2430031494577571</v>
      </c>
      <c r="C57" s="347">
        <v>7.3456470815945141E-2</v>
      </c>
      <c r="D57" s="347">
        <v>121.65285196810568</v>
      </c>
      <c r="E57" s="347">
        <v>0.82201114385890006</v>
      </c>
      <c r="F57" s="347">
        <v>0.26889218025708311</v>
      </c>
      <c r="G57" s="347">
        <v>126.77078998525553</v>
      </c>
      <c r="H57" s="347">
        <v>136.08292482012175</v>
      </c>
      <c r="I57" s="347">
        <v>0</v>
      </c>
      <c r="J57" s="347">
        <v>0.81058424597018719</v>
      </c>
      <c r="K57" s="347">
        <v>0</v>
      </c>
      <c r="L57" s="347">
        <v>-3.7016328317780803E-2</v>
      </c>
      <c r="M57" s="347">
        <v>153.82922467271695</v>
      </c>
      <c r="N57" s="347">
        <v>1.5101476517810493</v>
      </c>
      <c r="O57" s="347">
        <v>0</v>
      </c>
      <c r="P57" s="347">
        <v>0</v>
      </c>
      <c r="Q57" s="347">
        <v>0</v>
      </c>
      <c r="R57" s="347">
        <v>0</v>
      </c>
      <c r="S57" s="347">
        <v>0</v>
      </c>
      <c r="T57" s="347">
        <v>10.941742837052107</v>
      </c>
      <c r="U57" s="347">
        <v>0.10941742837052108</v>
      </c>
      <c r="V57" s="347">
        <v>0</v>
      </c>
      <c r="W57" s="347">
        <v>10.941742837052107</v>
      </c>
      <c r="X57" s="347">
        <v>0.10941742837052108</v>
      </c>
      <c r="Y57" s="347">
        <v>0</v>
      </c>
      <c r="Z57" s="347">
        <v>0</v>
      </c>
      <c r="AA57" s="347">
        <v>0</v>
      </c>
      <c r="AB57" s="347">
        <v>2.8320783938175005</v>
      </c>
      <c r="AC57" s="347">
        <v>1.4160391969087502</v>
      </c>
      <c r="AD57" s="347">
        <v>0</v>
      </c>
      <c r="AE57" s="347">
        <v>0</v>
      </c>
      <c r="AF57" s="347">
        <v>1.3872826597967309E-4</v>
      </c>
      <c r="AG57" s="347">
        <v>2.1729394065562882E-4</v>
      </c>
      <c r="AH57" s="347">
        <v>5.5850373618143701E-4</v>
      </c>
      <c r="AI57" s="347">
        <v>0</v>
      </c>
      <c r="AJ57" s="347">
        <v>0</v>
      </c>
      <c r="AK57" s="347">
        <v>0</v>
      </c>
      <c r="AL57" s="347">
        <v>0</v>
      </c>
      <c r="AM57" s="347">
        <v>0</v>
      </c>
      <c r="AN57" s="347">
        <v>0</v>
      </c>
      <c r="AO57" s="347">
        <v>0</v>
      </c>
      <c r="AP57" s="347">
        <v>0</v>
      </c>
      <c r="AQ57" s="347">
        <v>0</v>
      </c>
      <c r="AR57" s="347">
        <v>0</v>
      </c>
      <c r="AS57" s="347">
        <v>0</v>
      </c>
      <c r="AT57" s="347">
        <v>0</v>
      </c>
      <c r="AU57" s="347">
        <v>0</v>
      </c>
      <c r="AV57" s="347">
        <v>0</v>
      </c>
      <c r="AW57" s="347">
        <v>0</v>
      </c>
      <c r="AX57" s="347">
        <v>0</v>
      </c>
      <c r="AY57" s="347">
        <v>0</v>
      </c>
      <c r="AZ57" s="347">
        <v>0</v>
      </c>
      <c r="BA57" s="347">
        <v>0</v>
      </c>
      <c r="BB57" s="347">
        <v>0</v>
      </c>
      <c r="BC57" s="347">
        <v>0</v>
      </c>
      <c r="BD57" s="347">
        <v>0</v>
      </c>
      <c r="BE57" s="347">
        <v>0</v>
      </c>
      <c r="BF57" s="347">
        <v>0</v>
      </c>
      <c r="BG57" s="347">
        <v>0</v>
      </c>
      <c r="BH57" s="347">
        <v>0</v>
      </c>
      <c r="BI57" s="347">
        <v>0</v>
      </c>
      <c r="BJ57" s="347">
        <v>0</v>
      </c>
      <c r="BK57" s="347">
        <v>0</v>
      </c>
      <c r="BL57" s="347">
        <v>0</v>
      </c>
      <c r="BM57" s="347">
        <v>0</v>
      </c>
      <c r="BN57" s="347">
        <v>0</v>
      </c>
      <c r="BO57" s="347">
        <v>0</v>
      </c>
      <c r="BP57" s="347">
        <v>0</v>
      </c>
      <c r="BQ57" s="347">
        <v>0</v>
      </c>
      <c r="BR57" s="347">
        <v>0</v>
      </c>
      <c r="BS57" s="347">
        <v>0</v>
      </c>
      <c r="BT57" s="347">
        <v>9.1452594281673898E-4</v>
      </c>
      <c r="BU57" s="347">
        <v>0</v>
      </c>
      <c r="BV57" s="347">
        <v>1.7795768383719802E-2</v>
      </c>
      <c r="BW57" s="347">
        <v>9.1452594281673898E-4</v>
      </c>
      <c r="BX57" s="347">
        <v>8.8978841918599014E-4</v>
      </c>
      <c r="BY57" s="347">
        <v>0</v>
      </c>
      <c r="BZ57" s="347">
        <v>0</v>
      </c>
      <c r="CA57" s="347">
        <v>0</v>
      </c>
      <c r="CB57" s="347">
        <v>0</v>
      </c>
      <c r="CC57" s="347">
        <v>0</v>
      </c>
      <c r="CD57" s="347">
        <v>0</v>
      </c>
      <c r="CE57" s="347">
        <v>0</v>
      </c>
      <c r="CF57" s="347">
        <v>0</v>
      </c>
      <c r="CG57" s="347">
        <v>0</v>
      </c>
      <c r="CH57" s="347">
        <v>0</v>
      </c>
      <c r="CI57" s="347">
        <v>0</v>
      </c>
      <c r="CJ57" s="347">
        <v>0</v>
      </c>
      <c r="CK57" s="347">
        <v>0</v>
      </c>
      <c r="CL57" s="347">
        <v>0</v>
      </c>
      <c r="CM57" s="347">
        <v>6.9929008928705308E-2</v>
      </c>
      <c r="CN57" s="347">
        <v>0.82461596651440661</v>
      </c>
      <c r="CO57" s="347">
        <v>0</v>
      </c>
      <c r="CP57" s="347">
        <v>0</v>
      </c>
      <c r="CQ57" s="347">
        <v>113.07809353159843</v>
      </c>
      <c r="CR57" s="347">
        <v>5.6539046765799217</v>
      </c>
      <c r="CS57" s="347">
        <v>13.844382286882771</v>
      </c>
      <c r="CT57" s="347">
        <v>121.26857114190128</v>
      </c>
      <c r="CU57" s="347">
        <v>0</v>
      </c>
      <c r="CV57" s="347">
        <v>1.5081568841729602</v>
      </c>
      <c r="CW57" s="347">
        <v>2.8231323361834617</v>
      </c>
      <c r="CX57" s="347">
        <v>0.21656446101782112</v>
      </c>
      <c r="CY57" s="347">
        <v>4.1147247593386007</v>
      </c>
      <c r="CZ57" s="347">
        <v>0</v>
      </c>
      <c r="DA57" s="347">
        <v>1.5636137776346486</v>
      </c>
      <c r="DB57" s="347">
        <v>1.5636137776346486</v>
      </c>
      <c r="DC57" s="347">
        <v>0</v>
      </c>
      <c r="DD57" s="347">
        <v>1.2674406949325776</v>
      </c>
      <c r="DE57" s="347">
        <v>3.858465223068924</v>
      </c>
      <c r="DF57" s="347">
        <v>0</v>
      </c>
      <c r="DG57" s="347">
        <v>0</v>
      </c>
      <c r="DH57" s="347">
        <v>0</v>
      </c>
      <c r="DI57" s="347">
        <v>0.15159512271247477</v>
      </c>
      <c r="DJ57" s="347">
        <v>0.15159512271247477</v>
      </c>
      <c r="DK57" s="347">
        <v>0</v>
      </c>
      <c r="DL57" s="347">
        <v>8.9291256167441047E-2</v>
      </c>
      <c r="DM57" s="347">
        <v>8.9291256167441047E-2</v>
      </c>
      <c r="DN57" s="347">
        <v>11.416298680292767</v>
      </c>
      <c r="DO57" s="347">
        <v>0</v>
      </c>
      <c r="DP57" s="347">
        <v>116.18342427282835</v>
      </c>
      <c r="DQ57" s="347">
        <v>116.18342427282835</v>
      </c>
      <c r="DR57" s="347">
        <v>0</v>
      </c>
      <c r="DS57" s="347">
        <v>0</v>
      </c>
      <c r="DT57" s="347">
        <v>0</v>
      </c>
      <c r="DU57" s="347">
        <v>0</v>
      </c>
      <c r="DV57" s="347">
        <v>0.24088637887991582</v>
      </c>
      <c r="DW57" s="347">
        <v>0.1952587037888654</v>
      </c>
      <c r="DX57" s="347">
        <v>0.30580307214104679</v>
      </c>
      <c r="DY57" s="347">
        <v>0</v>
      </c>
      <c r="DZ57" s="347">
        <v>73.052324209478442</v>
      </c>
      <c r="EA57" s="347">
        <v>59.215063135709734</v>
      </c>
      <c r="EB57" s="347">
        <v>174.62461151845986</v>
      </c>
      <c r="EC57" s="347">
        <v>0</v>
      </c>
      <c r="ED57" s="347">
        <v>0</v>
      </c>
      <c r="EE57" s="347">
        <v>0</v>
      </c>
      <c r="EF57" s="347">
        <v>0</v>
      </c>
      <c r="EG57" s="347">
        <v>0</v>
      </c>
      <c r="EH57" s="347">
        <v>0</v>
      </c>
      <c r="EI57" s="347">
        <v>0</v>
      </c>
      <c r="EJ57" s="347">
        <v>0.63597687452192309</v>
      </c>
      <c r="EK57" s="347">
        <v>57.792432697187991</v>
      </c>
      <c r="EL57" s="347">
        <v>0</v>
      </c>
      <c r="EM57" s="347">
        <v>0.24962300740396809</v>
      </c>
      <c r="EN57" s="347">
        <v>45.881495253325568</v>
      </c>
      <c r="EO57" s="347">
        <v>0</v>
      </c>
      <c r="EP57" s="347">
        <v>0</v>
      </c>
      <c r="EQ57" s="347">
        <v>0</v>
      </c>
      <c r="ER57" s="347">
        <v>1.2165285196810569</v>
      </c>
      <c r="ES57" s="347">
        <v>0</v>
      </c>
      <c r="ET57" s="347">
        <v>0.77368400571354035</v>
      </c>
      <c r="EU57" s="347">
        <v>70.306142597877212</v>
      </c>
      <c r="EV57" s="347">
        <v>0</v>
      </c>
      <c r="EW57" s="347">
        <v>0.30367350767548279</v>
      </c>
      <c r="EX57" s="347">
        <v>55.816147501281591</v>
      </c>
      <c r="EY57" s="347">
        <v>0</v>
      </c>
      <c r="EZ57" s="347">
        <v>0</v>
      </c>
      <c r="FA57" s="347">
        <v>0</v>
      </c>
      <c r="FB57" s="347">
        <v>0</v>
      </c>
      <c r="FC57" s="347">
        <v>107.34103323441671</v>
      </c>
      <c r="FD57" s="347">
        <v>84.749215915049319</v>
      </c>
      <c r="FE57" s="347">
        <v>0</v>
      </c>
      <c r="FF57" s="347">
        <v>0</v>
      </c>
      <c r="FG57" s="347">
        <v>76.699924158450173</v>
      </c>
      <c r="FH57" s="347">
        <v>13.888252933773364</v>
      </c>
      <c r="FI57" s="347">
        <v>0.3688395804485502</v>
      </c>
      <c r="FJ57" s="347">
        <v>0.2172507193716782</v>
      </c>
      <c r="FK57" s="347">
        <v>0</v>
      </c>
      <c r="FL57" s="347">
        <v>91.17426739204376</v>
      </c>
      <c r="FM57" s="347">
        <v>0</v>
      </c>
      <c r="FN57" s="347">
        <v>0</v>
      </c>
      <c r="FO57" s="347">
        <v>10.772066160481083</v>
      </c>
      <c r="FP57" s="347">
        <v>-4.2810714443131959</v>
      </c>
      <c r="FQ57" s="347">
        <v>0</v>
      </c>
      <c r="FR57" s="347">
        <v>0</v>
      </c>
      <c r="FS57" s="347">
        <v>0</v>
      </c>
      <c r="FT57" s="347">
        <v>0</v>
      </c>
      <c r="FU57" s="347">
        <v>0.3067404665197675</v>
      </c>
      <c r="FV57" s="347">
        <v>9.9123230392297579</v>
      </c>
      <c r="FW57" s="347">
        <v>0</v>
      </c>
      <c r="FX57" s="347">
        <v>-0.16619603460043963</v>
      </c>
      <c r="FY57" s="347">
        <v>-4.6678780644443183</v>
      </c>
      <c r="FZ57" s="347">
        <v>0</v>
      </c>
      <c r="GA57" s="347">
        <v>0</v>
      </c>
      <c r="GB57" s="347">
        <v>0</v>
      </c>
      <c r="GC57" s="347">
        <v>0</v>
      </c>
      <c r="GD57" s="347">
        <v>14.876459459289961</v>
      </c>
      <c r="GE57" s="347">
        <v>-7.0055726101528251</v>
      </c>
      <c r="GF57" s="347">
        <v>0</v>
      </c>
      <c r="GG57" s="347" t="str">
        <v/>
      </c>
      <c r="GH57" s="347" t="str">
        <v/>
      </c>
      <c r="GI57" s="347">
        <v>0</v>
      </c>
      <c r="GJ57" s="347">
        <v>0</v>
      </c>
      <c r="GK57" s="347">
        <v>0</v>
      </c>
      <c r="GL57" s="347">
        <v>0</v>
      </c>
      <c r="GM57" s="347">
        <v>0</v>
      </c>
      <c r="GN57" s="347">
        <v>1.5636137776346484</v>
      </c>
      <c r="GO57" s="347">
        <v>1.5101476517810493</v>
      </c>
      <c r="GP57" s="347">
        <v>0</v>
      </c>
      <c r="GQ57" s="347">
        <v>0</v>
      </c>
      <c r="GR57" s="347">
        <v>116.18342427282835</v>
      </c>
      <c r="GS57" s="347">
        <v>6.992900892870531</v>
      </c>
      <c r="GT57" s="347">
        <v>1.5636137776346484</v>
      </c>
      <c r="GU57" s="347">
        <v>0</v>
      </c>
      <c r="GV57" s="347">
        <v>126.77078998525553</v>
      </c>
      <c r="GW57" s="347">
        <v>7.3456470815945138</v>
      </c>
      <c r="GX57" s="347">
        <v>1.5101476517810493</v>
      </c>
      <c r="GY57" s="347">
        <v>0</v>
      </c>
      <c r="GZ57" s="347">
        <v>0</v>
      </c>
      <c r="HA57" s="347">
        <v>0</v>
      </c>
      <c r="HB57" s="347" t="e">
        <v>#N/A</v>
      </c>
      <c r="HC57" s="347" t="e">
        <v>#N/A</v>
      </c>
      <c r="HD57" s="347" t="e">
        <v>#N/A</v>
      </c>
      <c r="HE57" s="347" t="e">
        <v>#N/A</v>
      </c>
      <c r="HF57" s="347" t="e">
        <v>#N/A</v>
      </c>
      <c r="HG57" s="347" t="e">
        <v>#N/A</v>
      </c>
      <c r="HH57" s="347" t="e">
        <v>#N/A</v>
      </c>
      <c r="HI57" s="347" t="e">
        <v>#N/A</v>
      </c>
      <c r="HJ57" s="347" t="e">
        <v>#N/A</v>
      </c>
      <c r="HK57" s="347" t="e">
        <v>#N/A</v>
      </c>
      <c r="HL57" s="347" t="e">
        <v>#N/A</v>
      </c>
      <c r="HM57" s="347" t="e">
        <v>#N/A</v>
      </c>
      <c r="HN57" s="347" t="e">
        <v>#N/A</v>
      </c>
      <c r="HO57" s="347" t="e">
        <v>#N/A</v>
      </c>
      <c r="HP57" s="347" t="e">
        <v>#N/A</v>
      </c>
      <c r="HQ57" s="347" t="e">
        <v>#N/A</v>
      </c>
      <c r="HR57" s="347" t="e">
        <v>#N/A</v>
      </c>
      <c r="HS57" s="347" t="e">
        <v>#N/A</v>
      </c>
      <c r="HT57" s="347" t="e">
        <v>#N/A</v>
      </c>
      <c r="HU57" s="347" t="e">
        <v>#N/A</v>
      </c>
      <c r="HV57" s="347" t="e">
        <v>#N/A</v>
      </c>
      <c r="HW57" s="347" t="e">
        <v>#N/A</v>
      </c>
      <c r="HX57" s="347" t="e">
        <v>#N/A</v>
      </c>
      <c r="HY57" s="347" t="e">
        <v>#N/A</v>
      </c>
      <c r="HZ57" s="347" t="e">
        <v>#N/A</v>
      </c>
      <c r="IA57" s="347" t="e">
        <v>#N/A</v>
      </c>
      <c r="IB57" s="347" t="e">
        <v>#N/A</v>
      </c>
      <c r="IC57" s="347" t="e">
        <v>#N/A</v>
      </c>
      <c r="ID57" s="347" t="e">
        <v>#N/A</v>
      </c>
      <c r="IE57" s="347" t="e">
        <v>#N/A</v>
      </c>
      <c r="IF57" s="347" t="e">
        <v>#N/A</v>
      </c>
      <c r="IG57" s="347" t="e">
        <v>#N/A</v>
      </c>
      <c r="IH57" s="347" t="e">
        <v>#N/A</v>
      </c>
      <c r="II57" s="347" t="e">
        <v>#N/A</v>
      </c>
      <c r="IJ57" s="347" t="e">
        <v>#N/A</v>
      </c>
      <c r="IK57" s="347" t="e">
        <v>#N/A</v>
      </c>
      <c r="IL57" s="347" t="e">
        <v>#N/A</v>
      </c>
      <c r="IM57" s="347" t="e">
        <v>#N/A</v>
      </c>
      <c r="IN57" s="347" t="e">
        <v>#N/A</v>
      </c>
      <c r="IO57" s="347" t="e">
        <v>#N/A</v>
      </c>
      <c r="IP57" s="347" t="e">
        <v>#N/A</v>
      </c>
      <c r="IQ57" s="347" t="e">
        <v>#N/A</v>
      </c>
      <c r="IR57" s="347" t="e">
        <v>#N/A</v>
      </c>
      <c r="IS57" s="347" t="e">
        <v>#N/A</v>
      </c>
      <c r="IT57" s="347" t="e">
        <v>#N/A</v>
      </c>
      <c r="IU57" s="347" t="e">
        <v>#N/A</v>
      </c>
      <c r="IV57" s="347" t="e">
        <v>#N/A</v>
      </c>
      <c r="IW57" s="347" t="e">
        <v>#N/A</v>
      </c>
      <c r="IX57" s="347" t="e">
        <v>#N/A</v>
      </c>
      <c r="IY57" s="347" t="e">
        <v>#N/A</v>
      </c>
      <c r="IZ57" s="347" t="e">
        <v>#N/A</v>
      </c>
      <c r="JA57" s="347" t="e">
        <v>#N/A</v>
      </c>
      <c r="JB57" s="347" t="e">
        <v>#N/A</v>
      </c>
      <c r="JC57" s="347" t="e">
        <v>#N/A</v>
      </c>
      <c r="JD57" s="347" t="e">
        <v>#N/A</v>
      </c>
      <c r="JE57" s="347" t="e">
        <v>#N/A</v>
      </c>
      <c r="JF57" s="347" t="e">
        <v>#N/A</v>
      </c>
      <c r="JG57" s="347" t="e">
        <v>#N/A</v>
      </c>
      <c r="JH57" s="347" t="e">
        <v>#N/A</v>
      </c>
      <c r="JI57" s="347" t="e">
        <v>#N/A</v>
      </c>
      <c r="JJ57" s="347" t="e">
        <v>#N/A</v>
      </c>
      <c r="JK57" s="347" t="e">
        <v>#N/A</v>
      </c>
      <c r="JL57" s="347" t="e">
        <v>#N/A</v>
      </c>
      <c r="JM57" s="347" t="e">
        <v>#N/A</v>
      </c>
      <c r="JN57" s="347" t="e">
        <v>#N/A</v>
      </c>
      <c r="JO57" s="347" t="e">
        <v>#N/A</v>
      </c>
      <c r="JP57" s="347" t="e">
        <v>#N/A</v>
      </c>
      <c r="JQ57" s="347" t="e">
        <v>#N/A</v>
      </c>
      <c r="JR57" s="347" t="e">
        <v>#N/A</v>
      </c>
      <c r="JS57" s="347" t="e">
        <v>#N/A</v>
      </c>
      <c r="JT57" s="347" t="e">
        <v>#N/A</v>
      </c>
      <c r="JU57" s="347" t="e">
        <v>#N/A</v>
      </c>
      <c r="JV57" s="347" t="e">
        <v>#N/A</v>
      </c>
      <c r="JW57" s="347" t="e">
        <v>#N/A</v>
      </c>
      <c r="JX57" s="347" t="e">
        <v>#N/A</v>
      </c>
      <c r="JY57" s="347" t="e">
        <v>#N/A</v>
      </c>
      <c r="JZ57" s="347" t="e">
        <v>#N/A</v>
      </c>
      <c r="KA57" s="347" t="e">
        <v>#N/A</v>
      </c>
      <c r="KB57" s="347" t="e">
        <v>#N/A</v>
      </c>
      <c r="KC57" s="347" t="e">
        <v>#N/A</v>
      </c>
      <c r="KD57" s="347" t="e">
        <v>#N/A</v>
      </c>
      <c r="KE57" s="347" t="e">
        <v>#N/A</v>
      </c>
      <c r="KF57" s="347" t="e">
        <v>#N/A</v>
      </c>
      <c r="KG57" s="347" t="e">
        <v>#N/A</v>
      </c>
      <c r="KH57" s="347" t="e">
        <v>#N/A</v>
      </c>
      <c r="KI57" s="347" t="e">
        <v>#N/A</v>
      </c>
      <c r="KJ57" s="347" t="e">
        <v>#N/A</v>
      </c>
      <c r="KK57" s="347" t="e">
        <v>#N/A</v>
      </c>
      <c r="KL57" s="347" t="e">
        <v>#N/A</v>
      </c>
      <c r="KM57" s="347" t="e">
        <v>#N/A</v>
      </c>
      <c r="KN57" s="347" t="e">
        <v>#N/A</v>
      </c>
    </row>
    <row r="58" spans="1:300" x14ac:dyDescent="0.15">
      <c r="A58" s="347">
        <v>4</v>
      </c>
      <c r="B58" s="347">
        <v>-1.3001856389210817</v>
      </c>
      <c r="C58" s="347">
        <v>7.3936523172718038E-2</v>
      </c>
      <c r="D58" s="347">
        <v>130.98830392143478</v>
      </c>
      <c r="E58" s="347">
        <v>0.76342693970584441</v>
      </c>
      <c r="F58" s="347">
        <v>-8.1768848477856135E-2</v>
      </c>
      <c r="G58" s="347">
        <v>132.56090631992925</v>
      </c>
      <c r="H58" s="347">
        <v>142.36199884184919</v>
      </c>
      <c r="I58" s="347">
        <v>0</v>
      </c>
      <c r="J58" s="347">
        <v>0.75578374145572558</v>
      </c>
      <c r="K58" s="347">
        <v>0</v>
      </c>
      <c r="L58" s="347">
        <v>0.28162946635336211</v>
      </c>
      <c r="M58" s="347">
        <v>158.19713424172866</v>
      </c>
      <c r="N58" s="347">
        <v>1.7068521601877076</v>
      </c>
      <c r="O58" s="347">
        <v>0</v>
      </c>
      <c r="P58" s="347">
        <v>0</v>
      </c>
      <c r="Q58" s="347">
        <v>0</v>
      </c>
      <c r="R58" s="347">
        <v>0</v>
      </c>
      <c r="S58" s="347">
        <v>0</v>
      </c>
      <c r="T58" s="347">
        <v>11.274968515793761</v>
      </c>
      <c r="U58" s="347">
        <v>0.11274968515793762</v>
      </c>
      <c r="V58" s="347">
        <v>0</v>
      </c>
      <c r="W58" s="347">
        <v>11.274968515793761</v>
      </c>
      <c r="X58" s="347">
        <v>0.11274968515793762</v>
      </c>
      <c r="Y58" s="347">
        <v>0</v>
      </c>
      <c r="Z58" s="347">
        <v>0</v>
      </c>
      <c r="AA58" s="347">
        <v>0</v>
      </c>
      <c r="AB58" s="347">
        <v>6.9790568329340443</v>
      </c>
      <c r="AC58" s="347">
        <v>3.4895284164670222</v>
      </c>
      <c r="AD58" s="347">
        <v>0</v>
      </c>
      <c r="AE58" s="347">
        <v>0</v>
      </c>
      <c r="AF58" s="347">
        <v>1.3872826597967309E-4</v>
      </c>
      <c r="AG58" s="347">
        <v>2.1729394065562882E-4</v>
      </c>
      <c r="AH58" s="347">
        <v>5.5850373618143701E-4</v>
      </c>
      <c r="AI58" s="347">
        <v>1.3161981587713411E-3</v>
      </c>
      <c r="AJ58" s="347">
        <v>0</v>
      </c>
      <c r="AK58" s="347">
        <v>0</v>
      </c>
      <c r="AL58" s="347">
        <v>0</v>
      </c>
      <c r="AM58" s="347">
        <v>0</v>
      </c>
      <c r="AN58" s="347">
        <v>0</v>
      </c>
      <c r="AO58" s="347">
        <v>0</v>
      </c>
      <c r="AP58" s="347">
        <v>0</v>
      </c>
      <c r="AQ58" s="347">
        <v>0</v>
      </c>
      <c r="AR58" s="347">
        <v>0</v>
      </c>
      <c r="AS58" s="347">
        <v>0</v>
      </c>
      <c r="AT58" s="347">
        <v>0</v>
      </c>
      <c r="AU58" s="347">
        <v>0</v>
      </c>
      <c r="AV58" s="347">
        <v>0</v>
      </c>
      <c r="AW58" s="347">
        <v>0</v>
      </c>
      <c r="AX58" s="347">
        <v>0</v>
      </c>
      <c r="AY58" s="347">
        <v>0</v>
      </c>
      <c r="AZ58" s="347">
        <v>0</v>
      </c>
      <c r="BA58" s="347">
        <v>0</v>
      </c>
      <c r="BB58" s="347">
        <v>0</v>
      </c>
      <c r="BC58" s="347">
        <v>0</v>
      </c>
      <c r="BD58" s="347">
        <v>0</v>
      </c>
      <c r="BE58" s="347">
        <v>0</v>
      </c>
      <c r="BF58" s="347">
        <v>0</v>
      </c>
      <c r="BG58" s="347">
        <v>0</v>
      </c>
      <c r="BH58" s="347">
        <v>0</v>
      </c>
      <c r="BI58" s="347">
        <v>0</v>
      </c>
      <c r="BJ58" s="347">
        <v>0</v>
      </c>
      <c r="BK58" s="347">
        <v>0</v>
      </c>
      <c r="BL58" s="347">
        <v>0</v>
      </c>
      <c r="BM58" s="347">
        <v>0</v>
      </c>
      <c r="BN58" s="347">
        <v>0</v>
      </c>
      <c r="BO58" s="347">
        <v>0</v>
      </c>
      <c r="BP58" s="347">
        <v>0</v>
      </c>
      <c r="BQ58" s="347">
        <v>0</v>
      </c>
      <c r="BR58" s="347">
        <v>0</v>
      </c>
      <c r="BS58" s="347">
        <v>0</v>
      </c>
      <c r="BT58" s="347">
        <v>2.2307241015880799E-3</v>
      </c>
      <c r="BU58" s="347">
        <v>0</v>
      </c>
      <c r="BV58" s="347">
        <v>4.3205205616329886E-2</v>
      </c>
      <c r="BW58" s="347">
        <v>2.2307241015880799E-3</v>
      </c>
      <c r="BX58" s="347">
        <v>2.1602602808164944E-3</v>
      </c>
      <c r="BY58" s="347">
        <v>0</v>
      </c>
      <c r="BZ58" s="347">
        <v>0</v>
      </c>
      <c r="CA58" s="347">
        <v>0</v>
      </c>
      <c r="CB58" s="347">
        <v>0</v>
      </c>
      <c r="CC58" s="347">
        <v>0</v>
      </c>
      <c r="CD58" s="347">
        <v>0</v>
      </c>
      <c r="CE58" s="347">
        <v>0</v>
      </c>
      <c r="CF58" s="347">
        <v>0</v>
      </c>
      <c r="CG58" s="347">
        <v>0</v>
      </c>
      <c r="CH58" s="347">
        <v>0</v>
      </c>
      <c r="CI58" s="347">
        <v>0</v>
      </c>
      <c r="CJ58" s="347">
        <v>0</v>
      </c>
      <c r="CK58" s="347">
        <v>0</v>
      </c>
      <c r="CL58" s="347">
        <v>0</v>
      </c>
      <c r="CM58" s="347">
        <v>7.3540444827524018E-2</v>
      </c>
      <c r="CN58" s="347">
        <v>0.76614951347377813</v>
      </c>
      <c r="CO58" s="347">
        <v>0</v>
      </c>
      <c r="CP58" s="347">
        <v>0</v>
      </c>
      <c r="CQ58" s="347">
        <v>121.26857114190128</v>
      </c>
      <c r="CR58" s="347">
        <v>6.0634285570950643</v>
      </c>
      <c r="CS58" s="347">
        <v>15.31768388883161</v>
      </c>
      <c r="CT58" s="347">
        <v>130.52282647363782</v>
      </c>
      <c r="CU58" s="347">
        <v>0</v>
      </c>
      <c r="CV58" s="347">
        <v>4.1147247593386007</v>
      </c>
      <c r="CW58" s="347">
        <v>6.9542561945154242</v>
      </c>
      <c r="CX58" s="347">
        <v>0.55344904769270131</v>
      </c>
      <c r="CY58" s="347">
        <v>10.515531906161323</v>
      </c>
      <c r="CZ58" s="347">
        <v>0</v>
      </c>
      <c r="DA58" s="347">
        <v>1.7532026231958298</v>
      </c>
      <c r="DB58" s="347">
        <v>1.7532026231958298</v>
      </c>
      <c r="DC58" s="347">
        <v>0</v>
      </c>
      <c r="DD58" s="347">
        <v>1.3250420380889369</v>
      </c>
      <c r="DE58" s="347">
        <v>5.1835072611578612</v>
      </c>
      <c r="DF58" s="347">
        <v>0</v>
      </c>
      <c r="DG58" s="347">
        <v>0</v>
      </c>
      <c r="DH58" s="347">
        <v>0</v>
      </c>
      <c r="DI58" s="347">
        <v>0.3874143333848909</v>
      </c>
      <c r="DJ58" s="347">
        <v>0.3874143333848909</v>
      </c>
      <c r="DK58" s="347">
        <v>0</v>
      </c>
      <c r="DL58" s="347">
        <v>0.21201235931114448</v>
      </c>
      <c r="DM58" s="347">
        <v>0.21201235931114448</v>
      </c>
      <c r="DN58" s="347">
        <v>11.735636058973467</v>
      </c>
      <c r="DO58" s="347">
        <v>0</v>
      </c>
      <c r="DP58" s="347">
        <v>122.14027581601702</v>
      </c>
      <c r="DQ58" s="347">
        <v>122.14027581601702</v>
      </c>
      <c r="DR58" s="347">
        <v>0</v>
      </c>
      <c r="DS58" s="347">
        <v>0</v>
      </c>
      <c r="DT58" s="347">
        <v>0</v>
      </c>
      <c r="DU58" s="347">
        <v>0</v>
      </c>
      <c r="DV58" s="347">
        <v>0.59942669269603543</v>
      </c>
      <c r="DW58" s="347">
        <v>0.45303694853424109</v>
      </c>
      <c r="DX58" s="347">
        <v>0.75884002067528789</v>
      </c>
      <c r="DY58" s="347">
        <v>0</v>
      </c>
      <c r="DZ58" s="347">
        <v>82.53954046170098</v>
      </c>
      <c r="EA58" s="347">
        <v>62.382042708180613</v>
      </c>
      <c r="EB58" s="347">
        <v>237.00665422664048</v>
      </c>
      <c r="EC58" s="347">
        <v>0</v>
      </c>
      <c r="ED58" s="347">
        <v>0</v>
      </c>
      <c r="EE58" s="347">
        <v>0</v>
      </c>
      <c r="EF58" s="347">
        <v>0</v>
      </c>
      <c r="EG58" s="347">
        <v>0</v>
      </c>
      <c r="EH58" s="347">
        <v>0</v>
      </c>
      <c r="EI58" s="347">
        <v>0</v>
      </c>
      <c r="EJ58" s="347">
        <v>0.63597687452192309</v>
      </c>
      <c r="EK58" s="347">
        <v>57.792432697187991</v>
      </c>
      <c r="EL58" s="347">
        <v>0</v>
      </c>
      <c r="EM58" s="347">
        <v>0.24962300740396809</v>
      </c>
      <c r="EN58" s="347">
        <v>45.881495253325568</v>
      </c>
      <c r="EO58" s="347">
        <v>0</v>
      </c>
      <c r="EP58" s="347">
        <v>0</v>
      </c>
      <c r="EQ58" s="347">
        <v>0</v>
      </c>
      <c r="ER58" s="347">
        <v>1.3098830392143477</v>
      </c>
      <c r="ES58" s="347">
        <v>0</v>
      </c>
      <c r="ET58" s="347">
        <v>0.83305532126881843</v>
      </c>
      <c r="EU58" s="347">
        <v>75.701327384983244</v>
      </c>
      <c r="EV58" s="347">
        <v>0</v>
      </c>
      <c r="EW58" s="347">
        <v>0.32697694359613533</v>
      </c>
      <c r="EX58" s="347">
        <v>60.09939244612476</v>
      </c>
      <c r="EY58" s="347">
        <v>0</v>
      </c>
      <c r="EZ58" s="347">
        <v>0</v>
      </c>
      <c r="FA58" s="347">
        <v>0</v>
      </c>
      <c r="FB58" s="347">
        <v>0</v>
      </c>
      <c r="FC58" s="347">
        <v>130.63287645079905</v>
      </c>
      <c r="FD58" s="347">
        <v>103.13887912514548</v>
      </c>
      <c r="FE58" s="347">
        <v>0</v>
      </c>
      <c r="FF58" s="347">
        <v>0</v>
      </c>
      <c r="FG58" s="347">
        <v>94.636297989631387</v>
      </c>
      <c r="FH58" s="347">
        <v>15.372310628041655</v>
      </c>
      <c r="FI58" s="347">
        <v>1.0149349288988028</v>
      </c>
      <c r="FJ58" s="347">
        <v>0.55542278713097248</v>
      </c>
      <c r="FK58" s="347">
        <v>0</v>
      </c>
      <c r="FL58" s="347">
        <v>111.57896633370282</v>
      </c>
      <c r="FM58" s="347">
        <v>0</v>
      </c>
      <c r="FN58" s="347">
        <v>0</v>
      </c>
      <c r="FO58" s="347">
        <v>10.99383307252945</v>
      </c>
      <c r="FP58" s="347">
        <v>-4.8698093629199581</v>
      </c>
      <c r="FQ58" s="347">
        <v>0</v>
      </c>
      <c r="FR58" s="347">
        <v>0</v>
      </c>
      <c r="FS58" s="347">
        <v>0</v>
      </c>
      <c r="FT58" s="347">
        <v>0</v>
      </c>
      <c r="FU58" s="347">
        <v>-0.1862867086770538</v>
      </c>
      <c r="FV58" s="347">
        <v>10.072785791036949</v>
      </c>
      <c r="FW58" s="347">
        <v>0</v>
      </c>
      <c r="FX58" s="347">
        <v>-0.68468749032233756</v>
      </c>
      <c r="FY58" s="347">
        <v>-5.2924558627671843</v>
      </c>
      <c r="FZ58" s="347">
        <v>0</v>
      </c>
      <c r="GA58" s="347">
        <v>0</v>
      </c>
      <c r="GB58" s="347">
        <v>0</v>
      </c>
      <c r="GC58" s="347">
        <v>0</v>
      </c>
      <c r="GD58" s="347">
        <v>17.45760135022897</v>
      </c>
      <c r="GE58" s="347">
        <v>-9.1725950032697057</v>
      </c>
      <c r="GF58" s="347">
        <v>0</v>
      </c>
      <c r="GG58" s="347" t="str">
        <v/>
      </c>
      <c r="GH58" s="347" t="str">
        <v/>
      </c>
      <c r="GI58" s="347">
        <v>0</v>
      </c>
      <c r="GJ58" s="347">
        <v>0</v>
      </c>
      <c r="GK58" s="347">
        <v>0</v>
      </c>
      <c r="GL58" s="347">
        <v>0</v>
      </c>
      <c r="GM58" s="347">
        <v>0</v>
      </c>
      <c r="GN58" s="347">
        <v>1.7532026231958293</v>
      </c>
      <c r="GO58" s="347">
        <v>1.7068521601877076</v>
      </c>
      <c r="GP58" s="347">
        <v>0</v>
      </c>
      <c r="GQ58" s="347">
        <v>0</v>
      </c>
      <c r="GR58" s="347">
        <v>122.14027581601702</v>
      </c>
      <c r="GS58" s="347">
        <v>7.3540444827524016</v>
      </c>
      <c r="GT58" s="347">
        <v>1.7532026231958293</v>
      </c>
      <c r="GU58" s="347">
        <v>0</v>
      </c>
      <c r="GV58" s="347">
        <v>132.56090631992925</v>
      </c>
      <c r="GW58" s="347">
        <v>7.3936523172718038</v>
      </c>
      <c r="GX58" s="347">
        <v>1.7068521601877076</v>
      </c>
      <c r="GY58" s="347">
        <v>0</v>
      </c>
      <c r="GZ58" s="347">
        <v>0</v>
      </c>
      <c r="HA58" s="347">
        <v>0</v>
      </c>
      <c r="HB58" s="347" t="e">
        <v>#N/A</v>
      </c>
      <c r="HC58" s="347" t="e">
        <v>#N/A</v>
      </c>
      <c r="HD58" s="347" t="e">
        <v>#N/A</v>
      </c>
      <c r="HE58" s="347" t="e">
        <v>#N/A</v>
      </c>
      <c r="HF58" s="347" t="e">
        <v>#N/A</v>
      </c>
      <c r="HG58" s="347" t="e">
        <v>#N/A</v>
      </c>
      <c r="HH58" s="347" t="e">
        <v>#N/A</v>
      </c>
      <c r="HI58" s="347" t="e">
        <v>#N/A</v>
      </c>
      <c r="HJ58" s="347" t="e">
        <v>#N/A</v>
      </c>
      <c r="HK58" s="347" t="e">
        <v>#N/A</v>
      </c>
      <c r="HL58" s="347" t="e">
        <v>#N/A</v>
      </c>
      <c r="HM58" s="347" t="e">
        <v>#N/A</v>
      </c>
      <c r="HN58" s="347" t="e">
        <v>#N/A</v>
      </c>
      <c r="HO58" s="347" t="e">
        <v>#N/A</v>
      </c>
      <c r="HP58" s="347" t="e">
        <v>#N/A</v>
      </c>
      <c r="HQ58" s="347" t="e">
        <v>#N/A</v>
      </c>
      <c r="HR58" s="347" t="e">
        <v>#N/A</v>
      </c>
      <c r="HS58" s="347" t="e">
        <v>#N/A</v>
      </c>
      <c r="HT58" s="347" t="e">
        <v>#N/A</v>
      </c>
      <c r="HU58" s="347" t="e">
        <v>#N/A</v>
      </c>
      <c r="HV58" s="347" t="e">
        <v>#N/A</v>
      </c>
      <c r="HW58" s="347" t="e">
        <v>#N/A</v>
      </c>
      <c r="HX58" s="347" t="e">
        <v>#N/A</v>
      </c>
      <c r="HY58" s="347" t="e">
        <v>#N/A</v>
      </c>
      <c r="HZ58" s="347" t="e">
        <v>#N/A</v>
      </c>
      <c r="IA58" s="347" t="e">
        <v>#N/A</v>
      </c>
      <c r="IB58" s="347" t="e">
        <v>#N/A</v>
      </c>
      <c r="IC58" s="347" t="e">
        <v>#N/A</v>
      </c>
      <c r="ID58" s="347" t="e">
        <v>#N/A</v>
      </c>
      <c r="IE58" s="347" t="e">
        <v>#N/A</v>
      </c>
      <c r="IF58" s="347" t="e">
        <v>#N/A</v>
      </c>
      <c r="IG58" s="347" t="e">
        <v>#N/A</v>
      </c>
      <c r="IH58" s="347" t="e">
        <v>#N/A</v>
      </c>
      <c r="II58" s="347" t="e">
        <v>#N/A</v>
      </c>
      <c r="IJ58" s="347" t="e">
        <v>#N/A</v>
      </c>
      <c r="IK58" s="347" t="e">
        <v>#N/A</v>
      </c>
      <c r="IL58" s="347" t="e">
        <v>#N/A</v>
      </c>
      <c r="IM58" s="347" t="e">
        <v>#N/A</v>
      </c>
      <c r="IN58" s="347" t="e">
        <v>#N/A</v>
      </c>
      <c r="IO58" s="347" t="e">
        <v>#N/A</v>
      </c>
      <c r="IP58" s="347" t="e">
        <v>#N/A</v>
      </c>
      <c r="IQ58" s="347" t="e">
        <v>#N/A</v>
      </c>
      <c r="IR58" s="347" t="e">
        <v>#N/A</v>
      </c>
      <c r="IS58" s="347" t="e">
        <v>#N/A</v>
      </c>
      <c r="IT58" s="347" t="e">
        <v>#N/A</v>
      </c>
      <c r="IU58" s="347" t="e">
        <v>#N/A</v>
      </c>
      <c r="IV58" s="347" t="e">
        <v>#N/A</v>
      </c>
      <c r="IW58" s="347" t="e">
        <v>#N/A</v>
      </c>
      <c r="IX58" s="347" t="e">
        <v>#N/A</v>
      </c>
      <c r="IY58" s="347" t="e">
        <v>#N/A</v>
      </c>
      <c r="IZ58" s="347" t="e">
        <v>#N/A</v>
      </c>
      <c r="JA58" s="347" t="e">
        <v>#N/A</v>
      </c>
      <c r="JB58" s="347" t="e">
        <v>#N/A</v>
      </c>
      <c r="JC58" s="347" t="e">
        <v>#N/A</v>
      </c>
      <c r="JD58" s="347" t="e">
        <v>#N/A</v>
      </c>
      <c r="JE58" s="347" t="e">
        <v>#N/A</v>
      </c>
      <c r="JF58" s="347" t="e">
        <v>#N/A</v>
      </c>
      <c r="JG58" s="347" t="e">
        <v>#N/A</v>
      </c>
      <c r="JH58" s="347" t="e">
        <v>#N/A</v>
      </c>
      <c r="JI58" s="347" t="e">
        <v>#N/A</v>
      </c>
      <c r="JJ58" s="347" t="e">
        <v>#N/A</v>
      </c>
      <c r="JK58" s="347" t="e">
        <v>#N/A</v>
      </c>
      <c r="JL58" s="347" t="e">
        <v>#N/A</v>
      </c>
      <c r="JM58" s="347" t="e">
        <v>#N/A</v>
      </c>
      <c r="JN58" s="347" t="e">
        <v>#N/A</v>
      </c>
      <c r="JO58" s="347" t="e">
        <v>#N/A</v>
      </c>
      <c r="JP58" s="347" t="e">
        <v>#N/A</v>
      </c>
      <c r="JQ58" s="347" t="e">
        <v>#N/A</v>
      </c>
      <c r="JR58" s="347" t="e">
        <v>#N/A</v>
      </c>
      <c r="JS58" s="347" t="e">
        <v>#N/A</v>
      </c>
      <c r="JT58" s="347" t="e">
        <v>#N/A</v>
      </c>
      <c r="JU58" s="347" t="e">
        <v>#N/A</v>
      </c>
      <c r="JV58" s="347" t="e">
        <v>#N/A</v>
      </c>
      <c r="JW58" s="347" t="e">
        <v>#N/A</v>
      </c>
      <c r="JX58" s="347" t="e">
        <v>#N/A</v>
      </c>
      <c r="JY58" s="347" t="e">
        <v>#N/A</v>
      </c>
      <c r="JZ58" s="347" t="e">
        <v>#N/A</v>
      </c>
      <c r="KA58" s="347" t="e">
        <v>#N/A</v>
      </c>
      <c r="KB58" s="347" t="e">
        <v>#N/A</v>
      </c>
      <c r="KC58" s="347" t="e">
        <v>#N/A</v>
      </c>
      <c r="KD58" s="347" t="e">
        <v>#N/A</v>
      </c>
      <c r="KE58" s="347" t="e">
        <v>#N/A</v>
      </c>
      <c r="KF58" s="347" t="e">
        <v>#N/A</v>
      </c>
      <c r="KG58" s="347" t="e">
        <v>#N/A</v>
      </c>
      <c r="KH58" s="347" t="e">
        <v>#N/A</v>
      </c>
      <c r="KI58" s="347" t="e">
        <v>#N/A</v>
      </c>
      <c r="KJ58" s="347" t="e">
        <v>#N/A</v>
      </c>
      <c r="KK58" s="347" t="e">
        <v>#N/A</v>
      </c>
      <c r="KL58" s="347" t="e">
        <v>#N/A</v>
      </c>
      <c r="KM58" s="347" t="e">
        <v>#N/A</v>
      </c>
      <c r="KN58" s="347" t="e">
        <v>#N/A</v>
      </c>
    </row>
    <row r="59" spans="1:300" x14ac:dyDescent="0.15">
      <c r="A59" s="347">
        <v>5</v>
      </c>
      <c r="B59" s="347">
        <v>-0.39956291662558557</v>
      </c>
      <c r="C59" s="347">
        <v>7.5590684593314694E-2</v>
      </c>
      <c r="D59" s="347">
        <v>141.27364027000263</v>
      </c>
      <c r="E59" s="347">
        <v>0.70784613328346102</v>
      </c>
      <c r="F59" s="347">
        <v>0.70055915961157389</v>
      </c>
      <c r="G59" s="347">
        <v>144.14506208873391</v>
      </c>
      <c r="H59" s="347">
        <v>155.04108601276715</v>
      </c>
      <c r="I59" s="347">
        <v>0</v>
      </c>
      <c r="J59" s="347">
        <v>0.70468808971871355</v>
      </c>
      <c r="K59" s="347">
        <v>0</v>
      </c>
      <c r="L59" s="347">
        <v>0.77542298881691085</v>
      </c>
      <c r="M59" s="347">
        <v>165.11705226449465</v>
      </c>
      <c r="N59" s="347">
        <v>2.0754998817479033</v>
      </c>
      <c r="O59" s="347">
        <v>0</v>
      </c>
      <c r="P59" s="347">
        <v>0</v>
      </c>
      <c r="Q59" s="347">
        <v>0</v>
      </c>
      <c r="R59" s="347">
        <v>0</v>
      </c>
      <c r="S59" s="347">
        <v>0</v>
      </c>
      <c r="T59" s="347">
        <v>11.618342427282837</v>
      </c>
      <c r="U59" s="347">
        <v>0.11618342427282838</v>
      </c>
      <c r="V59" s="347">
        <v>0</v>
      </c>
      <c r="W59" s="347">
        <v>11.618342427282837</v>
      </c>
      <c r="X59" s="347">
        <v>0.11618342427282838</v>
      </c>
      <c r="Y59" s="347">
        <v>0</v>
      </c>
      <c r="Z59" s="347">
        <v>0</v>
      </c>
      <c r="AA59" s="347">
        <v>0</v>
      </c>
      <c r="AB59" s="347">
        <v>13.782656344741456</v>
      </c>
      <c r="AC59" s="347">
        <v>6.891328172370728</v>
      </c>
      <c r="AD59" s="347">
        <v>0</v>
      </c>
      <c r="AE59" s="347">
        <v>0</v>
      </c>
      <c r="AF59" s="347">
        <v>1.3872826597967309E-4</v>
      </c>
      <c r="AG59" s="347">
        <v>2.1729394065562882E-4</v>
      </c>
      <c r="AH59" s="347">
        <v>5.5850373618143701E-4</v>
      </c>
      <c r="AI59" s="347">
        <v>1.3161981587713411E-3</v>
      </c>
      <c r="AJ59" s="347">
        <v>2.3904142370581214E-3</v>
      </c>
      <c r="AK59" s="347">
        <v>0</v>
      </c>
      <c r="AL59" s="347">
        <v>0</v>
      </c>
      <c r="AM59" s="347">
        <v>0</v>
      </c>
      <c r="AN59" s="347">
        <v>0</v>
      </c>
      <c r="AO59" s="347">
        <v>0</v>
      </c>
      <c r="AP59" s="347">
        <v>0</v>
      </c>
      <c r="AQ59" s="347">
        <v>0</v>
      </c>
      <c r="AR59" s="347">
        <v>0</v>
      </c>
      <c r="AS59" s="347">
        <v>0</v>
      </c>
      <c r="AT59" s="347">
        <v>0</v>
      </c>
      <c r="AU59" s="347">
        <v>0</v>
      </c>
      <c r="AV59" s="347">
        <v>0</v>
      </c>
      <c r="AW59" s="347">
        <v>0</v>
      </c>
      <c r="AX59" s="347">
        <v>0</v>
      </c>
      <c r="AY59" s="347">
        <v>0</v>
      </c>
      <c r="AZ59" s="347">
        <v>0</v>
      </c>
      <c r="BA59" s="347">
        <v>0</v>
      </c>
      <c r="BB59" s="347">
        <v>0</v>
      </c>
      <c r="BC59" s="347">
        <v>0</v>
      </c>
      <c r="BD59" s="347">
        <v>0</v>
      </c>
      <c r="BE59" s="347">
        <v>0</v>
      </c>
      <c r="BF59" s="347">
        <v>0</v>
      </c>
      <c r="BG59" s="347">
        <v>0</v>
      </c>
      <c r="BH59" s="347">
        <v>0</v>
      </c>
      <c r="BI59" s="347">
        <v>0</v>
      </c>
      <c r="BJ59" s="347">
        <v>0</v>
      </c>
      <c r="BK59" s="347">
        <v>0</v>
      </c>
      <c r="BL59" s="347">
        <v>0</v>
      </c>
      <c r="BM59" s="347">
        <v>0</v>
      </c>
      <c r="BN59" s="347">
        <v>0</v>
      </c>
      <c r="BO59" s="347">
        <v>0</v>
      </c>
      <c r="BP59" s="347">
        <v>0</v>
      </c>
      <c r="BQ59" s="347">
        <v>0</v>
      </c>
      <c r="BR59" s="347">
        <v>0</v>
      </c>
      <c r="BS59" s="347">
        <v>0</v>
      </c>
      <c r="BT59" s="347">
        <v>4.6211383386462017E-3</v>
      </c>
      <c r="BU59" s="347">
        <v>0</v>
      </c>
      <c r="BV59" s="347">
        <v>8.8782766255904227E-2</v>
      </c>
      <c r="BW59" s="347">
        <v>4.6211383386462017E-3</v>
      </c>
      <c r="BX59" s="347">
        <v>4.4391383127952112E-3</v>
      </c>
      <c r="BY59" s="347">
        <v>0</v>
      </c>
      <c r="BZ59" s="347">
        <v>0</v>
      </c>
      <c r="CA59" s="347">
        <v>0</v>
      </c>
      <c r="CB59" s="347">
        <v>0</v>
      </c>
      <c r="CC59" s="347">
        <v>0</v>
      </c>
      <c r="CD59" s="347">
        <v>0</v>
      </c>
      <c r="CE59" s="347">
        <v>0</v>
      </c>
      <c r="CF59" s="347">
        <v>0</v>
      </c>
      <c r="CG59" s="347">
        <v>0</v>
      </c>
      <c r="CH59" s="347">
        <v>0</v>
      </c>
      <c r="CI59" s="347">
        <v>0</v>
      </c>
      <c r="CJ59" s="347">
        <v>0</v>
      </c>
      <c r="CK59" s="347">
        <v>0</v>
      </c>
      <c r="CL59" s="347">
        <v>0</v>
      </c>
      <c r="CM59" s="347">
        <v>7.5954410655356047E-2</v>
      </c>
      <c r="CN59" s="347">
        <v>0.71011215854508192</v>
      </c>
      <c r="CO59" s="347">
        <v>0</v>
      </c>
      <c r="CP59" s="347">
        <v>0</v>
      </c>
      <c r="CQ59" s="347">
        <v>130.52282647363782</v>
      </c>
      <c r="CR59" s="347">
        <v>6.526141323681891</v>
      </c>
      <c r="CS59" s="347">
        <v>16.82613952169266</v>
      </c>
      <c r="CT59" s="347">
        <v>140.82282467164859</v>
      </c>
      <c r="CU59" s="347">
        <v>0</v>
      </c>
      <c r="CV59" s="347">
        <v>10.515531906161323</v>
      </c>
      <c r="CW59" s="347">
        <v>13.738674774966036</v>
      </c>
      <c r="CX59" s="347">
        <v>1.2127103340563679</v>
      </c>
      <c r="CY59" s="347">
        <v>23.041496347070989</v>
      </c>
      <c r="CZ59" s="347">
        <v>0</v>
      </c>
      <c r="DA59" s="347">
        <v>2.083778215198731</v>
      </c>
      <c r="DB59" s="347">
        <v>2.083778215198731</v>
      </c>
      <c r="DC59" s="347">
        <v>0</v>
      </c>
      <c r="DD59" s="347">
        <v>1.4684136898658642</v>
      </c>
      <c r="DE59" s="347">
        <v>6.6519209510237252</v>
      </c>
      <c r="DF59" s="347">
        <v>8.3135616479425902</v>
      </c>
      <c r="DG59" s="347">
        <v>0</v>
      </c>
      <c r="DH59" s="347">
        <v>0</v>
      </c>
      <c r="DI59" s="347">
        <v>0.84889723383945759</v>
      </c>
      <c r="DJ59" s="347">
        <v>0.84889723383945759</v>
      </c>
      <c r="DK59" s="347">
        <v>0</v>
      </c>
      <c r="DL59" s="347">
        <v>0.4305801765033474</v>
      </c>
      <c r="DM59" s="347">
        <v>0.4305801765033474</v>
      </c>
      <c r="DN59" s="347">
        <v>11.948446255729888</v>
      </c>
      <c r="DO59" s="347">
        <v>0</v>
      </c>
      <c r="DP59" s="347">
        <v>128.40254166877421</v>
      </c>
      <c r="DQ59" s="347">
        <v>128.40254166877421</v>
      </c>
      <c r="DR59" s="347">
        <v>0</v>
      </c>
      <c r="DS59" s="347">
        <v>0</v>
      </c>
      <c r="DT59" s="347">
        <v>0</v>
      </c>
      <c r="DU59" s="347">
        <v>0</v>
      </c>
      <c r="DV59" s="347">
        <v>1.279477410342805</v>
      </c>
      <c r="DW59" s="347">
        <v>0.9016324921327179</v>
      </c>
      <c r="DX59" s="347">
        <v>1.6604725128080058</v>
      </c>
      <c r="DY59" s="347">
        <v>0</v>
      </c>
      <c r="DZ59" s="347">
        <v>96.771076889453084</v>
      </c>
      <c r="EA59" s="347">
        <v>68.193425313251439</v>
      </c>
      <c r="EB59" s="347">
        <v>305.20007953989193</v>
      </c>
      <c r="EC59" s="347">
        <v>0</v>
      </c>
      <c r="ED59" s="347">
        <v>0</v>
      </c>
      <c r="EE59" s="347">
        <v>7.9746368333571001</v>
      </c>
      <c r="EF59" s="347">
        <v>424.35424522600795</v>
      </c>
      <c r="EG59" s="347">
        <v>0</v>
      </c>
      <c r="EH59" s="347">
        <v>0</v>
      </c>
      <c r="EI59" s="347">
        <v>0</v>
      </c>
      <c r="EJ59" s="347">
        <v>0.63597687452192309</v>
      </c>
      <c r="EK59" s="347">
        <v>57.792432697187991</v>
      </c>
      <c r="EL59" s="347">
        <v>0</v>
      </c>
      <c r="EM59" s="347">
        <v>0.24962300740396809</v>
      </c>
      <c r="EN59" s="347">
        <v>45.881495253325568</v>
      </c>
      <c r="EO59" s="347">
        <v>0</v>
      </c>
      <c r="EP59" s="347">
        <v>0</v>
      </c>
      <c r="EQ59" s="347">
        <v>0</v>
      </c>
      <c r="ER59" s="347">
        <v>1.4127364027000262</v>
      </c>
      <c r="ES59" s="347">
        <v>0</v>
      </c>
      <c r="ET59" s="347">
        <v>0.89846768191250759</v>
      </c>
      <c r="EU59" s="347">
        <v>81.64547347190873</v>
      </c>
      <c r="EV59" s="347">
        <v>0</v>
      </c>
      <c r="EW59" s="347">
        <v>0.3526515095110439</v>
      </c>
      <c r="EX59" s="347">
        <v>64.818458554681484</v>
      </c>
      <c r="EY59" s="347">
        <v>0</v>
      </c>
      <c r="EZ59" s="347">
        <v>0</v>
      </c>
      <c r="FA59" s="347">
        <v>0</v>
      </c>
      <c r="FB59" s="347">
        <v>0</v>
      </c>
      <c r="FC59" s="347">
        <v>171.31994010376187</v>
      </c>
      <c r="FD59" s="347">
        <v>135.26263123161121</v>
      </c>
      <c r="FE59" s="347">
        <v>0</v>
      </c>
      <c r="FF59" s="347">
        <v>0</v>
      </c>
      <c r="FG59" s="347">
        <v>125.81722607551252</v>
      </c>
      <c r="FH59" s="347">
        <v>16.880004981174437</v>
      </c>
      <c r="FI59" s="347">
        <v>2.3985360487927165</v>
      </c>
      <c r="FJ59" s="347">
        <v>1.2165925792545627</v>
      </c>
      <c r="FK59" s="347">
        <v>0</v>
      </c>
      <c r="FL59" s="347">
        <v>146.31235968473425</v>
      </c>
      <c r="FM59" s="347">
        <v>0</v>
      </c>
      <c r="FN59" s="347">
        <v>0</v>
      </c>
      <c r="FO59" s="347">
        <v>12.474049681378222</v>
      </c>
      <c r="FP59" s="347">
        <v>-5.5117232207367151</v>
      </c>
      <c r="FQ59" s="347">
        <v>0</v>
      </c>
      <c r="FR59" s="347">
        <v>0</v>
      </c>
      <c r="FS59" s="347">
        <v>0</v>
      </c>
      <c r="FT59" s="347">
        <v>0</v>
      </c>
      <c r="FU59" s="347">
        <v>-0.78856716387085224</v>
      </c>
      <c r="FV59" s="347">
        <v>11.62841332786663</v>
      </c>
      <c r="FW59" s="347">
        <v>0</v>
      </c>
      <c r="FX59" s="347">
        <v>-1.3536406209526337</v>
      </c>
      <c r="FY59" s="347">
        <v>-5.7922861171665421</v>
      </c>
      <c r="FZ59" s="347">
        <v>0</v>
      </c>
      <c r="GA59" s="347">
        <v>0</v>
      </c>
      <c r="GB59" s="347">
        <v>0</v>
      </c>
      <c r="GC59" s="347">
        <v>0</v>
      </c>
      <c r="GD59" s="347">
        <v>23.31227539332582</v>
      </c>
      <c r="GE59" s="347">
        <v>-11.612192077549537</v>
      </c>
      <c r="GF59" s="347">
        <v>0</v>
      </c>
      <c r="GG59" s="347" t="str">
        <v/>
      </c>
      <c r="GH59" s="347" t="str">
        <v/>
      </c>
      <c r="GI59" s="347">
        <v>0</v>
      </c>
      <c r="GJ59" s="347">
        <v>0</v>
      </c>
      <c r="GK59" s="347">
        <v>0</v>
      </c>
      <c r="GL59" s="347">
        <v>0</v>
      </c>
      <c r="GM59" s="347">
        <v>0</v>
      </c>
      <c r="GN59" s="347">
        <v>2.083778215198731</v>
      </c>
      <c r="GO59" s="347">
        <v>2.0754998817479033</v>
      </c>
      <c r="GP59" s="347">
        <v>0</v>
      </c>
      <c r="GQ59" s="347">
        <v>0</v>
      </c>
      <c r="GR59" s="347">
        <v>128.40254166877421</v>
      </c>
      <c r="GS59" s="347">
        <v>7.5954410655356046</v>
      </c>
      <c r="GT59" s="347">
        <v>2.083778215198731</v>
      </c>
      <c r="GU59" s="347">
        <v>0</v>
      </c>
      <c r="GV59" s="347">
        <v>144.14506208873391</v>
      </c>
      <c r="GW59" s="347">
        <v>7.5590684593314696</v>
      </c>
      <c r="GX59" s="347">
        <v>2.0754998817479033</v>
      </c>
      <c r="GY59" s="347">
        <v>0</v>
      </c>
      <c r="GZ59" s="347">
        <v>0</v>
      </c>
      <c r="HA59" s="347">
        <v>0</v>
      </c>
      <c r="HB59" s="347" t="e">
        <v>#N/A</v>
      </c>
      <c r="HC59" s="347" t="e">
        <v>#N/A</v>
      </c>
      <c r="HD59" s="347" t="e">
        <v>#N/A</v>
      </c>
      <c r="HE59" s="347" t="e">
        <v>#N/A</v>
      </c>
      <c r="HF59" s="347" t="e">
        <v>#N/A</v>
      </c>
      <c r="HG59" s="347" t="e">
        <v>#N/A</v>
      </c>
      <c r="HH59" s="347" t="e">
        <v>#N/A</v>
      </c>
      <c r="HI59" s="347" t="e">
        <v>#N/A</v>
      </c>
      <c r="HJ59" s="347" t="e">
        <v>#N/A</v>
      </c>
      <c r="HK59" s="347" t="e">
        <v>#N/A</v>
      </c>
      <c r="HL59" s="347" t="e">
        <v>#N/A</v>
      </c>
      <c r="HM59" s="347" t="e">
        <v>#N/A</v>
      </c>
      <c r="HN59" s="347" t="e">
        <v>#N/A</v>
      </c>
      <c r="HO59" s="347" t="e">
        <v>#N/A</v>
      </c>
      <c r="HP59" s="347" t="e">
        <v>#N/A</v>
      </c>
      <c r="HQ59" s="347" t="e">
        <v>#N/A</v>
      </c>
      <c r="HR59" s="347" t="e">
        <v>#N/A</v>
      </c>
      <c r="HS59" s="347" t="e">
        <v>#N/A</v>
      </c>
      <c r="HT59" s="347" t="e">
        <v>#N/A</v>
      </c>
      <c r="HU59" s="347" t="e">
        <v>#N/A</v>
      </c>
      <c r="HV59" s="347" t="e">
        <v>#N/A</v>
      </c>
      <c r="HW59" s="347" t="e">
        <v>#N/A</v>
      </c>
      <c r="HX59" s="347" t="e">
        <v>#N/A</v>
      </c>
      <c r="HY59" s="347" t="e">
        <v>#N/A</v>
      </c>
      <c r="HZ59" s="347" t="e">
        <v>#N/A</v>
      </c>
      <c r="IA59" s="347" t="e">
        <v>#N/A</v>
      </c>
      <c r="IB59" s="347" t="e">
        <v>#N/A</v>
      </c>
      <c r="IC59" s="347" t="e">
        <v>#N/A</v>
      </c>
      <c r="ID59" s="347" t="e">
        <v>#N/A</v>
      </c>
      <c r="IE59" s="347" t="e">
        <v>#N/A</v>
      </c>
      <c r="IF59" s="347" t="e">
        <v>#N/A</v>
      </c>
      <c r="IG59" s="347" t="e">
        <v>#N/A</v>
      </c>
      <c r="IH59" s="347" t="e">
        <v>#N/A</v>
      </c>
      <c r="II59" s="347" t="e">
        <v>#N/A</v>
      </c>
      <c r="IJ59" s="347" t="e">
        <v>#N/A</v>
      </c>
      <c r="IK59" s="347" t="e">
        <v>#N/A</v>
      </c>
      <c r="IL59" s="347" t="e">
        <v>#N/A</v>
      </c>
      <c r="IM59" s="347" t="e">
        <v>#N/A</v>
      </c>
      <c r="IN59" s="347" t="e">
        <v>#N/A</v>
      </c>
      <c r="IO59" s="347" t="e">
        <v>#N/A</v>
      </c>
      <c r="IP59" s="347" t="e">
        <v>#N/A</v>
      </c>
      <c r="IQ59" s="347" t="e">
        <v>#N/A</v>
      </c>
      <c r="IR59" s="347" t="e">
        <v>#N/A</v>
      </c>
      <c r="IS59" s="347" t="e">
        <v>#N/A</v>
      </c>
      <c r="IT59" s="347" t="e">
        <v>#N/A</v>
      </c>
      <c r="IU59" s="347" t="e">
        <v>#N/A</v>
      </c>
      <c r="IV59" s="347" t="e">
        <v>#N/A</v>
      </c>
      <c r="IW59" s="347" t="e">
        <v>#N/A</v>
      </c>
      <c r="IX59" s="347" t="e">
        <v>#N/A</v>
      </c>
      <c r="IY59" s="347" t="e">
        <v>#N/A</v>
      </c>
      <c r="IZ59" s="347" t="e">
        <v>#N/A</v>
      </c>
      <c r="JA59" s="347" t="e">
        <v>#N/A</v>
      </c>
      <c r="JB59" s="347" t="e">
        <v>#N/A</v>
      </c>
      <c r="JC59" s="347" t="e">
        <v>#N/A</v>
      </c>
      <c r="JD59" s="347" t="e">
        <v>#N/A</v>
      </c>
      <c r="JE59" s="347" t="e">
        <v>#N/A</v>
      </c>
      <c r="JF59" s="347" t="e">
        <v>#N/A</v>
      </c>
      <c r="JG59" s="347" t="e">
        <v>#N/A</v>
      </c>
      <c r="JH59" s="347" t="e">
        <v>#N/A</v>
      </c>
      <c r="JI59" s="347" t="e">
        <v>#N/A</v>
      </c>
      <c r="JJ59" s="347" t="e">
        <v>#N/A</v>
      </c>
      <c r="JK59" s="347" t="e">
        <v>#N/A</v>
      </c>
      <c r="JL59" s="347" t="e">
        <v>#N/A</v>
      </c>
      <c r="JM59" s="347" t="e">
        <v>#N/A</v>
      </c>
      <c r="JN59" s="347" t="e">
        <v>#N/A</v>
      </c>
      <c r="JO59" s="347" t="e">
        <v>#N/A</v>
      </c>
      <c r="JP59" s="347" t="e">
        <v>#N/A</v>
      </c>
      <c r="JQ59" s="347" t="e">
        <v>#N/A</v>
      </c>
      <c r="JR59" s="347" t="e">
        <v>#N/A</v>
      </c>
      <c r="JS59" s="347" t="e">
        <v>#N/A</v>
      </c>
      <c r="JT59" s="347" t="e">
        <v>#N/A</v>
      </c>
      <c r="JU59" s="347" t="e">
        <v>#N/A</v>
      </c>
      <c r="JV59" s="347" t="e">
        <v>#N/A</v>
      </c>
      <c r="JW59" s="347" t="e">
        <v>#N/A</v>
      </c>
      <c r="JX59" s="347" t="e">
        <v>#N/A</v>
      </c>
      <c r="JY59" s="347" t="e">
        <v>#N/A</v>
      </c>
      <c r="JZ59" s="347" t="e">
        <v>#N/A</v>
      </c>
      <c r="KA59" s="347" t="e">
        <v>#N/A</v>
      </c>
      <c r="KB59" s="347" t="e">
        <v>#N/A</v>
      </c>
      <c r="KC59" s="347" t="e">
        <v>#N/A</v>
      </c>
      <c r="KD59" s="347" t="e">
        <v>#N/A</v>
      </c>
      <c r="KE59" s="347" t="e">
        <v>#N/A</v>
      </c>
      <c r="KF59" s="347" t="e">
        <v>#N/A</v>
      </c>
      <c r="KG59" s="347" t="e">
        <v>#N/A</v>
      </c>
      <c r="KH59" s="347" t="e">
        <v>#N/A</v>
      </c>
      <c r="KI59" s="347" t="e">
        <v>#N/A</v>
      </c>
      <c r="KJ59" s="347" t="e">
        <v>#N/A</v>
      </c>
      <c r="KK59" s="347" t="e">
        <v>#N/A</v>
      </c>
      <c r="KL59" s="347" t="e">
        <v>#N/A</v>
      </c>
      <c r="KM59" s="347" t="e">
        <v>#N/A</v>
      </c>
      <c r="KN59" s="347" t="e">
        <v>#N/A</v>
      </c>
    </row>
    <row r="60" spans="1:300" x14ac:dyDescent="0.15">
      <c r="A60" s="347">
        <v>6</v>
      </c>
      <c r="B60" s="347">
        <v>-0.49243925065747313</v>
      </c>
      <c r="C60" s="347">
        <v>7.6503068255899837E-2</v>
      </c>
      <c r="D60" s="347">
        <v>152.50567203408275</v>
      </c>
      <c r="E60" s="347">
        <v>0.65571331653586962</v>
      </c>
      <c r="F60" s="347">
        <v>-0.66824434099170593</v>
      </c>
      <c r="G60" s="347">
        <v>146.37296967023218</v>
      </c>
      <c r="H60" s="347">
        <v>157.5709509597327</v>
      </c>
      <c r="I60" s="347">
        <v>0</v>
      </c>
      <c r="J60" s="347">
        <v>0.65704681981505697</v>
      </c>
      <c r="K60" s="347">
        <v>0</v>
      </c>
      <c r="L60" s="347">
        <v>-0.76343133940891794</v>
      </c>
      <c r="M60" s="347">
        <v>164.56435176882752</v>
      </c>
      <c r="N60" s="347">
        <v>2.436336555314826</v>
      </c>
      <c r="O60" s="347">
        <v>0</v>
      </c>
      <c r="P60" s="347">
        <v>0</v>
      </c>
      <c r="Q60" s="347">
        <v>0</v>
      </c>
      <c r="R60" s="347">
        <v>0</v>
      </c>
      <c r="S60" s="347">
        <v>0</v>
      </c>
      <c r="T60" s="347">
        <v>11.972173631218109</v>
      </c>
      <c r="U60" s="347">
        <v>0.1197217363121811</v>
      </c>
      <c r="V60" s="347">
        <v>0</v>
      </c>
      <c r="W60" s="347">
        <v>11.972173631218109</v>
      </c>
      <c r="X60" s="347">
        <v>0.1197217363121811</v>
      </c>
      <c r="Y60" s="347">
        <v>0</v>
      </c>
      <c r="Z60" s="347">
        <v>0</v>
      </c>
      <c r="AA60" s="347">
        <v>0</v>
      </c>
      <c r="AB60" s="347">
        <v>18.675844597293771</v>
      </c>
      <c r="AC60" s="347">
        <v>9.3379222986468857</v>
      </c>
      <c r="AD60" s="347">
        <v>0</v>
      </c>
      <c r="AE60" s="347">
        <v>0</v>
      </c>
      <c r="AF60" s="347">
        <v>1.3872826597967309E-4</v>
      </c>
      <c r="AG60" s="347">
        <v>2.1729394065562882E-4</v>
      </c>
      <c r="AH60" s="347">
        <v>5.5850373618143701E-4</v>
      </c>
      <c r="AI60" s="347">
        <v>1.3161981587713411E-3</v>
      </c>
      <c r="AJ60" s="347">
        <v>2.3904142370581214E-3</v>
      </c>
      <c r="AK60" s="347">
        <v>3.1897700510157565E-3</v>
      </c>
      <c r="AL60" s="347">
        <v>0</v>
      </c>
      <c r="AM60" s="347">
        <v>0</v>
      </c>
      <c r="AN60" s="347">
        <v>0</v>
      </c>
      <c r="AO60" s="347">
        <v>0</v>
      </c>
      <c r="AP60" s="347">
        <v>0</v>
      </c>
      <c r="AQ60" s="347">
        <v>0</v>
      </c>
      <c r="AR60" s="347">
        <v>0</v>
      </c>
      <c r="AS60" s="347">
        <v>0</v>
      </c>
      <c r="AT60" s="347">
        <v>0</v>
      </c>
      <c r="AU60" s="347">
        <v>0</v>
      </c>
      <c r="AV60" s="347">
        <v>0</v>
      </c>
      <c r="AW60" s="347">
        <v>0</v>
      </c>
      <c r="AX60" s="347">
        <v>0</v>
      </c>
      <c r="AY60" s="347">
        <v>0</v>
      </c>
      <c r="AZ60" s="347">
        <v>0</v>
      </c>
      <c r="BA60" s="347">
        <v>0</v>
      </c>
      <c r="BB60" s="347">
        <v>0</v>
      </c>
      <c r="BC60" s="347">
        <v>0</v>
      </c>
      <c r="BD60" s="347">
        <v>0</v>
      </c>
      <c r="BE60" s="347">
        <v>0</v>
      </c>
      <c r="BF60" s="347">
        <v>0</v>
      </c>
      <c r="BG60" s="347">
        <v>0</v>
      </c>
      <c r="BH60" s="347">
        <v>0</v>
      </c>
      <c r="BI60" s="347">
        <v>0</v>
      </c>
      <c r="BJ60" s="347">
        <v>0</v>
      </c>
      <c r="BK60" s="347">
        <v>0</v>
      </c>
      <c r="BL60" s="347">
        <v>0</v>
      </c>
      <c r="BM60" s="347">
        <v>0</v>
      </c>
      <c r="BN60" s="347">
        <v>0</v>
      </c>
      <c r="BO60" s="347">
        <v>0</v>
      </c>
      <c r="BP60" s="347">
        <v>0</v>
      </c>
      <c r="BQ60" s="347">
        <v>0</v>
      </c>
      <c r="BR60" s="347">
        <v>0</v>
      </c>
      <c r="BS60" s="347">
        <v>0</v>
      </c>
      <c r="BT60" s="347">
        <v>7.8109083896619582E-3</v>
      </c>
      <c r="BU60" s="347">
        <v>0</v>
      </c>
      <c r="BV60" s="347">
        <v>0.14795702893757315</v>
      </c>
      <c r="BW60" s="347">
        <v>7.8109083896619582E-3</v>
      </c>
      <c r="BX60" s="347">
        <v>7.3978514468786578E-3</v>
      </c>
      <c r="BY60" s="347">
        <v>0</v>
      </c>
      <c r="BZ60" s="347">
        <v>0</v>
      </c>
      <c r="CA60" s="347">
        <v>0</v>
      </c>
      <c r="CB60" s="347">
        <v>0.2030606826864659</v>
      </c>
      <c r="CC60" s="347">
        <v>1.0153034134323296E-2</v>
      </c>
      <c r="CD60" s="347">
        <v>1.0153034134323296E-2</v>
      </c>
      <c r="CE60" s="347">
        <v>0</v>
      </c>
      <c r="CF60" s="347">
        <v>0.2030606826864659</v>
      </c>
      <c r="CG60" s="347">
        <v>1.0153034134323296E-2</v>
      </c>
      <c r="CH60" s="347">
        <v>1.0153034134323296E-2</v>
      </c>
      <c r="CI60" s="347">
        <v>0</v>
      </c>
      <c r="CJ60" s="347">
        <v>0</v>
      </c>
      <c r="CK60" s="347">
        <v>0</v>
      </c>
      <c r="CL60" s="347">
        <v>0</v>
      </c>
      <c r="CM60" s="347">
        <v>7.6503068255899837E-2</v>
      </c>
      <c r="CN60" s="347">
        <v>0.65781244920013815</v>
      </c>
      <c r="CO60" s="347">
        <v>0</v>
      </c>
      <c r="CP60" s="347">
        <v>0</v>
      </c>
      <c r="CQ60" s="347">
        <v>140.82282467164859</v>
      </c>
      <c r="CR60" s="347">
        <v>7.0411412335824295</v>
      </c>
      <c r="CS60" s="347">
        <v>18.237330676966501</v>
      </c>
      <c r="CT60" s="347">
        <v>152.01901411503266</v>
      </c>
      <c r="CU60" s="347">
        <v>0</v>
      </c>
      <c r="CV60" s="347">
        <v>23.041496347070989</v>
      </c>
      <c r="CW60" s="347">
        <v>18.616248468526901</v>
      </c>
      <c r="CX60" s="347">
        <v>2.0828872407798946</v>
      </c>
      <c r="CY60" s="347">
        <v>39.574857574817997</v>
      </c>
      <c r="CZ60" s="347">
        <v>0</v>
      </c>
      <c r="DA60" s="347">
        <v>2.5038488888808801</v>
      </c>
      <c r="DB60" s="347">
        <v>2.436336555314826</v>
      </c>
      <c r="DC60" s="347">
        <v>0</v>
      </c>
      <c r="DD60" s="347">
        <v>1.600787185668777</v>
      </c>
      <c r="DE60" s="347">
        <v>1.600787185668777</v>
      </c>
      <c r="DF60" s="347">
        <v>0</v>
      </c>
      <c r="DG60" s="347">
        <v>0</v>
      </c>
      <c r="DH60" s="347">
        <v>0</v>
      </c>
      <c r="DI60" s="347">
        <v>1.4580210685459265</v>
      </c>
      <c r="DJ60" s="347">
        <v>1.4580210685459265</v>
      </c>
      <c r="DK60" s="347">
        <v>0</v>
      </c>
      <c r="DL60" s="347">
        <v>0.68507457863257015</v>
      </c>
      <c r="DM60" s="347">
        <v>0.68507457863257015</v>
      </c>
      <c r="DN60" s="347">
        <v>11.996743159488148</v>
      </c>
      <c r="DO60" s="347">
        <v>0</v>
      </c>
      <c r="DP60" s="347">
        <v>134.98588075760037</v>
      </c>
      <c r="DQ60" s="347">
        <v>146.37296967023218</v>
      </c>
      <c r="DR60" s="347">
        <v>0</v>
      </c>
      <c r="DS60" s="347">
        <v>0</v>
      </c>
      <c r="DT60" s="347">
        <v>0</v>
      </c>
      <c r="DU60" s="347">
        <v>0</v>
      </c>
      <c r="DV60" s="347">
        <v>2.1430956471784968</v>
      </c>
      <c r="DW60" s="347">
        <v>1.4081141795381227</v>
      </c>
      <c r="DX60" s="347">
        <v>1.4081141795381227</v>
      </c>
      <c r="DY60" s="347">
        <v>0</v>
      </c>
      <c r="DZ60" s="347">
        <v>117.72126490221734</v>
      </c>
      <c r="EA60" s="347">
        <v>77.348382728607788</v>
      </c>
      <c r="EB60" s="347">
        <v>77.348382728607788</v>
      </c>
      <c r="EC60" s="347">
        <v>0</v>
      </c>
      <c r="ED60" s="347">
        <v>0</v>
      </c>
      <c r="EE60" s="347">
        <v>0</v>
      </c>
      <c r="EF60" s="347">
        <v>0</v>
      </c>
      <c r="EG60" s="347">
        <v>0</v>
      </c>
      <c r="EH60" s="347">
        <v>0</v>
      </c>
      <c r="EI60" s="347">
        <v>0</v>
      </c>
      <c r="EJ60" s="347">
        <v>0.63597687452192309</v>
      </c>
      <c r="EK60" s="347">
        <v>57.792432697187991</v>
      </c>
      <c r="EL60" s="347">
        <v>0</v>
      </c>
      <c r="EM60" s="347">
        <v>0.95923229670530363</v>
      </c>
      <c r="EN60" s="347">
        <v>51.043615624240374</v>
      </c>
      <c r="EO60" s="347">
        <v>0</v>
      </c>
      <c r="EP60" s="347">
        <v>0</v>
      </c>
      <c r="EQ60" s="347">
        <v>0</v>
      </c>
      <c r="ER60" s="347">
        <v>1.5250567203408272</v>
      </c>
      <c r="ES60" s="347">
        <v>0</v>
      </c>
      <c r="ET60" s="347">
        <v>0.96990080647101384</v>
      </c>
      <c r="EU60" s="347">
        <v>88.136737869691501</v>
      </c>
      <c r="EV60" s="347">
        <v>0</v>
      </c>
      <c r="EW60" s="347">
        <v>1.4628836604583897</v>
      </c>
      <c r="EX60" s="347">
        <v>77.844409038241835</v>
      </c>
      <c r="EY60" s="347">
        <v>0</v>
      </c>
      <c r="EZ60" s="347">
        <v>0</v>
      </c>
      <c r="FA60" s="347">
        <v>0</v>
      </c>
      <c r="FB60" s="347">
        <v>0</v>
      </c>
      <c r="FC60" s="347">
        <v>217.09376112796463</v>
      </c>
      <c r="FD60" s="347">
        <v>193.21925630489594</v>
      </c>
      <c r="FE60" s="347">
        <v>0</v>
      </c>
      <c r="FF60" s="347">
        <v>0</v>
      </c>
      <c r="FG60" s="347">
        <v>157.96754996950634</v>
      </c>
      <c r="FH60" s="347">
        <v>18.295713777580247</v>
      </c>
      <c r="FI60" s="347">
        <v>4.4471296579689579</v>
      </c>
      <c r="FJ60" s="347">
        <v>2.0895551801565233</v>
      </c>
      <c r="FK60" s="347">
        <v>0</v>
      </c>
      <c r="FL60" s="347">
        <v>182.79994858521206</v>
      </c>
      <c r="FM60" s="347">
        <v>0</v>
      </c>
      <c r="FN60" s="347">
        <v>0</v>
      </c>
      <c r="FO60" s="347">
        <v>14.774952413254228</v>
      </c>
      <c r="FP60" s="347">
        <v>4.4889956619861255</v>
      </c>
      <c r="FQ60" s="347">
        <v>0</v>
      </c>
      <c r="FR60" s="347">
        <v>0</v>
      </c>
      <c r="FS60" s="347">
        <v>0</v>
      </c>
      <c r="FT60" s="347">
        <v>0</v>
      </c>
      <c r="FU60" s="347">
        <v>-1.0022337594576045</v>
      </c>
      <c r="FV60" s="347">
        <v>14.552819750640115</v>
      </c>
      <c r="FW60" s="347">
        <v>0</v>
      </c>
      <c r="FX60" s="347">
        <v>-0.48477062192849829</v>
      </c>
      <c r="FY60" s="347">
        <v>3.7493998618429174</v>
      </c>
      <c r="FZ60" s="347">
        <v>0</v>
      </c>
      <c r="GA60" s="347">
        <v>0</v>
      </c>
      <c r="GB60" s="347">
        <v>0</v>
      </c>
      <c r="GC60" s="347">
        <v>0</v>
      </c>
      <c r="GD60" s="347">
        <v>33.788378407585611</v>
      </c>
      <c r="GE60" s="347">
        <v>8.7128014362040744</v>
      </c>
      <c r="GF60" s="347">
        <v>0</v>
      </c>
      <c r="GG60" s="347">
        <v>3327.9094663299506</v>
      </c>
      <c r="GH60" s="347">
        <v>858.14755677316418</v>
      </c>
      <c r="GI60" s="347">
        <v>0</v>
      </c>
      <c r="GJ60" s="347">
        <v>0</v>
      </c>
      <c r="GK60" s="347">
        <v>0</v>
      </c>
      <c r="GL60" s="347">
        <v>0</v>
      </c>
      <c r="GM60" s="347">
        <v>0</v>
      </c>
      <c r="GN60" s="347">
        <v>2.5038488888808801</v>
      </c>
      <c r="GO60" s="347">
        <v>2.436336555314826</v>
      </c>
      <c r="GP60" s="347">
        <v>0</v>
      </c>
      <c r="GQ60" s="347">
        <v>0</v>
      </c>
      <c r="GR60" s="347">
        <v>134.98588075760037</v>
      </c>
      <c r="GS60" s="347">
        <v>7.750645686095309</v>
      </c>
      <c r="GT60" s="347">
        <v>2.5038488888808801</v>
      </c>
      <c r="GU60" s="347">
        <v>0</v>
      </c>
      <c r="GV60" s="347">
        <v>146.37296967023218</v>
      </c>
      <c r="GW60" s="347">
        <v>7.6503068255899835</v>
      </c>
      <c r="GX60" s="347">
        <v>2.436336555314826</v>
      </c>
      <c r="GY60" s="347">
        <v>0</v>
      </c>
      <c r="GZ60" s="347">
        <v>0</v>
      </c>
      <c r="HA60" s="347">
        <v>0</v>
      </c>
      <c r="HB60" s="347" t="e">
        <v>#N/A</v>
      </c>
      <c r="HC60" s="347" t="e">
        <v>#N/A</v>
      </c>
      <c r="HD60" s="347" t="e">
        <v>#N/A</v>
      </c>
      <c r="HE60" s="347" t="e">
        <v>#N/A</v>
      </c>
      <c r="HF60" s="347" t="e">
        <v>#N/A</v>
      </c>
      <c r="HG60" s="347" t="e">
        <v>#N/A</v>
      </c>
      <c r="HH60" s="347" t="e">
        <v>#N/A</v>
      </c>
      <c r="HI60" s="347" t="e">
        <v>#N/A</v>
      </c>
      <c r="HJ60" s="347" t="e">
        <v>#N/A</v>
      </c>
      <c r="HK60" s="347" t="e">
        <v>#N/A</v>
      </c>
      <c r="HL60" s="347" t="e">
        <v>#N/A</v>
      </c>
      <c r="HM60" s="347" t="e">
        <v>#N/A</v>
      </c>
      <c r="HN60" s="347" t="e">
        <v>#N/A</v>
      </c>
      <c r="HO60" s="347" t="e">
        <v>#N/A</v>
      </c>
      <c r="HP60" s="347" t="e">
        <v>#N/A</v>
      </c>
      <c r="HQ60" s="347" t="e">
        <v>#N/A</v>
      </c>
      <c r="HR60" s="347" t="e">
        <v>#N/A</v>
      </c>
      <c r="HS60" s="347" t="e">
        <v>#N/A</v>
      </c>
      <c r="HT60" s="347" t="e">
        <v>#N/A</v>
      </c>
      <c r="HU60" s="347" t="e">
        <v>#N/A</v>
      </c>
      <c r="HV60" s="347" t="e">
        <v>#N/A</v>
      </c>
      <c r="HW60" s="347" t="e">
        <v>#N/A</v>
      </c>
      <c r="HX60" s="347" t="e">
        <v>#N/A</v>
      </c>
      <c r="HY60" s="347" t="e">
        <v>#N/A</v>
      </c>
      <c r="HZ60" s="347" t="e">
        <v>#N/A</v>
      </c>
      <c r="IA60" s="347" t="e">
        <v>#N/A</v>
      </c>
      <c r="IB60" s="347" t="e">
        <v>#N/A</v>
      </c>
      <c r="IC60" s="347" t="e">
        <v>#N/A</v>
      </c>
      <c r="ID60" s="347" t="e">
        <v>#N/A</v>
      </c>
      <c r="IE60" s="347" t="e">
        <v>#N/A</v>
      </c>
      <c r="IF60" s="347" t="e">
        <v>#N/A</v>
      </c>
      <c r="IG60" s="347" t="e">
        <v>#N/A</v>
      </c>
      <c r="IH60" s="347" t="e">
        <v>#N/A</v>
      </c>
      <c r="II60" s="347" t="e">
        <v>#N/A</v>
      </c>
      <c r="IJ60" s="347" t="e">
        <v>#N/A</v>
      </c>
      <c r="IK60" s="347" t="e">
        <v>#N/A</v>
      </c>
      <c r="IL60" s="347" t="e">
        <v>#N/A</v>
      </c>
      <c r="IM60" s="347" t="e">
        <v>#N/A</v>
      </c>
      <c r="IN60" s="347" t="e">
        <v>#N/A</v>
      </c>
      <c r="IO60" s="347" t="e">
        <v>#N/A</v>
      </c>
      <c r="IP60" s="347" t="e">
        <v>#N/A</v>
      </c>
      <c r="IQ60" s="347" t="e">
        <v>#N/A</v>
      </c>
      <c r="IR60" s="347" t="e">
        <v>#N/A</v>
      </c>
      <c r="IS60" s="347" t="e">
        <v>#N/A</v>
      </c>
      <c r="IT60" s="347" t="e">
        <v>#N/A</v>
      </c>
      <c r="IU60" s="347" t="e">
        <v>#N/A</v>
      </c>
      <c r="IV60" s="347" t="e">
        <v>#N/A</v>
      </c>
      <c r="IW60" s="347" t="e">
        <v>#N/A</v>
      </c>
      <c r="IX60" s="347" t="e">
        <v>#N/A</v>
      </c>
      <c r="IY60" s="347" t="e">
        <v>#N/A</v>
      </c>
      <c r="IZ60" s="347" t="e">
        <v>#N/A</v>
      </c>
      <c r="JA60" s="347" t="e">
        <v>#N/A</v>
      </c>
      <c r="JB60" s="347" t="e">
        <v>#N/A</v>
      </c>
      <c r="JC60" s="347" t="e">
        <v>#N/A</v>
      </c>
      <c r="JD60" s="347" t="e">
        <v>#N/A</v>
      </c>
      <c r="JE60" s="347" t="e">
        <v>#N/A</v>
      </c>
      <c r="JF60" s="347" t="e">
        <v>#N/A</v>
      </c>
      <c r="JG60" s="347" t="e">
        <v>#N/A</v>
      </c>
      <c r="JH60" s="347" t="e">
        <v>#N/A</v>
      </c>
      <c r="JI60" s="347" t="e">
        <v>#N/A</v>
      </c>
      <c r="JJ60" s="347" t="e">
        <v>#N/A</v>
      </c>
      <c r="JK60" s="347" t="e">
        <v>#N/A</v>
      </c>
      <c r="JL60" s="347" t="e">
        <v>#N/A</v>
      </c>
      <c r="JM60" s="347" t="e">
        <v>#N/A</v>
      </c>
      <c r="JN60" s="347" t="e">
        <v>#N/A</v>
      </c>
      <c r="JO60" s="347" t="e">
        <v>#N/A</v>
      </c>
      <c r="JP60" s="347" t="e">
        <v>#N/A</v>
      </c>
      <c r="JQ60" s="347" t="e">
        <v>#N/A</v>
      </c>
      <c r="JR60" s="347" t="e">
        <v>#N/A</v>
      </c>
      <c r="JS60" s="347" t="e">
        <v>#N/A</v>
      </c>
      <c r="JT60" s="347" t="e">
        <v>#N/A</v>
      </c>
      <c r="JU60" s="347" t="e">
        <v>#N/A</v>
      </c>
      <c r="JV60" s="347" t="e">
        <v>#N/A</v>
      </c>
      <c r="JW60" s="347" t="e">
        <v>#N/A</v>
      </c>
      <c r="JX60" s="347" t="e">
        <v>#N/A</v>
      </c>
      <c r="JY60" s="347" t="e">
        <v>#N/A</v>
      </c>
      <c r="JZ60" s="347" t="e">
        <v>#N/A</v>
      </c>
      <c r="KA60" s="347" t="e">
        <v>#N/A</v>
      </c>
      <c r="KB60" s="347" t="e">
        <v>#N/A</v>
      </c>
      <c r="KC60" s="347" t="e">
        <v>#N/A</v>
      </c>
      <c r="KD60" s="347" t="e">
        <v>#N/A</v>
      </c>
      <c r="KE60" s="347" t="e">
        <v>#N/A</v>
      </c>
      <c r="KF60" s="347" t="e">
        <v>#N/A</v>
      </c>
      <c r="KG60" s="347" t="e">
        <v>#N/A</v>
      </c>
      <c r="KH60" s="347" t="e">
        <v>#N/A</v>
      </c>
      <c r="KI60" s="347" t="e">
        <v>#N/A</v>
      </c>
      <c r="KJ60" s="347" t="e">
        <v>#N/A</v>
      </c>
      <c r="KK60" s="347" t="e">
        <v>#N/A</v>
      </c>
      <c r="KL60" s="347" t="e">
        <v>#N/A</v>
      </c>
      <c r="KM60" s="347" t="e">
        <v>#N/A</v>
      </c>
      <c r="KN60" s="347" t="e">
        <v>#N/A</v>
      </c>
    </row>
    <row r="61" spans="1:300" x14ac:dyDescent="0.15">
      <c r="A61" s="347">
        <v>7</v>
      </c>
      <c r="B61" s="347">
        <v>0.35235697506511576</v>
      </c>
      <c r="C61" s="347">
        <v>7.8387356574609643E-2</v>
      </c>
      <c r="D61" s="347">
        <v>164.94121630360021</v>
      </c>
      <c r="E61" s="347">
        <v>0.60627660108880421</v>
      </c>
      <c r="F61" s="347">
        <v>0.21695249592920099</v>
      </c>
      <c r="G61" s="347">
        <v>155.36164237109372</v>
      </c>
      <c r="H61" s="347">
        <v>167.54003082965363</v>
      </c>
      <c r="I61" s="347">
        <v>0</v>
      </c>
      <c r="J61" s="347">
        <v>0.61262639418441622</v>
      </c>
      <c r="K61" s="347">
        <v>0</v>
      </c>
      <c r="L61" s="347">
        <v>-0.65197044213778099</v>
      </c>
      <c r="M61" s="347">
        <v>164.56285205725655</v>
      </c>
      <c r="N61" s="347">
        <v>2.7293135736398333</v>
      </c>
      <c r="O61" s="347">
        <v>0</v>
      </c>
      <c r="P61" s="347">
        <v>0</v>
      </c>
      <c r="Q61" s="347">
        <v>0</v>
      </c>
      <c r="R61" s="347">
        <v>0</v>
      </c>
      <c r="S61" s="347">
        <v>0</v>
      </c>
      <c r="T61" s="347">
        <v>12.33678059956744</v>
      </c>
      <c r="U61" s="347">
        <v>0.12336780599567441</v>
      </c>
      <c r="V61" s="347">
        <v>0</v>
      </c>
      <c r="W61" s="347">
        <v>12.33678059956744</v>
      </c>
      <c r="X61" s="347">
        <v>0.12336780599567441</v>
      </c>
      <c r="Y61" s="347">
        <v>0</v>
      </c>
      <c r="Z61" s="347">
        <v>0</v>
      </c>
      <c r="AA61" s="347">
        <v>0</v>
      </c>
      <c r="AB61" s="347">
        <v>16.091665062579239</v>
      </c>
      <c r="AC61" s="347">
        <v>8.0458325312896193</v>
      </c>
      <c r="AD61" s="347">
        <v>0</v>
      </c>
      <c r="AE61" s="347">
        <v>0</v>
      </c>
      <c r="AF61" s="347">
        <v>1.3872826597967309E-4</v>
      </c>
      <c r="AG61" s="347">
        <v>2.1729394065562882E-4</v>
      </c>
      <c r="AH61" s="347">
        <v>5.5850373618143701E-4</v>
      </c>
      <c r="AI61" s="347">
        <v>1.3161981587713411E-3</v>
      </c>
      <c r="AJ61" s="347">
        <v>2.3904142370581214E-3</v>
      </c>
      <c r="AK61" s="347">
        <v>3.1897700510157565E-3</v>
      </c>
      <c r="AL61" s="347">
        <v>2.5893883485318416E-3</v>
      </c>
      <c r="AM61" s="347">
        <v>0</v>
      </c>
      <c r="AN61" s="347">
        <v>0</v>
      </c>
      <c r="AO61" s="347">
        <v>0</v>
      </c>
      <c r="AP61" s="347">
        <v>0</v>
      </c>
      <c r="AQ61" s="347">
        <v>0</v>
      </c>
      <c r="AR61" s="347">
        <v>0</v>
      </c>
      <c r="AS61" s="347">
        <v>0</v>
      </c>
      <c r="AT61" s="347">
        <v>0</v>
      </c>
      <c r="AU61" s="347">
        <v>0</v>
      </c>
      <c r="AV61" s="347">
        <v>0</v>
      </c>
      <c r="AW61" s="347">
        <v>0</v>
      </c>
      <c r="AX61" s="347">
        <v>0</v>
      </c>
      <c r="AY61" s="347">
        <v>0</v>
      </c>
      <c r="AZ61" s="347">
        <v>0</v>
      </c>
      <c r="BA61" s="347">
        <v>0</v>
      </c>
      <c r="BB61" s="347">
        <v>0</v>
      </c>
      <c r="BC61" s="347">
        <v>0</v>
      </c>
      <c r="BD61" s="347">
        <v>0</v>
      </c>
      <c r="BE61" s="347">
        <v>0</v>
      </c>
      <c r="BF61" s="347">
        <v>0</v>
      </c>
      <c r="BG61" s="347">
        <v>0</v>
      </c>
      <c r="BH61" s="347">
        <v>0</v>
      </c>
      <c r="BI61" s="347">
        <v>0</v>
      </c>
      <c r="BJ61" s="347">
        <v>0</v>
      </c>
      <c r="BK61" s="347">
        <v>0</v>
      </c>
      <c r="BL61" s="347">
        <v>0</v>
      </c>
      <c r="BM61" s="347">
        <v>0</v>
      </c>
      <c r="BN61" s="347">
        <v>0</v>
      </c>
      <c r="BO61" s="347">
        <v>0</v>
      </c>
      <c r="BP61" s="347">
        <v>0</v>
      </c>
      <c r="BQ61" s="347">
        <v>0</v>
      </c>
      <c r="BR61" s="347">
        <v>0</v>
      </c>
      <c r="BS61" s="347">
        <v>0</v>
      </c>
      <c r="BT61" s="347">
        <v>1.0400296738193799E-2</v>
      </c>
      <c r="BU61" s="347">
        <v>0</v>
      </c>
      <c r="BV61" s="347">
        <v>0.19193388751854804</v>
      </c>
      <c r="BW61" s="347">
        <v>1.0400296738193799E-2</v>
      </c>
      <c r="BX61" s="347">
        <v>9.5966943759274032E-3</v>
      </c>
      <c r="BY61" s="347">
        <v>0</v>
      </c>
      <c r="BZ61" s="347">
        <v>0</v>
      </c>
      <c r="CA61" s="347">
        <v>0</v>
      </c>
      <c r="CB61" s="347">
        <v>0.54234542181146617</v>
      </c>
      <c r="CC61" s="347">
        <v>2.7656097371720704E-2</v>
      </c>
      <c r="CD61" s="347">
        <v>2.7117271090573308E-2</v>
      </c>
      <c r="CE61" s="347">
        <v>0</v>
      </c>
      <c r="CF61" s="347">
        <v>0.54234542181146617</v>
      </c>
      <c r="CG61" s="347">
        <v>2.7656097371720704E-2</v>
      </c>
      <c r="CH61" s="347">
        <v>2.7117271090573308E-2</v>
      </c>
      <c r="CI61" s="347">
        <v>0</v>
      </c>
      <c r="CJ61" s="347">
        <v>0</v>
      </c>
      <c r="CK61" s="347">
        <v>0</v>
      </c>
      <c r="CL61" s="347">
        <v>0</v>
      </c>
      <c r="CM61" s="347">
        <v>7.785246075196911E-2</v>
      </c>
      <c r="CN61" s="347">
        <v>0.6085428921853111</v>
      </c>
      <c r="CO61" s="347">
        <v>0</v>
      </c>
      <c r="CP61" s="347">
        <v>0</v>
      </c>
      <c r="CQ61" s="347">
        <v>152.01901411503266</v>
      </c>
      <c r="CR61" s="347">
        <v>7.6009507057516332</v>
      </c>
      <c r="CS61" s="347">
        <v>19.90889083529898</v>
      </c>
      <c r="CT61" s="347">
        <v>164.32695424458001</v>
      </c>
      <c r="CU61" s="347">
        <v>0</v>
      </c>
      <c r="CV61" s="347">
        <v>39.574857574817997</v>
      </c>
      <c r="CW61" s="347">
        <v>16.031737656101225</v>
      </c>
      <c r="CX61" s="347">
        <v>2.7803297615459615</v>
      </c>
      <c r="CY61" s="347">
        <v>52.826265469373261</v>
      </c>
      <c r="CZ61" s="347">
        <v>0</v>
      </c>
      <c r="DA61" s="347">
        <v>2.8616341902584765</v>
      </c>
      <c r="DB61" s="347">
        <v>2.7844747407187294</v>
      </c>
      <c r="DC61" s="347">
        <v>0</v>
      </c>
      <c r="DD61" s="347">
        <v>1.7058427201041024</v>
      </c>
      <c r="DE61" s="347">
        <v>3.3066299057728794</v>
      </c>
      <c r="DF61" s="347">
        <v>0</v>
      </c>
      <c r="DG61" s="347">
        <v>0</v>
      </c>
      <c r="DH61" s="347">
        <v>0</v>
      </c>
      <c r="DI61" s="347">
        <v>1.9462308330821732</v>
      </c>
      <c r="DJ61" s="347">
        <v>1.9462308330821732</v>
      </c>
      <c r="DK61" s="347">
        <v>0</v>
      </c>
      <c r="DL61" s="347">
        <v>0.8459749571600379</v>
      </c>
      <c r="DM61" s="347">
        <v>0.8459749571600379</v>
      </c>
      <c r="DN61" s="347">
        <v>12.115414009114476</v>
      </c>
      <c r="DO61" s="347">
        <v>0</v>
      </c>
      <c r="DP61" s="347">
        <v>141.90675485932579</v>
      </c>
      <c r="DQ61" s="347">
        <v>153.87767230503951</v>
      </c>
      <c r="DR61" s="347">
        <v>0</v>
      </c>
      <c r="DS61" s="347">
        <v>0</v>
      </c>
      <c r="DT61" s="347">
        <v>0</v>
      </c>
      <c r="DU61" s="347">
        <v>0</v>
      </c>
      <c r="DV61" s="347">
        <v>2.7922057902422113</v>
      </c>
      <c r="DW61" s="347">
        <v>1.7105789650969343</v>
      </c>
      <c r="DX61" s="347">
        <v>3.1186931446350572</v>
      </c>
      <c r="DY61" s="347">
        <v>0</v>
      </c>
      <c r="DZ61" s="347">
        <v>136.1358602124503</v>
      </c>
      <c r="EA61" s="347">
        <v>83.400421161147165</v>
      </c>
      <c r="EB61" s="347">
        <v>160.74880388975495</v>
      </c>
      <c r="EC61" s="347">
        <v>0</v>
      </c>
      <c r="ED61" s="347">
        <v>0</v>
      </c>
      <c r="EE61" s="347">
        <v>0</v>
      </c>
      <c r="EF61" s="347">
        <v>0</v>
      </c>
      <c r="EG61" s="347">
        <v>0</v>
      </c>
      <c r="EH61" s="347">
        <v>0</v>
      </c>
      <c r="EI61" s="347">
        <v>0</v>
      </c>
      <c r="EJ61" s="347">
        <v>0.63597687452192309</v>
      </c>
      <c r="EK61" s="347">
        <v>57.792432697187991</v>
      </c>
      <c r="EL61" s="347">
        <v>0</v>
      </c>
      <c r="EM61" s="347">
        <v>0.95923229670530363</v>
      </c>
      <c r="EN61" s="347">
        <v>51.043615624240374</v>
      </c>
      <c r="EO61" s="347">
        <v>0</v>
      </c>
      <c r="EP61" s="347">
        <v>0</v>
      </c>
      <c r="EQ61" s="347">
        <v>0</v>
      </c>
      <c r="ER61" s="347">
        <v>1.6494121630360021</v>
      </c>
      <c r="ES61" s="347">
        <v>0</v>
      </c>
      <c r="ET61" s="347">
        <v>1.0489879922460812</v>
      </c>
      <c r="EU61" s="347">
        <v>95.323541422181421</v>
      </c>
      <c r="EV61" s="347">
        <v>0</v>
      </c>
      <c r="EW61" s="347">
        <v>1.582169417362687</v>
      </c>
      <c r="EX61" s="347">
        <v>84.19196045595659</v>
      </c>
      <c r="EY61" s="347">
        <v>0</v>
      </c>
      <c r="EZ61" s="347">
        <v>0</v>
      </c>
      <c r="FA61" s="347">
        <v>0</v>
      </c>
      <c r="FB61" s="347">
        <v>0</v>
      </c>
      <c r="FC61" s="347">
        <v>263.03085265680107</v>
      </c>
      <c r="FD61" s="347">
        <v>234.10449693039624</v>
      </c>
      <c r="FE61" s="347">
        <v>0</v>
      </c>
      <c r="FF61" s="347">
        <v>0</v>
      </c>
      <c r="FG61" s="347">
        <v>198.16917830030417</v>
      </c>
      <c r="FH61" s="347">
        <v>19.983311226850191</v>
      </c>
      <c r="FI61" s="347">
        <v>6.4202736163228558</v>
      </c>
      <c r="FJ61" s="347">
        <v>2.7907227679272548</v>
      </c>
      <c r="FK61" s="347">
        <v>0</v>
      </c>
      <c r="FL61" s="347">
        <v>227.36348591140447</v>
      </c>
      <c r="FM61" s="347">
        <v>0</v>
      </c>
      <c r="FN61" s="347">
        <v>0</v>
      </c>
      <c r="FO61" s="347">
        <v>13.247610736097462</v>
      </c>
      <c r="FP61" s="347">
        <v>2.5037533772765106</v>
      </c>
      <c r="FQ61" s="347">
        <v>0</v>
      </c>
      <c r="FR61" s="347">
        <v>0</v>
      </c>
      <c r="FS61" s="347">
        <v>0</v>
      </c>
      <c r="FT61" s="347">
        <v>0</v>
      </c>
      <c r="FU61" s="347">
        <v>-0.45115492115119338</v>
      </c>
      <c r="FV61" s="347">
        <v>14.090844072777056</v>
      </c>
      <c r="FW61" s="347">
        <v>0</v>
      </c>
      <c r="FX61" s="347">
        <v>8.9344156620571213E-2</v>
      </c>
      <c r="FY61" s="347">
        <v>2.8064876361843343</v>
      </c>
      <c r="FZ61" s="347">
        <v>0</v>
      </c>
      <c r="GA61" s="347">
        <v>0</v>
      </c>
      <c r="GB61" s="347">
        <v>0</v>
      </c>
      <c r="GC61" s="347">
        <v>0</v>
      </c>
      <c r="GD61" s="347">
        <v>37.964773600807746</v>
      </c>
      <c r="GE61" s="347">
        <v>7.5831985736195122</v>
      </c>
      <c r="GF61" s="347">
        <v>0</v>
      </c>
      <c r="GG61" s="347">
        <v>1400.0219075880877</v>
      </c>
      <c r="GH61" s="347">
        <v>279.64460539894208</v>
      </c>
      <c r="GI61" s="347">
        <v>0</v>
      </c>
      <c r="GJ61" s="347">
        <v>0</v>
      </c>
      <c r="GK61" s="347">
        <v>0</v>
      </c>
      <c r="GL61" s="347">
        <v>0</v>
      </c>
      <c r="GM61" s="347">
        <v>0</v>
      </c>
      <c r="GN61" s="347">
        <v>2.8616341902584765</v>
      </c>
      <c r="GO61" s="347">
        <v>2.7293135736398333</v>
      </c>
      <c r="GP61" s="347">
        <v>0</v>
      </c>
      <c r="GQ61" s="347">
        <v>0</v>
      </c>
      <c r="GR61" s="347">
        <v>141.90675485932579</v>
      </c>
      <c r="GS61" s="347">
        <v>7.8478834397158792</v>
      </c>
      <c r="GT61" s="347">
        <v>2.8616341902584765</v>
      </c>
      <c r="GU61" s="347">
        <v>0</v>
      </c>
      <c r="GV61" s="347">
        <v>155.36164237109372</v>
      </c>
      <c r="GW61" s="347">
        <v>7.8387356574609646</v>
      </c>
      <c r="GX61" s="347">
        <v>2.7293135736398333</v>
      </c>
      <c r="GY61" s="347">
        <v>0</v>
      </c>
      <c r="GZ61" s="347">
        <v>0</v>
      </c>
      <c r="HA61" s="347">
        <v>0</v>
      </c>
      <c r="HB61" s="347" t="e">
        <v>#N/A</v>
      </c>
      <c r="HC61" s="347" t="e">
        <v>#N/A</v>
      </c>
      <c r="HD61" s="347" t="e">
        <v>#N/A</v>
      </c>
      <c r="HE61" s="347" t="e">
        <v>#N/A</v>
      </c>
      <c r="HF61" s="347" t="e">
        <v>#N/A</v>
      </c>
      <c r="HG61" s="347" t="e">
        <v>#N/A</v>
      </c>
      <c r="HH61" s="347" t="e">
        <v>#N/A</v>
      </c>
      <c r="HI61" s="347" t="e">
        <v>#N/A</v>
      </c>
      <c r="HJ61" s="347" t="e">
        <v>#N/A</v>
      </c>
      <c r="HK61" s="347" t="e">
        <v>#N/A</v>
      </c>
      <c r="HL61" s="347" t="e">
        <v>#N/A</v>
      </c>
      <c r="HM61" s="347" t="e">
        <v>#N/A</v>
      </c>
      <c r="HN61" s="347" t="e">
        <v>#N/A</v>
      </c>
      <c r="HO61" s="347" t="e">
        <v>#N/A</v>
      </c>
      <c r="HP61" s="347" t="e">
        <v>#N/A</v>
      </c>
      <c r="HQ61" s="347" t="e">
        <v>#N/A</v>
      </c>
      <c r="HR61" s="347" t="e">
        <v>#N/A</v>
      </c>
      <c r="HS61" s="347" t="e">
        <v>#N/A</v>
      </c>
      <c r="HT61" s="347" t="e">
        <v>#N/A</v>
      </c>
      <c r="HU61" s="347" t="e">
        <v>#N/A</v>
      </c>
      <c r="HV61" s="347" t="e">
        <v>#N/A</v>
      </c>
      <c r="HW61" s="347" t="e">
        <v>#N/A</v>
      </c>
      <c r="HX61" s="347" t="e">
        <v>#N/A</v>
      </c>
      <c r="HY61" s="347" t="e">
        <v>#N/A</v>
      </c>
      <c r="HZ61" s="347" t="e">
        <v>#N/A</v>
      </c>
      <c r="IA61" s="347" t="e">
        <v>#N/A</v>
      </c>
      <c r="IB61" s="347" t="e">
        <v>#N/A</v>
      </c>
      <c r="IC61" s="347" t="e">
        <v>#N/A</v>
      </c>
      <c r="ID61" s="347" t="e">
        <v>#N/A</v>
      </c>
      <c r="IE61" s="347" t="e">
        <v>#N/A</v>
      </c>
      <c r="IF61" s="347" t="e">
        <v>#N/A</v>
      </c>
      <c r="IG61" s="347" t="e">
        <v>#N/A</v>
      </c>
      <c r="IH61" s="347" t="e">
        <v>#N/A</v>
      </c>
      <c r="II61" s="347" t="e">
        <v>#N/A</v>
      </c>
      <c r="IJ61" s="347" t="e">
        <v>#N/A</v>
      </c>
      <c r="IK61" s="347" t="e">
        <v>#N/A</v>
      </c>
      <c r="IL61" s="347" t="e">
        <v>#N/A</v>
      </c>
      <c r="IM61" s="347" t="e">
        <v>#N/A</v>
      </c>
      <c r="IN61" s="347" t="e">
        <v>#N/A</v>
      </c>
      <c r="IO61" s="347" t="e">
        <v>#N/A</v>
      </c>
      <c r="IP61" s="347" t="e">
        <v>#N/A</v>
      </c>
      <c r="IQ61" s="347" t="e">
        <v>#N/A</v>
      </c>
      <c r="IR61" s="347" t="e">
        <v>#N/A</v>
      </c>
      <c r="IS61" s="347" t="e">
        <v>#N/A</v>
      </c>
      <c r="IT61" s="347" t="e">
        <v>#N/A</v>
      </c>
      <c r="IU61" s="347" t="e">
        <v>#N/A</v>
      </c>
      <c r="IV61" s="347" t="e">
        <v>#N/A</v>
      </c>
      <c r="IW61" s="347" t="e">
        <v>#N/A</v>
      </c>
      <c r="IX61" s="347" t="e">
        <v>#N/A</v>
      </c>
      <c r="IY61" s="347" t="e">
        <v>#N/A</v>
      </c>
      <c r="IZ61" s="347" t="e">
        <v>#N/A</v>
      </c>
      <c r="JA61" s="347" t="e">
        <v>#N/A</v>
      </c>
      <c r="JB61" s="347" t="e">
        <v>#N/A</v>
      </c>
      <c r="JC61" s="347" t="e">
        <v>#N/A</v>
      </c>
      <c r="JD61" s="347" t="e">
        <v>#N/A</v>
      </c>
      <c r="JE61" s="347" t="e">
        <v>#N/A</v>
      </c>
      <c r="JF61" s="347" t="e">
        <v>#N/A</v>
      </c>
      <c r="JG61" s="347" t="e">
        <v>#N/A</v>
      </c>
      <c r="JH61" s="347" t="e">
        <v>#N/A</v>
      </c>
      <c r="JI61" s="347" t="e">
        <v>#N/A</v>
      </c>
      <c r="JJ61" s="347" t="e">
        <v>#N/A</v>
      </c>
      <c r="JK61" s="347" t="e">
        <v>#N/A</v>
      </c>
      <c r="JL61" s="347" t="e">
        <v>#N/A</v>
      </c>
      <c r="JM61" s="347" t="e">
        <v>#N/A</v>
      </c>
      <c r="JN61" s="347" t="e">
        <v>#N/A</v>
      </c>
      <c r="JO61" s="347" t="e">
        <v>#N/A</v>
      </c>
      <c r="JP61" s="347" t="e">
        <v>#N/A</v>
      </c>
      <c r="JQ61" s="347" t="e">
        <v>#N/A</v>
      </c>
      <c r="JR61" s="347" t="e">
        <v>#N/A</v>
      </c>
      <c r="JS61" s="347" t="e">
        <v>#N/A</v>
      </c>
      <c r="JT61" s="347" t="e">
        <v>#N/A</v>
      </c>
      <c r="JU61" s="347" t="e">
        <v>#N/A</v>
      </c>
      <c r="JV61" s="347" t="e">
        <v>#N/A</v>
      </c>
      <c r="JW61" s="347" t="e">
        <v>#N/A</v>
      </c>
      <c r="JX61" s="347" t="e">
        <v>#N/A</v>
      </c>
      <c r="JY61" s="347" t="e">
        <v>#N/A</v>
      </c>
      <c r="JZ61" s="347" t="e">
        <v>#N/A</v>
      </c>
      <c r="KA61" s="347" t="e">
        <v>#N/A</v>
      </c>
      <c r="KB61" s="347" t="e">
        <v>#N/A</v>
      </c>
      <c r="KC61" s="347" t="e">
        <v>#N/A</v>
      </c>
      <c r="KD61" s="347" t="e">
        <v>#N/A</v>
      </c>
      <c r="KE61" s="347" t="e">
        <v>#N/A</v>
      </c>
      <c r="KF61" s="347" t="e">
        <v>#N/A</v>
      </c>
      <c r="KG61" s="347" t="e">
        <v>#N/A</v>
      </c>
      <c r="KH61" s="347" t="e">
        <v>#N/A</v>
      </c>
      <c r="KI61" s="347" t="e">
        <v>#N/A</v>
      </c>
      <c r="KJ61" s="347" t="e">
        <v>#N/A</v>
      </c>
      <c r="KK61" s="347" t="e">
        <v>#N/A</v>
      </c>
      <c r="KL61" s="347" t="e">
        <v>#N/A</v>
      </c>
      <c r="KM61" s="347" t="e">
        <v>#N/A</v>
      </c>
      <c r="KN61" s="347" t="e">
        <v>#N/A</v>
      </c>
    </row>
    <row r="62" spans="1:300" x14ac:dyDescent="0.15">
      <c r="A62" s="347">
        <v>8</v>
      </c>
      <c r="B62" s="347">
        <v>3.4664055743898199E-2</v>
      </c>
      <c r="C62" s="347">
        <v>7.906095556790714E-2</v>
      </c>
      <c r="D62" s="347">
        <v>178.5109780777079</v>
      </c>
      <c r="E62" s="347">
        <v>0.56018963694473078</v>
      </c>
      <c r="F62" s="347">
        <v>-0.96244254821642283</v>
      </c>
      <c r="G62" s="347">
        <v>155.45922031780174</v>
      </c>
      <c r="H62" s="347">
        <v>167.74997482796894</v>
      </c>
      <c r="I62" s="347">
        <v>0</v>
      </c>
      <c r="J62" s="347">
        <v>0.57120906384881509</v>
      </c>
      <c r="K62" s="347">
        <v>0</v>
      </c>
      <c r="L62" s="347">
        <v>0.16398578243312359</v>
      </c>
      <c r="M62" s="347">
        <v>168.63930600180703</v>
      </c>
      <c r="N62" s="347">
        <v>2.960900635860797</v>
      </c>
      <c r="O62" s="347">
        <v>0</v>
      </c>
      <c r="P62" s="347">
        <v>0</v>
      </c>
      <c r="Q62" s="347">
        <v>0</v>
      </c>
      <c r="R62" s="347">
        <v>0</v>
      </c>
      <c r="S62" s="347">
        <v>0</v>
      </c>
      <c r="T62" s="347">
        <v>12.712491503214055</v>
      </c>
      <c r="U62" s="347">
        <v>0.12712491503214057</v>
      </c>
      <c r="V62" s="347">
        <v>0</v>
      </c>
      <c r="W62" s="347">
        <v>12.712491503214055</v>
      </c>
      <c r="X62" s="347">
        <v>0.12712491503214057</v>
      </c>
      <c r="Y62" s="347">
        <v>0</v>
      </c>
      <c r="Z62" s="347">
        <v>0</v>
      </c>
      <c r="AA62" s="347">
        <v>0</v>
      </c>
      <c r="AB62" s="347">
        <v>9.511064911980279</v>
      </c>
      <c r="AC62" s="347">
        <v>4.7555324559901395</v>
      </c>
      <c r="AD62" s="347">
        <v>0</v>
      </c>
      <c r="AE62" s="347">
        <v>0</v>
      </c>
      <c r="AF62" s="347">
        <v>1.3872826597967309E-4</v>
      </c>
      <c r="AG62" s="347">
        <v>2.1729394065562882E-4</v>
      </c>
      <c r="AH62" s="347">
        <v>5.5850373618143701E-4</v>
      </c>
      <c r="AI62" s="347">
        <v>1.3161981587713411E-3</v>
      </c>
      <c r="AJ62" s="347">
        <v>2.3904142370581214E-3</v>
      </c>
      <c r="AK62" s="347">
        <v>3.1897700510157565E-3</v>
      </c>
      <c r="AL62" s="347">
        <v>2.5893883485318416E-3</v>
      </c>
      <c r="AM62" s="347">
        <v>1.5295112268891202E-3</v>
      </c>
      <c r="AN62" s="347">
        <v>0</v>
      </c>
      <c r="AO62" s="347">
        <v>0</v>
      </c>
      <c r="AP62" s="347">
        <v>0</v>
      </c>
      <c r="AQ62" s="347">
        <v>0</v>
      </c>
      <c r="AR62" s="347">
        <v>0</v>
      </c>
      <c r="AS62" s="347">
        <v>0</v>
      </c>
      <c r="AT62" s="347">
        <v>0</v>
      </c>
      <c r="AU62" s="347">
        <v>0</v>
      </c>
      <c r="AV62" s="347">
        <v>0</v>
      </c>
      <c r="AW62" s="347">
        <v>0</v>
      </c>
      <c r="AX62" s="347">
        <v>0</v>
      </c>
      <c r="AY62" s="347">
        <v>0</v>
      </c>
      <c r="AZ62" s="347">
        <v>0</v>
      </c>
      <c r="BA62" s="347">
        <v>0</v>
      </c>
      <c r="BB62" s="347">
        <v>0</v>
      </c>
      <c r="BC62" s="347">
        <v>0</v>
      </c>
      <c r="BD62" s="347">
        <v>0</v>
      </c>
      <c r="BE62" s="347">
        <v>0</v>
      </c>
      <c r="BF62" s="347">
        <v>0</v>
      </c>
      <c r="BG62" s="347">
        <v>0</v>
      </c>
      <c r="BH62" s="347">
        <v>0</v>
      </c>
      <c r="BI62" s="347">
        <v>0</v>
      </c>
      <c r="BJ62" s="347">
        <v>0</v>
      </c>
      <c r="BK62" s="347">
        <v>0</v>
      </c>
      <c r="BL62" s="347">
        <v>0</v>
      </c>
      <c r="BM62" s="347">
        <v>0</v>
      </c>
      <c r="BN62" s="347">
        <v>0</v>
      </c>
      <c r="BO62" s="347">
        <v>0</v>
      </c>
      <c r="BP62" s="347">
        <v>0</v>
      </c>
      <c r="BQ62" s="347">
        <v>0</v>
      </c>
      <c r="BR62" s="347">
        <v>0</v>
      </c>
      <c r="BS62" s="347">
        <v>0</v>
      </c>
      <c r="BT62" s="347">
        <v>1.192980796508292E-2</v>
      </c>
      <c r="BU62" s="347">
        <v>0</v>
      </c>
      <c r="BV62" s="347">
        <v>0.21212381531813665</v>
      </c>
      <c r="BW62" s="347">
        <v>1.192980796508292E-2</v>
      </c>
      <c r="BX62" s="347">
        <v>1.0606190765906832E-2</v>
      </c>
      <c r="BY62" s="347">
        <v>0</v>
      </c>
      <c r="BZ62" s="347">
        <v>0</v>
      </c>
      <c r="CA62" s="347">
        <v>0</v>
      </c>
      <c r="CB62" s="347">
        <v>1.3832581389446337</v>
      </c>
      <c r="CC62" s="347">
        <v>7.1085745015346383E-2</v>
      </c>
      <c r="CD62" s="347">
        <v>6.9162906947231678E-2</v>
      </c>
      <c r="CE62" s="347">
        <v>0</v>
      </c>
      <c r="CF62" s="347">
        <v>1.3832581389446337</v>
      </c>
      <c r="CG62" s="347">
        <v>7.1085745015346383E-2</v>
      </c>
      <c r="CH62" s="347">
        <v>6.9162906947231678E-2</v>
      </c>
      <c r="CI62" s="347">
        <v>0</v>
      </c>
      <c r="CJ62" s="347">
        <v>0</v>
      </c>
      <c r="CK62" s="347">
        <v>0</v>
      </c>
      <c r="CL62" s="347">
        <v>0</v>
      </c>
      <c r="CM62" s="347">
        <v>7.8692921055517409E-2</v>
      </c>
      <c r="CN62" s="347">
        <v>0.56249063062763449</v>
      </c>
      <c r="CO62" s="347">
        <v>0</v>
      </c>
      <c r="CP62" s="347">
        <v>0</v>
      </c>
      <c r="CQ62" s="347">
        <v>164.32695424458001</v>
      </c>
      <c r="CR62" s="347">
        <v>8.2163477122290001</v>
      </c>
      <c r="CS62" s="347">
        <v>21.670132479103636</v>
      </c>
      <c r="CT62" s="347">
        <v>177.78073901145464</v>
      </c>
      <c r="CU62" s="347">
        <v>0</v>
      </c>
      <c r="CV62" s="347">
        <v>52.826265469373261</v>
      </c>
      <c r="CW62" s="347">
        <v>9.4721577745303023</v>
      </c>
      <c r="CX62" s="347">
        <v>3.1149211621951785</v>
      </c>
      <c r="CY62" s="347">
        <v>59.183502081708383</v>
      </c>
      <c r="CZ62" s="347">
        <v>0</v>
      </c>
      <c r="DA62" s="347">
        <v>3.0906042901457171</v>
      </c>
      <c r="DB62" s="347">
        <v>3.0072710232366839</v>
      </c>
      <c r="DC62" s="347">
        <v>0</v>
      </c>
      <c r="DD62" s="347">
        <v>1.7177804659226945</v>
      </c>
      <c r="DE62" s="347">
        <v>5.0244103716955735</v>
      </c>
      <c r="DF62" s="347">
        <v>0</v>
      </c>
      <c r="DG62" s="347">
        <v>0</v>
      </c>
      <c r="DH62" s="347">
        <v>0</v>
      </c>
      <c r="DI62" s="347">
        <v>2.1804448135366248</v>
      </c>
      <c r="DJ62" s="347">
        <v>2.1804448135366248</v>
      </c>
      <c r="DK62" s="347">
        <v>0</v>
      </c>
      <c r="DL62" s="347">
        <v>0.87605698443926505</v>
      </c>
      <c r="DM62" s="347">
        <v>0.87605698443926505</v>
      </c>
      <c r="DN62" s="347">
        <v>12.189246483955388</v>
      </c>
      <c r="DO62" s="347">
        <v>0</v>
      </c>
      <c r="DP62" s="347">
        <v>149.18246976412712</v>
      </c>
      <c r="DQ62" s="347">
        <v>161.76714927190946</v>
      </c>
      <c r="DR62" s="347">
        <v>0</v>
      </c>
      <c r="DS62" s="347">
        <v>0</v>
      </c>
      <c r="DT62" s="347">
        <v>0</v>
      </c>
      <c r="DU62" s="347">
        <v>0</v>
      </c>
      <c r="DV62" s="347">
        <v>3.0565017979758897</v>
      </c>
      <c r="DW62" s="347">
        <v>1.7459015306740282</v>
      </c>
      <c r="DX62" s="347">
        <v>4.8645946753090854</v>
      </c>
      <c r="DY62" s="347">
        <v>0</v>
      </c>
      <c r="DZ62" s="347">
        <v>151.69126518928556</v>
      </c>
      <c r="EA62" s="347">
        <v>86.647425582814151</v>
      </c>
      <c r="EB62" s="347">
        <v>247.3962294725691</v>
      </c>
      <c r="EC62" s="347">
        <v>0</v>
      </c>
      <c r="ED62" s="347">
        <v>0</v>
      </c>
      <c r="EE62" s="347">
        <v>0</v>
      </c>
      <c r="EF62" s="347">
        <v>0</v>
      </c>
      <c r="EG62" s="347">
        <v>0</v>
      </c>
      <c r="EH62" s="347">
        <v>0</v>
      </c>
      <c r="EI62" s="347">
        <v>0</v>
      </c>
      <c r="EJ62" s="347">
        <v>0.63597687452192309</v>
      </c>
      <c r="EK62" s="347">
        <v>57.792432697187991</v>
      </c>
      <c r="EL62" s="347">
        <v>0</v>
      </c>
      <c r="EM62" s="347">
        <v>0.95923229670530363</v>
      </c>
      <c r="EN62" s="347">
        <v>51.043615624240374</v>
      </c>
      <c r="EO62" s="347">
        <v>0</v>
      </c>
      <c r="EP62" s="347">
        <v>0</v>
      </c>
      <c r="EQ62" s="347">
        <v>0</v>
      </c>
      <c r="ER62" s="347">
        <v>1.7851097807770793</v>
      </c>
      <c r="ES62" s="347">
        <v>0</v>
      </c>
      <c r="ET62" s="347">
        <v>1.1352885390571221</v>
      </c>
      <c r="EU62" s="347">
        <v>103.16583686265136</v>
      </c>
      <c r="EV62" s="347">
        <v>0</v>
      </c>
      <c r="EW62" s="347">
        <v>1.7123349548858988</v>
      </c>
      <c r="EX62" s="347">
        <v>91.118457497057236</v>
      </c>
      <c r="EY62" s="347">
        <v>0</v>
      </c>
      <c r="EZ62" s="347">
        <v>0</v>
      </c>
      <c r="FA62" s="347">
        <v>0</v>
      </c>
      <c r="FB62" s="347">
        <v>0</v>
      </c>
      <c r="FC62" s="347">
        <v>308.82526852291539</v>
      </c>
      <c r="FD62" s="347">
        <v>274.86275239842013</v>
      </c>
      <c r="FE62" s="347">
        <v>0</v>
      </c>
      <c r="FF62" s="347">
        <v>0</v>
      </c>
      <c r="FG62" s="347">
        <v>234.92948100039831</v>
      </c>
      <c r="FH62" s="347">
        <v>21.759143118811387</v>
      </c>
      <c r="FI62" s="347">
        <v>7.7846667261777673</v>
      </c>
      <c r="FJ62" s="347">
        <v>3.1277157828812112</v>
      </c>
      <c r="FK62" s="347">
        <v>0</v>
      </c>
      <c r="FL62" s="347">
        <v>267.60100662826869</v>
      </c>
      <c r="FM62" s="347">
        <v>0</v>
      </c>
      <c r="FN62" s="347">
        <v>0</v>
      </c>
      <c r="FO62" s="347">
        <v>13.191161853613814</v>
      </c>
      <c r="FP62" s="347">
        <v>2.3236526111411657</v>
      </c>
      <c r="FQ62" s="347">
        <v>0</v>
      </c>
      <c r="FR62" s="347">
        <v>0</v>
      </c>
      <c r="FS62" s="347">
        <v>0</v>
      </c>
      <c r="FT62" s="347">
        <v>0</v>
      </c>
      <c r="FU62" s="347">
        <v>0.26989542056547056</v>
      </c>
      <c r="FV62" s="347">
        <v>14.801613506841518</v>
      </c>
      <c r="FW62" s="347">
        <v>0</v>
      </c>
      <c r="FX62" s="347">
        <v>0.81661514394396517</v>
      </c>
      <c r="FY62" s="347">
        <v>3.3873845409903764</v>
      </c>
      <c r="FZ62" s="347">
        <v>0</v>
      </c>
      <c r="GA62" s="347">
        <v>0</v>
      </c>
      <c r="GB62" s="347">
        <v>0</v>
      </c>
      <c r="GC62" s="347">
        <v>0</v>
      </c>
      <c r="GD62" s="347">
        <v>46.326315873515512</v>
      </c>
      <c r="GE62" s="347">
        <v>10.655222649471625</v>
      </c>
      <c r="GF62" s="347">
        <v>0</v>
      </c>
      <c r="GG62" s="347">
        <v>669.8144701879072</v>
      </c>
      <c r="GH62" s="347">
        <v>154.0597860873763</v>
      </c>
      <c r="GI62" s="347">
        <v>0</v>
      </c>
      <c r="GJ62" s="347">
        <v>0</v>
      </c>
      <c r="GK62" s="347">
        <v>0</v>
      </c>
      <c r="GL62" s="347">
        <v>0</v>
      </c>
      <c r="GM62" s="347">
        <v>0</v>
      </c>
      <c r="GN62" s="347">
        <v>3.0906042901457167</v>
      </c>
      <c r="GO62" s="347">
        <v>2.960900635860797</v>
      </c>
      <c r="GP62" s="347">
        <v>0</v>
      </c>
      <c r="GQ62" s="347">
        <v>0</v>
      </c>
      <c r="GR62" s="347">
        <v>149.18246976412712</v>
      </c>
      <c r="GS62" s="347">
        <v>7.9078006626364283</v>
      </c>
      <c r="GT62" s="347">
        <v>3.0906042901457167</v>
      </c>
      <c r="GU62" s="347">
        <v>0</v>
      </c>
      <c r="GV62" s="347">
        <v>155.45922031780174</v>
      </c>
      <c r="GW62" s="347">
        <v>7.9060955567907136</v>
      </c>
      <c r="GX62" s="347">
        <v>2.960900635860797</v>
      </c>
      <c r="GY62" s="347">
        <v>0</v>
      </c>
      <c r="GZ62" s="347">
        <v>0</v>
      </c>
      <c r="HA62" s="347">
        <v>0</v>
      </c>
      <c r="HB62" s="347" t="e">
        <v>#N/A</v>
      </c>
      <c r="HC62" s="347" t="e">
        <v>#N/A</v>
      </c>
      <c r="HD62" s="347" t="e">
        <v>#N/A</v>
      </c>
      <c r="HE62" s="347" t="e">
        <v>#N/A</v>
      </c>
      <c r="HF62" s="347" t="e">
        <v>#N/A</v>
      </c>
      <c r="HG62" s="347" t="e">
        <v>#N/A</v>
      </c>
      <c r="HH62" s="347" t="e">
        <v>#N/A</v>
      </c>
      <c r="HI62" s="347" t="e">
        <v>#N/A</v>
      </c>
      <c r="HJ62" s="347" t="e">
        <v>#N/A</v>
      </c>
      <c r="HK62" s="347" t="e">
        <v>#N/A</v>
      </c>
      <c r="HL62" s="347" t="e">
        <v>#N/A</v>
      </c>
      <c r="HM62" s="347" t="e">
        <v>#N/A</v>
      </c>
      <c r="HN62" s="347" t="e">
        <v>#N/A</v>
      </c>
      <c r="HO62" s="347" t="e">
        <v>#N/A</v>
      </c>
      <c r="HP62" s="347" t="e">
        <v>#N/A</v>
      </c>
      <c r="HQ62" s="347" t="e">
        <v>#N/A</v>
      </c>
      <c r="HR62" s="347" t="e">
        <v>#N/A</v>
      </c>
      <c r="HS62" s="347" t="e">
        <v>#N/A</v>
      </c>
      <c r="HT62" s="347" t="e">
        <v>#N/A</v>
      </c>
      <c r="HU62" s="347" t="e">
        <v>#N/A</v>
      </c>
      <c r="HV62" s="347" t="e">
        <v>#N/A</v>
      </c>
      <c r="HW62" s="347" t="e">
        <v>#N/A</v>
      </c>
      <c r="HX62" s="347" t="e">
        <v>#N/A</v>
      </c>
      <c r="HY62" s="347" t="e">
        <v>#N/A</v>
      </c>
      <c r="HZ62" s="347" t="e">
        <v>#N/A</v>
      </c>
      <c r="IA62" s="347" t="e">
        <v>#N/A</v>
      </c>
      <c r="IB62" s="347" t="e">
        <v>#N/A</v>
      </c>
      <c r="IC62" s="347" t="e">
        <v>#N/A</v>
      </c>
      <c r="ID62" s="347" t="e">
        <v>#N/A</v>
      </c>
      <c r="IE62" s="347" t="e">
        <v>#N/A</v>
      </c>
      <c r="IF62" s="347" t="e">
        <v>#N/A</v>
      </c>
      <c r="IG62" s="347" t="e">
        <v>#N/A</v>
      </c>
      <c r="IH62" s="347" t="e">
        <v>#N/A</v>
      </c>
      <c r="II62" s="347" t="e">
        <v>#N/A</v>
      </c>
      <c r="IJ62" s="347" t="e">
        <v>#N/A</v>
      </c>
      <c r="IK62" s="347" t="e">
        <v>#N/A</v>
      </c>
      <c r="IL62" s="347" t="e">
        <v>#N/A</v>
      </c>
      <c r="IM62" s="347" t="e">
        <v>#N/A</v>
      </c>
      <c r="IN62" s="347" t="e">
        <v>#N/A</v>
      </c>
      <c r="IO62" s="347" t="e">
        <v>#N/A</v>
      </c>
      <c r="IP62" s="347" t="e">
        <v>#N/A</v>
      </c>
      <c r="IQ62" s="347" t="e">
        <v>#N/A</v>
      </c>
      <c r="IR62" s="347" t="e">
        <v>#N/A</v>
      </c>
      <c r="IS62" s="347" t="e">
        <v>#N/A</v>
      </c>
      <c r="IT62" s="347" t="e">
        <v>#N/A</v>
      </c>
      <c r="IU62" s="347" t="e">
        <v>#N/A</v>
      </c>
      <c r="IV62" s="347" t="e">
        <v>#N/A</v>
      </c>
      <c r="IW62" s="347" t="e">
        <v>#N/A</v>
      </c>
      <c r="IX62" s="347" t="e">
        <v>#N/A</v>
      </c>
      <c r="IY62" s="347" t="e">
        <v>#N/A</v>
      </c>
      <c r="IZ62" s="347" t="e">
        <v>#N/A</v>
      </c>
      <c r="JA62" s="347" t="e">
        <v>#N/A</v>
      </c>
      <c r="JB62" s="347" t="e">
        <v>#N/A</v>
      </c>
      <c r="JC62" s="347" t="e">
        <v>#N/A</v>
      </c>
      <c r="JD62" s="347" t="e">
        <v>#N/A</v>
      </c>
      <c r="JE62" s="347" t="e">
        <v>#N/A</v>
      </c>
      <c r="JF62" s="347" t="e">
        <v>#N/A</v>
      </c>
      <c r="JG62" s="347" t="e">
        <v>#N/A</v>
      </c>
      <c r="JH62" s="347" t="e">
        <v>#N/A</v>
      </c>
      <c r="JI62" s="347" t="e">
        <v>#N/A</v>
      </c>
      <c r="JJ62" s="347" t="e">
        <v>#N/A</v>
      </c>
      <c r="JK62" s="347" t="e">
        <v>#N/A</v>
      </c>
      <c r="JL62" s="347" t="e">
        <v>#N/A</v>
      </c>
      <c r="JM62" s="347" t="e">
        <v>#N/A</v>
      </c>
      <c r="JN62" s="347" t="e">
        <v>#N/A</v>
      </c>
      <c r="JO62" s="347" t="e">
        <v>#N/A</v>
      </c>
      <c r="JP62" s="347" t="e">
        <v>#N/A</v>
      </c>
      <c r="JQ62" s="347" t="e">
        <v>#N/A</v>
      </c>
      <c r="JR62" s="347" t="e">
        <v>#N/A</v>
      </c>
      <c r="JS62" s="347" t="e">
        <v>#N/A</v>
      </c>
      <c r="JT62" s="347" t="e">
        <v>#N/A</v>
      </c>
      <c r="JU62" s="347" t="e">
        <v>#N/A</v>
      </c>
      <c r="JV62" s="347" t="e">
        <v>#N/A</v>
      </c>
      <c r="JW62" s="347" t="e">
        <v>#N/A</v>
      </c>
      <c r="JX62" s="347" t="e">
        <v>#N/A</v>
      </c>
      <c r="JY62" s="347" t="e">
        <v>#N/A</v>
      </c>
      <c r="JZ62" s="347" t="e">
        <v>#N/A</v>
      </c>
      <c r="KA62" s="347" t="e">
        <v>#N/A</v>
      </c>
      <c r="KB62" s="347" t="e">
        <v>#N/A</v>
      </c>
      <c r="KC62" s="347" t="e">
        <v>#N/A</v>
      </c>
      <c r="KD62" s="347" t="e">
        <v>#N/A</v>
      </c>
      <c r="KE62" s="347" t="e">
        <v>#N/A</v>
      </c>
      <c r="KF62" s="347" t="e">
        <v>#N/A</v>
      </c>
      <c r="KG62" s="347" t="e">
        <v>#N/A</v>
      </c>
      <c r="KH62" s="347" t="e">
        <v>#N/A</v>
      </c>
      <c r="KI62" s="347" t="e">
        <v>#N/A</v>
      </c>
      <c r="KJ62" s="347" t="e">
        <v>#N/A</v>
      </c>
      <c r="KK62" s="347" t="e">
        <v>#N/A</v>
      </c>
      <c r="KL62" s="347" t="e">
        <v>#N/A</v>
      </c>
      <c r="KM62" s="347" t="e">
        <v>#N/A</v>
      </c>
      <c r="KN62" s="347" t="e">
        <v>#N/A</v>
      </c>
    </row>
    <row r="63" spans="1:300" x14ac:dyDescent="0.15">
      <c r="A63" s="347">
        <v>9</v>
      </c>
      <c r="B63" s="347">
        <v>2.3460753900449935</v>
      </c>
      <c r="C63" s="347">
        <v>8.3232331689103725E-2</v>
      </c>
      <c r="D63" s="347">
        <v>194.00470917245477</v>
      </c>
      <c r="E63" s="347">
        <v>0.5154514054146383</v>
      </c>
      <c r="F63" s="347">
        <v>-0.71751744510239279</v>
      </c>
      <c r="G63" s="347">
        <v>157.47356079575636</v>
      </c>
      <c r="H63" s="347">
        <v>170.58045244017299</v>
      </c>
      <c r="I63" s="347">
        <v>0</v>
      </c>
      <c r="J63" s="347">
        <v>0.5325918010068974</v>
      </c>
      <c r="K63" s="347">
        <v>0</v>
      </c>
      <c r="L63" s="347">
        <v>-0.7236248017415452</v>
      </c>
      <c r="M63" s="347">
        <v>168.27564956481112</v>
      </c>
      <c r="N63" s="347">
        <v>3.0260092958949856</v>
      </c>
      <c r="O63" s="347">
        <v>0</v>
      </c>
      <c r="P63" s="347">
        <v>0</v>
      </c>
      <c r="Q63" s="347">
        <v>0</v>
      </c>
      <c r="R63" s="347">
        <v>0</v>
      </c>
      <c r="S63" s="347">
        <v>0</v>
      </c>
      <c r="T63" s="347">
        <v>13.099644507332483</v>
      </c>
      <c r="U63" s="347">
        <v>0.13099644507332486</v>
      </c>
      <c r="V63" s="347">
        <v>0</v>
      </c>
      <c r="W63" s="347">
        <v>13.099644507332483</v>
      </c>
      <c r="X63" s="347">
        <v>0.13099644507332486</v>
      </c>
      <c r="Y63" s="347">
        <v>0</v>
      </c>
      <c r="Z63" s="347">
        <v>0</v>
      </c>
      <c r="AA63" s="347">
        <v>0</v>
      </c>
      <c r="AB63" s="347">
        <v>4.5164296295347484</v>
      </c>
      <c r="AC63" s="347">
        <v>2.2582148147673742</v>
      </c>
      <c r="AD63" s="347">
        <v>0</v>
      </c>
      <c r="AE63" s="347">
        <v>0</v>
      </c>
      <c r="AF63" s="347">
        <v>1.3872826597967309E-4</v>
      </c>
      <c r="AG63" s="347">
        <v>2.1729394065562882E-4</v>
      </c>
      <c r="AH63" s="347">
        <v>5.5850373618143701E-4</v>
      </c>
      <c r="AI63" s="347">
        <v>1.3161981587713411E-3</v>
      </c>
      <c r="AJ63" s="347">
        <v>2.3904142370581214E-3</v>
      </c>
      <c r="AK63" s="347">
        <v>3.1897700510157565E-3</v>
      </c>
      <c r="AL63" s="347">
        <v>2.5893883485318416E-3</v>
      </c>
      <c r="AM63" s="347">
        <v>1.5295112268891202E-3</v>
      </c>
      <c r="AN63" s="347">
        <v>7.1701395566214606E-4</v>
      </c>
      <c r="AO63" s="347">
        <v>0</v>
      </c>
      <c r="AP63" s="347">
        <v>0</v>
      </c>
      <c r="AQ63" s="347">
        <v>0</v>
      </c>
      <c r="AR63" s="347">
        <v>0</v>
      </c>
      <c r="AS63" s="347">
        <v>0</v>
      </c>
      <c r="AT63" s="347">
        <v>0</v>
      </c>
      <c r="AU63" s="347">
        <v>0</v>
      </c>
      <c r="AV63" s="347">
        <v>0</v>
      </c>
      <c r="AW63" s="347">
        <v>0</v>
      </c>
      <c r="AX63" s="347">
        <v>0</v>
      </c>
      <c r="AY63" s="347">
        <v>0</v>
      </c>
      <c r="AZ63" s="347">
        <v>0</v>
      </c>
      <c r="BA63" s="347">
        <v>0</v>
      </c>
      <c r="BB63" s="347">
        <v>0</v>
      </c>
      <c r="BC63" s="347">
        <v>0</v>
      </c>
      <c r="BD63" s="347">
        <v>0</v>
      </c>
      <c r="BE63" s="347">
        <v>0</v>
      </c>
      <c r="BF63" s="347">
        <v>0</v>
      </c>
      <c r="BG63" s="347">
        <v>0</v>
      </c>
      <c r="BH63" s="347">
        <v>0</v>
      </c>
      <c r="BI63" s="347">
        <v>0</v>
      </c>
      <c r="BJ63" s="347">
        <v>0</v>
      </c>
      <c r="BK63" s="347">
        <v>0</v>
      </c>
      <c r="BL63" s="347">
        <v>0</v>
      </c>
      <c r="BM63" s="347">
        <v>0</v>
      </c>
      <c r="BN63" s="347">
        <v>0</v>
      </c>
      <c r="BO63" s="347">
        <v>0</v>
      </c>
      <c r="BP63" s="347">
        <v>0</v>
      </c>
      <c r="BQ63" s="347">
        <v>0</v>
      </c>
      <c r="BR63" s="347">
        <v>0</v>
      </c>
      <c r="BS63" s="347">
        <v>0</v>
      </c>
      <c r="BT63" s="347">
        <v>1.2646821920745066E-2</v>
      </c>
      <c r="BU63" s="347">
        <v>0</v>
      </c>
      <c r="BV63" s="347">
        <v>0.21453428646629666</v>
      </c>
      <c r="BW63" s="347">
        <v>1.2646821920745066E-2</v>
      </c>
      <c r="BX63" s="347">
        <v>1.0726714323314833E-2</v>
      </c>
      <c r="BY63" s="347">
        <v>0</v>
      </c>
      <c r="BZ63" s="347">
        <v>0</v>
      </c>
      <c r="CA63" s="347">
        <v>0</v>
      </c>
      <c r="CB63" s="347">
        <v>3.4018387866581392</v>
      </c>
      <c r="CC63" s="347">
        <v>0.17564003371499473</v>
      </c>
      <c r="CD63" s="347">
        <v>0.17009193933290698</v>
      </c>
      <c r="CE63" s="347">
        <v>0</v>
      </c>
      <c r="CF63" s="347">
        <v>3.4018387866581392</v>
      </c>
      <c r="CG63" s="347">
        <v>0.17564003371499473</v>
      </c>
      <c r="CH63" s="347">
        <v>0.17009193933290698</v>
      </c>
      <c r="CI63" s="347">
        <v>0</v>
      </c>
      <c r="CJ63" s="347">
        <v>0</v>
      </c>
      <c r="CK63" s="347">
        <v>0</v>
      </c>
      <c r="CL63" s="347">
        <v>0</v>
      </c>
      <c r="CM63" s="347">
        <v>7.9208894565257204E-2</v>
      </c>
      <c r="CN63" s="347">
        <v>0.5196552353328886</v>
      </c>
      <c r="CO63" s="347">
        <v>0</v>
      </c>
      <c r="CP63" s="347">
        <v>0</v>
      </c>
      <c r="CQ63" s="347">
        <v>177.78073901145464</v>
      </c>
      <c r="CR63" s="347">
        <v>8.8890369505727325</v>
      </c>
      <c r="CS63" s="347">
        <v>23.543576563686358</v>
      </c>
      <c r="CT63" s="347">
        <v>192.43527862456827</v>
      </c>
      <c r="CU63" s="347">
        <v>0</v>
      </c>
      <c r="CV63" s="347">
        <v>59.183502081708383</v>
      </c>
      <c r="CW63" s="347">
        <v>4.4798932863799488</v>
      </c>
      <c r="CX63" s="347">
        <v>3.1831697684044169</v>
      </c>
      <c r="CY63" s="347">
        <v>60.480225599683912</v>
      </c>
      <c r="CZ63" s="347">
        <v>0</v>
      </c>
      <c r="DA63" s="347">
        <v>3.2293361036334907</v>
      </c>
      <c r="DB63" s="347">
        <v>3.1422621523285246</v>
      </c>
      <c r="DC63" s="347">
        <v>0</v>
      </c>
      <c r="DD63" s="347">
        <v>1.6735430589444587</v>
      </c>
      <c r="DE63" s="347">
        <v>6.6979534306400321</v>
      </c>
      <c r="DF63" s="347">
        <v>0</v>
      </c>
      <c r="DG63" s="347">
        <v>0</v>
      </c>
      <c r="DH63" s="347">
        <v>0</v>
      </c>
      <c r="DI63" s="347">
        <v>2.2282188378830918</v>
      </c>
      <c r="DJ63" s="347">
        <v>2.2282188378830918</v>
      </c>
      <c r="DK63" s="347">
        <v>0</v>
      </c>
      <c r="DL63" s="347">
        <v>0.82707541755236691</v>
      </c>
      <c r="DM63" s="347">
        <v>0.82707541755236691</v>
      </c>
      <c r="DN63" s="347">
        <v>12.234542819780314</v>
      </c>
      <c r="DO63" s="347">
        <v>0</v>
      </c>
      <c r="DP63" s="347">
        <v>156.831218549017</v>
      </c>
      <c r="DQ63" s="347">
        <v>170.06112837270422</v>
      </c>
      <c r="DR63" s="347">
        <v>0</v>
      </c>
      <c r="DS63" s="347">
        <v>0</v>
      </c>
      <c r="DT63" s="347">
        <v>0</v>
      </c>
      <c r="DU63" s="347">
        <v>0</v>
      </c>
      <c r="DV63" s="347">
        <v>3.0552942554354585</v>
      </c>
      <c r="DW63" s="347">
        <v>1.6272246701083986</v>
      </c>
      <c r="DX63" s="347">
        <v>6.4918193454174844</v>
      </c>
      <c r="DY63" s="347">
        <v>0</v>
      </c>
      <c r="DZ63" s="347">
        <v>165.26890367611543</v>
      </c>
      <c r="EA63" s="347">
        <v>88.020863059297767</v>
      </c>
      <c r="EB63" s="347">
        <v>335.41709253186684</v>
      </c>
      <c r="EC63" s="347">
        <v>0</v>
      </c>
      <c r="ED63" s="347">
        <v>0</v>
      </c>
      <c r="EE63" s="347">
        <v>0</v>
      </c>
      <c r="EF63" s="347">
        <v>0</v>
      </c>
      <c r="EG63" s="347">
        <v>0</v>
      </c>
      <c r="EH63" s="347">
        <v>0</v>
      </c>
      <c r="EI63" s="347">
        <v>0</v>
      </c>
      <c r="EJ63" s="347">
        <v>0.63597687452192309</v>
      </c>
      <c r="EK63" s="347">
        <v>57.792432697187991</v>
      </c>
      <c r="EL63" s="347">
        <v>0</v>
      </c>
      <c r="EM63" s="347">
        <v>0.95923229670530363</v>
      </c>
      <c r="EN63" s="347">
        <v>51.043615624240374</v>
      </c>
      <c r="EO63" s="347">
        <v>0</v>
      </c>
      <c r="EP63" s="347">
        <v>0</v>
      </c>
      <c r="EQ63" s="347">
        <v>0</v>
      </c>
      <c r="ER63" s="347">
        <v>1.940047091724548</v>
      </c>
      <c r="ES63" s="347">
        <v>0</v>
      </c>
      <c r="ET63" s="347">
        <v>1.2338250858203248</v>
      </c>
      <c r="EU63" s="347">
        <v>112.12004097786624</v>
      </c>
      <c r="EV63" s="347">
        <v>0</v>
      </c>
      <c r="EW63" s="347">
        <v>1.8609558275113831</v>
      </c>
      <c r="EX63" s="347">
        <v>99.027018042913241</v>
      </c>
      <c r="EY63" s="347">
        <v>0</v>
      </c>
      <c r="EZ63" s="347">
        <v>0</v>
      </c>
      <c r="FA63" s="347">
        <v>0</v>
      </c>
      <c r="FB63" s="347">
        <v>0</v>
      </c>
      <c r="FC63" s="347">
        <v>343.00985243435071</v>
      </c>
      <c r="FD63" s="347">
        <v>305.28794677591532</v>
      </c>
      <c r="FE63" s="347">
        <v>0</v>
      </c>
      <c r="FF63" s="347">
        <v>0</v>
      </c>
      <c r="FG63" s="347">
        <v>269.56231463340384</v>
      </c>
      <c r="FH63" s="347">
        <v>23.735589216094251</v>
      </c>
      <c r="FI63" s="347">
        <v>8.6456989523218883</v>
      </c>
      <c r="FJ63" s="347">
        <v>3.2091305169186715</v>
      </c>
      <c r="FK63" s="347">
        <v>0</v>
      </c>
      <c r="FL63" s="347">
        <v>305.15273331873863</v>
      </c>
      <c r="FM63" s="347">
        <v>0</v>
      </c>
      <c r="FN63" s="347">
        <v>0</v>
      </c>
      <c r="FO63" s="347">
        <v>10.392732906701617</v>
      </c>
      <c r="FP63" s="347">
        <v>3.7119500338565377E-2</v>
      </c>
      <c r="FQ63" s="347">
        <v>0</v>
      </c>
      <c r="FR63" s="347">
        <v>0</v>
      </c>
      <c r="FS63" s="347">
        <v>0</v>
      </c>
      <c r="FT63" s="347">
        <v>0</v>
      </c>
      <c r="FU63" s="347">
        <v>0.62007740887858975</v>
      </c>
      <c r="FV63" s="347">
        <v>12.217343708868743</v>
      </c>
      <c r="FW63" s="347">
        <v>0</v>
      </c>
      <c r="FX63" s="347">
        <v>1.1410448146218088</v>
      </c>
      <c r="FY63" s="347">
        <v>1.3407628967624805</v>
      </c>
      <c r="FZ63" s="347">
        <v>0</v>
      </c>
      <c r="GA63" s="347">
        <v>0</v>
      </c>
      <c r="GB63" s="347">
        <v>0</v>
      </c>
      <c r="GC63" s="347">
        <v>0</v>
      </c>
      <c r="GD63" s="347">
        <v>44.673634964553173</v>
      </c>
      <c r="GE63" s="347">
        <v>5.0540258520191514</v>
      </c>
      <c r="GF63" s="347">
        <v>0</v>
      </c>
      <c r="GG63" s="347">
        <v>262.64404497803474</v>
      </c>
      <c r="GH63" s="347">
        <v>29.713494195202994</v>
      </c>
      <c r="GI63" s="347">
        <v>0</v>
      </c>
      <c r="GJ63" s="347">
        <v>0</v>
      </c>
      <c r="GK63" s="347">
        <v>0</v>
      </c>
      <c r="GL63" s="347">
        <v>0</v>
      </c>
      <c r="GM63" s="347">
        <v>0</v>
      </c>
      <c r="GN63" s="347">
        <v>3.2293361036334907</v>
      </c>
      <c r="GO63" s="347">
        <v>3.0260092958949856</v>
      </c>
      <c r="GP63" s="347">
        <v>0</v>
      </c>
      <c r="GQ63" s="347">
        <v>0</v>
      </c>
      <c r="GR63" s="347">
        <v>156.831218549017</v>
      </c>
      <c r="GS63" s="347">
        <v>7.9443395184390031</v>
      </c>
      <c r="GT63" s="347">
        <v>3.2293361036334907</v>
      </c>
      <c r="GU63" s="347">
        <v>0</v>
      </c>
      <c r="GV63" s="347">
        <v>157.47356079575636</v>
      </c>
      <c r="GW63" s="347">
        <v>8.323233168910372</v>
      </c>
      <c r="GX63" s="347">
        <v>3.0260092958949856</v>
      </c>
      <c r="GY63" s="347">
        <v>0</v>
      </c>
      <c r="GZ63" s="347">
        <v>0</v>
      </c>
      <c r="HA63" s="347">
        <v>0</v>
      </c>
      <c r="HB63" s="347" t="e">
        <v>#N/A</v>
      </c>
      <c r="HC63" s="347" t="e">
        <v>#N/A</v>
      </c>
      <c r="HD63" s="347" t="e">
        <v>#N/A</v>
      </c>
      <c r="HE63" s="347" t="e">
        <v>#N/A</v>
      </c>
      <c r="HF63" s="347" t="e">
        <v>#N/A</v>
      </c>
      <c r="HG63" s="347" t="e">
        <v>#N/A</v>
      </c>
      <c r="HH63" s="347" t="e">
        <v>#N/A</v>
      </c>
      <c r="HI63" s="347" t="e">
        <v>#N/A</v>
      </c>
      <c r="HJ63" s="347" t="e">
        <v>#N/A</v>
      </c>
      <c r="HK63" s="347" t="e">
        <v>#N/A</v>
      </c>
      <c r="HL63" s="347" t="e">
        <v>#N/A</v>
      </c>
      <c r="HM63" s="347" t="e">
        <v>#N/A</v>
      </c>
      <c r="HN63" s="347" t="e">
        <v>#N/A</v>
      </c>
      <c r="HO63" s="347" t="e">
        <v>#N/A</v>
      </c>
      <c r="HP63" s="347" t="e">
        <v>#N/A</v>
      </c>
      <c r="HQ63" s="347" t="e">
        <v>#N/A</v>
      </c>
      <c r="HR63" s="347" t="e">
        <v>#N/A</v>
      </c>
      <c r="HS63" s="347" t="e">
        <v>#N/A</v>
      </c>
      <c r="HT63" s="347" t="e">
        <v>#N/A</v>
      </c>
      <c r="HU63" s="347" t="e">
        <v>#N/A</v>
      </c>
      <c r="HV63" s="347" t="e">
        <v>#N/A</v>
      </c>
      <c r="HW63" s="347" t="e">
        <v>#N/A</v>
      </c>
      <c r="HX63" s="347" t="e">
        <v>#N/A</v>
      </c>
      <c r="HY63" s="347" t="e">
        <v>#N/A</v>
      </c>
      <c r="HZ63" s="347" t="e">
        <v>#N/A</v>
      </c>
      <c r="IA63" s="347" t="e">
        <v>#N/A</v>
      </c>
      <c r="IB63" s="347" t="e">
        <v>#N/A</v>
      </c>
      <c r="IC63" s="347" t="e">
        <v>#N/A</v>
      </c>
      <c r="ID63" s="347" t="e">
        <v>#N/A</v>
      </c>
      <c r="IE63" s="347" t="e">
        <v>#N/A</v>
      </c>
      <c r="IF63" s="347" t="e">
        <v>#N/A</v>
      </c>
      <c r="IG63" s="347" t="e">
        <v>#N/A</v>
      </c>
      <c r="IH63" s="347" t="e">
        <v>#N/A</v>
      </c>
      <c r="II63" s="347" t="e">
        <v>#N/A</v>
      </c>
      <c r="IJ63" s="347" t="e">
        <v>#N/A</v>
      </c>
      <c r="IK63" s="347" t="e">
        <v>#N/A</v>
      </c>
      <c r="IL63" s="347" t="e">
        <v>#N/A</v>
      </c>
      <c r="IM63" s="347" t="e">
        <v>#N/A</v>
      </c>
      <c r="IN63" s="347" t="e">
        <v>#N/A</v>
      </c>
      <c r="IO63" s="347" t="e">
        <v>#N/A</v>
      </c>
      <c r="IP63" s="347" t="e">
        <v>#N/A</v>
      </c>
      <c r="IQ63" s="347" t="e">
        <v>#N/A</v>
      </c>
      <c r="IR63" s="347" t="e">
        <v>#N/A</v>
      </c>
      <c r="IS63" s="347" t="e">
        <v>#N/A</v>
      </c>
      <c r="IT63" s="347" t="e">
        <v>#N/A</v>
      </c>
      <c r="IU63" s="347" t="e">
        <v>#N/A</v>
      </c>
      <c r="IV63" s="347" t="e">
        <v>#N/A</v>
      </c>
      <c r="IW63" s="347" t="e">
        <v>#N/A</v>
      </c>
      <c r="IX63" s="347" t="e">
        <v>#N/A</v>
      </c>
      <c r="IY63" s="347" t="e">
        <v>#N/A</v>
      </c>
      <c r="IZ63" s="347" t="e">
        <v>#N/A</v>
      </c>
      <c r="JA63" s="347" t="e">
        <v>#N/A</v>
      </c>
      <c r="JB63" s="347" t="e">
        <v>#N/A</v>
      </c>
      <c r="JC63" s="347" t="e">
        <v>#N/A</v>
      </c>
      <c r="JD63" s="347" t="e">
        <v>#N/A</v>
      </c>
      <c r="JE63" s="347" t="e">
        <v>#N/A</v>
      </c>
      <c r="JF63" s="347" t="e">
        <v>#N/A</v>
      </c>
      <c r="JG63" s="347" t="e">
        <v>#N/A</v>
      </c>
      <c r="JH63" s="347" t="e">
        <v>#N/A</v>
      </c>
      <c r="JI63" s="347" t="e">
        <v>#N/A</v>
      </c>
      <c r="JJ63" s="347" t="e">
        <v>#N/A</v>
      </c>
      <c r="JK63" s="347" t="e">
        <v>#N/A</v>
      </c>
      <c r="JL63" s="347" t="e">
        <v>#N/A</v>
      </c>
      <c r="JM63" s="347" t="e">
        <v>#N/A</v>
      </c>
      <c r="JN63" s="347" t="e">
        <v>#N/A</v>
      </c>
      <c r="JO63" s="347" t="e">
        <v>#N/A</v>
      </c>
      <c r="JP63" s="347" t="e">
        <v>#N/A</v>
      </c>
      <c r="JQ63" s="347" t="e">
        <v>#N/A</v>
      </c>
      <c r="JR63" s="347" t="e">
        <v>#N/A</v>
      </c>
      <c r="JS63" s="347" t="e">
        <v>#N/A</v>
      </c>
      <c r="JT63" s="347" t="e">
        <v>#N/A</v>
      </c>
      <c r="JU63" s="347" t="e">
        <v>#N/A</v>
      </c>
      <c r="JV63" s="347" t="e">
        <v>#N/A</v>
      </c>
      <c r="JW63" s="347" t="e">
        <v>#N/A</v>
      </c>
      <c r="JX63" s="347" t="e">
        <v>#N/A</v>
      </c>
      <c r="JY63" s="347" t="e">
        <v>#N/A</v>
      </c>
      <c r="JZ63" s="347" t="e">
        <v>#N/A</v>
      </c>
      <c r="KA63" s="347" t="e">
        <v>#N/A</v>
      </c>
      <c r="KB63" s="347" t="e">
        <v>#N/A</v>
      </c>
      <c r="KC63" s="347" t="e">
        <v>#N/A</v>
      </c>
      <c r="KD63" s="347" t="e">
        <v>#N/A</v>
      </c>
      <c r="KE63" s="347" t="e">
        <v>#N/A</v>
      </c>
      <c r="KF63" s="347" t="e">
        <v>#N/A</v>
      </c>
      <c r="KG63" s="347" t="e">
        <v>#N/A</v>
      </c>
      <c r="KH63" s="347" t="e">
        <v>#N/A</v>
      </c>
      <c r="KI63" s="347" t="e">
        <v>#N/A</v>
      </c>
      <c r="KJ63" s="347" t="e">
        <v>#N/A</v>
      </c>
      <c r="KK63" s="347" t="e">
        <v>#N/A</v>
      </c>
      <c r="KL63" s="347" t="e">
        <v>#N/A</v>
      </c>
      <c r="KM63" s="347" t="e">
        <v>#N/A</v>
      </c>
      <c r="KN63" s="347" t="e">
        <v>#N/A</v>
      </c>
    </row>
    <row r="64" spans="1:300" x14ac:dyDescent="0.15">
      <c r="A64" s="347">
        <v>10</v>
      </c>
      <c r="B64" s="347">
        <v>-0.13918229738467855</v>
      </c>
      <c r="C64" s="347">
        <v>8.1653980580557908E-2</v>
      </c>
      <c r="D64" s="347">
        <v>210.51068531679661</v>
      </c>
      <c r="E64" s="347">
        <v>0.47503526887250597</v>
      </c>
      <c r="F64" s="347">
        <v>9.8638476445544479E-2</v>
      </c>
      <c r="G64" s="347">
        <v>166.15805933983941</v>
      </c>
      <c r="H64" s="347">
        <v>179.72552629047783</v>
      </c>
      <c r="I64" s="347">
        <v>0</v>
      </c>
      <c r="J64" s="347">
        <v>0.49658530379140975</v>
      </c>
      <c r="K64" s="347">
        <v>0</v>
      </c>
      <c r="L64" s="347">
        <v>1.2679040937648638</v>
      </c>
      <c r="M64" s="347">
        <v>178.25061844771815</v>
      </c>
      <c r="N64" s="347">
        <v>3.2530737866708561</v>
      </c>
      <c r="O64" s="347">
        <v>0</v>
      </c>
      <c r="P64" s="347">
        <v>0</v>
      </c>
      <c r="Q64" s="347">
        <v>0</v>
      </c>
      <c r="R64" s="347">
        <v>0</v>
      </c>
      <c r="S64" s="347">
        <v>0</v>
      </c>
      <c r="T64" s="347">
        <v>13.498588075760042</v>
      </c>
      <c r="U64" s="347">
        <v>0.13498588075760046</v>
      </c>
      <c r="V64" s="347">
        <v>0</v>
      </c>
      <c r="W64" s="347">
        <v>13.498588075760042</v>
      </c>
      <c r="X64" s="347">
        <v>0.13498588075760046</v>
      </c>
      <c r="Y64" s="347">
        <v>0</v>
      </c>
      <c r="Z64" s="347">
        <v>0</v>
      </c>
      <c r="AA64" s="347">
        <v>0</v>
      </c>
      <c r="AB64" s="347">
        <v>3.0860866467442389</v>
      </c>
      <c r="AC64" s="347">
        <v>1.5430433233721195</v>
      </c>
      <c r="AD64" s="347">
        <v>0</v>
      </c>
      <c r="AE64" s="347">
        <v>0</v>
      </c>
      <c r="AF64" s="347">
        <v>1.3872826597967309E-4</v>
      </c>
      <c r="AG64" s="347">
        <v>2.1729394065562882E-4</v>
      </c>
      <c r="AH64" s="347">
        <v>5.5850373618143701E-4</v>
      </c>
      <c r="AI64" s="347">
        <v>1.3161981587713411E-3</v>
      </c>
      <c r="AJ64" s="347">
        <v>2.3904142370581214E-3</v>
      </c>
      <c r="AK64" s="347">
        <v>3.1897700510157565E-3</v>
      </c>
      <c r="AL64" s="347">
        <v>2.5893883485318416E-3</v>
      </c>
      <c r="AM64" s="347">
        <v>1.5295112268891202E-3</v>
      </c>
      <c r="AN64" s="347">
        <v>7.1701395566214606E-4</v>
      </c>
      <c r="AO64" s="347">
        <v>4.6432996675056462E-4</v>
      </c>
      <c r="AP64" s="347">
        <v>0</v>
      </c>
      <c r="AQ64" s="347">
        <v>0</v>
      </c>
      <c r="AR64" s="347">
        <v>0</v>
      </c>
      <c r="AS64" s="347">
        <v>0</v>
      </c>
      <c r="AT64" s="347">
        <v>0</v>
      </c>
      <c r="AU64" s="347">
        <v>0</v>
      </c>
      <c r="AV64" s="347">
        <v>0</v>
      </c>
      <c r="AW64" s="347">
        <v>0</v>
      </c>
      <c r="AX64" s="347">
        <v>0</v>
      </c>
      <c r="AY64" s="347">
        <v>0</v>
      </c>
      <c r="AZ64" s="347">
        <v>0</v>
      </c>
      <c r="BA64" s="347">
        <v>0</v>
      </c>
      <c r="BB64" s="347">
        <v>0</v>
      </c>
      <c r="BC64" s="347">
        <v>0</v>
      </c>
      <c r="BD64" s="347">
        <v>0</v>
      </c>
      <c r="BE64" s="347">
        <v>0</v>
      </c>
      <c r="BF64" s="347">
        <v>0</v>
      </c>
      <c r="BG64" s="347">
        <v>0</v>
      </c>
      <c r="BH64" s="347">
        <v>0</v>
      </c>
      <c r="BI64" s="347">
        <v>0</v>
      </c>
      <c r="BJ64" s="347">
        <v>0</v>
      </c>
      <c r="BK64" s="347">
        <v>0</v>
      </c>
      <c r="BL64" s="347">
        <v>0</v>
      </c>
      <c r="BM64" s="347">
        <v>0</v>
      </c>
      <c r="BN64" s="347">
        <v>0</v>
      </c>
      <c r="BO64" s="347">
        <v>0</v>
      </c>
      <c r="BP64" s="347">
        <v>0</v>
      </c>
      <c r="BQ64" s="347">
        <v>0</v>
      </c>
      <c r="BR64" s="347">
        <v>0</v>
      </c>
      <c r="BS64" s="347">
        <v>0</v>
      </c>
      <c r="BT64" s="347">
        <v>1.3111151887495631E-2</v>
      </c>
      <c r="BU64" s="347">
        <v>0</v>
      </c>
      <c r="BV64" s="347">
        <v>0.2111740638805629</v>
      </c>
      <c r="BW64" s="347">
        <v>1.3111151887495631E-2</v>
      </c>
      <c r="BX64" s="347">
        <v>1.0558703194028145E-2</v>
      </c>
      <c r="BY64" s="347">
        <v>0</v>
      </c>
      <c r="BZ64" s="347">
        <v>0</v>
      </c>
      <c r="CA64" s="347">
        <v>0</v>
      </c>
      <c r="CB64" s="347">
        <v>7.3759860719518135</v>
      </c>
      <c r="CC64" s="347">
        <v>0.38391968914519126</v>
      </c>
      <c r="CD64" s="347">
        <v>0.36879930359759067</v>
      </c>
      <c r="CE64" s="347">
        <v>0</v>
      </c>
      <c r="CF64" s="347">
        <v>7.3759860719518135</v>
      </c>
      <c r="CG64" s="347">
        <v>0.38391968914519126</v>
      </c>
      <c r="CH64" s="347">
        <v>0.36879930359759067</v>
      </c>
      <c r="CI64" s="347">
        <v>0</v>
      </c>
      <c r="CJ64" s="347">
        <v>0</v>
      </c>
      <c r="CK64" s="347">
        <v>0</v>
      </c>
      <c r="CL64" s="347">
        <v>0</v>
      </c>
      <c r="CM64" s="347">
        <v>7.9522827976858237E-2</v>
      </c>
      <c r="CN64" s="347">
        <v>0.47993119733175221</v>
      </c>
      <c r="CO64" s="347">
        <v>0</v>
      </c>
      <c r="CP64" s="347">
        <v>0</v>
      </c>
      <c r="CQ64" s="347">
        <v>192.43527862456827</v>
      </c>
      <c r="CR64" s="347">
        <v>9.6217639312284149</v>
      </c>
      <c r="CS64" s="347">
        <v>25.549685190236502</v>
      </c>
      <c r="CT64" s="347">
        <v>208.36319988357636</v>
      </c>
      <c r="CU64" s="347">
        <v>0</v>
      </c>
      <c r="CV64" s="347">
        <v>60.480225599683912</v>
      </c>
      <c r="CW64" s="347">
        <v>3.0546045102932289</v>
      </c>
      <c r="CX64" s="347">
        <v>3.1767415054988573</v>
      </c>
      <c r="CY64" s="347">
        <v>60.358088604478283</v>
      </c>
      <c r="CZ64" s="347">
        <v>0</v>
      </c>
      <c r="DA64" s="347">
        <v>3.3435900504634635</v>
      </c>
      <c r="DB64" s="347">
        <v>3.2534354218045736</v>
      </c>
      <c r="DC64" s="347">
        <v>0</v>
      </c>
      <c r="DD64" s="347">
        <v>1.6156082173025574</v>
      </c>
      <c r="DE64" s="347">
        <v>8.3135616479425902</v>
      </c>
      <c r="DF64" s="347">
        <v>6.973030139661228</v>
      </c>
      <c r="DG64" s="347">
        <v>0</v>
      </c>
      <c r="DH64" s="347">
        <v>0</v>
      </c>
      <c r="DI64" s="347">
        <v>2.2237190538492002</v>
      </c>
      <c r="DJ64" s="347">
        <v>2.2237190538492002</v>
      </c>
      <c r="DK64" s="347">
        <v>0</v>
      </c>
      <c r="DL64" s="347">
        <v>0.76230867717376982</v>
      </c>
      <c r="DM64" s="347">
        <v>0.76230867717376982</v>
      </c>
      <c r="DN64" s="347">
        <v>12.262091004799542</v>
      </c>
      <c r="DO64" s="347">
        <v>0</v>
      </c>
      <c r="DP64" s="347">
        <v>164.87212707001294</v>
      </c>
      <c r="DQ64" s="347">
        <v>178.78034887531655</v>
      </c>
      <c r="DR64" s="347">
        <v>0</v>
      </c>
      <c r="DS64" s="347">
        <v>0</v>
      </c>
      <c r="DT64" s="347">
        <v>0</v>
      </c>
      <c r="DU64" s="347">
        <v>0</v>
      </c>
      <c r="DV64" s="347">
        <v>2.9860277310229701</v>
      </c>
      <c r="DW64" s="347">
        <v>1.4828174879396157</v>
      </c>
      <c r="DX64" s="347">
        <v>7.9746368333571001</v>
      </c>
      <c r="DY64" s="347">
        <v>0</v>
      </c>
      <c r="DZ64" s="347">
        <v>179.0974320325418</v>
      </c>
      <c r="EA64" s="347">
        <v>88.937152694141133</v>
      </c>
      <c r="EB64" s="347">
        <v>424.35424522600795</v>
      </c>
      <c r="EC64" s="347">
        <v>0</v>
      </c>
      <c r="ED64" s="347">
        <v>0</v>
      </c>
      <c r="EE64" s="347">
        <v>4.9732370761757743</v>
      </c>
      <c r="EF64" s="347">
        <v>418.59780134046565</v>
      </c>
      <c r="EG64" s="347">
        <v>0</v>
      </c>
      <c r="EH64" s="347">
        <v>0</v>
      </c>
      <c r="EI64" s="347">
        <v>0</v>
      </c>
      <c r="EJ64" s="347">
        <v>0.63597687452192309</v>
      </c>
      <c r="EK64" s="347">
        <v>57.792432697187991</v>
      </c>
      <c r="EL64" s="347">
        <v>0</v>
      </c>
      <c r="EM64" s="347">
        <v>0.95923229670530363</v>
      </c>
      <c r="EN64" s="347">
        <v>51.043615624240374</v>
      </c>
      <c r="EO64" s="347">
        <v>0</v>
      </c>
      <c r="EP64" s="347">
        <v>0</v>
      </c>
      <c r="EQ64" s="347">
        <v>0</v>
      </c>
      <c r="ER64" s="347">
        <v>2.1051068531679666</v>
      </c>
      <c r="ES64" s="347">
        <v>0</v>
      </c>
      <c r="ET64" s="347">
        <v>1.3387992770124444</v>
      </c>
      <c r="EU64" s="347">
        <v>121.65924613209891</v>
      </c>
      <c r="EV64" s="347">
        <v>0</v>
      </c>
      <c r="EW64" s="347">
        <v>2.0192864815743832</v>
      </c>
      <c r="EX64" s="347">
        <v>107.4522650610599</v>
      </c>
      <c r="EY64" s="347">
        <v>0</v>
      </c>
      <c r="EZ64" s="347">
        <v>0</v>
      </c>
      <c r="FA64" s="347">
        <v>0</v>
      </c>
      <c r="FB64" s="347">
        <v>0</v>
      </c>
      <c r="FC64" s="347">
        <v>400.12171733213177</v>
      </c>
      <c r="FD64" s="347">
        <v>356.11903470953115</v>
      </c>
      <c r="FE64" s="347">
        <v>0</v>
      </c>
      <c r="FF64" s="347">
        <v>0</v>
      </c>
      <c r="FG64" s="347">
        <v>329.27521823599045</v>
      </c>
      <c r="FH64" s="347">
        <v>25.813011808372796</v>
      </c>
      <c r="FI64" s="347">
        <v>9.3623324395562761</v>
      </c>
      <c r="FJ64" s="347">
        <v>3.2094824410958198</v>
      </c>
      <c r="FK64" s="347">
        <v>0</v>
      </c>
      <c r="FL64" s="347">
        <v>367.66004492501531</v>
      </c>
      <c r="FM64" s="347">
        <v>0</v>
      </c>
      <c r="FN64" s="347">
        <v>0</v>
      </c>
      <c r="FO64" s="347">
        <v>7.6575635244387916</v>
      </c>
      <c r="FP64" s="347">
        <v>-2.7224727596564819</v>
      </c>
      <c r="FQ64" s="347">
        <v>0</v>
      </c>
      <c r="FR64" s="347">
        <v>0</v>
      </c>
      <c r="FS64" s="347">
        <v>0</v>
      </c>
      <c r="FT64" s="347">
        <v>0</v>
      </c>
      <c r="FU64" s="347">
        <v>0.667813691991193</v>
      </c>
      <c r="FV64" s="347">
        <v>9.2362616842044787</v>
      </c>
      <c r="FW64" s="347">
        <v>0</v>
      </c>
      <c r="FX64" s="347">
        <v>1.190009757279112</v>
      </c>
      <c r="FY64" s="347">
        <v>-1.6659706651787285</v>
      </c>
      <c r="FZ64" s="347">
        <v>0</v>
      </c>
      <c r="GA64" s="347">
        <v>0</v>
      </c>
      <c r="GB64" s="347">
        <v>0</v>
      </c>
      <c r="GC64" s="347">
        <v>0</v>
      </c>
      <c r="GD64" s="347">
        <v>39.522833103274252</v>
      </c>
      <c r="GE64" s="347">
        <v>-6.6935246066518062</v>
      </c>
      <c r="GF64" s="347">
        <v>0</v>
      </c>
      <c r="GG64" s="347">
        <v>107.16623572152659</v>
      </c>
      <c r="GH64" s="347">
        <v>-18.14950446315196</v>
      </c>
      <c r="GI64" s="347">
        <v>0</v>
      </c>
      <c r="GJ64" s="347">
        <v>0</v>
      </c>
      <c r="GK64" s="347">
        <v>0</v>
      </c>
      <c r="GL64" s="347">
        <v>0</v>
      </c>
      <c r="GM64" s="347">
        <v>0</v>
      </c>
      <c r="GN64" s="347">
        <v>3.3435900504634635</v>
      </c>
      <c r="GO64" s="347">
        <v>3.2530737866708561</v>
      </c>
      <c r="GP64" s="347">
        <v>0</v>
      </c>
      <c r="GQ64" s="347">
        <v>0</v>
      </c>
      <c r="GR64" s="347">
        <v>164.87212707001294</v>
      </c>
      <c r="GS64" s="347">
        <v>7.9664796005037717</v>
      </c>
      <c r="GT64" s="347">
        <v>3.3435900504634635</v>
      </c>
      <c r="GU64" s="347">
        <v>0</v>
      </c>
      <c r="GV64" s="347">
        <v>166.15805933983941</v>
      </c>
      <c r="GW64" s="347">
        <v>8.165398058055791</v>
      </c>
      <c r="GX64" s="347">
        <v>3.2530737866708561</v>
      </c>
      <c r="GY64" s="347">
        <v>0</v>
      </c>
      <c r="GZ64" s="347">
        <v>0</v>
      </c>
      <c r="HA64" s="347">
        <v>0</v>
      </c>
      <c r="HB64" s="347" t="e">
        <v>#N/A</v>
      </c>
      <c r="HC64" s="347" t="e">
        <v>#N/A</v>
      </c>
      <c r="HD64" s="347" t="e">
        <v>#N/A</v>
      </c>
      <c r="HE64" s="347" t="e">
        <v>#N/A</v>
      </c>
      <c r="HF64" s="347" t="e">
        <v>#N/A</v>
      </c>
      <c r="HG64" s="347" t="e">
        <v>#N/A</v>
      </c>
      <c r="HH64" s="347" t="e">
        <v>#N/A</v>
      </c>
      <c r="HI64" s="347" t="e">
        <v>#N/A</v>
      </c>
      <c r="HJ64" s="347" t="e">
        <v>#N/A</v>
      </c>
      <c r="HK64" s="347" t="e">
        <v>#N/A</v>
      </c>
      <c r="HL64" s="347" t="e">
        <v>#N/A</v>
      </c>
      <c r="HM64" s="347" t="e">
        <v>#N/A</v>
      </c>
      <c r="HN64" s="347" t="e">
        <v>#N/A</v>
      </c>
      <c r="HO64" s="347" t="e">
        <v>#N/A</v>
      </c>
      <c r="HP64" s="347" t="e">
        <v>#N/A</v>
      </c>
      <c r="HQ64" s="347" t="e">
        <v>#N/A</v>
      </c>
      <c r="HR64" s="347" t="e">
        <v>#N/A</v>
      </c>
      <c r="HS64" s="347" t="e">
        <v>#N/A</v>
      </c>
      <c r="HT64" s="347" t="e">
        <v>#N/A</v>
      </c>
      <c r="HU64" s="347" t="e">
        <v>#N/A</v>
      </c>
      <c r="HV64" s="347" t="e">
        <v>#N/A</v>
      </c>
      <c r="HW64" s="347" t="e">
        <v>#N/A</v>
      </c>
      <c r="HX64" s="347" t="e">
        <v>#N/A</v>
      </c>
      <c r="HY64" s="347" t="e">
        <v>#N/A</v>
      </c>
      <c r="HZ64" s="347" t="e">
        <v>#N/A</v>
      </c>
      <c r="IA64" s="347" t="e">
        <v>#N/A</v>
      </c>
      <c r="IB64" s="347" t="e">
        <v>#N/A</v>
      </c>
      <c r="IC64" s="347" t="e">
        <v>#N/A</v>
      </c>
      <c r="ID64" s="347" t="e">
        <v>#N/A</v>
      </c>
      <c r="IE64" s="347" t="e">
        <v>#N/A</v>
      </c>
      <c r="IF64" s="347" t="e">
        <v>#N/A</v>
      </c>
      <c r="IG64" s="347" t="e">
        <v>#N/A</v>
      </c>
      <c r="IH64" s="347" t="e">
        <v>#N/A</v>
      </c>
      <c r="II64" s="347" t="e">
        <v>#N/A</v>
      </c>
      <c r="IJ64" s="347" t="e">
        <v>#N/A</v>
      </c>
      <c r="IK64" s="347" t="e">
        <v>#N/A</v>
      </c>
      <c r="IL64" s="347" t="e">
        <v>#N/A</v>
      </c>
      <c r="IM64" s="347" t="e">
        <v>#N/A</v>
      </c>
      <c r="IN64" s="347" t="e">
        <v>#N/A</v>
      </c>
      <c r="IO64" s="347" t="e">
        <v>#N/A</v>
      </c>
      <c r="IP64" s="347" t="e">
        <v>#N/A</v>
      </c>
      <c r="IQ64" s="347" t="e">
        <v>#N/A</v>
      </c>
      <c r="IR64" s="347" t="e">
        <v>#N/A</v>
      </c>
      <c r="IS64" s="347" t="e">
        <v>#N/A</v>
      </c>
      <c r="IT64" s="347" t="e">
        <v>#N/A</v>
      </c>
      <c r="IU64" s="347" t="e">
        <v>#N/A</v>
      </c>
      <c r="IV64" s="347" t="e">
        <v>#N/A</v>
      </c>
      <c r="IW64" s="347" t="e">
        <v>#N/A</v>
      </c>
      <c r="IX64" s="347" t="e">
        <v>#N/A</v>
      </c>
      <c r="IY64" s="347" t="e">
        <v>#N/A</v>
      </c>
      <c r="IZ64" s="347" t="e">
        <v>#N/A</v>
      </c>
      <c r="JA64" s="347" t="e">
        <v>#N/A</v>
      </c>
      <c r="JB64" s="347" t="e">
        <v>#N/A</v>
      </c>
      <c r="JC64" s="347" t="e">
        <v>#N/A</v>
      </c>
      <c r="JD64" s="347" t="e">
        <v>#N/A</v>
      </c>
      <c r="JE64" s="347" t="e">
        <v>#N/A</v>
      </c>
      <c r="JF64" s="347" t="e">
        <v>#N/A</v>
      </c>
      <c r="JG64" s="347" t="e">
        <v>#N/A</v>
      </c>
      <c r="JH64" s="347" t="e">
        <v>#N/A</v>
      </c>
      <c r="JI64" s="347" t="e">
        <v>#N/A</v>
      </c>
      <c r="JJ64" s="347" t="e">
        <v>#N/A</v>
      </c>
      <c r="JK64" s="347" t="e">
        <v>#N/A</v>
      </c>
      <c r="JL64" s="347" t="e">
        <v>#N/A</v>
      </c>
      <c r="JM64" s="347" t="e">
        <v>#N/A</v>
      </c>
      <c r="JN64" s="347" t="e">
        <v>#N/A</v>
      </c>
      <c r="JO64" s="347" t="e">
        <v>#N/A</v>
      </c>
      <c r="JP64" s="347" t="e">
        <v>#N/A</v>
      </c>
      <c r="JQ64" s="347" t="e">
        <v>#N/A</v>
      </c>
      <c r="JR64" s="347" t="e">
        <v>#N/A</v>
      </c>
      <c r="JS64" s="347" t="e">
        <v>#N/A</v>
      </c>
      <c r="JT64" s="347" t="e">
        <v>#N/A</v>
      </c>
      <c r="JU64" s="347" t="e">
        <v>#N/A</v>
      </c>
      <c r="JV64" s="347" t="e">
        <v>#N/A</v>
      </c>
      <c r="JW64" s="347" t="e">
        <v>#N/A</v>
      </c>
      <c r="JX64" s="347" t="e">
        <v>#N/A</v>
      </c>
      <c r="JY64" s="347" t="e">
        <v>#N/A</v>
      </c>
      <c r="JZ64" s="347" t="e">
        <v>#N/A</v>
      </c>
      <c r="KA64" s="347" t="e">
        <v>#N/A</v>
      </c>
      <c r="KB64" s="347" t="e">
        <v>#N/A</v>
      </c>
      <c r="KC64" s="347" t="e">
        <v>#N/A</v>
      </c>
      <c r="KD64" s="347" t="e">
        <v>#N/A</v>
      </c>
      <c r="KE64" s="347" t="e">
        <v>#N/A</v>
      </c>
      <c r="KF64" s="347" t="e">
        <v>#N/A</v>
      </c>
      <c r="KG64" s="347" t="e">
        <v>#N/A</v>
      </c>
      <c r="KH64" s="347" t="e">
        <v>#N/A</v>
      </c>
      <c r="KI64" s="347" t="e">
        <v>#N/A</v>
      </c>
      <c r="KJ64" s="347" t="e">
        <v>#N/A</v>
      </c>
      <c r="KK64" s="347" t="e">
        <v>#N/A</v>
      </c>
      <c r="KL64" s="347" t="e">
        <v>#N/A</v>
      </c>
      <c r="KM64" s="347" t="e">
        <v>#N/A</v>
      </c>
      <c r="KN64" s="347" t="e">
        <v>#N/A</v>
      </c>
    </row>
    <row r="65" spans="1:300" x14ac:dyDescent="0.15">
      <c r="A65" s="347">
        <v>11</v>
      </c>
      <c r="B65" s="347">
        <v>-1.3651784932071904</v>
      </c>
      <c r="C65" s="347">
        <v>7.8784564619480135E-2</v>
      </c>
      <c r="D65" s="347">
        <v>227.76649924341214</v>
      </c>
      <c r="E65" s="347">
        <v>0.43904612983988839</v>
      </c>
      <c r="F65" s="347">
        <v>-0.66720793553049429</v>
      </c>
      <c r="G65" s="347">
        <v>168.73494370051125</v>
      </c>
      <c r="H65" s="347">
        <v>182.02865277604855</v>
      </c>
      <c r="I65" s="347">
        <v>0</v>
      </c>
      <c r="J65" s="347">
        <v>0.46301306831122829</v>
      </c>
      <c r="K65" s="347">
        <v>0</v>
      </c>
      <c r="L65" s="347">
        <v>3.2099368959502571E-2</v>
      </c>
      <c r="M65" s="347">
        <v>181.94483011911484</v>
      </c>
      <c r="N65" s="347">
        <v>3.3204931496738461</v>
      </c>
      <c r="O65" s="347">
        <v>0</v>
      </c>
      <c r="P65" s="347">
        <v>0</v>
      </c>
      <c r="Q65" s="347">
        <v>0</v>
      </c>
      <c r="R65" s="347">
        <v>0</v>
      </c>
      <c r="S65" s="347">
        <v>0</v>
      </c>
      <c r="T65" s="347">
        <v>13.909681284637815</v>
      </c>
      <c r="U65" s="347">
        <v>0.13909681284637818</v>
      </c>
      <c r="V65" s="347">
        <v>0</v>
      </c>
      <c r="W65" s="347">
        <v>13.909681284637815</v>
      </c>
      <c r="X65" s="347">
        <v>0.13909681284637818</v>
      </c>
      <c r="Y65" s="347">
        <v>0</v>
      </c>
      <c r="Z65" s="347">
        <v>0</v>
      </c>
      <c r="AA65" s="347">
        <v>0</v>
      </c>
      <c r="AB65" s="347">
        <v>0</v>
      </c>
      <c r="AC65" s="347">
        <v>0</v>
      </c>
      <c r="AD65" s="347">
        <v>0</v>
      </c>
      <c r="AE65" s="347">
        <v>0</v>
      </c>
      <c r="AF65" s="347">
        <v>1.3872826597967309E-4</v>
      </c>
      <c r="AG65" s="347">
        <v>2.1729394065562882E-4</v>
      </c>
      <c r="AH65" s="347">
        <v>5.5850373618143701E-4</v>
      </c>
      <c r="AI65" s="347">
        <v>1.3161981587713411E-3</v>
      </c>
      <c r="AJ65" s="347">
        <v>2.3904142370581214E-3</v>
      </c>
      <c r="AK65" s="347">
        <v>3.1897700510157565E-3</v>
      </c>
      <c r="AL65" s="347">
        <v>2.5893883485318416E-3</v>
      </c>
      <c r="AM65" s="347">
        <v>1.5295112268891202E-3</v>
      </c>
      <c r="AN65" s="347">
        <v>7.1701395566214606E-4</v>
      </c>
      <c r="AO65" s="347">
        <v>4.6432996675056462E-4</v>
      </c>
      <c r="AP65" s="347">
        <v>0</v>
      </c>
      <c r="AQ65" s="347">
        <v>0</v>
      </c>
      <c r="AR65" s="347">
        <v>0</v>
      </c>
      <c r="AS65" s="347">
        <v>0</v>
      </c>
      <c r="AT65" s="347">
        <v>0</v>
      </c>
      <c r="AU65" s="347">
        <v>0</v>
      </c>
      <c r="AV65" s="347">
        <v>0</v>
      </c>
      <c r="AW65" s="347">
        <v>0</v>
      </c>
      <c r="AX65" s="347">
        <v>0</v>
      </c>
      <c r="AY65" s="347">
        <v>0</v>
      </c>
      <c r="AZ65" s="347">
        <v>0</v>
      </c>
      <c r="BA65" s="347">
        <v>0</v>
      </c>
      <c r="BB65" s="347">
        <v>0</v>
      </c>
      <c r="BC65" s="347">
        <v>0</v>
      </c>
      <c r="BD65" s="347">
        <v>0</v>
      </c>
      <c r="BE65" s="347">
        <v>0</v>
      </c>
      <c r="BF65" s="347">
        <v>0</v>
      </c>
      <c r="BG65" s="347">
        <v>0</v>
      </c>
      <c r="BH65" s="347">
        <v>0</v>
      </c>
      <c r="BI65" s="347">
        <v>0</v>
      </c>
      <c r="BJ65" s="347">
        <v>0</v>
      </c>
      <c r="BK65" s="347">
        <v>0</v>
      </c>
      <c r="BL65" s="347">
        <v>0</v>
      </c>
      <c r="BM65" s="347">
        <v>0</v>
      </c>
      <c r="BN65" s="347">
        <v>0</v>
      </c>
      <c r="BO65" s="347">
        <v>0</v>
      </c>
      <c r="BP65" s="347">
        <v>0</v>
      </c>
      <c r="BQ65" s="347">
        <v>0</v>
      </c>
      <c r="BR65" s="347">
        <v>0</v>
      </c>
      <c r="BS65" s="347">
        <v>0</v>
      </c>
      <c r="BT65" s="347">
        <v>1.3111151887495631E-2</v>
      </c>
      <c r="BU65" s="347">
        <v>0</v>
      </c>
      <c r="BV65" s="347">
        <v>0.19806291199306728</v>
      </c>
      <c r="BW65" s="347">
        <v>1.3111151887495631E-2</v>
      </c>
      <c r="BX65" s="347">
        <v>9.9031455996533638E-3</v>
      </c>
      <c r="BY65" s="347">
        <v>0</v>
      </c>
      <c r="BZ65" s="347">
        <v>0</v>
      </c>
      <c r="CA65" s="347">
        <v>0</v>
      </c>
      <c r="CB65" s="347">
        <v>12.482760473938159</v>
      </c>
      <c r="CC65" s="347">
        <v>0.65898659368973078</v>
      </c>
      <c r="CD65" s="347">
        <v>0.62413802369690796</v>
      </c>
      <c r="CE65" s="347">
        <v>0</v>
      </c>
      <c r="CF65" s="347">
        <v>12.482760473938159</v>
      </c>
      <c r="CG65" s="347">
        <v>0.65898659368973078</v>
      </c>
      <c r="CH65" s="347">
        <v>0.62413802369690796</v>
      </c>
      <c r="CI65" s="347">
        <v>0</v>
      </c>
      <c r="CJ65" s="347">
        <v>0</v>
      </c>
      <c r="CK65" s="347">
        <v>0</v>
      </c>
      <c r="CL65" s="347">
        <v>0</v>
      </c>
      <c r="CM65" s="347">
        <v>7.8784564619480135E-2</v>
      </c>
      <c r="CN65" s="347">
        <v>0.44357113794530117</v>
      </c>
      <c r="CO65" s="347">
        <v>0</v>
      </c>
      <c r="CP65" s="347">
        <v>0</v>
      </c>
      <c r="CQ65" s="347">
        <v>208.36319988357636</v>
      </c>
      <c r="CR65" s="347">
        <v>10.418159994178819</v>
      </c>
      <c r="CS65" s="347">
        <v>27.497941958378771</v>
      </c>
      <c r="CT65" s="347">
        <v>225.44298184777631</v>
      </c>
      <c r="CU65" s="347">
        <v>0</v>
      </c>
      <c r="CV65" s="347">
        <v>60.358088604478283</v>
      </c>
      <c r="CW65" s="347">
        <v>0</v>
      </c>
      <c r="CX65" s="347">
        <v>3.0179044302239144</v>
      </c>
      <c r="CY65" s="347">
        <v>57.340184174254368</v>
      </c>
      <c r="CZ65" s="347">
        <v>0</v>
      </c>
      <c r="DA65" s="347">
        <v>3.4111350499829531</v>
      </c>
      <c r="DB65" s="347">
        <v>3.3204931496738461</v>
      </c>
      <c r="DC65" s="347">
        <v>0</v>
      </c>
      <c r="DD65" s="347">
        <v>1.5374317215369022</v>
      </c>
      <c r="DE65" s="347">
        <v>1.5374317215369022</v>
      </c>
      <c r="DF65" s="347">
        <v>0</v>
      </c>
      <c r="DG65" s="347">
        <v>0</v>
      </c>
      <c r="DH65" s="347">
        <v>0</v>
      </c>
      <c r="DI65" s="347">
        <v>2.1125331011567403</v>
      </c>
      <c r="DJ65" s="347">
        <v>2.1125331011567403</v>
      </c>
      <c r="DK65" s="347">
        <v>0</v>
      </c>
      <c r="DL65" s="347">
        <v>0.66932765116229376</v>
      </c>
      <c r="DM65" s="347">
        <v>0.66932765116229376</v>
      </c>
      <c r="DN65" s="347">
        <v>12.197293405631916</v>
      </c>
      <c r="DO65" s="347">
        <v>0</v>
      </c>
      <c r="DP65" s="347">
        <v>173.32530178673966</v>
      </c>
      <c r="DQ65" s="347">
        <v>168.73494370051125</v>
      </c>
      <c r="DR65" s="347">
        <v>0</v>
      </c>
      <c r="DS65" s="347">
        <v>0</v>
      </c>
      <c r="DT65" s="347">
        <v>0</v>
      </c>
      <c r="DU65" s="347">
        <v>0</v>
      </c>
      <c r="DV65" s="347">
        <v>2.7818607523190342</v>
      </c>
      <c r="DW65" s="347">
        <v>1.2880378825458179</v>
      </c>
      <c r="DX65" s="347">
        <v>1.2880378825458179</v>
      </c>
      <c r="DY65" s="347">
        <v>0</v>
      </c>
      <c r="DZ65" s="347">
        <v>180.3187224121092</v>
      </c>
      <c r="EA65" s="347">
        <v>83.489924937991333</v>
      </c>
      <c r="EB65" s="347">
        <v>83.489924937991333</v>
      </c>
      <c r="EC65" s="347">
        <v>0</v>
      </c>
      <c r="ED65" s="347">
        <v>0</v>
      </c>
      <c r="EE65" s="347">
        <v>0</v>
      </c>
      <c r="EF65" s="347">
        <v>0</v>
      </c>
      <c r="EG65" s="347">
        <v>0</v>
      </c>
      <c r="EH65" s="347">
        <v>0</v>
      </c>
      <c r="EI65" s="347">
        <v>0</v>
      </c>
      <c r="EJ65" s="347">
        <v>0.63597687452192309</v>
      </c>
      <c r="EK65" s="347">
        <v>57.792432697187991</v>
      </c>
      <c r="EL65" s="347">
        <v>0</v>
      </c>
      <c r="EM65" s="347">
        <v>0.71321032271020557</v>
      </c>
      <c r="EN65" s="347">
        <v>60.03097548074021</v>
      </c>
      <c r="EO65" s="347">
        <v>0</v>
      </c>
      <c r="EP65" s="347">
        <v>0</v>
      </c>
      <c r="EQ65" s="347">
        <v>0</v>
      </c>
      <c r="ER65" s="347">
        <v>2.2776649924341221</v>
      </c>
      <c r="ES65" s="347">
        <v>0</v>
      </c>
      <c r="ET65" s="347">
        <v>1.4485422630962526</v>
      </c>
      <c r="EU65" s="347">
        <v>131.63180078199019</v>
      </c>
      <c r="EV65" s="347">
        <v>0</v>
      </c>
      <c r="EW65" s="347">
        <v>1.6244541842796782</v>
      </c>
      <c r="EX65" s="347">
        <v>136.73045131415313</v>
      </c>
      <c r="EY65" s="347">
        <v>0</v>
      </c>
      <c r="EZ65" s="347">
        <v>0</v>
      </c>
      <c r="FA65" s="347">
        <v>0</v>
      </c>
      <c r="FB65" s="347">
        <v>0</v>
      </c>
      <c r="FC65" s="347">
        <v>441.89236743745499</v>
      </c>
      <c r="FD65" s="347">
        <v>459.40651593131844</v>
      </c>
      <c r="FE65" s="347">
        <v>0</v>
      </c>
      <c r="FF65" s="347">
        <v>0</v>
      </c>
      <c r="FG65" s="347">
        <v>376.58814647666833</v>
      </c>
      <c r="FH65" s="347">
        <v>27.781348192455386</v>
      </c>
      <c r="FI65" s="347">
        <v>9.6232853797259992</v>
      </c>
      <c r="FJ65" s="347">
        <v>3.0490083190410293</v>
      </c>
      <c r="FK65" s="347">
        <v>0</v>
      </c>
      <c r="FL65" s="347">
        <v>417.04178836789072</v>
      </c>
      <c r="FM65" s="347">
        <v>0</v>
      </c>
      <c r="FN65" s="347">
        <v>0</v>
      </c>
      <c r="FO65" s="347">
        <v>5.0517274939600414</v>
      </c>
      <c r="FP65" s="347">
        <v>8.6120753326190833</v>
      </c>
      <c r="FQ65" s="347">
        <v>0</v>
      </c>
      <c r="FR65" s="347">
        <v>0</v>
      </c>
      <c r="FS65" s="347">
        <v>0</v>
      </c>
      <c r="FT65" s="347">
        <v>0</v>
      </c>
      <c r="FU65" s="347">
        <v>0.71693219352863347</v>
      </c>
      <c r="FV65" s="347">
        <v>6.389193410472517</v>
      </c>
      <c r="FW65" s="347">
        <v>0</v>
      </c>
      <c r="FX65" s="347">
        <v>0.83567334673697569</v>
      </c>
      <c r="FY65" s="347">
        <v>9.8308000959232142</v>
      </c>
      <c r="FZ65" s="347">
        <v>0</v>
      </c>
      <c r="GA65" s="347">
        <v>0</v>
      </c>
      <c r="GB65" s="347">
        <v>0</v>
      </c>
      <c r="GC65" s="347">
        <v>0</v>
      </c>
      <c r="GD65" s="347">
        <v>32.054011513017429</v>
      </c>
      <c r="GE65" s="347">
        <v>48.984045677645327</v>
      </c>
      <c r="GF65" s="347">
        <v>0</v>
      </c>
      <c r="GG65" s="347">
        <v>51.357248390595416</v>
      </c>
      <c r="GH65" s="347">
        <v>78.48271346696994</v>
      </c>
      <c r="GI65" s="347">
        <v>0</v>
      </c>
      <c r="GJ65" s="347">
        <v>0</v>
      </c>
      <c r="GK65" s="347">
        <v>0</v>
      </c>
      <c r="GL65" s="347">
        <v>0</v>
      </c>
      <c r="GM65" s="347">
        <v>0</v>
      </c>
      <c r="GN65" s="347">
        <v>3.411135049982954</v>
      </c>
      <c r="GO65" s="347">
        <v>3.3204931496738461</v>
      </c>
      <c r="GP65" s="347">
        <v>0</v>
      </c>
      <c r="GQ65" s="347">
        <v>0</v>
      </c>
      <c r="GR65" s="347">
        <v>173.32530178673966</v>
      </c>
      <c r="GS65" s="347">
        <v>7.979842774788513</v>
      </c>
      <c r="GT65" s="347">
        <v>3.411135049982954</v>
      </c>
      <c r="GU65" s="347">
        <v>0</v>
      </c>
      <c r="GV65" s="347">
        <v>168.73494370051125</v>
      </c>
      <c r="GW65" s="347">
        <v>7.878456461948014</v>
      </c>
      <c r="GX65" s="347">
        <v>3.3204931496738461</v>
      </c>
      <c r="GY65" s="347">
        <v>0</v>
      </c>
      <c r="GZ65" s="347">
        <v>0</v>
      </c>
      <c r="HA65" s="347">
        <v>0</v>
      </c>
      <c r="HB65" s="347" t="e">
        <v>#N/A</v>
      </c>
      <c r="HC65" s="347" t="e">
        <v>#N/A</v>
      </c>
      <c r="HD65" s="347" t="e">
        <v>#N/A</v>
      </c>
      <c r="HE65" s="347" t="e">
        <v>#N/A</v>
      </c>
      <c r="HF65" s="347" t="e">
        <v>#N/A</v>
      </c>
      <c r="HG65" s="347" t="e">
        <v>#N/A</v>
      </c>
      <c r="HH65" s="347" t="e">
        <v>#N/A</v>
      </c>
      <c r="HI65" s="347" t="e">
        <v>#N/A</v>
      </c>
      <c r="HJ65" s="347" t="e">
        <v>#N/A</v>
      </c>
      <c r="HK65" s="347" t="e">
        <v>#N/A</v>
      </c>
      <c r="HL65" s="347" t="e">
        <v>#N/A</v>
      </c>
      <c r="HM65" s="347" t="e">
        <v>#N/A</v>
      </c>
      <c r="HN65" s="347" t="e">
        <v>#N/A</v>
      </c>
      <c r="HO65" s="347" t="e">
        <v>#N/A</v>
      </c>
      <c r="HP65" s="347" t="e">
        <v>#N/A</v>
      </c>
      <c r="HQ65" s="347" t="e">
        <v>#N/A</v>
      </c>
      <c r="HR65" s="347" t="e">
        <v>#N/A</v>
      </c>
      <c r="HS65" s="347" t="e">
        <v>#N/A</v>
      </c>
      <c r="HT65" s="347" t="e">
        <v>#N/A</v>
      </c>
      <c r="HU65" s="347" t="e">
        <v>#N/A</v>
      </c>
      <c r="HV65" s="347" t="e">
        <v>#N/A</v>
      </c>
      <c r="HW65" s="347" t="e">
        <v>#N/A</v>
      </c>
      <c r="HX65" s="347" t="e">
        <v>#N/A</v>
      </c>
      <c r="HY65" s="347" t="e">
        <v>#N/A</v>
      </c>
      <c r="HZ65" s="347" t="e">
        <v>#N/A</v>
      </c>
      <c r="IA65" s="347" t="e">
        <v>#N/A</v>
      </c>
      <c r="IB65" s="347" t="e">
        <v>#N/A</v>
      </c>
      <c r="IC65" s="347" t="e">
        <v>#N/A</v>
      </c>
      <c r="ID65" s="347" t="e">
        <v>#N/A</v>
      </c>
      <c r="IE65" s="347" t="e">
        <v>#N/A</v>
      </c>
      <c r="IF65" s="347" t="e">
        <v>#N/A</v>
      </c>
      <c r="IG65" s="347" t="e">
        <v>#N/A</v>
      </c>
      <c r="IH65" s="347" t="e">
        <v>#N/A</v>
      </c>
      <c r="II65" s="347" t="e">
        <v>#N/A</v>
      </c>
      <c r="IJ65" s="347" t="e">
        <v>#N/A</v>
      </c>
      <c r="IK65" s="347" t="e">
        <v>#N/A</v>
      </c>
      <c r="IL65" s="347" t="e">
        <v>#N/A</v>
      </c>
      <c r="IM65" s="347" t="e">
        <v>#N/A</v>
      </c>
      <c r="IN65" s="347" t="e">
        <v>#N/A</v>
      </c>
      <c r="IO65" s="347" t="e">
        <v>#N/A</v>
      </c>
      <c r="IP65" s="347" t="e">
        <v>#N/A</v>
      </c>
      <c r="IQ65" s="347" t="e">
        <v>#N/A</v>
      </c>
      <c r="IR65" s="347" t="e">
        <v>#N/A</v>
      </c>
      <c r="IS65" s="347" t="e">
        <v>#N/A</v>
      </c>
      <c r="IT65" s="347" t="e">
        <v>#N/A</v>
      </c>
      <c r="IU65" s="347" t="e">
        <v>#N/A</v>
      </c>
      <c r="IV65" s="347" t="e">
        <v>#N/A</v>
      </c>
      <c r="IW65" s="347" t="e">
        <v>#N/A</v>
      </c>
      <c r="IX65" s="347" t="e">
        <v>#N/A</v>
      </c>
      <c r="IY65" s="347" t="e">
        <v>#N/A</v>
      </c>
      <c r="IZ65" s="347" t="e">
        <v>#N/A</v>
      </c>
      <c r="JA65" s="347" t="e">
        <v>#N/A</v>
      </c>
      <c r="JB65" s="347" t="e">
        <v>#N/A</v>
      </c>
      <c r="JC65" s="347" t="e">
        <v>#N/A</v>
      </c>
      <c r="JD65" s="347" t="e">
        <v>#N/A</v>
      </c>
      <c r="JE65" s="347" t="e">
        <v>#N/A</v>
      </c>
      <c r="JF65" s="347" t="e">
        <v>#N/A</v>
      </c>
      <c r="JG65" s="347" t="e">
        <v>#N/A</v>
      </c>
      <c r="JH65" s="347" t="e">
        <v>#N/A</v>
      </c>
      <c r="JI65" s="347" t="e">
        <v>#N/A</v>
      </c>
      <c r="JJ65" s="347" t="e">
        <v>#N/A</v>
      </c>
      <c r="JK65" s="347" t="e">
        <v>#N/A</v>
      </c>
      <c r="JL65" s="347" t="e">
        <v>#N/A</v>
      </c>
      <c r="JM65" s="347" t="e">
        <v>#N/A</v>
      </c>
      <c r="JN65" s="347" t="e">
        <v>#N/A</v>
      </c>
      <c r="JO65" s="347" t="e">
        <v>#N/A</v>
      </c>
      <c r="JP65" s="347" t="e">
        <v>#N/A</v>
      </c>
      <c r="JQ65" s="347" t="e">
        <v>#N/A</v>
      </c>
      <c r="JR65" s="347" t="e">
        <v>#N/A</v>
      </c>
      <c r="JS65" s="347" t="e">
        <v>#N/A</v>
      </c>
      <c r="JT65" s="347" t="e">
        <v>#N/A</v>
      </c>
      <c r="JU65" s="347" t="e">
        <v>#N/A</v>
      </c>
      <c r="JV65" s="347" t="e">
        <v>#N/A</v>
      </c>
      <c r="JW65" s="347" t="e">
        <v>#N/A</v>
      </c>
      <c r="JX65" s="347" t="e">
        <v>#N/A</v>
      </c>
      <c r="JY65" s="347" t="e">
        <v>#N/A</v>
      </c>
      <c r="JZ65" s="347" t="e">
        <v>#N/A</v>
      </c>
      <c r="KA65" s="347" t="e">
        <v>#N/A</v>
      </c>
      <c r="KB65" s="347" t="e">
        <v>#N/A</v>
      </c>
      <c r="KC65" s="347" t="e">
        <v>#N/A</v>
      </c>
      <c r="KD65" s="347" t="e">
        <v>#N/A</v>
      </c>
      <c r="KE65" s="347" t="e">
        <v>#N/A</v>
      </c>
      <c r="KF65" s="347" t="e">
        <v>#N/A</v>
      </c>
      <c r="KG65" s="347" t="e">
        <v>#N/A</v>
      </c>
      <c r="KH65" s="347" t="e">
        <v>#N/A</v>
      </c>
      <c r="KI65" s="347" t="e">
        <v>#N/A</v>
      </c>
      <c r="KJ65" s="347" t="e">
        <v>#N/A</v>
      </c>
      <c r="KK65" s="347" t="e">
        <v>#N/A</v>
      </c>
      <c r="KL65" s="347" t="e">
        <v>#N/A</v>
      </c>
      <c r="KM65" s="347" t="e">
        <v>#N/A</v>
      </c>
      <c r="KN65" s="347" t="e">
        <v>#N/A</v>
      </c>
    </row>
    <row r="66" spans="1:300" x14ac:dyDescent="0.15">
      <c r="A66" s="347">
        <v>12</v>
      </c>
      <c r="B66" s="347">
        <v>2.5565382791404816</v>
      </c>
      <c r="C66" s="347">
        <v>8.3406399555373115E-2</v>
      </c>
      <c r="D66" s="347">
        <v>247.57841933184375</v>
      </c>
      <c r="E66" s="347">
        <v>0.40391242609059619</v>
      </c>
      <c r="F66" s="347">
        <v>-0.61942135705107182</v>
      </c>
      <c r="G66" s="347">
        <v>171.76169731210922</v>
      </c>
      <c r="H66" s="347">
        <v>186.08772206643206</v>
      </c>
      <c r="I66" s="347">
        <v>0</v>
      </c>
      <c r="J66" s="347">
        <v>0.4317105234290799</v>
      </c>
      <c r="K66" s="347">
        <v>0</v>
      </c>
      <c r="L66" s="347">
        <v>0.4187574225950188</v>
      </c>
      <c r="M66" s="347">
        <v>187.88239951133613</v>
      </c>
      <c r="N66" s="347">
        <v>3.4288537910818846</v>
      </c>
      <c r="O66" s="347">
        <v>0</v>
      </c>
      <c r="P66" s="347">
        <v>0</v>
      </c>
      <c r="Q66" s="347">
        <v>0</v>
      </c>
      <c r="R66" s="347">
        <v>0</v>
      </c>
      <c r="S66" s="347">
        <v>0</v>
      </c>
      <c r="T66" s="347">
        <v>14.333294145603416</v>
      </c>
      <c r="U66" s="347">
        <v>0.1433329414560342</v>
      </c>
      <c r="V66" s="347">
        <v>0</v>
      </c>
      <c r="W66" s="347">
        <v>14.333294145603416</v>
      </c>
      <c r="X66" s="347">
        <v>0.1433329414560342</v>
      </c>
      <c r="Y66" s="347">
        <v>0</v>
      </c>
      <c r="Z66" s="347">
        <v>0</v>
      </c>
      <c r="AA66" s="347">
        <v>0</v>
      </c>
      <c r="AB66" s="347">
        <v>0</v>
      </c>
      <c r="AC66" s="347">
        <v>0</v>
      </c>
      <c r="AD66" s="347">
        <v>0</v>
      </c>
      <c r="AE66" s="347">
        <v>0</v>
      </c>
      <c r="AF66" s="347">
        <v>1.3872826597967309E-4</v>
      </c>
      <c r="AG66" s="347">
        <v>2.1729394065562882E-4</v>
      </c>
      <c r="AH66" s="347">
        <v>5.5850373618143701E-4</v>
      </c>
      <c r="AI66" s="347">
        <v>1.3161981587713411E-3</v>
      </c>
      <c r="AJ66" s="347">
        <v>2.3904142370581214E-3</v>
      </c>
      <c r="AK66" s="347">
        <v>3.1897700510157565E-3</v>
      </c>
      <c r="AL66" s="347">
        <v>2.5893883485318416E-3</v>
      </c>
      <c r="AM66" s="347">
        <v>1.5295112268891202E-3</v>
      </c>
      <c r="AN66" s="347">
        <v>7.1701395566214606E-4</v>
      </c>
      <c r="AO66" s="347">
        <v>4.6432996675056462E-4</v>
      </c>
      <c r="AP66" s="347">
        <v>0</v>
      </c>
      <c r="AQ66" s="347">
        <v>0</v>
      </c>
      <c r="AR66" s="347">
        <v>0</v>
      </c>
      <c r="AS66" s="347">
        <v>0</v>
      </c>
      <c r="AT66" s="347">
        <v>0</v>
      </c>
      <c r="AU66" s="347">
        <v>0</v>
      </c>
      <c r="AV66" s="347">
        <v>0</v>
      </c>
      <c r="AW66" s="347">
        <v>0</v>
      </c>
      <c r="AX66" s="347">
        <v>0</v>
      </c>
      <c r="AY66" s="347">
        <v>0</v>
      </c>
      <c r="AZ66" s="347">
        <v>0</v>
      </c>
      <c r="BA66" s="347">
        <v>0</v>
      </c>
      <c r="BB66" s="347">
        <v>0</v>
      </c>
      <c r="BC66" s="347">
        <v>0</v>
      </c>
      <c r="BD66" s="347">
        <v>0</v>
      </c>
      <c r="BE66" s="347">
        <v>0</v>
      </c>
      <c r="BF66" s="347">
        <v>0</v>
      </c>
      <c r="BG66" s="347">
        <v>0</v>
      </c>
      <c r="BH66" s="347">
        <v>0</v>
      </c>
      <c r="BI66" s="347">
        <v>0</v>
      </c>
      <c r="BJ66" s="347">
        <v>0</v>
      </c>
      <c r="BK66" s="347">
        <v>0</v>
      </c>
      <c r="BL66" s="347">
        <v>0</v>
      </c>
      <c r="BM66" s="347">
        <v>0</v>
      </c>
      <c r="BN66" s="347">
        <v>0</v>
      </c>
      <c r="BO66" s="347">
        <v>0</v>
      </c>
      <c r="BP66" s="347">
        <v>0</v>
      </c>
      <c r="BQ66" s="347">
        <v>0</v>
      </c>
      <c r="BR66" s="347">
        <v>0</v>
      </c>
      <c r="BS66" s="347">
        <v>0</v>
      </c>
      <c r="BT66" s="347">
        <v>1.3111151887495631E-2</v>
      </c>
      <c r="BU66" s="347">
        <v>0</v>
      </c>
      <c r="BV66" s="347">
        <v>0.18495176010557166</v>
      </c>
      <c r="BW66" s="347">
        <v>1.3111151887495631E-2</v>
      </c>
      <c r="BX66" s="347">
        <v>9.2475880052785824E-3</v>
      </c>
      <c r="BY66" s="347">
        <v>0</v>
      </c>
      <c r="BZ66" s="347">
        <v>0</v>
      </c>
      <c r="CA66" s="347">
        <v>0</v>
      </c>
      <c r="CB66" s="347">
        <v>16.483445145948632</v>
      </c>
      <c r="CC66" s="347">
        <v>0.89318631015088013</v>
      </c>
      <c r="CD66" s="347">
        <v>0.82417225729743171</v>
      </c>
      <c r="CE66" s="347">
        <v>0</v>
      </c>
      <c r="CF66" s="347">
        <v>16.483445145948632</v>
      </c>
      <c r="CG66" s="347">
        <v>0.89318631015088013</v>
      </c>
      <c r="CH66" s="347">
        <v>0.82417225729743171</v>
      </c>
      <c r="CI66" s="347">
        <v>0</v>
      </c>
      <c r="CJ66" s="347">
        <v>0</v>
      </c>
      <c r="CK66" s="347">
        <v>0</v>
      </c>
      <c r="CL66" s="347">
        <v>0</v>
      </c>
      <c r="CM66" s="347">
        <v>7.9264810146340792E-2</v>
      </c>
      <c r="CN66" s="347">
        <v>0.40976891545785821</v>
      </c>
      <c r="CO66" s="347">
        <v>0</v>
      </c>
      <c r="CP66" s="347">
        <v>0</v>
      </c>
      <c r="CQ66" s="347">
        <v>225.44298184777631</v>
      </c>
      <c r="CR66" s="347">
        <v>11.272149092388815</v>
      </c>
      <c r="CS66" s="347">
        <v>29.869152289022963</v>
      </c>
      <c r="CT66" s="347">
        <v>244.03998504441046</v>
      </c>
      <c r="CU66" s="347">
        <v>0</v>
      </c>
      <c r="CV66" s="347">
        <v>57.340184174254368</v>
      </c>
      <c r="CW66" s="347">
        <v>0</v>
      </c>
      <c r="CX66" s="347">
        <v>2.8670092087127186</v>
      </c>
      <c r="CY66" s="347">
        <v>54.473174965541652</v>
      </c>
      <c r="CZ66" s="347">
        <v>0</v>
      </c>
      <c r="DA66" s="347">
        <v>3.4800445490048433</v>
      </c>
      <c r="DB66" s="347">
        <v>3.3875715608469208</v>
      </c>
      <c r="DC66" s="347">
        <v>0</v>
      </c>
      <c r="DD66" s="347">
        <v>1.4624502916866893</v>
      </c>
      <c r="DE66" s="347">
        <v>2.9998820132235915</v>
      </c>
      <c r="DF66" s="347">
        <v>0</v>
      </c>
      <c r="DG66" s="347">
        <v>0</v>
      </c>
      <c r="DH66" s="347">
        <v>0</v>
      </c>
      <c r="DI66" s="347">
        <v>2.006906446098903</v>
      </c>
      <c r="DJ66" s="347">
        <v>2.006906446098903</v>
      </c>
      <c r="DK66" s="347">
        <v>0</v>
      </c>
      <c r="DL66" s="347">
        <v>0.58740562703095145</v>
      </c>
      <c r="DM66" s="347">
        <v>0.58740562703095145</v>
      </c>
      <c r="DN66" s="347">
        <v>12.239450139118542</v>
      </c>
      <c r="DO66" s="347">
        <v>0</v>
      </c>
      <c r="DP66" s="347">
        <v>182.21188003905104</v>
      </c>
      <c r="DQ66" s="347">
        <v>177.38616926098317</v>
      </c>
      <c r="DR66" s="347">
        <v>0</v>
      </c>
      <c r="DS66" s="347">
        <v>0</v>
      </c>
      <c r="DT66" s="347">
        <v>0</v>
      </c>
      <c r="DU66" s="347">
        <v>0</v>
      </c>
      <c r="DV66" s="347">
        <v>2.5943120731298546</v>
      </c>
      <c r="DW66" s="347">
        <v>1.1199918230292709</v>
      </c>
      <c r="DX66" s="347">
        <v>2.408029705575089</v>
      </c>
      <c r="DY66" s="347">
        <v>0</v>
      </c>
      <c r="DZ66" s="347">
        <v>193.44287371473973</v>
      </c>
      <c r="EA66" s="347">
        <v>83.511324265015688</v>
      </c>
      <c r="EB66" s="347">
        <v>167.00124920300703</v>
      </c>
      <c r="EC66" s="347">
        <v>0</v>
      </c>
      <c r="ED66" s="347">
        <v>0</v>
      </c>
      <c r="EE66" s="347">
        <v>0</v>
      </c>
      <c r="EF66" s="347">
        <v>0</v>
      </c>
      <c r="EG66" s="347">
        <v>0</v>
      </c>
      <c r="EH66" s="347">
        <v>0</v>
      </c>
      <c r="EI66" s="347">
        <v>0</v>
      </c>
      <c r="EJ66" s="347">
        <v>0.63597687452192309</v>
      </c>
      <c r="EK66" s="347">
        <v>57.792432697187991</v>
      </c>
      <c r="EL66" s="347">
        <v>0</v>
      </c>
      <c r="EM66" s="347">
        <v>0.71321032271020557</v>
      </c>
      <c r="EN66" s="347">
        <v>60.03097548074021</v>
      </c>
      <c r="EO66" s="347">
        <v>0</v>
      </c>
      <c r="EP66" s="347">
        <v>0</v>
      </c>
      <c r="EQ66" s="347">
        <v>0</v>
      </c>
      <c r="ER66" s="347">
        <v>2.4757841933184381</v>
      </c>
      <c r="ES66" s="347">
        <v>0</v>
      </c>
      <c r="ET66" s="347">
        <v>1.5745414932574409</v>
      </c>
      <c r="EU66" s="347">
        <v>143.0815913651177</v>
      </c>
      <c r="EV66" s="347">
        <v>0</v>
      </c>
      <c r="EW66" s="347">
        <v>1.7657548434774692</v>
      </c>
      <c r="EX66" s="347">
        <v>148.62374020470335</v>
      </c>
      <c r="EY66" s="347">
        <v>0</v>
      </c>
      <c r="EZ66" s="347">
        <v>0</v>
      </c>
      <c r="FA66" s="347">
        <v>0</v>
      </c>
      <c r="FB66" s="347">
        <v>0</v>
      </c>
      <c r="FC66" s="347">
        <v>496.00472955468439</v>
      </c>
      <c r="FD66" s="347">
        <v>515.66359023484517</v>
      </c>
      <c r="FE66" s="347">
        <v>0</v>
      </c>
      <c r="FF66" s="347">
        <v>0</v>
      </c>
      <c r="FG66" s="347">
        <v>437.33560734056601</v>
      </c>
      <c r="FH66" s="347">
        <v>30.302237189338847</v>
      </c>
      <c r="FI66" s="347">
        <v>9.9373345134410922</v>
      </c>
      <c r="FJ66" s="347">
        <v>2.9085791329390709</v>
      </c>
      <c r="FK66" s="347">
        <v>0</v>
      </c>
      <c r="FL66" s="347">
        <v>480.48375817628499</v>
      </c>
      <c r="FM66" s="347">
        <v>0</v>
      </c>
      <c r="FN66" s="347">
        <v>0</v>
      </c>
      <c r="FO66" s="347">
        <v>2.7064421430510102</v>
      </c>
      <c r="FP66" s="347">
        <v>6.1344214706336908</v>
      </c>
      <c r="FQ66" s="347">
        <v>0</v>
      </c>
      <c r="FR66" s="347">
        <v>0</v>
      </c>
      <c r="FS66" s="347">
        <v>0</v>
      </c>
      <c r="FT66" s="347">
        <v>0</v>
      </c>
      <c r="FU66" s="347">
        <v>0.64195754243819725</v>
      </c>
      <c r="FV66" s="347">
        <v>3.7055454745901617</v>
      </c>
      <c r="FW66" s="347">
        <v>0</v>
      </c>
      <c r="FX66" s="347">
        <v>0.75628407371465567</v>
      </c>
      <c r="FY66" s="347">
        <v>7.0191982708963794</v>
      </c>
      <c r="FZ66" s="347">
        <v>0</v>
      </c>
      <c r="GA66" s="347">
        <v>0</v>
      </c>
      <c r="GB66" s="347">
        <v>0</v>
      </c>
      <c r="GC66" s="347">
        <v>0</v>
      </c>
      <c r="GD66" s="347">
        <v>22.074826146257124</v>
      </c>
      <c r="GE66" s="347">
        <v>41.078044205610468</v>
      </c>
      <c r="GF66" s="347">
        <v>0</v>
      </c>
      <c r="GG66" s="347">
        <v>26.784238307951977</v>
      </c>
      <c r="GH66" s="347">
        <v>49.841576007800519</v>
      </c>
      <c r="GI66" s="347">
        <v>0</v>
      </c>
      <c r="GJ66" s="347">
        <v>0</v>
      </c>
      <c r="GK66" s="347">
        <v>0</v>
      </c>
      <c r="GL66" s="347">
        <v>0</v>
      </c>
      <c r="GM66" s="347">
        <v>0</v>
      </c>
      <c r="GN66" s="347">
        <v>3.4800445490048451</v>
      </c>
      <c r="GO66" s="347">
        <v>3.4288537910818846</v>
      </c>
      <c r="GP66" s="347">
        <v>0</v>
      </c>
      <c r="GQ66" s="347">
        <v>0</v>
      </c>
      <c r="GR66" s="347">
        <v>182.21188003905104</v>
      </c>
      <c r="GS66" s="347">
        <v>7.9878894034482135</v>
      </c>
      <c r="GT66" s="347">
        <v>3.4800445490048451</v>
      </c>
      <c r="GU66" s="347">
        <v>0</v>
      </c>
      <c r="GV66" s="347">
        <v>171.76169731210922</v>
      </c>
      <c r="GW66" s="347">
        <v>8.340639955537311</v>
      </c>
      <c r="GX66" s="347">
        <v>3.4288537910818846</v>
      </c>
      <c r="GY66" s="347">
        <v>0</v>
      </c>
      <c r="GZ66" s="347">
        <v>0</v>
      </c>
      <c r="HA66" s="347">
        <v>0</v>
      </c>
      <c r="HB66" s="347" t="e">
        <v>#N/A</v>
      </c>
      <c r="HC66" s="347" t="e">
        <v>#N/A</v>
      </c>
      <c r="HD66" s="347" t="e">
        <v>#N/A</v>
      </c>
      <c r="HE66" s="347" t="e">
        <v>#N/A</v>
      </c>
      <c r="HF66" s="347" t="e">
        <v>#N/A</v>
      </c>
      <c r="HG66" s="347" t="e">
        <v>#N/A</v>
      </c>
      <c r="HH66" s="347" t="e">
        <v>#N/A</v>
      </c>
      <c r="HI66" s="347" t="e">
        <v>#N/A</v>
      </c>
      <c r="HJ66" s="347" t="e">
        <v>#N/A</v>
      </c>
      <c r="HK66" s="347" t="e">
        <v>#N/A</v>
      </c>
      <c r="HL66" s="347" t="e">
        <v>#N/A</v>
      </c>
      <c r="HM66" s="347" t="e">
        <v>#N/A</v>
      </c>
      <c r="HN66" s="347" t="e">
        <v>#N/A</v>
      </c>
      <c r="HO66" s="347" t="e">
        <v>#N/A</v>
      </c>
      <c r="HP66" s="347" t="e">
        <v>#N/A</v>
      </c>
      <c r="HQ66" s="347" t="e">
        <v>#N/A</v>
      </c>
      <c r="HR66" s="347" t="e">
        <v>#N/A</v>
      </c>
      <c r="HS66" s="347" t="e">
        <v>#N/A</v>
      </c>
      <c r="HT66" s="347" t="e">
        <v>#N/A</v>
      </c>
      <c r="HU66" s="347" t="e">
        <v>#N/A</v>
      </c>
      <c r="HV66" s="347" t="e">
        <v>#N/A</v>
      </c>
      <c r="HW66" s="347" t="e">
        <v>#N/A</v>
      </c>
      <c r="HX66" s="347" t="e">
        <v>#N/A</v>
      </c>
      <c r="HY66" s="347" t="e">
        <v>#N/A</v>
      </c>
      <c r="HZ66" s="347" t="e">
        <v>#N/A</v>
      </c>
      <c r="IA66" s="347" t="e">
        <v>#N/A</v>
      </c>
      <c r="IB66" s="347" t="e">
        <v>#N/A</v>
      </c>
      <c r="IC66" s="347" t="e">
        <v>#N/A</v>
      </c>
      <c r="ID66" s="347" t="e">
        <v>#N/A</v>
      </c>
      <c r="IE66" s="347" t="e">
        <v>#N/A</v>
      </c>
      <c r="IF66" s="347" t="e">
        <v>#N/A</v>
      </c>
      <c r="IG66" s="347" t="e">
        <v>#N/A</v>
      </c>
      <c r="IH66" s="347" t="e">
        <v>#N/A</v>
      </c>
      <c r="II66" s="347" t="e">
        <v>#N/A</v>
      </c>
      <c r="IJ66" s="347" t="e">
        <v>#N/A</v>
      </c>
      <c r="IK66" s="347" t="e">
        <v>#N/A</v>
      </c>
      <c r="IL66" s="347" t="e">
        <v>#N/A</v>
      </c>
      <c r="IM66" s="347" t="e">
        <v>#N/A</v>
      </c>
      <c r="IN66" s="347" t="e">
        <v>#N/A</v>
      </c>
      <c r="IO66" s="347" t="e">
        <v>#N/A</v>
      </c>
      <c r="IP66" s="347" t="e">
        <v>#N/A</v>
      </c>
      <c r="IQ66" s="347" t="e">
        <v>#N/A</v>
      </c>
      <c r="IR66" s="347" t="e">
        <v>#N/A</v>
      </c>
      <c r="IS66" s="347" t="e">
        <v>#N/A</v>
      </c>
      <c r="IT66" s="347" t="e">
        <v>#N/A</v>
      </c>
      <c r="IU66" s="347" t="e">
        <v>#N/A</v>
      </c>
      <c r="IV66" s="347" t="e">
        <v>#N/A</v>
      </c>
      <c r="IW66" s="347" t="e">
        <v>#N/A</v>
      </c>
      <c r="IX66" s="347" t="e">
        <v>#N/A</v>
      </c>
      <c r="IY66" s="347" t="e">
        <v>#N/A</v>
      </c>
      <c r="IZ66" s="347" t="e">
        <v>#N/A</v>
      </c>
      <c r="JA66" s="347" t="e">
        <v>#N/A</v>
      </c>
      <c r="JB66" s="347" t="e">
        <v>#N/A</v>
      </c>
      <c r="JC66" s="347" t="e">
        <v>#N/A</v>
      </c>
      <c r="JD66" s="347" t="e">
        <v>#N/A</v>
      </c>
      <c r="JE66" s="347" t="e">
        <v>#N/A</v>
      </c>
      <c r="JF66" s="347" t="e">
        <v>#N/A</v>
      </c>
      <c r="JG66" s="347" t="e">
        <v>#N/A</v>
      </c>
      <c r="JH66" s="347" t="e">
        <v>#N/A</v>
      </c>
      <c r="JI66" s="347" t="e">
        <v>#N/A</v>
      </c>
      <c r="JJ66" s="347" t="e">
        <v>#N/A</v>
      </c>
      <c r="JK66" s="347" t="e">
        <v>#N/A</v>
      </c>
      <c r="JL66" s="347" t="e">
        <v>#N/A</v>
      </c>
      <c r="JM66" s="347" t="e">
        <v>#N/A</v>
      </c>
      <c r="JN66" s="347" t="e">
        <v>#N/A</v>
      </c>
      <c r="JO66" s="347" t="e">
        <v>#N/A</v>
      </c>
      <c r="JP66" s="347" t="e">
        <v>#N/A</v>
      </c>
      <c r="JQ66" s="347" t="e">
        <v>#N/A</v>
      </c>
      <c r="JR66" s="347" t="e">
        <v>#N/A</v>
      </c>
      <c r="JS66" s="347" t="e">
        <v>#N/A</v>
      </c>
      <c r="JT66" s="347" t="e">
        <v>#N/A</v>
      </c>
      <c r="JU66" s="347" t="e">
        <v>#N/A</v>
      </c>
      <c r="JV66" s="347" t="e">
        <v>#N/A</v>
      </c>
      <c r="JW66" s="347" t="e">
        <v>#N/A</v>
      </c>
      <c r="JX66" s="347" t="e">
        <v>#N/A</v>
      </c>
      <c r="JY66" s="347" t="e">
        <v>#N/A</v>
      </c>
      <c r="JZ66" s="347" t="e">
        <v>#N/A</v>
      </c>
      <c r="KA66" s="347" t="e">
        <v>#N/A</v>
      </c>
      <c r="KB66" s="347" t="e">
        <v>#N/A</v>
      </c>
      <c r="KC66" s="347" t="e">
        <v>#N/A</v>
      </c>
      <c r="KD66" s="347" t="e">
        <v>#N/A</v>
      </c>
      <c r="KE66" s="347" t="e">
        <v>#N/A</v>
      </c>
      <c r="KF66" s="347" t="e">
        <v>#N/A</v>
      </c>
      <c r="KG66" s="347" t="e">
        <v>#N/A</v>
      </c>
      <c r="KH66" s="347" t="e">
        <v>#N/A</v>
      </c>
      <c r="KI66" s="347" t="e">
        <v>#N/A</v>
      </c>
      <c r="KJ66" s="347" t="e">
        <v>#N/A</v>
      </c>
      <c r="KK66" s="347" t="e">
        <v>#N/A</v>
      </c>
      <c r="KL66" s="347" t="e">
        <v>#N/A</v>
      </c>
      <c r="KM66" s="347" t="e">
        <v>#N/A</v>
      </c>
      <c r="KN66" s="347" t="e">
        <v>#N/A</v>
      </c>
    </row>
    <row r="67" spans="1:300" x14ac:dyDescent="0.15">
      <c r="A67" s="347">
        <v>13</v>
      </c>
      <c r="B67" s="347">
        <v>0.91593592735711304</v>
      </c>
      <c r="C67" s="347">
        <v>8.3497088289884641E-2</v>
      </c>
      <c r="D67" s="347">
        <v>269.13805562808773</v>
      </c>
      <c r="E67" s="347">
        <v>0.37155652241980375</v>
      </c>
      <c r="F67" s="347">
        <v>-0.99131801229106931</v>
      </c>
      <c r="G67" s="347">
        <v>171.62161399251983</v>
      </c>
      <c r="H67" s="347">
        <v>185.95151904850576</v>
      </c>
      <c r="I67" s="347">
        <v>0</v>
      </c>
      <c r="J67" s="347">
        <v>0.40252422403363619</v>
      </c>
      <c r="K67" s="347">
        <v>0</v>
      </c>
      <c r="L67" s="347">
        <v>-0.53995729021131855</v>
      </c>
      <c r="M67" s="347">
        <v>188.51310252353994</v>
      </c>
      <c r="N67" s="347">
        <v>3.4403641210546043</v>
      </c>
      <c r="O67" s="347">
        <v>0</v>
      </c>
      <c r="P67" s="347">
        <v>0</v>
      </c>
      <c r="Q67" s="347">
        <v>0</v>
      </c>
      <c r="R67" s="347">
        <v>0</v>
      </c>
      <c r="S67" s="347">
        <v>0</v>
      </c>
      <c r="T67" s="347">
        <v>14.769807938826441</v>
      </c>
      <c r="U67" s="347">
        <v>0.14769807938826446</v>
      </c>
      <c r="V67" s="347">
        <v>0</v>
      </c>
      <c r="W67" s="347">
        <v>14.769807938826441</v>
      </c>
      <c r="X67" s="347">
        <v>0.14769807938826446</v>
      </c>
      <c r="Y67" s="347">
        <v>0</v>
      </c>
      <c r="Z67" s="347">
        <v>0</v>
      </c>
      <c r="AA67" s="347">
        <v>0</v>
      </c>
      <c r="AB67" s="347">
        <v>0</v>
      </c>
      <c r="AC67" s="347">
        <v>0</v>
      </c>
      <c r="AD67" s="347">
        <v>0</v>
      </c>
      <c r="AE67" s="347">
        <v>0</v>
      </c>
      <c r="AF67" s="347">
        <v>1.3872826597967309E-4</v>
      </c>
      <c r="AG67" s="347">
        <v>2.1729394065562882E-4</v>
      </c>
      <c r="AH67" s="347">
        <v>5.5850373618143701E-4</v>
      </c>
      <c r="AI67" s="347">
        <v>1.3161981587713411E-3</v>
      </c>
      <c r="AJ67" s="347">
        <v>2.3904142370581214E-3</v>
      </c>
      <c r="AK67" s="347">
        <v>3.1897700510157565E-3</v>
      </c>
      <c r="AL67" s="347">
        <v>2.5893883485318416E-3</v>
      </c>
      <c r="AM67" s="347">
        <v>1.5295112268891202E-3</v>
      </c>
      <c r="AN67" s="347">
        <v>7.1701395566214606E-4</v>
      </c>
      <c r="AO67" s="347">
        <v>4.6432996675056462E-4</v>
      </c>
      <c r="AP67" s="347">
        <v>0</v>
      </c>
      <c r="AQ67" s="347">
        <v>0</v>
      </c>
      <c r="AR67" s="347">
        <v>0</v>
      </c>
      <c r="AS67" s="347">
        <v>0</v>
      </c>
      <c r="AT67" s="347">
        <v>0</v>
      </c>
      <c r="AU67" s="347">
        <v>0</v>
      </c>
      <c r="AV67" s="347">
        <v>0</v>
      </c>
      <c r="AW67" s="347">
        <v>0</v>
      </c>
      <c r="AX67" s="347">
        <v>0</v>
      </c>
      <c r="AY67" s="347">
        <v>0</v>
      </c>
      <c r="AZ67" s="347">
        <v>0</v>
      </c>
      <c r="BA67" s="347">
        <v>0</v>
      </c>
      <c r="BB67" s="347">
        <v>0</v>
      </c>
      <c r="BC67" s="347">
        <v>0</v>
      </c>
      <c r="BD67" s="347">
        <v>0</v>
      </c>
      <c r="BE67" s="347">
        <v>0</v>
      </c>
      <c r="BF67" s="347">
        <v>0</v>
      </c>
      <c r="BG67" s="347">
        <v>0</v>
      </c>
      <c r="BH67" s="347">
        <v>0</v>
      </c>
      <c r="BI67" s="347">
        <v>0</v>
      </c>
      <c r="BJ67" s="347">
        <v>0</v>
      </c>
      <c r="BK67" s="347">
        <v>0</v>
      </c>
      <c r="BL67" s="347">
        <v>0</v>
      </c>
      <c r="BM67" s="347">
        <v>0</v>
      </c>
      <c r="BN67" s="347">
        <v>0</v>
      </c>
      <c r="BO67" s="347">
        <v>0</v>
      </c>
      <c r="BP67" s="347">
        <v>0</v>
      </c>
      <c r="BQ67" s="347">
        <v>0</v>
      </c>
      <c r="BR67" s="347">
        <v>0</v>
      </c>
      <c r="BS67" s="347">
        <v>0</v>
      </c>
      <c r="BT67" s="347">
        <v>1.3111151887495631E-2</v>
      </c>
      <c r="BU67" s="347">
        <v>0</v>
      </c>
      <c r="BV67" s="347">
        <v>0.17184060821807604</v>
      </c>
      <c r="BW67" s="347">
        <v>1.3111151887495631E-2</v>
      </c>
      <c r="BX67" s="347">
        <v>8.5920304109038028E-3</v>
      </c>
      <c r="BY67" s="347">
        <v>0</v>
      </c>
      <c r="BZ67" s="347">
        <v>0</v>
      </c>
      <c r="CA67" s="347">
        <v>0</v>
      </c>
      <c r="CB67" s="347">
        <v>18.202515775574906</v>
      </c>
      <c r="CC67" s="347">
        <v>1.0237064487941747</v>
      </c>
      <c r="CD67" s="347">
        <v>0.91012578877874528</v>
      </c>
      <c r="CE67" s="347">
        <v>0</v>
      </c>
      <c r="CF67" s="347">
        <v>18.202515775574906</v>
      </c>
      <c r="CG67" s="347">
        <v>1.0237064487941747</v>
      </c>
      <c r="CH67" s="347">
        <v>0.91012578877874528</v>
      </c>
      <c r="CI67" s="347">
        <v>0</v>
      </c>
      <c r="CJ67" s="347">
        <v>0</v>
      </c>
      <c r="CK67" s="347">
        <v>0</v>
      </c>
      <c r="CL67" s="347">
        <v>0</v>
      </c>
      <c r="CM67" s="347">
        <v>7.9556719760962166E-2</v>
      </c>
      <c r="CN67" s="347">
        <v>0.37843209839634612</v>
      </c>
      <c r="CO67" s="347">
        <v>0</v>
      </c>
      <c r="CP67" s="347">
        <v>0</v>
      </c>
      <c r="CQ67" s="347">
        <v>244.03998504441046</v>
      </c>
      <c r="CR67" s="347">
        <v>12.201999252220524</v>
      </c>
      <c r="CS67" s="347">
        <v>32.410212031838874</v>
      </c>
      <c r="CT67" s="347">
        <v>264.24819782402881</v>
      </c>
      <c r="CU67" s="347">
        <v>0</v>
      </c>
      <c r="CV67" s="347">
        <v>54.473174965541652</v>
      </c>
      <c r="CW67" s="347">
        <v>0</v>
      </c>
      <c r="CX67" s="347">
        <v>2.7236587482770829</v>
      </c>
      <c r="CY67" s="347">
        <v>51.749516217264571</v>
      </c>
      <c r="CZ67" s="347">
        <v>0</v>
      </c>
      <c r="DA67" s="347">
        <v>3.5503461122475484</v>
      </c>
      <c r="DB67" s="347">
        <v>3.4560050458125575</v>
      </c>
      <c r="DC67" s="347">
        <v>0</v>
      </c>
      <c r="DD67" s="347">
        <v>1.391125749322031</v>
      </c>
      <c r="DE67" s="347">
        <v>4.3910077625456223</v>
      </c>
      <c r="DF67" s="347">
        <v>0</v>
      </c>
      <c r="DG67" s="347">
        <v>0</v>
      </c>
      <c r="DH67" s="347">
        <v>0</v>
      </c>
      <c r="DI67" s="347">
        <v>1.9065611237939579</v>
      </c>
      <c r="DJ67" s="347">
        <v>1.9065611237939579</v>
      </c>
      <c r="DK67" s="347">
        <v>0</v>
      </c>
      <c r="DL67" s="347">
        <v>0.51535994771303095</v>
      </c>
      <c r="DM67" s="347">
        <v>0.51535994771303095</v>
      </c>
      <c r="DN67" s="347">
        <v>12.265064548679289</v>
      </c>
      <c r="DO67" s="347">
        <v>0</v>
      </c>
      <c r="DP67" s="347">
        <v>191.55408290138976</v>
      </c>
      <c r="DQ67" s="347">
        <v>186.48095264093675</v>
      </c>
      <c r="DR67" s="347">
        <v>0</v>
      </c>
      <c r="DS67" s="347">
        <v>0</v>
      </c>
      <c r="DT67" s="347">
        <v>0</v>
      </c>
      <c r="DU67" s="347">
        <v>0</v>
      </c>
      <c r="DV67" s="347">
        <v>2.421921071506989</v>
      </c>
      <c r="DW67" s="347">
        <v>0.97488189997906349</v>
      </c>
      <c r="DX67" s="347">
        <v>3.3829116055541526</v>
      </c>
      <c r="DY67" s="347">
        <v>0</v>
      </c>
      <c r="DZ67" s="347">
        <v>207.75519581671449</v>
      </c>
      <c r="EA67" s="347">
        <v>83.626498985079138</v>
      </c>
      <c r="EB67" s="347">
        <v>250.62774818808617</v>
      </c>
      <c r="EC67" s="347">
        <v>0</v>
      </c>
      <c r="ED67" s="347">
        <v>0</v>
      </c>
      <c r="EE67" s="347">
        <v>0</v>
      </c>
      <c r="EF67" s="347">
        <v>0</v>
      </c>
      <c r="EG67" s="347">
        <v>0</v>
      </c>
      <c r="EH67" s="347">
        <v>0</v>
      </c>
      <c r="EI67" s="347">
        <v>0</v>
      </c>
      <c r="EJ67" s="347">
        <v>0.63597687452192309</v>
      </c>
      <c r="EK67" s="347">
        <v>57.792432697187991</v>
      </c>
      <c r="EL67" s="347">
        <v>0</v>
      </c>
      <c r="EM67" s="347">
        <v>0.71321032271020557</v>
      </c>
      <c r="EN67" s="347">
        <v>60.03097548074021</v>
      </c>
      <c r="EO67" s="347">
        <v>0</v>
      </c>
      <c r="EP67" s="347">
        <v>0</v>
      </c>
      <c r="EQ67" s="347">
        <v>0</v>
      </c>
      <c r="ER67" s="347">
        <v>2.6913805562808784</v>
      </c>
      <c r="ES67" s="347">
        <v>0</v>
      </c>
      <c r="ET67" s="347">
        <v>1.7116557943325876</v>
      </c>
      <c r="EU67" s="347">
        <v>155.54142966138303</v>
      </c>
      <c r="EV67" s="347">
        <v>0</v>
      </c>
      <c r="EW67" s="347">
        <v>1.9195203950810578</v>
      </c>
      <c r="EX67" s="347">
        <v>161.56620018343835</v>
      </c>
      <c r="EY67" s="347">
        <v>0</v>
      </c>
      <c r="EZ67" s="347">
        <v>0</v>
      </c>
      <c r="FA67" s="347">
        <v>0</v>
      </c>
      <c r="FB67" s="347">
        <v>0</v>
      </c>
      <c r="FC67" s="347">
        <v>541.00787312697764</v>
      </c>
      <c r="FD67" s="347">
        <v>562.4504073830966</v>
      </c>
      <c r="FE67" s="347">
        <v>0</v>
      </c>
      <c r="FF67" s="347">
        <v>0</v>
      </c>
      <c r="FG67" s="347">
        <v>490.92708825393368</v>
      </c>
      <c r="FH67" s="347">
        <v>33.009956247845345</v>
      </c>
      <c r="FI67" s="347">
        <v>10.262563075880157</v>
      </c>
      <c r="FJ67" s="347">
        <v>2.7740594855215632</v>
      </c>
      <c r="FK67" s="347">
        <v>0</v>
      </c>
      <c r="FL67" s="347">
        <v>536.97366706318076</v>
      </c>
      <c r="FM67" s="347">
        <v>0</v>
      </c>
      <c r="FN67" s="347">
        <v>0</v>
      </c>
      <c r="FO67" s="347">
        <v>0.60335787952098208</v>
      </c>
      <c r="FP67" s="347">
        <v>3.8103140428240301</v>
      </c>
      <c r="FQ67" s="347">
        <v>0</v>
      </c>
      <c r="FR67" s="347">
        <v>0</v>
      </c>
      <c r="FS67" s="347">
        <v>0</v>
      </c>
      <c r="FT67" s="347">
        <v>0</v>
      </c>
      <c r="FU67" s="347">
        <v>0.59149487236170872</v>
      </c>
      <c r="FV67" s="347">
        <v>1.3831769710110324</v>
      </c>
      <c r="FW67" s="347">
        <v>0</v>
      </c>
      <c r="FX67" s="347">
        <v>0.69845006055551917</v>
      </c>
      <c r="FY67" s="347">
        <v>4.4831779461202652</v>
      </c>
      <c r="FZ67" s="347">
        <v>0</v>
      </c>
      <c r="GA67" s="347">
        <v>0</v>
      </c>
      <c r="GB67" s="347">
        <v>0</v>
      </c>
      <c r="GC67" s="347">
        <v>0</v>
      </c>
      <c r="GD67" s="347">
        <v>10.158402993987352</v>
      </c>
      <c r="GE67" s="347">
        <v>30.885807335653908</v>
      </c>
      <c r="GF67" s="347">
        <v>0</v>
      </c>
      <c r="GG67" s="347">
        <v>11.161537360257016</v>
      </c>
      <c r="GH67" s="347">
        <v>33.935756701387518</v>
      </c>
      <c r="GI67" s="347">
        <v>0</v>
      </c>
      <c r="GJ67" s="347">
        <v>0</v>
      </c>
      <c r="GK67" s="347">
        <v>0</v>
      </c>
      <c r="GL67" s="347">
        <v>0</v>
      </c>
      <c r="GM67" s="347">
        <v>0</v>
      </c>
      <c r="GN67" s="347">
        <v>3.5503461122475488</v>
      </c>
      <c r="GO67" s="347">
        <v>3.4403641210546043</v>
      </c>
      <c r="GP67" s="347">
        <v>0</v>
      </c>
      <c r="GQ67" s="347">
        <v>0</v>
      </c>
      <c r="GR67" s="347">
        <v>191.55408290138976</v>
      </c>
      <c r="GS67" s="347">
        <v>7.9927277734823345</v>
      </c>
      <c r="GT67" s="347">
        <v>3.5503461122475488</v>
      </c>
      <c r="GU67" s="347">
        <v>0</v>
      </c>
      <c r="GV67" s="347">
        <v>171.62161399251983</v>
      </c>
      <c r="GW67" s="347">
        <v>8.3497088289884633</v>
      </c>
      <c r="GX67" s="347">
        <v>3.4403641210546043</v>
      </c>
      <c r="GY67" s="347">
        <v>0</v>
      </c>
      <c r="GZ67" s="347">
        <v>0</v>
      </c>
      <c r="HA67" s="347">
        <v>0</v>
      </c>
      <c r="HB67" s="347" t="e">
        <v>#N/A</v>
      </c>
      <c r="HC67" s="347" t="e">
        <v>#N/A</v>
      </c>
      <c r="HD67" s="347" t="e">
        <v>#N/A</v>
      </c>
      <c r="HE67" s="347" t="e">
        <v>#N/A</v>
      </c>
      <c r="HF67" s="347" t="e">
        <v>#N/A</v>
      </c>
      <c r="HG67" s="347" t="e">
        <v>#N/A</v>
      </c>
      <c r="HH67" s="347" t="e">
        <v>#N/A</v>
      </c>
      <c r="HI67" s="347" t="e">
        <v>#N/A</v>
      </c>
      <c r="HJ67" s="347" t="e">
        <v>#N/A</v>
      </c>
      <c r="HK67" s="347" t="e">
        <v>#N/A</v>
      </c>
      <c r="HL67" s="347" t="e">
        <v>#N/A</v>
      </c>
      <c r="HM67" s="347" t="e">
        <v>#N/A</v>
      </c>
      <c r="HN67" s="347" t="e">
        <v>#N/A</v>
      </c>
      <c r="HO67" s="347" t="e">
        <v>#N/A</v>
      </c>
      <c r="HP67" s="347" t="e">
        <v>#N/A</v>
      </c>
      <c r="HQ67" s="347" t="e">
        <v>#N/A</v>
      </c>
      <c r="HR67" s="347" t="e">
        <v>#N/A</v>
      </c>
      <c r="HS67" s="347" t="e">
        <v>#N/A</v>
      </c>
      <c r="HT67" s="347" t="e">
        <v>#N/A</v>
      </c>
      <c r="HU67" s="347" t="e">
        <v>#N/A</v>
      </c>
      <c r="HV67" s="347" t="e">
        <v>#N/A</v>
      </c>
      <c r="HW67" s="347" t="e">
        <v>#N/A</v>
      </c>
      <c r="HX67" s="347" t="e">
        <v>#N/A</v>
      </c>
      <c r="HY67" s="347" t="e">
        <v>#N/A</v>
      </c>
      <c r="HZ67" s="347" t="e">
        <v>#N/A</v>
      </c>
      <c r="IA67" s="347" t="e">
        <v>#N/A</v>
      </c>
      <c r="IB67" s="347" t="e">
        <v>#N/A</v>
      </c>
      <c r="IC67" s="347" t="e">
        <v>#N/A</v>
      </c>
      <c r="ID67" s="347" t="e">
        <v>#N/A</v>
      </c>
      <c r="IE67" s="347" t="e">
        <v>#N/A</v>
      </c>
      <c r="IF67" s="347" t="e">
        <v>#N/A</v>
      </c>
      <c r="IG67" s="347" t="e">
        <v>#N/A</v>
      </c>
      <c r="IH67" s="347" t="e">
        <v>#N/A</v>
      </c>
      <c r="II67" s="347" t="e">
        <v>#N/A</v>
      </c>
      <c r="IJ67" s="347" t="e">
        <v>#N/A</v>
      </c>
      <c r="IK67" s="347" t="e">
        <v>#N/A</v>
      </c>
      <c r="IL67" s="347" t="e">
        <v>#N/A</v>
      </c>
      <c r="IM67" s="347" t="e">
        <v>#N/A</v>
      </c>
      <c r="IN67" s="347" t="e">
        <v>#N/A</v>
      </c>
      <c r="IO67" s="347" t="e">
        <v>#N/A</v>
      </c>
      <c r="IP67" s="347" t="e">
        <v>#N/A</v>
      </c>
      <c r="IQ67" s="347" t="e">
        <v>#N/A</v>
      </c>
      <c r="IR67" s="347" t="e">
        <v>#N/A</v>
      </c>
      <c r="IS67" s="347" t="e">
        <v>#N/A</v>
      </c>
      <c r="IT67" s="347" t="e">
        <v>#N/A</v>
      </c>
      <c r="IU67" s="347" t="e">
        <v>#N/A</v>
      </c>
      <c r="IV67" s="347" t="e">
        <v>#N/A</v>
      </c>
      <c r="IW67" s="347" t="e">
        <v>#N/A</v>
      </c>
      <c r="IX67" s="347" t="e">
        <v>#N/A</v>
      </c>
      <c r="IY67" s="347" t="e">
        <v>#N/A</v>
      </c>
      <c r="IZ67" s="347" t="e">
        <v>#N/A</v>
      </c>
      <c r="JA67" s="347" t="e">
        <v>#N/A</v>
      </c>
      <c r="JB67" s="347" t="e">
        <v>#N/A</v>
      </c>
      <c r="JC67" s="347" t="e">
        <v>#N/A</v>
      </c>
      <c r="JD67" s="347" t="e">
        <v>#N/A</v>
      </c>
      <c r="JE67" s="347" t="e">
        <v>#N/A</v>
      </c>
      <c r="JF67" s="347" t="e">
        <v>#N/A</v>
      </c>
      <c r="JG67" s="347" t="e">
        <v>#N/A</v>
      </c>
      <c r="JH67" s="347" t="e">
        <v>#N/A</v>
      </c>
      <c r="JI67" s="347" t="e">
        <v>#N/A</v>
      </c>
      <c r="JJ67" s="347" t="e">
        <v>#N/A</v>
      </c>
      <c r="JK67" s="347" t="e">
        <v>#N/A</v>
      </c>
      <c r="JL67" s="347" t="e">
        <v>#N/A</v>
      </c>
      <c r="JM67" s="347" t="e">
        <v>#N/A</v>
      </c>
      <c r="JN67" s="347" t="e">
        <v>#N/A</v>
      </c>
      <c r="JO67" s="347" t="e">
        <v>#N/A</v>
      </c>
      <c r="JP67" s="347" t="e">
        <v>#N/A</v>
      </c>
      <c r="JQ67" s="347" t="e">
        <v>#N/A</v>
      </c>
      <c r="JR67" s="347" t="e">
        <v>#N/A</v>
      </c>
      <c r="JS67" s="347" t="e">
        <v>#N/A</v>
      </c>
      <c r="JT67" s="347" t="e">
        <v>#N/A</v>
      </c>
      <c r="JU67" s="347" t="e">
        <v>#N/A</v>
      </c>
      <c r="JV67" s="347" t="e">
        <v>#N/A</v>
      </c>
      <c r="JW67" s="347" t="e">
        <v>#N/A</v>
      </c>
      <c r="JX67" s="347" t="e">
        <v>#N/A</v>
      </c>
      <c r="JY67" s="347" t="e">
        <v>#N/A</v>
      </c>
      <c r="JZ67" s="347" t="e">
        <v>#N/A</v>
      </c>
      <c r="KA67" s="347" t="e">
        <v>#N/A</v>
      </c>
      <c r="KB67" s="347" t="e">
        <v>#N/A</v>
      </c>
      <c r="KC67" s="347" t="e">
        <v>#N/A</v>
      </c>
      <c r="KD67" s="347" t="e">
        <v>#N/A</v>
      </c>
      <c r="KE67" s="347" t="e">
        <v>#N/A</v>
      </c>
      <c r="KF67" s="347" t="e">
        <v>#N/A</v>
      </c>
      <c r="KG67" s="347" t="e">
        <v>#N/A</v>
      </c>
      <c r="KH67" s="347" t="e">
        <v>#N/A</v>
      </c>
      <c r="KI67" s="347" t="e">
        <v>#N/A</v>
      </c>
      <c r="KJ67" s="347" t="e">
        <v>#N/A</v>
      </c>
      <c r="KK67" s="347" t="e">
        <v>#N/A</v>
      </c>
      <c r="KL67" s="347" t="e">
        <v>#N/A</v>
      </c>
      <c r="KM67" s="347" t="e">
        <v>#N/A</v>
      </c>
      <c r="KN67" s="347" t="e">
        <v>#N/A</v>
      </c>
    </row>
    <row r="68" spans="1:300" x14ac:dyDescent="0.15">
      <c r="A68" s="347">
        <v>14</v>
      </c>
      <c r="B68" s="347">
        <v>0.28510759184521567</v>
      </c>
      <c r="C68" s="347">
        <v>8.2502489682622096E-2</v>
      </c>
      <c r="D68" s="347">
        <v>292.28429907830457</v>
      </c>
      <c r="E68" s="347">
        <v>0.34213264385169534</v>
      </c>
      <c r="F68" s="347">
        <v>0.63435680488789481</v>
      </c>
      <c r="G68" s="347">
        <v>186.00247406209897</v>
      </c>
      <c r="H68" s="347">
        <v>201.34814125934946</v>
      </c>
      <c r="I68" s="347">
        <v>0</v>
      </c>
      <c r="J68" s="347">
        <v>0.37531109885139974</v>
      </c>
      <c r="K68" s="347">
        <v>0</v>
      </c>
      <c r="L68" s="347">
        <v>0.41082096870385026</v>
      </c>
      <c r="M68" s="347">
        <v>194.6186772790789</v>
      </c>
      <c r="N68" s="347">
        <v>3.55179086034319</v>
      </c>
      <c r="O68" s="347">
        <v>0</v>
      </c>
      <c r="P68" s="347">
        <v>0</v>
      </c>
      <c r="Q68" s="347">
        <v>0</v>
      </c>
      <c r="R68" s="347">
        <v>0</v>
      </c>
      <c r="S68" s="347">
        <v>0</v>
      </c>
      <c r="T68" s="347">
        <v>15.219615556186355</v>
      </c>
      <c r="U68" s="347">
        <v>0.15219615556186361</v>
      </c>
      <c r="V68" s="347">
        <v>0</v>
      </c>
      <c r="W68" s="347">
        <v>15.219615556186355</v>
      </c>
      <c r="X68" s="347">
        <v>0.15219615556186361</v>
      </c>
      <c r="Y68" s="347">
        <v>0</v>
      </c>
      <c r="Z68" s="347">
        <v>0</v>
      </c>
      <c r="AA68" s="347">
        <v>0</v>
      </c>
      <c r="AB68" s="347">
        <v>0</v>
      </c>
      <c r="AC68" s="347">
        <v>0</v>
      </c>
      <c r="AD68" s="347">
        <v>0</v>
      </c>
      <c r="AE68" s="347">
        <v>0</v>
      </c>
      <c r="AF68" s="347">
        <v>1.3872826597967309E-4</v>
      </c>
      <c r="AG68" s="347">
        <v>2.1729394065562882E-4</v>
      </c>
      <c r="AH68" s="347">
        <v>5.5850373618143701E-4</v>
      </c>
      <c r="AI68" s="347">
        <v>1.3161981587713411E-3</v>
      </c>
      <c r="AJ68" s="347">
        <v>2.3904142370581214E-3</v>
      </c>
      <c r="AK68" s="347">
        <v>3.1897700510157565E-3</v>
      </c>
      <c r="AL68" s="347">
        <v>2.5893883485318416E-3</v>
      </c>
      <c r="AM68" s="347">
        <v>1.5295112268891202E-3</v>
      </c>
      <c r="AN68" s="347">
        <v>7.1701395566214606E-4</v>
      </c>
      <c r="AO68" s="347">
        <v>4.6432996675056462E-4</v>
      </c>
      <c r="AP68" s="347">
        <v>0</v>
      </c>
      <c r="AQ68" s="347">
        <v>0</v>
      </c>
      <c r="AR68" s="347">
        <v>0</v>
      </c>
      <c r="AS68" s="347">
        <v>0</v>
      </c>
      <c r="AT68" s="347">
        <v>0</v>
      </c>
      <c r="AU68" s="347">
        <v>0</v>
      </c>
      <c r="AV68" s="347">
        <v>0</v>
      </c>
      <c r="AW68" s="347">
        <v>0</v>
      </c>
      <c r="AX68" s="347">
        <v>0</v>
      </c>
      <c r="AY68" s="347">
        <v>0</v>
      </c>
      <c r="AZ68" s="347">
        <v>0</v>
      </c>
      <c r="BA68" s="347">
        <v>0</v>
      </c>
      <c r="BB68" s="347">
        <v>0</v>
      </c>
      <c r="BC68" s="347">
        <v>0</v>
      </c>
      <c r="BD68" s="347">
        <v>0</v>
      </c>
      <c r="BE68" s="347">
        <v>0</v>
      </c>
      <c r="BF68" s="347">
        <v>0</v>
      </c>
      <c r="BG68" s="347">
        <v>0</v>
      </c>
      <c r="BH68" s="347">
        <v>0</v>
      </c>
      <c r="BI68" s="347">
        <v>0</v>
      </c>
      <c r="BJ68" s="347">
        <v>0</v>
      </c>
      <c r="BK68" s="347">
        <v>0</v>
      </c>
      <c r="BL68" s="347">
        <v>0</v>
      </c>
      <c r="BM68" s="347">
        <v>0</v>
      </c>
      <c r="BN68" s="347">
        <v>0</v>
      </c>
      <c r="BO68" s="347">
        <v>0</v>
      </c>
      <c r="BP68" s="347">
        <v>0</v>
      </c>
      <c r="BQ68" s="347">
        <v>0</v>
      </c>
      <c r="BR68" s="347">
        <v>0</v>
      </c>
      <c r="BS68" s="347">
        <v>0</v>
      </c>
      <c r="BT68" s="347">
        <v>1.3111151887495631E-2</v>
      </c>
      <c r="BU68" s="347">
        <v>0</v>
      </c>
      <c r="BV68" s="347">
        <v>0.15872945633058042</v>
      </c>
      <c r="BW68" s="347">
        <v>1.3111151887495631E-2</v>
      </c>
      <c r="BX68" s="347">
        <v>7.9364728165290215E-3</v>
      </c>
      <c r="BY68" s="347">
        <v>0</v>
      </c>
      <c r="BZ68" s="347">
        <v>0</v>
      </c>
      <c r="CA68" s="347">
        <v>0</v>
      </c>
      <c r="CB68" s="347">
        <v>19.951954026939127</v>
      </c>
      <c r="CC68" s="347">
        <v>1.1761700831406845</v>
      </c>
      <c r="CD68" s="347">
        <v>0.99759770134695636</v>
      </c>
      <c r="CE68" s="347">
        <v>0</v>
      </c>
      <c r="CF68" s="347">
        <v>19.951954026939127</v>
      </c>
      <c r="CG68" s="347">
        <v>1.1761700831406845</v>
      </c>
      <c r="CH68" s="347">
        <v>0.99759770134695636</v>
      </c>
      <c r="CI68" s="347">
        <v>0</v>
      </c>
      <c r="CJ68" s="347">
        <v>0</v>
      </c>
      <c r="CK68" s="347">
        <v>0</v>
      </c>
      <c r="CL68" s="347">
        <v>0</v>
      </c>
      <c r="CM68" s="347">
        <v>7.9733244922751467E-2</v>
      </c>
      <c r="CN68" s="347">
        <v>0.34943005583728676</v>
      </c>
      <c r="CO68" s="347">
        <v>0</v>
      </c>
      <c r="CP68" s="347">
        <v>0</v>
      </c>
      <c r="CQ68" s="347">
        <v>264.24819782402881</v>
      </c>
      <c r="CR68" s="347">
        <v>13.212409891201441</v>
      </c>
      <c r="CS68" s="347">
        <v>35.144517194002781</v>
      </c>
      <c r="CT68" s="347">
        <v>286.18030512683015</v>
      </c>
      <c r="CU68" s="347">
        <v>0</v>
      </c>
      <c r="CV68" s="347">
        <v>51.749516217264571</v>
      </c>
      <c r="CW68" s="347">
        <v>0</v>
      </c>
      <c r="CX68" s="347">
        <v>2.5874758108632285</v>
      </c>
      <c r="CY68" s="347">
        <v>49.162040406401346</v>
      </c>
      <c r="CZ68" s="347">
        <v>0</v>
      </c>
      <c r="DA68" s="347">
        <v>3.6220678612737314</v>
      </c>
      <c r="DB68" s="347">
        <v>3.5258209788772006</v>
      </c>
      <c r="DC68" s="347">
        <v>0</v>
      </c>
      <c r="DD68" s="347">
        <v>1.32327974593572</v>
      </c>
      <c r="DE68" s="347">
        <v>5.714287508481342</v>
      </c>
      <c r="DF68" s="347">
        <v>0</v>
      </c>
      <c r="DG68" s="347">
        <v>0</v>
      </c>
      <c r="DH68" s="347">
        <v>0</v>
      </c>
      <c r="DI68" s="347">
        <v>1.8112330676042601</v>
      </c>
      <c r="DJ68" s="347">
        <v>1.8112330676042601</v>
      </c>
      <c r="DK68" s="347">
        <v>0</v>
      </c>
      <c r="DL68" s="347">
        <v>0.4520709085337834</v>
      </c>
      <c r="DM68" s="347">
        <v>0.4520709085337834</v>
      </c>
      <c r="DN68" s="347">
        <v>12.280550605474875</v>
      </c>
      <c r="DO68" s="347">
        <v>0</v>
      </c>
      <c r="DP68" s="347">
        <v>201.37527074704784</v>
      </c>
      <c r="DQ68" s="347">
        <v>196.04203553608301</v>
      </c>
      <c r="DR68" s="347">
        <v>0</v>
      </c>
      <c r="DS68" s="347">
        <v>0</v>
      </c>
      <c r="DT68" s="347">
        <v>0</v>
      </c>
      <c r="DU68" s="347">
        <v>0</v>
      </c>
      <c r="DV68" s="347">
        <v>2.2633039761380433</v>
      </c>
      <c r="DW68" s="347">
        <v>0.84944310231911124</v>
      </c>
      <c r="DX68" s="347">
        <v>4.232354707873264</v>
      </c>
      <c r="DY68" s="347">
        <v>0</v>
      </c>
      <c r="DZ68" s="347">
        <v>223.37455223426767</v>
      </c>
      <c r="EA68" s="347">
        <v>83.834948654482389</v>
      </c>
      <c r="EB68" s="347">
        <v>334.46269684256856</v>
      </c>
      <c r="EC68" s="347">
        <v>0</v>
      </c>
      <c r="ED68" s="347">
        <v>0</v>
      </c>
      <c r="EE68" s="347">
        <v>0</v>
      </c>
      <c r="EF68" s="347">
        <v>0</v>
      </c>
      <c r="EG68" s="347">
        <v>0</v>
      </c>
      <c r="EH68" s="347">
        <v>0</v>
      </c>
      <c r="EI68" s="347">
        <v>0</v>
      </c>
      <c r="EJ68" s="347">
        <v>0.63597687452192309</v>
      </c>
      <c r="EK68" s="347">
        <v>57.792432697187991</v>
      </c>
      <c r="EL68" s="347">
        <v>0</v>
      </c>
      <c r="EM68" s="347">
        <v>0.71321032271020557</v>
      </c>
      <c r="EN68" s="347">
        <v>60.03097548074021</v>
      </c>
      <c r="EO68" s="347">
        <v>0</v>
      </c>
      <c r="EP68" s="347">
        <v>0</v>
      </c>
      <c r="EQ68" s="347">
        <v>0</v>
      </c>
      <c r="ER68" s="347">
        <v>2.9228429907830464</v>
      </c>
      <c r="ES68" s="347">
        <v>0</v>
      </c>
      <c r="ET68" s="347">
        <v>1.8588605499965118</v>
      </c>
      <c r="EU68" s="347">
        <v>168.91820682927687</v>
      </c>
      <c r="EV68" s="347">
        <v>0</v>
      </c>
      <c r="EW68" s="347">
        <v>2.0846017926876388</v>
      </c>
      <c r="EX68" s="347">
        <v>175.46111591375043</v>
      </c>
      <c r="EY68" s="347">
        <v>0</v>
      </c>
      <c r="EZ68" s="347">
        <v>0</v>
      </c>
      <c r="FA68" s="347">
        <v>0</v>
      </c>
      <c r="FB68" s="347">
        <v>0</v>
      </c>
      <c r="FC68" s="347">
        <v>606.56442707391636</v>
      </c>
      <c r="FD68" s="347">
        <v>630.6052574427988</v>
      </c>
      <c r="FE68" s="347">
        <v>0</v>
      </c>
      <c r="FF68" s="347">
        <v>0</v>
      </c>
      <c r="FG68" s="347">
        <v>593.08603266157218</v>
      </c>
      <c r="FH68" s="347">
        <v>35.894121260168731</v>
      </c>
      <c r="FI68" s="347">
        <v>10.587899752643173</v>
      </c>
      <c r="FJ68" s="347">
        <v>2.6426645726897848</v>
      </c>
      <c r="FK68" s="347">
        <v>0</v>
      </c>
      <c r="FL68" s="347">
        <v>642.21071824707383</v>
      </c>
      <c r="FM68" s="347">
        <v>0</v>
      </c>
      <c r="FN68" s="347">
        <v>0</v>
      </c>
      <c r="FO68" s="347">
        <v>-4.5772040278463662</v>
      </c>
      <c r="FP68" s="347">
        <v>-1.4902128718047916</v>
      </c>
      <c r="FQ68" s="347">
        <v>0</v>
      </c>
      <c r="FR68" s="347">
        <v>0</v>
      </c>
      <c r="FS68" s="347">
        <v>0</v>
      </c>
      <c r="FT68" s="347">
        <v>0</v>
      </c>
      <c r="FU68" s="347">
        <v>0.56864883245109532</v>
      </c>
      <c r="FV68" s="347">
        <v>-4.0052170840377306</v>
      </c>
      <c r="FW68" s="347">
        <v>0</v>
      </c>
      <c r="FX68" s="347">
        <v>0.67160306794241997</v>
      </c>
      <c r="FY68" s="347">
        <v>-1.0211801634874753</v>
      </c>
      <c r="FZ68" s="347">
        <v>0</v>
      </c>
      <c r="GA68" s="347">
        <v>0</v>
      </c>
      <c r="GB68" s="347">
        <v>0</v>
      </c>
      <c r="GC68" s="347">
        <v>0</v>
      </c>
      <c r="GD68" s="347">
        <v>-30.19418084309541</v>
      </c>
      <c r="GE68" s="347">
        <v>-6.9551361568057928</v>
      </c>
      <c r="GF68" s="347">
        <v>0</v>
      </c>
      <c r="GG68" s="347">
        <v>-30.266890954467144</v>
      </c>
      <c r="GH68" s="347">
        <v>-6.9718847060442988</v>
      </c>
      <c r="GI68" s="347">
        <v>0</v>
      </c>
      <c r="GJ68" s="347">
        <v>0</v>
      </c>
      <c r="GK68" s="347">
        <v>0</v>
      </c>
      <c r="GL68" s="347">
        <v>0</v>
      </c>
      <c r="GM68" s="347">
        <v>0</v>
      </c>
      <c r="GN68" s="347">
        <v>3.6220678612737327</v>
      </c>
      <c r="GO68" s="347">
        <v>3.55179086034319</v>
      </c>
      <c r="GP68" s="347">
        <v>0</v>
      </c>
      <c r="GQ68" s="347">
        <v>0</v>
      </c>
      <c r="GR68" s="347">
        <v>201.37527074704784</v>
      </c>
      <c r="GS68" s="347">
        <v>7.9956345482615641</v>
      </c>
      <c r="GT68" s="347">
        <v>3.6220678612737327</v>
      </c>
      <c r="GU68" s="347">
        <v>0</v>
      </c>
      <c r="GV68" s="347">
        <v>186.00247406209897</v>
      </c>
      <c r="GW68" s="347">
        <v>8.2502489682622091</v>
      </c>
      <c r="GX68" s="347">
        <v>3.55179086034319</v>
      </c>
      <c r="GY68" s="347">
        <v>0</v>
      </c>
      <c r="GZ68" s="347">
        <v>0</v>
      </c>
      <c r="HA68" s="347">
        <v>0</v>
      </c>
      <c r="HB68" s="347" t="e">
        <v>#N/A</v>
      </c>
      <c r="HC68" s="347" t="e">
        <v>#N/A</v>
      </c>
      <c r="HD68" s="347" t="e">
        <v>#N/A</v>
      </c>
      <c r="HE68" s="347" t="e">
        <v>#N/A</v>
      </c>
      <c r="HF68" s="347" t="e">
        <v>#N/A</v>
      </c>
      <c r="HG68" s="347" t="e">
        <v>#N/A</v>
      </c>
      <c r="HH68" s="347" t="e">
        <v>#N/A</v>
      </c>
      <c r="HI68" s="347" t="e">
        <v>#N/A</v>
      </c>
      <c r="HJ68" s="347" t="e">
        <v>#N/A</v>
      </c>
      <c r="HK68" s="347" t="e">
        <v>#N/A</v>
      </c>
      <c r="HL68" s="347" t="e">
        <v>#N/A</v>
      </c>
      <c r="HM68" s="347" t="e">
        <v>#N/A</v>
      </c>
      <c r="HN68" s="347" t="e">
        <v>#N/A</v>
      </c>
      <c r="HO68" s="347" t="e">
        <v>#N/A</v>
      </c>
      <c r="HP68" s="347" t="e">
        <v>#N/A</v>
      </c>
      <c r="HQ68" s="347" t="e">
        <v>#N/A</v>
      </c>
      <c r="HR68" s="347" t="e">
        <v>#N/A</v>
      </c>
      <c r="HS68" s="347" t="e">
        <v>#N/A</v>
      </c>
      <c r="HT68" s="347" t="e">
        <v>#N/A</v>
      </c>
      <c r="HU68" s="347" t="e">
        <v>#N/A</v>
      </c>
      <c r="HV68" s="347" t="e">
        <v>#N/A</v>
      </c>
      <c r="HW68" s="347" t="e">
        <v>#N/A</v>
      </c>
      <c r="HX68" s="347" t="e">
        <v>#N/A</v>
      </c>
      <c r="HY68" s="347" t="e">
        <v>#N/A</v>
      </c>
      <c r="HZ68" s="347" t="e">
        <v>#N/A</v>
      </c>
      <c r="IA68" s="347" t="e">
        <v>#N/A</v>
      </c>
      <c r="IB68" s="347" t="e">
        <v>#N/A</v>
      </c>
      <c r="IC68" s="347" t="e">
        <v>#N/A</v>
      </c>
      <c r="ID68" s="347" t="e">
        <v>#N/A</v>
      </c>
      <c r="IE68" s="347" t="e">
        <v>#N/A</v>
      </c>
      <c r="IF68" s="347" t="e">
        <v>#N/A</v>
      </c>
      <c r="IG68" s="347" t="e">
        <v>#N/A</v>
      </c>
      <c r="IH68" s="347" t="e">
        <v>#N/A</v>
      </c>
      <c r="II68" s="347" t="e">
        <v>#N/A</v>
      </c>
      <c r="IJ68" s="347" t="e">
        <v>#N/A</v>
      </c>
      <c r="IK68" s="347" t="e">
        <v>#N/A</v>
      </c>
      <c r="IL68" s="347" t="e">
        <v>#N/A</v>
      </c>
      <c r="IM68" s="347" t="e">
        <v>#N/A</v>
      </c>
      <c r="IN68" s="347" t="e">
        <v>#N/A</v>
      </c>
      <c r="IO68" s="347" t="e">
        <v>#N/A</v>
      </c>
      <c r="IP68" s="347" t="e">
        <v>#N/A</v>
      </c>
      <c r="IQ68" s="347" t="e">
        <v>#N/A</v>
      </c>
      <c r="IR68" s="347" t="e">
        <v>#N/A</v>
      </c>
      <c r="IS68" s="347" t="e">
        <v>#N/A</v>
      </c>
      <c r="IT68" s="347" t="e">
        <v>#N/A</v>
      </c>
      <c r="IU68" s="347" t="e">
        <v>#N/A</v>
      </c>
      <c r="IV68" s="347" t="e">
        <v>#N/A</v>
      </c>
      <c r="IW68" s="347" t="e">
        <v>#N/A</v>
      </c>
      <c r="IX68" s="347" t="e">
        <v>#N/A</v>
      </c>
      <c r="IY68" s="347" t="e">
        <v>#N/A</v>
      </c>
      <c r="IZ68" s="347" t="e">
        <v>#N/A</v>
      </c>
      <c r="JA68" s="347" t="e">
        <v>#N/A</v>
      </c>
      <c r="JB68" s="347" t="e">
        <v>#N/A</v>
      </c>
      <c r="JC68" s="347" t="e">
        <v>#N/A</v>
      </c>
      <c r="JD68" s="347" t="e">
        <v>#N/A</v>
      </c>
      <c r="JE68" s="347" t="e">
        <v>#N/A</v>
      </c>
      <c r="JF68" s="347" t="e">
        <v>#N/A</v>
      </c>
      <c r="JG68" s="347" t="e">
        <v>#N/A</v>
      </c>
      <c r="JH68" s="347" t="e">
        <v>#N/A</v>
      </c>
      <c r="JI68" s="347" t="e">
        <v>#N/A</v>
      </c>
      <c r="JJ68" s="347" t="e">
        <v>#N/A</v>
      </c>
      <c r="JK68" s="347" t="e">
        <v>#N/A</v>
      </c>
      <c r="JL68" s="347" t="e">
        <v>#N/A</v>
      </c>
      <c r="JM68" s="347" t="e">
        <v>#N/A</v>
      </c>
      <c r="JN68" s="347" t="e">
        <v>#N/A</v>
      </c>
      <c r="JO68" s="347" t="e">
        <v>#N/A</v>
      </c>
      <c r="JP68" s="347" t="e">
        <v>#N/A</v>
      </c>
      <c r="JQ68" s="347" t="e">
        <v>#N/A</v>
      </c>
      <c r="JR68" s="347" t="e">
        <v>#N/A</v>
      </c>
      <c r="JS68" s="347" t="e">
        <v>#N/A</v>
      </c>
      <c r="JT68" s="347" t="e">
        <v>#N/A</v>
      </c>
      <c r="JU68" s="347" t="e">
        <v>#N/A</v>
      </c>
      <c r="JV68" s="347" t="e">
        <v>#N/A</v>
      </c>
      <c r="JW68" s="347" t="e">
        <v>#N/A</v>
      </c>
      <c r="JX68" s="347" t="e">
        <v>#N/A</v>
      </c>
      <c r="JY68" s="347" t="e">
        <v>#N/A</v>
      </c>
      <c r="JZ68" s="347" t="e">
        <v>#N/A</v>
      </c>
      <c r="KA68" s="347" t="e">
        <v>#N/A</v>
      </c>
      <c r="KB68" s="347" t="e">
        <v>#N/A</v>
      </c>
      <c r="KC68" s="347" t="e">
        <v>#N/A</v>
      </c>
      <c r="KD68" s="347" t="e">
        <v>#N/A</v>
      </c>
      <c r="KE68" s="347" t="e">
        <v>#N/A</v>
      </c>
      <c r="KF68" s="347" t="e">
        <v>#N/A</v>
      </c>
      <c r="KG68" s="347" t="e">
        <v>#N/A</v>
      </c>
      <c r="KH68" s="347" t="e">
        <v>#N/A</v>
      </c>
      <c r="KI68" s="347" t="e">
        <v>#N/A</v>
      </c>
      <c r="KJ68" s="347" t="e">
        <v>#N/A</v>
      </c>
      <c r="KK68" s="347" t="e">
        <v>#N/A</v>
      </c>
      <c r="KL68" s="347" t="e">
        <v>#N/A</v>
      </c>
      <c r="KM68" s="347" t="e">
        <v>#N/A</v>
      </c>
      <c r="KN68" s="347" t="e">
        <v>#N/A</v>
      </c>
    </row>
    <row r="69" spans="1:300" x14ac:dyDescent="0.15">
      <c r="A69" s="347">
        <v>15</v>
      </c>
      <c r="B69" s="347">
        <v>-0.40912433095963013</v>
      </c>
      <c r="C69" s="347">
        <v>8.0796490956205697E-2</v>
      </c>
      <c r="D69" s="347">
        <v>316.88009291683414</v>
      </c>
      <c r="E69" s="347">
        <v>0.31557678199193534</v>
      </c>
      <c r="F69" s="347">
        <v>1.0614740913958109</v>
      </c>
      <c r="G69" s="347">
        <v>205.93975603848401</v>
      </c>
      <c r="H69" s="347">
        <v>222.57896567477061</v>
      </c>
      <c r="I69" s="347">
        <v>0</v>
      </c>
      <c r="J69" s="347">
        <v>0.34993774911115555</v>
      </c>
      <c r="K69" s="347">
        <v>0</v>
      </c>
      <c r="L69" s="347">
        <v>-2.1571752159401121</v>
      </c>
      <c r="M69" s="347">
        <v>186.02422114856753</v>
      </c>
      <c r="N69" s="347">
        <v>3.3949420359613574</v>
      </c>
      <c r="O69" s="347">
        <v>0</v>
      </c>
      <c r="P69" s="347">
        <v>0</v>
      </c>
      <c r="Q69" s="347">
        <v>0</v>
      </c>
      <c r="R69" s="347">
        <v>0</v>
      </c>
      <c r="S69" s="347">
        <v>0</v>
      </c>
      <c r="T69" s="347">
        <v>15.683121854901707</v>
      </c>
      <c r="U69" s="347">
        <v>0.15683121854901713</v>
      </c>
      <c r="V69" s="347">
        <v>0</v>
      </c>
      <c r="W69" s="347">
        <v>15.683121854901707</v>
      </c>
      <c r="X69" s="347">
        <v>0.15683121854901713</v>
      </c>
      <c r="Y69" s="347">
        <v>0</v>
      </c>
      <c r="Z69" s="347">
        <v>0</v>
      </c>
      <c r="AA69" s="347">
        <v>0</v>
      </c>
      <c r="AB69" s="347">
        <v>0</v>
      </c>
      <c r="AC69" s="347">
        <v>0</v>
      </c>
      <c r="AD69" s="347">
        <v>0</v>
      </c>
      <c r="AE69" s="347">
        <v>0</v>
      </c>
      <c r="AF69" s="347">
        <v>1.3872826597967309E-4</v>
      </c>
      <c r="AG69" s="347">
        <v>2.1729394065562882E-4</v>
      </c>
      <c r="AH69" s="347">
        <v>5.5850373618143701E-4</v>
      </c>
      <c r="AI69" s="347">
        <v>1.3161981587713411E-3</v>
      </c>
      <c r="AJ69" s="347">
        <v>2.3904142370581214E-3</v>
      </c>
      <c r="AK69" s="347">
        <v>3.1897700510157565E-3</v>
      </c>
      <c r="AL69" s="347">
        <v>2.5893883485318416E-3</v>
      </c>
      <c r="AM69" s="347">
        <v>1.5295112268891202E-3</v>
      </c>
      <c r="AN69" s="347">
        <v>7.1701395566214606E-4</v>
      </c>
      <c r="AO69" s="347">
        <v>4.6432996675056462E-4</v>
      </c>
      <c r="AP69" s="347">
        <v>0</v>
      </c>
      <c r="AQ69" s="347">
        <v>0</v>
      </c>
      <c r="AR69" s="347">
        <v>0</v>
      </c>
      <c r="AS69" s="347">
        <v>0</v>
      </c>
      <c r="AT69" s="347">
        <v>0</v>
      </c>
      <c r="AU69" s="347">
        <v>0</v>
      </c>
      <c r="AV69" s="347">
        <v>0</v>
      </c>
      <c r="AW69" s="347">
        <v>0</v>
      </c>
      <c r="AX69" s="347">
        <v>0</v>
      </c>
      <c r="AY69" s="347">
        <v>0</v>
      </c>
      <c r="AZ69" s="347">
        <v>0</v>
      </c>
      <c r="BA69" s="347">
        <v>0</v>
      </c>
      <c r="BB69" s="347">
        <v>0</v>
      </c>
      <c r="BC69" s="347">
        <v>0</v>
      </c>
      <c r="BD69" s="347">
        <v>0</v>
      </c>
      <c r="BE69" s="347">
        <v>0</v>
      </c>
      <c r="BF69" s="347">
        <v>0</v>
      </c>
      <c r="BG69" s="347">
        <v>0</v>
      </c>
      <c r="BH69" s="347">
        <v>0</v>
      </c>
      <c r="BI69" s="347">
        <v>0</v>
      </c>
      <c r="BJ69" s="347">
        <v>0</v>
      </c>
      <c r="BK69" s="347">
        <v>0</v>
      </c>
      <c r="BL69" s="347">
        <v>0</v>
      </c>
      <c r="BM69" s="347">
        <v>0</v>
      </c>
      <c r="BN69" s="347">
        <v>0</v>
      </c>
      <c r="BO69" s="347">
        <v>0</v>
      </c>
      <c r="BP69" s="347">
        <v>0</v>
      </c>
      <c r="BQ69" s="347">
        <v>0</v>
      </c>
      <c r="BR69" s="347">
        <v>0</v>
      </c>
      <c r="BS69" s="347">
        <v>0</v>
      </c>
      <c r="BT69" s="347">
        <v>1.3111151887495631E-2</v>
      </c>
      <c r="BU69" s="347">
        <v>0</v>
      </c>
      <c r="BV69" s="347">
        <v>0.1456183044430848</v>
      </c>
      <c r="BW69" s="347">
        <v>1.3111151887495631E-2</v>
      </c>
      <c r="BX69" s="347">
        <v>7.2809152221542401E-3</v>
      </c>
      <c r="BY69" s="347">
        <v>0</v>
      </c>
      <c r="BZ69" s="347">
        <v>0</v>
      </c>
      <c r="CA69" s="347">
        <v>0</v>
      </c>
      <c r="CB69" s="347">
        <v>21.74456759860918</v>
      </c>
      <c r="CC69" s="347">
        <v>1.3500537105471797</v>
      </c>
      <c r="CD69" s="347">
        <v>1.087228379930459</v>
      </c>
      <c r="CE69" s="347">
        <v>0</v>
      </c>
      <c r="CF69" s="347">
        <v>21.74456759860918</v>
      </c>
      <c r="CG69" s="347">
        <v>1.3500537105471797</v>
      </c>
      <c r="CH69" s="347">
        <v>1.087228379930459</v>
      </c>
      <c r="CI69" s="347">
        <v>0</v>
      </c>
      <c r="CJ69" s="347">
        <v>0</v>
      </c>
      <c r="CK69" s="347">
        <v>0</v>
      </c>
      <c r="CL69" s="347">
        <v>0</v>
      </c>
      <c r="CM69" s="347">
        <v>7.9839662114834453E-2</v>
      </c>
      <c r="CN69" s="347">
        <v>0.32261631993392553</v>
      </c>
      <c r="CO69" s="347">
        <v>0</v>
      </c>
      <c r="CP69" s="347">
        <v>0</v>
      </c>
      <c r="CQ69" s="347">
        <v>286.18030512683015</v>
      </c>
      <c r="CR69" s="347">
        <v>14.309015256341509</v>
      </c>
      <c r="CS69" s="347">
        <v>38.094430464058675</v>
      </c>
      <c r="CT69" s="347">
        <v>309.96572033454731</v>
      </c>
      <c r="CU69" s="347">
        <v>0</v>
      </c>
      <c r="CV69" s="347">
        <v>49.162040406401346</v>
      </c>
      <c r="CW69" s="347">
        <v>0</v>
      </c>
      <c r="CX69" s="347">
        <v>2.4581020203200676</v>
      </c>
      <c r="CY69" s="347">
        <v>46.703938386081276</v>
      </c>
      <c r="CZ69" s="347">
        <v>0</v>
      </c>
      <c r="DA69" s="347">
        <v>3.6952384857393059</v>
      </c>
      <c r="DB69" s="347">
        <v>3.5970472873449677</v>
      </c>
      <c r="DC69" s="347">
        <v>0</v>
      </c>
      <c r="DD69" s="347">
        <v>1.2587426311798859</v>
      </c>
      <c r="DE69" s="347">
        <v>6.973030139661228</v>
      </c>
      <c r="DF69" s="347">
        <v>4.9895849314202279</v>
      </c>
      <c r="DG69" s="347">
        <v>0</v>
      </c>
      <c r="DH69" s="347">
        <v>0</v>
      </c>
      <c r="DI69" s="347">
        <v>1.7206714142240473</v>
      </c>
      <c r="DJ69" s="347">
        <v>1.7206714142240473</v>
      </c>
      <c r="DK69" s="347">
        <v>0</v>
      </c>
      <c r="DL69" s="347">
        <v>0.39651191390890383</v>
      </c>
      <c r="DM69" s="347">
        <v>0.39651191390890383</v>
      </c>
      <c r="DN69" s="347">
        <v>12.289884966293434</v>
      </c>
      <c r="DO69" s="347">
        <v>0</v>
      </c>
      <c r="DP69" s="347">
        <v>211.70000166126766</v>
      </c>
      <c r="DQ69" s="347">
        <v>206.09332563380545</v>
      </c>
      <c r="DR69" s="347">
        <v>0</v>
      </c>
      <c r="DS69" s="347">
        <v>0</v>
      </c>
      <c r="DT69" s="347">
        <v>0</v>
      </c>
      <c r="DU69" s="347">
        <v>0</v>
      </c>
      <c r="DV69" s="347">
        <v>2.1171833281329513</v>
      </c>
      <c r="DW69" s="347">
        <v>0.74088236830250997</v>
      </c>
      <c r="DX69" s="347">
        <v>4.9732370761757743</v>
      </c>
      <c r="DY69" s="347">
        <v>0</v>
      </c>
      <c r="DZ69" s="347">
        <v>240.42877543677665</v>
      </c>
      <c r="EA69" s="347">
        <v>84.135104497897103</v>
      </c>
      <c r="EB69" s="347">
        <v>418.59780134046565</v>
      </c>
      <c r="EC69" s="347">
        <v>0</v>
      </c>
      <c r="ED69" s="347">
        <v>0</v>
      </c>
      <c r="EE69" s="347">
        <v>2.5173009706771845</v>
      </c>
      <c r="EF69" s="347">
        <v>408.0881461531751</v>
      </c>
      <c r="EG69" s="347">
        <v>0</v>
      </c>
      <c r="EH69" s="347">
        <v>0</v>
      </c>
      <c r="EI69" s="347">
        <v>0</v>
      </c>
      <c r="EJ69" s="347">
        <v>0.63597687452192309</v>
      </c>
      <c r="EK69" s="347">
        <v>57.792432697187991</v>
      </c>
      <c r="EL69" s="347">
        <v>0</v>
      </c>
      <c r="EM69" s="347">
        <v>0.71321032271020557</v>
      </c>
      <c r="EN69" s="347">
        <v>60.03097548074021</v>
      </c>
      <c r="EO69" s="347">
        <v>0</v>
      </c>
      <c r="EP69" s="347">
        <v>0</v>
      </c>
      <c r="EQ69" s="347">
        <v>0</v>
      </c>
      <c r="ER69" s="347">
        <v>3.1688009291683419</v>
      </c>
      <c r="ES69" s="347">
        <v>0</v>
      </c>
      <c r="ET69" s="347">
        <v>2.015284110914648</v>
      </c>
      <c r="EU69" s="347">
        <v>183.13271442974818</v>
      </c>
      <c r="EV69" s="347">
        <v>0</v>
      </c>
      <c r="EW69" s="347">
        <v>2.2600215332965523</v>
      </c>
      <c r="EX69" s="347">
        <v>190.22621088225154</v>
      </c>
      <c r="EY69" s="347">
        <v>0</v>
      </c>
      <c r="EZ69" s="347">
        <v>0</v>
      </c>
      <c r="FA69" s="347">
        <v>0</v>
      </c>
      <c r="FB69" s="347">
        <v>0</v>
      </c>
      <c r="FC69" s="347">
        <v>628.56672311980833</v>
      </c>
      <c r="FD69" s="347">
        <v>653.4796017713719</v>
      </c>
      <c r="FE69" s="347">
        <v>0</v>
      </c>
      <c r="FF69" s="347">
        <v>0</v>
      </c>
      <c r="FG69" s="347">
        <v>684.17962435048992</v>
      </c>
      <c r="FH69" s="347">
        <v>38.944198900562668</v>
      </c>
      <c r="FI69" s="347">
        <v>10.904930352373132</v>
      </c>
      <c r="FJ69" s="347">
        <v>2.5129346424417043</v>
      </c>
      <c r="FK69" s="347">
        <v>0</v>
      </c>
      <c r="FL69" s="347">
        <v>736.54168824586748</v>
      </c>
      <c r="FM69" s="347">
        <v>0</v>
      </c>
      <c r="FN69" s="347">
        <v>0</v>
      </c>
      <c r="FO69" s="347">
        <v>-11.923916049369904</v>
      </c>
      <c r="FP69" s="347">
        <v>-9.1727313350004973</v>
      </c>
      <c r="FQ69" s="347">
        <v>0</v>
      </c>
      <c r="FR69" s="347">
        <v>0</v>
      </c>
      <c r="FS69" s="347">
        <v>0</v>
      </c>
      <c r="FT69" s="347">
        <v>0</v>
      </c>
      <c r="FU69" s="347">
        <v>0.4863977192696502</v>
      </c>
      <c r="FV69" s="347">
        <v>-11.466858018780842</v>
      </c>
      <c r="FW69" s="347">
        <v>0</v>
      </c>
      <c r="FX69" s="347">
        <v>0.57815247483769794</v>
      </c>
      <c r="FY69" s="347">
        <v>-8.8074280599794879</v>
      </c>
      <c r="FZ69" s="347">
        <v>0</v>
      </c>
      <c r="GA69" s="347">
        <v>0</v>
      </c>
      <c r="GB69" s="347">
        <v>0</v>
      </c>
      <c r="GC69" s="347">
        <v>0</v>
      </c>
      <c r="GD69" s="347">
        <v>-102.74892658434067</v>
      </c>
      <c r="GE69" s="347">
        <v>-78.666917295794292</v>
      </c>
      <c r="GF69" s="347">
        <v>0</v>
      </c>
      <c r="GG69" s="347">
        <v>-94.505375761909988</v>
      </c>
      <c r="GH69" s="347">
        <v>-72.355467119820744</v>
      </c>
      <c r="GI69" s="347">
        <v>0</v>
      </c>
      <c r="GJ69" s="347">
        <v>0</v>
      </c>
      <c r="GK69" s="347">
        <v>0</v>
      </c>
      <c r="GL69" s="347">
        <v>0</v>
      </c>
      <c r="GM69" s="347">
        <v>0</v>
      </c>
      <c r="GN69" s="347">
        <v>3.6952384857393064</v>
      </c>
      <c r="GO69" s="347">
        <v>3.3949420359613574</v>
      </c>
      <c r="GP69" s="347">
        <v>0</v>
      </c>
      <c r="GQ69" s="347">
        <v>0</v>
      </c>
      <c r="GR69" s="347">
        <v>211.70000166126766</v>
      </c>
      <c r="GS69" s="347">
        <v>7.9973799665800511</v>
      </c>
      <c r="GT69" s="347">
        <v>3.6952384857393064</v>
      </c>
      <c r="GU69" s="347">
        <v>0</v>
      </c>
      <c r="GV69" s="347">
        <v>205.93975603848401</v>
      </c>
      <c r="GW69" s="347">
        <v>8.0796490956205691</v>
      </c>
      <c r="GX69" s="347">
        <v>3.3949420359613574</v>
      </c>
      <c r="GY69" s="347">
        <v>0</v>
      </c>
      <c r="GZ69" s="347">
        <v>0</v>
      </c>
      <c r="HA69" s="347">
        <v>0</v>
      </c>
      <c r="HB69" s="347" t="e">
        <v>#N/A</v>
      </c>
      <c r="HC69" s="347" t="e">
        <v>#N/A</v>
      </c>
      <c r="HD69" s="347" t="e">
        <v>#N/A</v>
      </c>
      <c r="HE69" s="347" t="e">
        <v>#N/A</v>
      </c>
      <c r="HF69" s="347" t="e">
        <v>#N/A</v>
      </c>
      <c r="HG69" s="347" t="e">
        <v>#N/A</v>
      </c>
      <c r="HH69" s="347" t="e">
        <v>#N/A</v>
      </c>
      <c r="HI69" s="347" t="e">
        <v>#N/A</v>
      </c>
      <c r="HJ69" s="347" t="e">
        <v>#N/A</v>
      </c>
      <c r="HK69" s="347" t="e">
        <v>#N/A</v>
      </c>
      <c r="HL69" s="347" t="e">
        <v>#N/A</v>
      </c>
      <c r="HM69" s="347" t="e">
        <v>#N/A</v>
      </c>
      <c r="HN69" s="347" t="e">
        <v>#N/A</v>
      </c>
      <c r="HO69" s="347" t="e">
        <v>#N/A</v>
      </c>
      <c r="HP69" s="347" t="e">
        <v>#N/A</v>
      </c>
      <c r="HQ69" s="347" t="e">
        <v>#N/A</v>
      </c>
      <c r="HR69" s="347" t="e">
        <v>#N/A</v>
      </c>
      <c r="HS69" s="347" t="e">
        <v>#N/A</v>
      </c>
      <c r="HT69" s="347" t="e">
        <v>#N/A</v>
      </c>
      <c r="HU69" s="347" t="e">
        <v>#N/A</v>
      </c>
      <c r="HV69" s="347" t="e">
        <v>#N/A</v>
      </c>
      <c r="HW69" s="347" t="e">
        <v>#N/A</v>
      </c>
      <c r="HX69" s="347" t="e">
        <v>#N/A</v>
      </c>
      <c r="HY69" s="347" t="e">
        <v>#N/A</v>
      </c>
      <c r="HZ69" s="347" t="e">
        <v>#N/A</v>
      </c>
      <c r="IA69" s="347" t="e">
        <v>#N/A</v>
      </c>
      <c r="IB69" s="347" t="e">
        <v>#N/A</v>
      </c>
      <c r="IC69" s="347" t="e">
        <v>#N/A</v>
      </c>
      <c r="ID69" s="347" t="e">
        <v>#N/A</v>
      </c>
      <c r="IE69" s="347" t="e">
        <v>#N/A</v>
      </c>
      <c r="IF69" s="347" t="e">
        <v>#N/A</v>
      </c>
      <c r="IG69" s="347" t="e">
        <v>#N/A</v>
      </c>
      <c r="IH69" s="347" t="e">
        <v>#N/A</v>
      </c>
      <c r="II69" s="347" t="e">
        <v>#N/A</v>
      </c>
      <c r="IJ69" s="347" t="e">
        <v>#N/A</v>
      </c>
      <c r="IK69" s="347" t="e">
        <v>#N/A</v>
      </c>
      <c r="IL69" s="347" t="e">
        <v>#N/A</v>
      </c>
      <c r="IM69" s="347" t="e">
        <v>#N/A</v>
      </c>
      <c r="IN69" s="347" t="e">
        <v>#N/A</v>
      </c>
      <c r="IO69" s="347" t="e">
        <v>#N/A</v>
      </c>
      <c r="IP69" s="347" t="e">
        <v>#N/A</v>
      </c>
      <c r="IQ69" s="347" t="e">
        <v>#N/A</v>
      </c>
      <c r="IR69" s="347" t="e">
        <v>#N/A</v>
      </c>
      <c r="IS69" s="347" t="e">
        <v>#N/A</v>
      </c>
      <c r="IT69" s="347" t="e">
        <v>#N/A</v>
      </c>
      <c r="IU69" s="347" t="e">
        <v>#N/A</v>
      </c>
      <c r="IV69" s="347" t="e">
        <v>#N/A</v>
      </c>
      <c r="IW69" s="347" t="e">
        <v>#N/A</v>
      </c>
      <c r="IX69" s="347" t="e">
        <v>#N/A</v>
      </c>
      <c r="IY69" s="347" t="e">
        <v>#N/A</v>
      </c>
      <c r="IZ69" s="347" t="e">
        <v>#N/A</v>
      </c>
      <c r="JA69" s="347" t="e">
        <v>#N/A</v>
      </c>
      <c r="JB69" s="347" t="e">
        <v>#N/A</v>
      </c>
      <c r="JC69" s="347" t="e">
        <v>#N/A</v>
      </c>
      <c r="JD69" s="347" t="e">
        <v>#N/A</v>
      </c>
      <c r="JE69" s="347" t="e">
        <v>#N/A</v>
      </c>
      <c r="JF69" s="347" t="e">
        <v>#N/A</v>
      </c>
      <c r="JG69" s="347" t="e">
        <v>#N/A</v>
      </c>
      <c r="JH69" s="347" t="e">
        <v>#N/A</v>
      </c>
      <c r="JI69" s="347" t="e">
        <v>#N/A</v>
      </c>
      <c r="JJ69" s="347" t="e">
        <v>#N/A</v>
      </c>
      <c r="JK69" s="347" t="e">
        <v>#N/A</v>
      </c>
      <c r="JL69" s="347" t="e">
        <v>#N/A</v>
      </c>
      <c r="JM69" s="347" t="e">
        <v>#N/A</v>
      </c>
      <c r="JN69" s="347" t="e">
        <v>#N/A</v>
      </c>
      <c r="JO69" s="347" t="e">
        <v>#N/A</v>
      </c>
      <c r="JP69" s="347" t="e">
        <v>#N/A</v>
      </c>
      <c r="JQ69" s="347" t="e">
        <v>#N/A</v>
      </c>
      <c r="JR69" s="347" t="e">
        <v>#N/A</v>
      </c>
      <c r="JS69" s="347" t="e">
        <v>#N/A</v>
      </c>
      <c r="JT69" s="347" t="e">
        <v>#N/A</v>
      </c>
      <c r="JU69" s="347" t="e">
        <v>#N/A</v>
      </c>
      <c r="JV69" s="347" t="e">
        <v>#N/A</v>
      </c>
      <c r="JW69" s="347" t="e">
        <v>#N/A</v>
      </c>
      <c r="JX69" s="347" t="e">
        <v>#N/A</v>
      </c>
      <c r="JY69" s="347" t="e">
        <v>#N/A</v>
      </c>
      <c r="JZ69" s="347" t="e">
        <v>#N/A</v>
      </c>
      <c r="KA69" s="347" t="e">
        <v>#N/A</v>
      </c>
      <c r="KB69" s="347" t="e">
        <v>#N/A</v>
      </c>
      <c r="KC69" s="347" t="e">
        <v>#N/A</v>
      </c>
      <c r="KD69" s="347" t="e">
        <v>#N/A</v>
      </c>
      <c r="KE69" s="347" t="e">
        <v>#N/A</v>
      </c>
      <c r="KF69" s="347" t="e">
        <v>#N/A</v>
      </c>
      <c r="KG69" s="347" t="e">
        <v>#N/A</v>
      </c>
      <c r="KH69" s="347" t="e">
        <v>#N/A</v>
      </c>
      <c r="KI69" s="347" t="e">
        <v>#N/A</v>
      </c>
      <c r="KJ69" s="347" t="e">
        <v>#N/A</v>
      </c>
      <c r="KK69" s="347" t="e">
        <v>#N/A</v>
      </c>
      <c r="KL69" s="347" t="e">
        <v>#N/A</v>
      </c>
      <c r="KM69" s="347" t="e">
        <v>#N/A</v>
      </c>
      <c r="KN69" s="347" t="e">
        <v>#N/A</v>
      </c>
    </row>
    <row r="70" spans="1:300" x14ac:dyDescent="0.15">
      <c r="A70" s="347">
        <v>16</v>
      </c>
      <c r="B70" s="347">
        <v>0.41910673301793056</v>
      </c>
      <c r="C70" s="347">
        <v>8.1136523868512972E-2</v>
      </c>
      <c r="D70" s="347">
        <v>343.66246538704655</v>
      </c>
      <c r="E70" s="347">
        <v>0.29098318865685818</v>
      </c>
      <c r="F70" s="347">
        <v>0.4952899265186021</v>
      </c>
      <c r="G70" s="347">
        <v>221.649692957008</v>
      </c>
      <c r="H70" s="347">
        <v>239.63357856006283</v>
      </c>
      <c r="I70" s="347">
        <v>0</v>
      </c>
      <c r="J70" s="347">
        <v>0.32627979462303969</v>
      </c>
      <c r="K70" s="347">
        <v>0</v>
      </c>
      <c r="L70" s="347">
        <v>-0.88068402980179317</v>
      </c>
      <c r="M70" s="347">
        <v>184.75051836149626</v>
      </c>
      <c r="N70" s="347">
        <v>3.371696960097307</v>
      </c>
      <c r="O70" s="347">
        <v>0</v>
      </c>
      <c r="P70" s="347">
        <v>0</v>
      </c>
      <c r="Q70" s="347">
        <v>0</v>
      </c>
      <c r="R70" s="347">
        <v>0</v>
      </c>
      <c r="S70" s="347">
        <v>0</v>
      </c>
      <c r="T70" s="347">
        <v>16.160744021928956</v>
      </c>
      <c r="U70" s="347">
        <v>0.16160744021928961</v>
      </c>
      <c r="V70" s="347">
        <v>0</v>
      </c>
      <c r="W70" s="347">
        <v>16.160744021928956</v>
      </c>
      <c r="X70" s="347">
        <v>0.16160744021928961</v>
      </c>
      <c r="Y70" s="347">
        <v>0</v>
      </c>
      <c r="Z70" s="347">
        <v>0</v>
      </c>
      <c r="AA70" s="347">
        <v>0</v>
      </c>
      <c r="AB70" s="347">
        <v>0</v>
      </c>
      <c r="AC70" s="347">
        <v>0</v>
      </c>
      <c r="AD70" s="347">
        <v>0</v>
      </c>
      <c r="AE70" s="347">
        <v>0</v>
      </c>
      <c r="AF70" s="347">
        <v>1.3872826597967309E-4</v>
      </c>
      <c r="AG70" s="347">
        <v>2.1729394065562882E-4</v>
      </c>
      <c r="AH70" s="347">
        <v>5.5850373618143701E-4</v>
      </c>
      <c r="AI70" s="347">
        <v>1.3161981587713411E-3</v>
      </c>
      <c r="AJ70" s="347">
        <v>2.3904142370581214E-3</v>
      </c>
      <c r="AK70" s="347">
        <v>3.1897700510157565E-3</v>
      </c>
      <c r="AL70" s="347">
        <v>2.5893883485318416E-3</v>
      </c>
      <c r="AM70" s="347">
        <v>1.5295112268891202E-3</v>
      </c>
      <c r="AN70" s="347">
        <v>7.1701395566214606E-4</v>
      </c>
      <c r="AO70" s="347">
        <v>4.6432996675056462E-4</v>
      </c>
      <c r="AP70" s="347">
        <v>0</v>
      </c>
      <c r="AQ70" s="347">
        <v>0</v>
      </c>
      <c r="AR70" s="347">
        <v>0</v>
      </c>
      <c r="AS70" s="347">
        <v>0</v>
      </c>
      <c r="AT70" s="347">
        <v>0</v>
      </c>
      <c r="AU70" s="347">
        <v>0</v>
      </c>
      <c r="AV70" s="347">
        <v>0</v>
      </c>
      <c r="AW70" s="347">
        <v>0</v>
      </c>
      <c r="AX70" s="347">
        <v>0</v>
      </c>
      <c r="AY70" s="347">
        <v>0</v>
      </c>
      <c r="AZ70" s="347">
        <v>0</v>
      </c>
      <c r="BA70" s="347">
        <v>0</v>
      </c>
      <c r="BB70" s="347">
        <v>0</v>
      </c>
      <c r="BC70" s="347">
        <v>0</v>
      </c>
      <c r="BD70" s="347">
        <v>0</v>
      </c>
      <c r="BE70" s="347">
        <v>0</v>
      </c>
      <c r="BF70" s="347">
        <v>0</v>
      </c>
      <c r="BG70" s="347">
        <v>0</v>
      </c>
      <c r="BH70" s="347">
        <v>0</v>
      </c>
      <c r="BI70" s="347">
        <v>0</v>
      </c>
      <c r="BJ70" s="347">
        <v>0</v>
      </c>
      <c r="BK70" s="347">
        <v>0</v>
      </c>
      <c r="BL70" s="347">
        <v>0</v>
      </c>
      <c r="BM70" s="347">
        <v>0</v>
      </c>
      <c r="BN70" s="347">
        <v>0</v>
      </c>
      <c r="BO70" s="347">
        <v>0</v>
      </c>
      <c r="BP70" s="347">
        <v>0</v>
      </c>
      <c r="BQ70" s="347">
        <v>0</v>
      </c>
      <c r="BR70" s="347">
        <v>0</v>
      </c>
      <c r="BS70" s="347">
        <v>0</v>
      </c>
      <c r="BT70" s="347">
        <v>1.3111151887495631E-2</v>
      </c>
      <c r="BU70" s="347">
        <v>0</v>
      </c>
      <c r="BV70" s="347">
        <v>0.13250715255558917</v>
      </c>
      <c r="BW70" s="347">
        <v>1.3111151887495631E-2</v>
      </c>
      <c r="BX70" s="347">
        <v>6.6253576277794587E-3</v>
      </c>
      <c r="BY70" s="347">
        <v>0</v>
      </c>
      <c r="BZ70" s="347">
        <v>0</v>
      </c>
      <c r="CA70" s="347">
        <v>0</v>
      </c>
      <c r="CB70" s="347">
        <v>21.950291814717129</v>
      </c>
      <c r="CC70" s="347">
        <v>1.4530413950880512</v>
      </c>
      <c r="CD70" s="347">
        <v>1.0975145907358566</v>
      </c>
      <c r="CE70" s="347">
        <v>0</v>
      </c>
      <c r="CF70" s="347">
        <v>21.950291814717129</v>
      </c>
      <c r="CG70" s="347">
        <v>1.4530413950880512</v>
      </c>
      <c r="CH70" s="347">
        <v>1.0975145907358566</v>
      </c>
      <c r="CI70" s="347">
        <v>0</v>
      </c>
      <c r="CJ70" s="347">
        <v>0</v>
      </c>
      <c r="CK70" s="347">
        <v>0</v>
      </c>
      <c r="CL70" s="347">
        <v>0</v>
      </c>
      <c r="CM70" s="347">
        <v>8.1136523868512972E-2</v>
      </c>
      <c r="CN70" s="347">
        <v>0.2974741199101073</v>
      </c>
      <c r="CO70" s="347">
        <v>0</v>
      </c>
      <c r="CP70" s="347">
        <v>0</v>
      </c>
      <c r="CQ70" s="347">
        <v>309.96572033454731</v>
      </c>
      <c r="CR70" s="347">
        <v>15.498286016727366</v>
      </c>
      <c r="CS70" s="347">
        <v>41.696262982028017</v>
      </c>
      <c r="CT70" s="347">
        <v>336.16369729984797</v>
      </c>
      <c r="CU70" s="347">
        <v>0</v>
      </c>
      <c r="CV70" s="347">
        <v>46.703938386081276</v>
      </c>
      <c r="CW70" s="347">
        <v>0</v>
      </c>
      <c r="CX70" s="347">
        <v>2.3351969193040638</v>
      </c>
      <c r="CY70" s="347">
        <v>44.368741466777209</v>
      </c>
      <c r="CZ70" s="347">
        <v>0</v>
      </c>
      <c r="DA70" s="347">
        <v>3.7698872548696798</v>
      </c>
      <c r="DB70" s="347">
        <v>3.371696960097307</v>
      </c>
      <c r="DC70" s="347">
        <v>0</v>
      </c>
      <c r="DD70" s="347">
        <v>1.1001165916716766</v>
      </c>
      <c r="DE70" s="347">
        <v>1.1001165916716766</v>
      </c>
      <c r="DF70" s="347">
        <v>0</v>
      </c>
      <c r="DG70" s="347">
        <v>0</v>
      </c>
      <c r="DH70" s="347">
        <v>0</v>
      </c>
      <c r="DI70" s="347">
        <v>1.6346378435128448</v>
      </c>
      <c r="DJ70" s="347">
        <v>1.6346378435128448</v>
      </c>
      <c r="DK70" s="347">
        <v>0</v>
      </c>
      <c r="DL70" s="347">
        <v>0.34733032419338511</v>
      </c>
      <c r="DM70" s="347">
        <v>0.34733032419338511</v>
      </c>
      <c r="DN70" s="347">
        <v>12.40355913411917</v>
      </c>
      <c r="DO70" s="347">
        <v>0</v>
      </c>
      <c r="DP70" s="347">
        <v>222.55409284924698</v>
      </c>
      <c r="DQ70" s="347">
        <v>221.649692957008</v>
      </c>
      <c r="DR70" s="347">
        <v>0</v>
      </c>
      <c r="DS70" s="347">
        <v>0</v>
      </c>
      <c r="DT70" s="347">
        <v>0</v>
      </c>
      <c r="DU70" s="347">
        <v>0</v>
      </c>
      <c r="DV70" s="347">
        <v>1.98196816770623</v>
      </c>
      <c r="DW70" s="347">
        <v>0.64667616670859096</v>
      </c>
      <c r="DX70" s="347">
        <v>0.64667616670859096</v>
      </c>
      <c r="DY70" s="347">
        <v>0</v>
      </c>
      <c r="DZ70" s="347">
        <v>247.05117488754448</v>
      </c>
      <c r="EA70" s="347">
        <v>80.607806603688672</v>
      </c>
      <c r="EB70" s="347">
        <v>80.607806603688672</v>
      </c>
      <c r="EC70" s="347">
        <v>0</v>
      </c>
      <c r="ED70" s="347">
        <v>0</v>
      </c>
      <c r="EE70" s="347">
        <v>0</v>
      </c>
      <c r="EF70" s="347">
        <v>0</v>
      </c>
      <c r="EG70" s="347">
        <v>0</v>
      </c>
      <c r="EH70" s="347">
        <v>0</v>
      </c>
      <c r="EI70" s="347">
        <v>0</v>
      </c>
      <c r="EJ70" s="347">
        <v>0.63597687452192309</v>
      </c>
      <c r="EK70" s="347">
        <v>57.792432697187991</v>
      </c>
      <c r="EL70" s="347">
        <v>0</v>
      </c>
      <c r="EM70" s="347">
        <v>0.50451109767173841</v>
      </c>
      <c r="EN70" s="347">
        <v>81.78799474549028</v>
      </c>
      <c r="EO70" s="347">
        <v>0</v>
      </c>
      <c r="EP70" s="347">
        <v>0</v>
      </c>
      <c r="EQ70" s="347">
        <v>0</v>
      </c>
      <c r="ER70" s="347">
        <v>3.4366246538704668</v>
      </c>
      <c r="ES70" s="347">
        <v>0</v>
      </c>
      <c r="ET70" s="347">
        <v>2.1856138062735253</v>
      </c>
      <c r="EU70" s="347">
        <v>198.61089901430591</v>
      </c>
      <c r="EV70" s="347">
        <v>0</v>
      </c>
      <c r="EW70" s="347">
        <v>1.7338152764099473</v>
      </c>
      <c r="EX70" s="347">
        <v>281.07463913298011</v>
      </c>
      <c r="EY70" s="347">
        <v>0</v>
      </c>
      <c r="EZ70" s="347">
        <v>0</v>
      </c>
      <c r="FA70" s="347">
        <v>0</v>
      </c>
      <c r="FB70" s="347">
        <v>0</v>
      </c>
      <c r="FC70" s="347">
        <v>677.02499187528758</v>
      </c>
      <c r="FD70" s="347">
        <v>953.54440602195825</v>
      </c>
      <c r="FE70" s="347">
        <v>0</v>
      </c>
      <c r="FF70" s="347">
        <v>0</v>
      </c>
      <c r="FG70" s="347">
        <v>799.58450060181985</v>
      </c>
      <c r="FH70" s="347">
        <v>42.626377116054158</v>
      </c>
      <c r="FI70" s="347">
        <v>11.235273426331792</v>
      </c>
      <c r="FJ70" s="347">
        <v>2.3872879103196181</v>
      </c>
      <c r="FK70" s="347">
        <v>0</v>
      </c>
      <c r="FL70" s="347">
        <v>855.83343905452546</v>
      </c>
      <c r="FM70" s="347">
        <v>0</v>
      </c>
      <c r="FN70" s="347">
        <v>0</v>
      </c>
      <c r="FO70" s="347">
        <v>-16.976419975571002</v>
      </c>
      <c r="FP70" s="347">
        <v>9.2768682779036631</v>
      </c>
      <c r="FQ70" s="347">
        <v>0</v>
      </c>
      <c r="FR70" s="347">
        <v>0</v>
      </c>
      <c r="FS70" s="347">
        <v>0</v>
      </c>
      <c r="FT70" s="347">
        <v>0</v>
      </c>
      <c r="FU70" s="347">
        <v>0.45749399087511239</v>
      </c>
      <c r="FV70" s="347">
        <v>-16.624871074440822</v>
      </c>
      <c r="FW70" s="347">
        <v>0</v>
      </c>
      <c r="FX70" s="347">
        <v>0.31286630852521796</v>
      </c>
      <c r="FY70" s="347">
        <v>9.7730448613837311</v>
      </c>
      <c r="FZ70" s="347">
        <v>0</v>
      </c>
      <c r="GA70" s="347">
        <v>0</v>
      </c>
      <c r="GB70" s="347">
        <v>0</v>
      </c>
      <c r="GC70" s="347">
        <v>0</v>
      </c>
      <c r="GD70" s="347">
        <v>-174.00815466423353</v>
      </c>
      <c r="GE70" s="347">
        <v>104.03458721215452</v>
      </c>
      <c r="GF70" s="347">
        <v>0</v>
      </c>
      <c r="GG70" s="347">
        <v>-158.54746363559991</v>
      </c>
      <c r="GH70" s="347">
        <v>94.791074387814646</v>
      </c>
      <c r="GI70" s="347">
        <v>0</v>
      </c>
      <c r="GJ70" s="347">
        <v>0</v>
      </c>
      <c r="GK70" s="347">
        <v>0</v>
      </c>
      <c r="GL70" s="347">
        <v>0</v>
      </c>
      <c r="GM70" s="347">
        <v>0</v>
      </c>
      <c r="GN70" s="347">
        <v>3.7698872548696807</v>
      </c>
      <c r="GO70" s="347">
        <v>3.371696960097307</v>
      </c>
      <c r="GP70" s="347">
        <v>0</v>
      </c>
      <c r="GQ70" s="347">
        <v>0</v>
      </c>
      <c r="GR70" s="347">
        <v>222.55409284924698</v>
      </c>
      <c r="GS70" s="347">
        <v>7.9984277053455415</v>
      </c>
      <c r="GT70" s="347">
        <v>3.7698872548696807</v>
      </c>
      <c r="GU70" s="347">
        <v>0</v>
      </c>
      <c r="GV70" s="347">
        <v>221.649692957008</v>
      </c>
      <c r="GW70" s="347">
        <v>8.1136523868512977</v>
      </c>
      <c r="GX70" s="347">
        <v>3.371696960097307</v>
      </c>
      <c r="GY70" s="347">
        <v>0</v>
      </c>
      <c r="GZ70" s="347">
        <v>0</v>
      </c>
      <c r="HA70" s="347">
        <v>0</v>
      </c>
      <c r="HB70" s="347" t="e">
        <v>#N/A</v>
      </c>
      <c r="HC70" s="347" t="e">
        <v>#N/A</v>
      </c>
      <c r="HD70" s="347" t="e">
        <v>#N/A</v>
      </c>
      <c r="HE70" s="347" t="e">
        <v>#N/A</v>
      </c>
      <c r="HF70" s="347" t="e">
        <v>#N/A</v>
      </c>
      <c r="HG70" s="347" t="e">
        <v>#N/A</v>
      </c>
      <c r="HH70" s="347" t="e">
        <v>#N/A</v>
      </c>
      <c r="HI70" s="347" t="e">
        <v>#N/A</v>
      </c>
      <c r="HJ70" s="347" t="e">
        <v>#N/A</v>
      </c>
      <c r="HK70" s="347" t="e">
        <v>#N/A</v>
      </c>
      <c r="HL70" s="347" t="e">
        <v>#N/A</v>
      </c>
      <c r="HM70" s="347" t="e">
        <v>#N/A</v>
      </c>
      <c r="HN70" s="347" t="e">
        <v>#N/A</v>
      </c>
      <c r="HO70" s="347" t="e">
        <v>#N/A</v>
      </c>
      <c r="HP70" s="347" t="e">
        <v>#N/A</v>
      </c>
      <c r="HQ70" s="347" t="e">
        <v>#N/A</v>
      </c>
      <c r="HR70" s="347" t="e">
        <v>#N/A</v>
      </c>
      <c r="HS70" s="347" t="e">
        <v>#N/A</v>
      </c>
      <c r="HT70" s="347" t="e">
        <v>#N/A</v>
      </c>
      <c r="HU70" s="347" t="e">
        <v>#N/A</v>
      </c>
      <c r="HV70" s="347" t="e">
        <v>#N/A</v>
      </c>
      <c r="HW70" s="347" t="e">
        <v>#N/A</v>
      </c>
      <c r="HX70" s="347" t="e">
        <v>#N/A</v>
      </c>
      <c r="HY70" s="347" t="e">
        <v>#N/A</v>
      </c>
      <c r="HZ70" s="347" t="e">
        <v>#N/A</v>
      </c>
      <c r="IA70" s="347" t="e">
        <v>#N/A</v>
      </c>
      <c r="IB70" s="347" t="e">
        <v>#N/A</v>
      </c>
      <c r="IC70" s="347" t="e">
        <v>#N/A</v>
      </c>
      <c r="ID70" s="347" t="e">
        <v>#N/A</v>
      </c>
      <c r="IE70" s="347" t="e">
        <v>#N/A</v>
      </c>
      <c r="IF70" s="347" t="e">
        <v>#N/A</v>
      </c>
      <c r="IG70" s="347" t="e">
        <v>#N/A</v>
      </c>
      <c r="IH70" s="347" t="e">
        <v>#N/A</v>
      </c>
      <c r="II70" s="347" t="e">
        <v>#N/A</v>
      </c>
      <c r="IJ70" s="347" t="e">
        <v>#N/A</v>
      </c>
      <c r="IK70" s="347" t="e">
        <v>#N/A</v>
      </c>
      <c r="IL70" s="347" t="e">
        <v>#N/A</v>
      </c>
      <c r="IM70" s="347" t="e">
        <v>#N/A</v>
      </c>
      <c r="IN70" s="347" t="e">
        <v>#N/A</v>
      </c>
      <c r="IO70" s="347" t="e">
        <v>#N/A</v>
      </c>
      <c r="IP70" s="347" t="e">
        <v>#N/A</v>
      </c>
      <c r="IQ70" s="347" t="e">
        <v>#N/A</v>
      </c>
      <c r="IR70" s="347" t="e">
        <v>#N/A</v>
      </c>
      <c r="IS70" s="347" t="e">
        <v>#N/A</v>
      </c>
      <c r="IT70" s="347" t="e">
        <v>#N/A</v>
      </c>
      <c r="IU70" s="347" t="e">
        <v>#N/A</v>
      </c>
      <c r="IV70" s="347" t="e">
        <v>#N/A</v>
      </c>
      <c r="IW70" s="347" t="e">
        <v>#N/A</v>
      </c>
      <c r="IX70" s="347" t="e">
        <v>#N/A</v>
      </c>
      <c r="IY70" s="347" t="e">
        <v>#N/A</v>
      </c>
      <c r="IZ70" s="347" t="e">
        <v>#N/A</v>
      </c>
      <c r="JA70" s="347" t="e">
        <v>#N/A</v>
      </c>
      <c r="JB70" s="347" t="e">
        <v>#N/A</v>
      </c>
      <c r="JC70" s="347" t="e">
        <v>#N/A</v>
      </c>
      <c r="JD70" s="347" t="e">
        <v>#N/A</v>
      </c>
      <c r="JE70" s="347" t="e">
        <v>#N/A</v>
      </c>
      <c r="JF70" s="347" t="e">
        <v>#N/A</v>
      </c>
      <c r="JG70" s="347" t="e">
        <v>#N/A</v>
      </c>
      <c r="JH70" s="347" t="e">
        <v>#N/A</v>
      </c>
      <c r="JI70" s="347" t="e">
        <v>#N/A</v>
      </c>
      <c r="JJ70" s="347" t="e">
        <v>#N/A</v>
      </c>
      <c r="JK70" s="347" t="e">
        <v>#N/A</v>
      </c>
      <c r="JL70" s="347" t="e">
        <v>#N/A</v>
      </c>
      <c r="JM70" s="347" t="e">
        <v>#N/A</v>
      </c>
      <c r="JN70" s="347" t="e">
        <v>#N/A</v>
      </c>
      <c r="JO70" s="347" t="e">
        <v>#N/A</v>
      </c>
      <c r="JP70" s="347" t="e">
        <v>#N/A</v>
      </c>
      <c r="JQ70" s="347" t="e">
        <v>#N/A</v>
      </c>
      <c r="JR70" s="347" t="e">
        <v>#N/A</v>
      </c>
      <c r="JS70" s="347" t="e">
        <v>#N/A</v>
      </c>
      <c r="JT70" s="347" t="e">
        <v>#N/A</v>
      </c>
      <c r="JU70" s="347" t="e">
        <v>#N/A</v>
      </c>
      <c r="JV70" s="347" t="e">
        <v>#N/A</v>
      </c>
      <c r="JW70" s="347" t="e">
        <v>#N/A</v>
      </c>
      <c r="JX70" s="347" t="e">
        <v>#N/A</v>
      </c>
      <c r="JY70" s="347" t="e">
        <v>#N/A</v>
      </c>
      <c r="JZ70" s="347" t="e">
        <v>#N/A</v>
      </c>
      <c r="KA70" s="347" t="e">
        <v>#N/A</v>
      </c>
      <c r="KB70" s="347" t="e">
        <v>#N/A</v>
      </c>
      <c r="KC70" s="347" t="e">
        <v>#N/A</v>
      </c>
      <c r="KD70" s="347" t="e">
        <v>#N/A</v>
      </c>
      <c r="KE70" s="347" t="e">
        <v>#N/A</v>
      </c>
      <c r="KF70" s="347" t="e">
        <v>#N/A</v>
      </c>
      <c r="KG70" s="347" t="e">
        <v>#N/A</v>
      </c>
      <c r="KH70" s="347" t="e">
        <v>#N/A</v>
      </c>
      <c r="KI70" s="347" t="e">
        <v>#N/A</v>
      </c>
      <c r="KJ70" s="347" t="e">
        <v>#N/A</v>
      </c>
      <c r="KK70" s="347" t="e">
        <v>#N/A</v>
      </c>
      <c r="KL70" s="347" t="e">
        <v>#N/A</v>
      </c>
      <c r="KM70" s="347" t="e">
        <v>#N/A</v>
      </c>
      <c r="KN70" s="347" t="e">
        <v>#N/A</v>
      </c>
    </row>
    <row r="71" spans="1:300" x14ac:dyDescent="0.15">
      <c r="A71" s="347">
        <v>17</v>
      </c>
      <c r="B71" s="347">
        <v>-1.0089171356632758</v>
      </c>
      <c r="C71" s="347">
        <v>7.9049343096611435E-2</v>
      </c>
      <c r="D71" s="347">
        <v>371.93135716732036</v>
      </c>
      <c r="E71" s="347">
        <v>0.26886681661264999</v>
      </c>
      <c r="F71" s="347">
        <v>-0.76369614118954021</v>
      </c>
      <c r="G71" s="347">
        <v>224.00387904496372</v>
      </c>
      <c r="H71" s="347">
        <v>241.71123853456092</v>
      </c>
      <c r="I71" s="347">
        <v>0</v>
      </c>
      <c r="J71" s="347">
        <v>0.30422126406670424</v>
      </c>
      <c r="K71" s="347">
        <v>0</v>
      </c>
      <c r="L71" s="347">
        <v>0.42525705584726081</v>
      </c>
      <c r="M71" s="347">
        <v>190.81685186266319</v>
      </c>
      <c r="N71" s="347">
        <v>3.4824075464936035</v>
      </c>
      <c r="O71" s="347">
        <v>0</v>
      </c>
      <c r="P71" s="347">
        <v>0</v>
      </c>
      <c r="Q71" s="347">
        <v>0</v>
      </c>
      <c r="R71" s="347">
        <v>0</v>
      </c>
      <c r="S71" s="347">
        <v>0</v>
      </c>
      <c r="T71" s="347">
        <v>16.652911949458886</v>
      </c>
      <c r="U71" s="347">
        <v>0.16652911949458893</v>
      </c>
      <c r="V71" s="347">
        <v>0</v>
      </c>
      <c r="W71" s="347">
        <v>16.652911949458886</v>
      </c>
      <c r="X71" s="347">
        <v>0.16652911949458893</v>
      </c>
      <c r="Y71" s="347">
        <v>0</v>
      </c>
      <c r="Z71" s="347">
        <v>0</v>
      </c>
      <c r="AA71" s="347">
        <v>0</v>
      </c>
      <c r="AB71" s="347">
        <v>0</v>
      </c>
      <c r="AC71" s="347">
        <v>0</v>
      </c>
      <c r="AD71" s="347">
        <v>0</v>
      </c>
      <c r="AE71" s="347">
        <v>0</v>
      </c>
      <c r="AF71" s="347">
        <v>1.3872826597967309E-4</v>
      </c>
      <c r="AG71" s="347">
        <v>2.1729394065562882E-4</v>
      </c>
      <c r="AH71" s="347">
        <v>5.5850373618143701E-4</v>
      </c>
      <c r="AI71" s="347">
        <v>1.3161981587713411E-3</v>
      </c>
      <c r="AJ71" s="347">
        <v>2.3904142370581214E-3</v>
      </c>
      <c r="AK71" s="347">
        <v>3.1897700510157565E-3</v>
      </c>
      <c r="AL71" s="347">
        <v>2.5893883485318416E-3</v>
      </c>
      <c r="AM71" s="347">
        <v>1.5295112268891202E-3</v>
      </c>
      <c r="AN71" s="347">
        <v>7.1701395566214606E-4</v>
      </c>
      <c r="AO71" s="347">
        <v>4.6432996675056462E-4</v>
      </c>
      <c r="AP71" s="347">
        <v>0</v>
      </c>
      <c r="AQ71" s="347">
        <v>0</v>
      </c>
      <c r="AR71" s="347">
        <v>0</v>
      </c>
      <c r="AS71" s="347">
        <v>0</v>
      </c>
      <c r="AT71" s="347">
        <v>0</v>
      </c>
      <c r="AU71" s="347">
        <v>0</v>
      </c>
      <c r="AV71" s="347">
        <v>0</v>
      </c>
      <c r="AW71" s="347">
        <v>0</v>
      </c>
      <c r="AX71" s="347">
        <v>0</v>
      </c>
      <c r="AY71" s="347">
        <v>0</v>
      </c>
      <c r="AZ71" s="347">
        <v>0</v>
      </c>
      <c r="BA71" s="347">
        <v>0</v>
      </c>
      <c r="BB71" s="347">
        <v>0</v>
      </c>
      <c r="BC71" s="347">
        <v>0</v>
      </c>
      <c r="BD71" s="347">
        <v>0</v>
      </c>
      <c r="BE71" s="347">
        <v>0</v>
      </c>
      <c r="BF71" s="347">
        <v>0</v>
      </c>
      <c r="BG71" s="347">
        <v>0</v>
      </c>
      <c r="BH71" s="347">
        <v>0</v>
      </c>
      <c r="BI71" s="347">
        <v>0</v>
      </c>
      <c r="BJ71" s="347">
        <v>0</v>
      </c>
      <c r="BK71" s="347">
        <v>0</v>
      </c>
      <c r="BL71" s="347">
        <v>0</v>
      </c>
      <c r="BM71" s="347">
        <v>0</v>
      </c>
      <c r="BN71" s="347">
        <v>0</v>
      </c>
      <c r="BO71" s="347">
        <v>0</v>
      </c>
      <c r="BP71" s="347">
        <v>0</v>
      </c>
      <c r="BQ71" s="347">
        <v>0</v>
      </c>
      <c r="BR71" s="347">
        <v>0</v>
      </c>
      <c r="BS71" s="347">
        <v>0</v>
      </c>
      <c r="BT71" s="347">
        <v>1.3111151887495631E-2</v>
      </c>
      <c r="BU71" s="347">
        <v>0</v>
      </c>
      <c r="BV71" s="347">
        <v>0.11939600066809354</v>
      </c>
      <c r="BW71" s="347">
        <v>1.3111151887495631E-2</v>
      </c>
      <c r="BX71" s="347">
        <v>5.9698000334046774E-3</v>
      </c>
      <c r="BY71" s="347">
        <v>0</v>
      </c>
      <c r="BZ71" s="347">
        <v>0</v>
      </c>
      <c r="CA71" s="347">
        <v>0</v>
      </c>
      <c r="CB71" s="347">
        <v>20.714955849920809</v>
      </c>
      <c r="CC71" s="347">
        <v>1.4684744407733594</v>
      </c>
      <c r="CD71" s="347">
        <v>1.0357477924960405</v>
      </c>
      <c r="CE71" s="347">
        <v>0</v>
      </c>
      <c r="CF71" s="347">
        <v>20.714955849920809</v>
      </c>
      <c r="CG71" s="347">
        <v>1.4684744407733594</v>
      </c>
      <c r="CH71" s="347">
        <v>1.0357477924960405</v>
      </c>
      <c r="CI71" s="347">
        <v>0</v>
      </c>
      <c r="CJ71" s="347">
        <v>0</v>
      </c>
      <c r="CK71" s="347">
        <v>0</v>
      </c>
      <c r="CL71" s="347">
        <v>0</v>
      </c>
      <c r="CM71" s="347">
        <v>8.0676763447540725E-2</v>
      </c>
      <c r="CN71" s="347">
        <v>0.27441744416344471</v>
      </c>
      <c r="CO71" s="347">
        <v>0</v>
      </c>
      <c r="CP71" s="347">
        <v>0</v>
      </c>
      <c r="CQ71" s="347">
        <v>336.16369729984797</v>
      </c>
      <c r="CR71" s="347">
        <v>16.808184864992398</v>
      </c>
      <c r="CS71" s="347">
        <v>45.052808271022656</v>
      </c>
      <c r="CT71" s="347">
        <v>364.40832070587822</v>
      </c>
      <c r="CU71" s="347">
        <v>0</v>
      </c>
      <c r="CV71" s="347">
        <v>44.368741466777209</v>
      </c>
      <c r="CW71" s="347">
        <v>0</v>
      </c>
      <c r="CX71" s="347">
        <v>2.2184370733388605</v>
      </c>
      <c r="CY71" s="347">
        <v>42.150304393438347</v>
      </c>
      <c r="CZ71" s="347">
        <v>0</v>
      </c>
      <c r="DA71" s="347">
        <v>3.8460440291678353</v>
      </c>
      <c r="DB71" s="347">
        <v>3.439809756855412</v>
      </c>
      <c r="DC71" s="347">
        <v>0</v>
      </c>
      <c r="DD71" s="347">
        <v>1.046463272379536</v>
      </c>
      <c r="DE71" s="347">
        <v>2.1465798640512128</v>
      </c>
      <c r="DF71" s="347">
        <v>0</v>
      </c>
      <c r="DG71" s="347">
        <v>0</v>
      </c>
      <c r="DH71" s="347">
        <v>0</v>
      </c>
      <c r="DI71" s="347">
        <v>1.5529059513372026</v>
      </c>
      <c r="DJ71" s="347">
        <v>1.5529059513372026</v>
      </c>
      <c r="DK71" s="347">
        <v>0</v>
      </c>
      <c r="DL71" s="347">
        <v>0.30438891585154121</v>
      </c>
      <c r="DM71" s="347">
        <v>0.30438891585154121</v>
      </c>
      <c r="DN71" s="347">
        <v>12.36327649811974</v>
      </c>
      <c r="DO71" s="347">
        <v>0</v>
      </c>
      <c r="DP71" s="347">
        <v>233.96468519259935</v>
      </c>
      <c r="DQ71" s="347">
        <v>233.01391572632292</v>
      </c>
      <c r="DR71" s="347">
        <v>0</v>
      </c>
      <c r="DS71" s="347">
        <v>0</v>
      </c>
      <c r="DT71" s="347">
        <v>0</v>
      </c>
      <c r="DU71" s="347">
        <v>0</v>
      </c>
      <c r="DV71" s="347">
        <v>1.8572948671887437</v>
      </c>
      <c r="DW71" s="347">
        <v>0.56502859224076118</v>
      </c>
      <c r="DX71" s="347">
        <v>1.2117047589493521</v>
      </c>
      <c r="DY71" s="347">
        <v>0</v>
      </c>
      <c r="DZ71" s="347">
        <v>266.33673347618469</v>
      </c>
      <c r="EA71" s="347">
        <v>81.02529772552181</v>
      </c>
      <c r="EB71" s="347">
        <v>161.63310432921048</v>
      </c>
      <c r="EC71" s="347">
        <v>0</v>
      </c>
      <c r="ED71" s="347">
        <v>0</v>
      </c>
      <c r="EE71" s="347">
        <v>0</v>
      </c>
      <c r="EF71" s="347">
        <v>0</v>
      </c>
      <c r="EG71" s="347">
        <v>0</v>
      </c>
      <c r="EH71" s="347">
        <v>0</v>
      </c>
      <c r="EI71" s="347">
        <v>0</v>
      </c>
      <c r="EJ71" s="347">
        <v>0.63597687452192309</v>
      </c>
      <c r="EK71" s="347">
        <v>57.792432697187991</v>
      </c>
      <c r="EL71" s="347">
        <v>0</v>
      </c>
      <c r="EM71" s="347">
        <v>0.50451109767173841</v>
      </c>
      <c r="EN71" s="347">
        <v>81.78799474549028</v>
      </c>
      <c r="EO71" s="347">
        <v>0</v>
      </c>
      <c r="EP71" s="347">
        <v>0</v>
      </c>
      <c r="EQ71" s="347">
        <v>0</v>
      </c>
      <c r="ER71" s="347">
        <v>3.7193135716732053</v>
      </c>
      <c r="ES71" s="347">
        <v>0</v>
      </c>
      <c r="ET71" s="347">
        <v>2.3653974206796957</v>
      </c>
      <c r="EU71" s="347">
        <v>214.9481792706616</v>
      </c>
      <c r="EV71" s="347">
        <v>0</v>
      </c>
      <c r="EW71" s="347">
        <v>1.8764349726302427</v>
      </c>
      <c r="EX71" s="347">
        <v>304.19519885683883</v>
      </c>
      <c r="EY71" s="347">
        <v>0</v>
      </c>
      <c r="EZ71" s="347">
        <v>0</v>
      </c>
      <c r="FA71" s="347">
        <v>0</v>
      </c>
      <c r="FB71" s="347">
        <v>0</v>
      </c>
      <c r="FC71" s="347">
        <v>756.77443942544335</v>
      </c>
      <c r="FD71" s="347">
        <v>1065.86616741537</v>
      </c>
      <c r="FE71" s="347">
        <v>0</v>
      </c>
      <c r="FF71" s="347">
        <v>0</v>
      </c>
      <c r="FG71" s="347">
        <v>921.14153670256383</v>
      </c>
      <c r="FH71" s="347">
        <v>45.982902069805128</v>
      </c>
      <c r="FI71" s="347">
        <v>11.551488360681097</v>
      </c>
      <c r="FJ71" s="347">
        <v>2.264235651587061</v>
      </c>
      <c r="FK71" s="347">
        <v>0</v>
      </c>
      <c r="FL71" s="347">
        <v>980.94016278463721</v>
      </c>
      <c r="FM71" s="347">
        <v>0</v>
      </c>
      <c r="FN71" s="347">
        <v>0</v>
      </c>
      <c r="FO71" s="347">
        <v>-18.335635973301869</v>
      </c>
      <c r="FP71" s="347">
        <v>6.9465227878792026</v>
      </c>
      <c r="FQ71" s="347">
        <v>0</v>
      </c>
      <c r="FR71" s="347">
        <v>0</v>
      </c>
      <c r="FS71" s="347">
        <v>0</v>
      </c>
      <c r="FT71" s="347">
        <v>0</v>
      </c>
      <c r="FU71" s="347">
        <v>0.46893529853129029</v>
      </c>
      <c r="FV71" s="347">
        <v>-18.084179816593398</v>
      </c>
      <c r="FW71" s="347">
        <v>0</v>
      </c>
      <c r="FX71" s="347">
        <v>0.32965750631233848</v>
      </c>
      <c r="FY71" s="347">
        <v>7.3372567368066166</v>
      </c>
      <c r="FZ71" s="347">
        <v>0</v>
      </c>
      <c r="GA71" s="347">
        <v>0</v>
      </c>
      <c r="GB71" s="347">
        <v>0</v>
      </c>
      <c r="GC71" s="347">
        <v>0</v>
      </c>
      <c r="GD71" s="347">
        <v>-220.05575161593038</v>
      </c>
      <c r="GE71" s="347">
        <v>90.738742893035578</v>
      </c>
      <c r="GF71" s="347">
        <v>0</v>
      </c>
      <c r="GG71" s="347">
        <v>-212.46074885240134</v>
      </c>
      <c r="GH71" s="347">
        <v>87.606986517794056</v>
      </c>
      <c r="GI71" s="347">
        <v>0</v>
      </c>
      <c r="GJ71" s="347">
        <v>0</v>
      </c>
      <c r="GK71" s="347">
        <v>0</v>
      </c>
      <c r="GL71" s="347">
        <v>0</v>
      </c>
      <c r="GM71" s="347">
        <v>0</v>
      </c>
      <c r="GN71" s="347">
        <v>3.8460440291678353</v>
      </c>
      <c r="GO71" s="347">
        <v>3.4824075464936035</v>
      </c>
      <c r="GP71" s="347">
        <v>0</v>
      </c>
      <c r="GQ71" s="347">
        <v>0</v>
      </c>
      <c r="GR71" s="347">
        <v>233.96468519259935</v>
      </c>
      <c r="GS71" s="347">
        <v>7.9990565243186946</v>
      </c>
      <c r="GT71" s="347">
        <v>3.8460440291678353</v>
      </c>
      <c r="GU71" s="347">
        <v>0</v>
      </c>
      <c r="GV71" s="347">
        <v>224.00387904496372</v>
      </c>
      <c r="GW71" s="347">
        <v>7.9049343096611437</v>
      </c>
      <c r="GX71" s="347">
        <v>3.4824075464936035</v>
      </c>
      <c r="GY71" s="347">
        <v>0</v>
      </c>
      <c r="GZ71" s="347">
        <v>0</v>
      </c>
      <c r="HA71" s="347">
        <v>0</v>
      </c>
      <c r="HB71" s="347" t="e">
        <v>#N/A</v>
      </c>
      <c r="HC71" s="347" t="e">
        <v>#N/A</v>
      </c>
      <c r="HD71" s="347" t="e">
        <v>#N/A</v>
      </c>
      <c r="HE71" s="347" t="e">
        <v>#N/A</v>
      </c>
      <c r="HF71" s="347" t="e">
        <v>#N/A</v>
      </c>
      <c r="HG71" s="347" t="e">
        <v>#N/A</v>
      </c>
      <c r="HH71" s="347" t="e">
        <v>#N/A</v>
      </c>
      <c r="HI71" s="347" t="e">
        <v>#N/A</v>
      </c>
      <c r="HJ71" s="347" t="e">
        <v>#N/A</v>
      </c>
      <c r="HK71" s="347" t="e">
        <v>#N/A</v>
      </c>
      <c r="HL71" s="347" t="e">
        <v>#N/A</v>
      </c>
      <c r="HM71" s="347" t="e">
        <v>#N/A</v>
      </c>
      <c r="HN71" s="347" t="e">
        <v>#N/A</v>
      </c>
      <c r="HO71" s="347" t="e">
        <v>#N/A</v>
      </c>
      <c r="HP71" s="347" t="e">
        <v>#N/A</v>
      </c>
      <c r="HQ71" s="347" t="e">
        <v>#N/A</v>
      </c>
      <c r="HR71" s="347" t="e">
        <v>#N/A</v>
      </c>
      <c r="HS71" s="347" t="e">
        <v>#N/A</v>
      </c>
      <c r="HT71" s="347" t="e">
        <v>#N/A</v>
      </c>
      <c r="HU71" s="347" t="e">
        <v>#N/A</v>
      </c>
      <c r="HV71" s="347" t="e">
        <v>#N/A</v>
      </c>
      <c r="HW71" s="347" t="e">
        <v>#N/A</v>
      </c>
      <c r="HX71" s="347" t="e">
        <v>#N/A</v>
      </c>
      <c r="HY71" s="347" t="e">
        <v>#N/A</v>
      </c>
      <c r="HZ71" s="347" t="e">
        <v>#N/A</v>
      </c>
      <c r="IA71" s="347" t="e">
        <v>#N/A</v>
      </c>
      <c r="IB71" s="347" t="e">
        <v>#N/A</v>
      </c>
      <c r="IC71" s="347" t="e">
        <v>#N/A</v>
      </c>
      <c r="ID71" s="347" t="e">
        <v>#N/A</v>
      </c>
      <c r="IE71" s="347" t="e">
        <v>#N/A</v>
      </c>
      <c r="IF71" s="347" t="e">
        <v>#N/A</v>
      </c>
      <c r="IG71" s="347" t="e">
        <v>#N/A</v>
      </c>
      <c r="IH71" s="347" t="e">
        <v>#N/A</v>
      </c>
      <c r="II71" s="347" t="e">
        <v>#N/A</v>
      </c>
      <c r="IJ71" s="347" t="e">
        <v>#N/A</v>
      </c>
      <c r="IK71" s="347" t="e">
        <v>#N/A</v>
      </c>
      <c r="IL71" s="347" t="e">
        <v>#N/A</v>
      </c>
      <c r="IM71" s="347" t="e">
        <v>#N/A</v>
      </c>
      <c r="IN71" s="347" t="e">
        <v>#N/A</v>
      </c>
      <c r="IO71" s="347" t="e">
        <v>#N/A</v>
      </c>
      <c r="IP71" s="347" t="e">
        <v>#N/A</v>
      </c>
      <c r="IQ71" s="347" t="e">
        <v>#N/A</v>
      </c>
      <c r="IR71" s="347" t="e">
        <v>#N/A</v>
      </c>
      <c r="IS71" s="347" t="e">
        <v>#N/A</v>
      </c>
      <c r="IT71" s="347" t="e">
        <v>#N/A</v>
      </c>
      <c r="IU71" s="347" t="e">
        <v>#N/A</v>
      </c>
      <c r="IV71" s="347" t="e">
        <v>#N/A</v>
      </c>
      <c r="IW71" s="347" t="e">
        <v>#N/A</v>
      </c>
      <c r="IX71" s="347" t="e">
        <v>#N/A</v>
      </c>
      <c r="IY71" s="347" t="e">
        <v>#N/A</v>
      </c>
      <c r="IZ71" s="347" t="e">
        <v>#N/A</v>
      </c>
      <c r="JA71" s="347" t="e">
        <v>#N/A</v>
      </c>
      <c r="JB71" s="347" t="e">
        <v>#N/A</v>
      </c>
      <c r="JC71" s="347" t="e">
        <v>#N/A</v>
      </c>
      <c r="JD71" s="347" t="e">
        <v>#N/A</v>
      </c>
      <c r="JE71" s="347" t="e">
        <v>#N/A</v>
      </c>
      <c r="JF71" s="347" t="e">
        <v>#N/A</v>
      </c>
      <c r="JG71" s="347" t="e">
        <v>#N/A</v>
      </c>
      <c r="JH71" s="347" t="e">
        <v>#N/A</v>
      </c>
      <c r="JI71" s="347" t="e">
        <v>#N/A</v>
      </c>
      <c r="JJ71" s="347" t="e">
        <v>#N/A</v>
      </c>
      <c r="JK71" s="347" t="e">
        <v>#N/A</v>
      </c>
      <c r="JL71" s="347" t="e">
        <v>#N/A</v>
      </c>
      <c r="JM71" s="347" t="e">
        <v>#N/A</v>
      </c>
      <c r="JN71" s="347" t="e">
        <v>#N/A</v>
      </c>
      <c r="JO71" s="347" t="e">
        <v>#N/A</v>
      </c>
      <c r="JP71" s="347" t="e">
        <v>#N/A</v>
      </c>
      <c r="JQ71" s="347" t="e">
        <v>#N/A</v>
      </c>
      <c r="JR71" s="347" t="e">
        <v>#N/A</v>
      </c>
      <c r="JS71" s="347" t="e">
        <v>#N/A</v>
      </c>
      <c r="JT71" s="347" t="e">
        <v>#N/A</v>
      </c>
      <c r="JU71" s="347" t="e">
        <v>#N/A</v>
      </c>
      <c r="JV71" s="347" t="e">
        <v>#N/A</v>
      </c>
      <c r="JW71" s="347" t="e">
        <v>#N/A</v>
      </c>
      <c r="JX71" s="347" t="e">
        <v>#N/A</v>
      </c>
      <c r="JY71" s="347" t="e">
        <v>#N/A</v>
      </c>
      <c r="JZ71" s="347" t="e">
        <v>#N/A</v>
      </c>
      <c r="KA71" s="347" t="e">
        <v>#N/A</v>
      </c>
      <c r="KB71" s="347" t="e">
        <v>#N/A</v>
      </c>
      <c r="KC71" s="347" t="e">
        <v>#N/A</v>
      </c>
      <c r="KD71" s="347" t="e">
        <v>#N/A</v>
      </c>
      <c r="KE71" s="347" t="e">
        <v>#N/A</v>
      </c>
      <c r="KF71" s="347" t="e">
        <v>#N/A</v>
      </c>
      <c r="KG71" s="347" t="e">
        <v>#N/A</v>
      </c>
      <c r="KH71" s="347" t="e">
        <v>#N/A</v>
      </c>
      <c r="KI71" s="347" t="e">
        <v>#N/A</v>
      </c>
      <c r="KJ71" s="347" t="e">
        <v>#N/A</v>
      </c>
      <c r="KK71" s="347" t="e">
        <v>#N/A</v>
      </c>
      <c r="KL71" s="347" t="e">
        <v>#N/A</v>
      </c>
      <c r="KM71" s="347" t="e">
        <v>#N/A</v>
      </c>
      <c r="KN71" s="347" t="e">
        <v>#N/A</v>
      </c>
    </row>
    <row r="72" spans="1:300" x14ac:dyDescent="0.15">
      <c r="A72" s="347">
        <v>18</v>
      </c>
      <c r="B72" s="347">
        <v>0.56535960926566708</v>
      </c>
      <c r="C72" s="347">
        <v>8.0313098752831227E-2</v>
      </c>
      <c r="D72" s="347">
        <v>403.03459915965254</v>
      </c>
      <c r="E72" s="347">
        <v>0.24811765592459059</v>
      </c>
      <c r="F72" s="347">
        <v>0.50445489572923707</v>
      </c>
      <c r="G72" s="347">
        <v>241.20232730264351</v>
      </c>
      <c r="H72" s="347">
        <v>260.57403363471349</v>
      </c>
      <c r="I72" s="347">
        <v>0</v>
      </c>
      <c r="J72" s="347">
        <v>0.28365402649977056</v>
      </c>
      <c r="K72" s="347">
        <v>0</v>
      </c>
      <c r="L72" s="347">
        <v>0.11201524725903553</v>
      </c>
      <c r="M72" s="347">
        <v>195.23901670436953</v>
      </c>
      <c r="N72" s="347">
        <v>3.5631120548547441</v>
      </c>
      <c r="O72" s="347">
        <v>0</v>
      </c>
      <c r="P72" s="347">
        <v>0</v>
      </c>
      <c r="Q72" s="347">
        <v>0</v>
      </c>
      <c r="R72" s="347">
        <v>0</v>
      </c>
      <c r="S72" s="347">
        <v>0</v>
      </c>
      <c r="T72" s="347">
        <v>17.160068621848609</v>
      </c>
      <c r="U72" s="347">
        <v>0.17160068621848618</v>
      </c>
      <c r="V72" s="347">
        <v>0</v>
      </c>
      <c r="W72" s="347">
        <v>17.160068621848609</v>
      </c>
      <c r="X72" s="347">
        <v>0.17160068621848618</v>
      </c>
      <c r="Y72" s="347">
        <v>0</v>
      </c>
      <c r="Z72" s="347">
        <v>0</v>
      </c>
      <c r="AA72" s="347">
        <v>0</v>
      </c>
      <c r="AB72" s="347">
        <v>0</v>
      </c>
      <c r="AC72" s="347">
        <v>0</v>
      </c>
      <c r="AD72" s="347">
        <v>0</v>
      </c>
      <c r="AE72" s="347">
        <v>0</v>
      </c>
      <c r="AF72" s="347">
        <v>1.3872826597967309E-4</v>
      </c>
      <c r="AG72" s="347">
        <v>2.1729394065562882E-4</v>
      </c>
      <c r="AH72" s="347">
        <v>5.5850373618143701E-4</v>
      </c>
      <c r="AI72" s="347">
        <v>1.3161981587713411E-3</v>
      </c>
      <c r="AJ72" s="347">
        <v>2.3904142370581214E-3</v>
      </c>
      <c r="AK72" s="347">
        <v>3.1897700510157565E-3</v>
      </c>
      <c r="AL72" s="347">
        <v>2.5893883485318416E-3</v>
      </c>
      <c r="AM72" s="347">
        <v>1.5295112268891202E-3</v>
      </c>
      <c r="AN72" s="347">
        <v>7.1701395566214606E-4</v>
      </c>
      <c r="AO72" s="347">
        <v>4.6432996675056462E-4</v>
      </c>
      <c r="AP72" s="347">
        <v>0</v>
      </c>
      <c r="AQ72" s="347">
        <v>0</v>
      </c>
      <c r="AR72" s="347">
        <v>0</v>
      </c>
      <c r="AS72" s="347">
        <v>0</v>
      </c>
      <c r="AT72" s="347">
        <v>0</v>
      </c>
      <c r="AU72" s="347">
        <v>0</v>
      </c>
      <c r="AV72" s="347">
        <v>0</v>
      </c>
      <c r="AW72" s="347">
        <v>0</v>
      </c>
      <c r="AX72" s="347">
        <v>0</v>
      </c>
      <c r="AY72" s="347">
        <v>0</v>
      </c>
      <c r="AZ72" s="347">
        <v>0</v>
      </c>
      <c r="BA72" s="347">
        <v>0</v>
      </c>
      <c r="BB72" s="347">
        <v>0</v>
      </c>
      <c r="BC72" s="347">
        <v>0</v>
      </c>
      <c r="BD72" s="347">
        <v>0</v>
      </c>
      <c r="BE72" s="347">
        <v>0</v>
      </c>
      <c r="BF72" s="347">
        <v>0</v>
      </c>
      <c r="BG72" s="347">
        <v>0</v>
      </c>
      <c r="BH72" s="347">
        <v>0</v>
      </c>
      <c r="BI72" s="347">
        <v>0</v>
      </c>
      <c r="BJ72" s="347">
        <v>0</v>
      </c>
      <c r="BK72" s="347">
        <v>0</v>
      </c>
      <c r="BL72" s="347">
        <v>0</v>
      </c>
      <c r="BM72" s="347">
        <v>0</v>
      </c>
      <c r="BN72" s="347">
        <v>0</v>
      </c>
      <c r="BO72" s="347">
        <v>0</v>
      </c>
      <c r="BP72" s="347">
        <v>0</v>
      </c>
      <c r="BQ72" s="347">
        <v>0</v>
      </c>
      <c r="BR72" s="347">
        <v>0</v>
      </c>
      <c r="BS72" s="347">
        <v>0</v>
      </c>
      <c r="BT72" s="347">
        <v>1.3111151887495631E-2</v>
      </c>
      <c r="BU72" s="347">
        <v>0</v>
      </c>
      <c r="BV72" s="347">
        <v>0.10628484878059791</v>
      </c>
      <c r="BW72" s="347">
        <v>1.3111151887495631E-2</v>
      </c>
      <c r="BX72" s="347">
        <v>5.314242439029896E-3</v>
      </c>
      <c r="BY72" s="347">
        <v>0</v>
      </c>
      <c r="BZ72" s="347">
        <v>0</v>
      </c>
      <c r="CA72" s="347">
        <v>0</v>
      </c>
      <c r="CB72" s="347">
        <v>20.724177313650856</v>
      </c>
      <c r="CC72" s="347">
        <v>1.5812201744411967</v>
      </c>
      <c r="CD72" s="347">
        <v>1.0362088656825428</v>
      </c>
      <c r="CE72" s="347">
        <v>0</v>
      </c>
      <c r="CF72" s="347">
        <v>20.724177313650856</v>
      </c>
      <c r="CG72" s="347">
        <v>1.5812201744411967</v>
      </c>
      <c r="CH72" s="347">
        <v>1.0362088656825428</v>
      </c>
      <c r="CI72" s="347">
        <v>0</v>
      </c>
      <c r="CJ72" s="347">
        <v>0</v>
      </c>
      <c r="CK72" s="347">
        <v>0</v>
      </c>
      <c r="CL72" s="347">
        <v>0</v>
      </c>
      <c r="CM72" s="347">
        <v>8.0404229387477794E-2</v>
      </c>
      <c r="CN72" s="347">
        <v>0.25321685005793826</v>
      </c>
      <c r="CO72" s="347">
        <v>0</v>
      </c>
      <c r="CP72" s="347">
        <v>0</v>
      </c>
      <c r="CQ72" s="347">
        <v>364.40832070587822</v>
      </c>
      <c r="CR72" s="347">
        <v>18.220416035293912</v>
      </c>
      <c r="CS72" s="347">
        <v>48.730521876144678</v>
      </c>
      <c r="CT72" s="347">
        <v>394.91842654672899</v>
      </c>
      <c r="CU72" s="347">
        <v>0</v>
      </c>
      <c r="CV72" s="347">
        <v>42.150304393438347</v>
      </c>
      <c r="CW72" s="347">
        <v>0</v>
      </c>
      <c r="CX72" s="347">
        <v>2.1075152196719174</v>
      </c>
      <c r="CY72" s="347">
        <v>40.04278917376643</v>
      </c>
      <c r="CZ72" s="347">
        <v>0</v>
      </c>
      <c r="DA72" s="347">
        <v>3.9237392723589291</v>
      </c>
      <c r="DB72" s="347">
        <v>3.5092985233810006</v>
      </c>
      <c r="DC72" s="347">
        <v>0</v>
      </c>
      <c r="DD72" s="347">
        <v>0.99542665634672001</v>
      </c>
      <c r="DE72" s="347">
        <v>3.142006520397933</v>
      </c>
      <c r="DF72" s="347">
        <v>0</v>
      </c>
      <c r="DG72" s="347">
        <v>0</v>
      </c>
      <c r="DH72" s="347">
        <v>0</v>
      </c>
      <c r="DI72" s="347">
        <v>1.4752606537703423</v>
      </c>
      <c r="DJ72" s="347">
        <v>1.4752606537703423</v>
      </c>
      <c r="DK72" s="347">
        <v>0</v>
      </c>
      <c r="DL72" s="347">
        <v>0.26682918268724337</v>
      </c>
      <c r="DM72" s="347">
        <v>0.26682918268724337</v>
      </c>
      <c r="DN72" s="347">
        <v>12.339389251156808</v>
      </c>
      <c r="DO72" s="347">
        <v>0</v>
      </c>
      <c r="DP72" s="347">
        <v>245.96031111569525</v>
      </c>
      <c r="DQ72" s="347">
        <v>244.96079465648199</v>
      </c>
      <c r="DR72" s="347">
        <v>0</v>
      </c>
      <c r="DS72" s="347">
        <v>0</v>
      </c>
      <c r="DT72" s="347">
        <v>0</v>
      </c>
      <c r="DU72" s="347">
        <v>0</v>
      </c>
      <c r="DV72" s="347">
        <v>1.7420898364575856</v>
      </c>
      <c r="DW72" s="347">
        <v>0.49415079663552097</v>
      </c>
      <c r="DX72" s="347">
        <v>1.7058555555848731</v>
      </c>
      <c r="DY72" s="347">
        <v>0</v>
      </c>
      <c r="DZ72" s="347">
        <v>287.43648570582957</v>
      </c>
      <c r="EA72" s="347">
        <v>81.532516533402301</v>
      </c>
      <c r="EB72" s="347">
        <v>243.1656208626128</v>
      </c>
      <c r="EC72" s="347">
        <v>0</v>
      </c>
      <c r="ED72" s="347">
        <v>0</v>
      </c>
      <c r="EE72" s="347">
        <v>0</v>
      </c>
      <c r="EF72" s="347">
        <v>0</v>
      </c>
      <c r="EG72" s="347">
        <v>0</v>
      </c>
      <c r="EH72" s="347">
        <v>0</v>
      </c>
      <c r="EI72" s="347">
        <v>0</v>
      </c>
      <c r="EJ72" s="347">
        <v>0.63597687452192309</v>
      </c>
      <c r="EK72" s="347">
        <v>57.792432697187991</v>
      </c>
      <c r="EL72" s="347">
        <v>0</v>
      </c>
      <c r="EM72" s="347">
        <v>0.50451109767173841</v>
      </c>
      <c r="EN72" s="347">
        <v>81.78799474549028</v>
      </c>
      <c r="EO72" s="347">
        <v>0</v>
      </c>
      <c r="EP72" s="347">
        <v>0</v>
      </c>
      <c r="EQ72" s="347">
        <v>0</v>
      </c>
      <c r="ER72" s="347">
        <v>4.0303459915965272</v>
      </c>
      <c r="ES72" s="347">
        <v>0</v>
      </c>
      <c r="ET72" s="347">
        <v>2.5632068469775202</v>
      </c>
      <c r="EU72" s="347">
        <v>232.92349946572369</v>
      </c>
      <c r="EV72" s="347">
        <v>0</v>
      </c>
      <c r="EW72" s="347">
        <v>2.0333542802172548</v>
      </c>
      <c r="EX72" s="347">
        <v>329.6339167832046</v>
      </c>
      <c r="EY72" s="347">
        <v>0</v>
      </c>
      <c r="EZ72" s="347">
        <v>0</v>
      </c>
      <c r="FA72" s="347">
        <v>0</v>
      </c>
      <c r="FB72" s="347">
        <v>0</v>
      </c>
      <c r="FC72" s="347">
        <v>839.06552202082446</v>
      </c>
      <c r="FD72" s="347">
        <v>1181.7676517268546</v>
      </c>
      <c r="FE72" s="347">
        <v>0</v>
      </c>
      <c r="FF72" s="347">
        <v>0</v>
      </c>
      <c r="FG72" s="347">
        <v>1102.8032969249773</v>
      </c>
      <c r="FH72" s="347">
        <v>49.732008007149112</v>
      </c>
      <c r="FI72" s="347">
        <v>11.891621724966743</v>
      </c>
      <c r="FJ72" s="347">
        <v>2.1508278537690178</v>
      </c>
      <c r="FK72" s="347">
        <v>0</v>
      </c>
      <c r="FL72" s="347">
        <v>1166.5777545108622</v>
      </c>
      <c r="FM72" s="347">
        <v>0</v>
      </c>
      <c r="FN72" s="347">
        <v>0</v>
      </c>
      <c r="FO72" s="347">
        <v>-23.050170796112706</v>
      </c>
      <c r="FP72" s="347">
        <v>1.0690584670441992</v>
      </c>
      <c r="FQ72" s="347">
        <v>0</v>
      </c>
      <c r="FR72" s="347">
        <v>0</v>
      </c>
      <c r="FS72" s="347">
        <v>0</v>
      </c>
      <c r="FT72" s="347">
        <v>0</v>
      </c>
      <c r="FU72" s="347">
        <v>0.45856261897399175</v>
      </c>
      <c r="FV72" s="347">
        <v>-22.888858893762595</v>
      </c>
      <c r="FW72" s="347">
        <v>0</v>
      </c>
      <c r="FX72" s="347">
        <v>0.32569133082461293</v>
      </c>
      <c r="FY72" s="347">
        <v>1.3632416575436668</v>
      </c>
      <c r="FZ72" s="347">
        <v>0</v>
      </c>
      <c r="GA72" s="347">
        <v>0</v>
      </c>
      <c r="GB72" s="347">
        <v>0</v>
      </c>
      <c r="GC72" s="347">
        <v>0</v>
      </c>
      <c r="GD72" s="347">
        <v>-324.18399630129477</v>
      </c>
      <c r="GE72" s="347">
        <v>20.406057472654311</v>
      </c>
      <c r="GF72" s="347">
        <v>0</v>
      </c>
      <c r="GG72" s="347">
        <v>-312.8558411703583</v>
      </c>
      <c r="GH72" s="347">
        <v>19.692996410731343</v>
      </c>
      <c r="GI72" s="347">
        <v>0</v>
      </c>
      <c r="GJ72" s="347">
        <v>0</v>
      </c>
      <c r="GK72" s="347">
        <v>0</v>
      </c>
      <c r="GL72" s="347">
        <v>0</v>
      </c>
      <c r="GM72" s="347">
        <v>0</v>
      </c>
      <c r="GN72" s="347">
        <v>3.9237392723589291</v>
      </c>
      <c r="GO72" s="347">
        <v>3.5631120548547441</v>
      </c>
      <c r="GP72" s="347">
        <v>0</v>
      </c>
      <c r="GQ72" s="347">
        <v>0</v>
      </c>
      <c r="GR72" s="347">
        <v>245.96031111569525</v>
      </c>
      <c r="GS72" s="347">
        <v>7.9994338789844521</v>
      </c>
      <c r="GT72" s="347">
        <v>3.9237392723589291</v>
      </c>
      <c r="GU72" s="347">
        <v>0</v>
      </c>
      <c r="GV72" s="347">
        <v>241.20232730264351</v>
      </c>
      <c r="GW72" s="347">
        <v>8.0313098752831227</v>
      </c>
      <c r="GX72" s="347">
        <v>3.5631120548547441</v>
      </c>
      <c r="GY72" s="347">
        <v>0</v>
      </c>
      <c r="GZ72" s="347">
        <v>0</v>
      </c>
      <c r="HA72" s="347">
        <v>0</v>
      </c>
      <c r="HB72" s="347" t="e">
        <v>#N/A</v>
      </c>
      <c r="HC72" s="347" t="e">
        <v>#N/A</v>
      </c>
      <c r="HD72" s="347" t="e">
        <v>#N/A</v>
      </c>
      <c r="HE72" s="347" t="e">
        <v>#N/A</v>
      </c>
      <c r="HF72" s="347" t="e">
        <v>#N/A</v>
      </c>
      <c r="HG72" s="347" t="e">
        <v>#N/A</v>
      </c>
      <c r="HH72" s="347" t="e">
        <v>#N/A</v>
      </c>
      <c r="HI72" s="347" t="e">
        <v>#N/A</v>
      </c>
      <c r="HJ72" s="347" t="e">
        <v>#N/A</v>
      </c>
      <c r="HK72" s="347" t="e">
        <v>#N/A</v>
      </c>
      <c r="HL72" s="347" t="e">
        <v>#N/A</v>
      </c>
      <c r="HM72" s="347" t="e">
        <v>#N/A</v>
      </c>
      <c r="HN72" s="347" t="e">
        <v>#N/A</v>
      </c>
      <c r="HO72" s="347" t="e">
        <v>#N/A</v>
      </c>
      <c r="HP72" s="347" t="e">
        <v>#N/A</v>
      </c>
      <c r="HQ72" s="347" t="e">
        <v>#N/A</v>
      </c>
      <c r="HR72" s="347" t="e">
        <v>#N/A</v>
      </c>
      <c r="HS72" s="347" t="e">
        <v>#N/A</v>
      </c>
      <c r="HT72" s="347" t="e">
        <v>#N/A</v>
      </c>
      <c r="HU72" s="347" t="e">
        <v>#N/A</v>
      </c>
      <c r="HV72" s="347" t="e">
        <v>#N/A</v>
      </c>
      <c r="HW72" s="347" t="e">
        <v>#N/A</v>
      </c>
      <c r="HX72" s="347" t="e">
        <v>#N/A</v>
      </c>
      <c r="HY72" s="347" t="e">
        <v>#N/A</v>
      </c>
      <c r="HZ72" s="347" t="e">
        <v>#N/A</v>
      </c>
      <c r="IA72" s="347" t="e">
        <v>#N/A</v>
      </c>
      <c r="IB72" s="347" t="e">
        <v>#N/A</v>
      </c>
      <c r="IC72" s="347" t="e">
        <v>#N/A</v>
      </c>
      <c r="ID72" s="347" t="e">
        <v>#N/A</v>
      </c>
      <c r="IE72" s="347" t="e">
        <v>#N/A</v>
      </c>
      <c r="IF72" s="347" t="e">
        <v>#N/A</v>
      </c>
      <c r="IG72" s="347" t="e">
        <v>#N/A</v>
      </c>
      <c r="IH72" s="347" t="e">
        <v>#N/A</v>
      </c>
      <c r="II72" s="347" t="e">
        <v>#N/A</v>
      </c>
      <c r="IJ72" s="347" t="e">
        <v>#N/A</v>
      </c>
      <c r="IK72" s="347" t="e">
        <v>#N/A</v>
      </c>
      <c r="IL72" s="347" t="e">
        <v>#N/A</v>
      </c>
      <c r="IM72" s="347" t="e">
        <v>#N/A</v>
      </c>
      <c r="IN72" s="347" t="e">
        <v>#N/A</v>
      </c>
      <c r="IO72" s="347" t="e">
        <v>#N/A</v>
      </c>
      <c r="IP72" s="347" t="e">
        <v>#N/A</v>
      </c>
      <c r="IQ72" s="347" t="e">
        <v>#N/A</v>
      </c>
      <c r="IR72" s="347" t="e">
        <v>#N/A</v>
      </c>
      <c r="IS72" s="347" t="e">
        <v>#N/A</v>
      </c>
      <c r="IT72" s="347" t="e">
        <v>#N/A</v>
      </c>
      <c r="IU72" s="347" t="e">
        <v>#N/A</v>
      </c>
      <c r="IV72" s="347" t="e">
        <v>#N/A</v>
      </c>
      <c r="IW72" s="347" t="e">
        <v>#N/A</v>
      </c>
      <c r="IX72" s="347" t="e">
        <v>#N/A</v>
      </c>
      <c r="IY72" s="347" t="e">
        <v>#N/A</v>
      </c>
      <c r="IZ72" s="347" t="e">
        <v>#N/A</v>
      </c>
      <c r="JA72" s="347" t="e">
        <v>#N/A</v>
      </c>
      <c r="JB72" s="347" t="e">
        <v>#N/A</v>
      </c>
      <c r="JC72" s="347" t="e">
        <v>#N/A</v>
      </c>
      <c r="JD72" s="347" t="e">
        <v>#N/A</v>
      </c>
      <c r="JE72" s="347" t="e">
        <v>#N/A</v>
      </c>
      <c r="JF72" s="347" t="e">
        <v>#N/A</v>
      </c>
      <c r="JG72" s="347" t="e">
        <v>#N/A</v>
      </c>
      <c r="JH72" s="347" t="e">
        <v>#N/A</v>
      </c>
      <c r="JI72" s="347" t="e">
        <v>#N/A</v>
      </c>
      <c r="JJ72" s="347" t="e">
        <v>#N/A</v>
      </c>
      <c r="JK72" s="347" t="e">
        <v>#N/A</v>
      </c>
      <c r="JL72" s="347" t="e">
        <v>#N/A</v>
      </c>
      <c r="JM72" s="347" t="e">
        <v>#N/A</v>
      </c>
      <c r="JN72" s="347" t="e">
        <v>#N/A</v>
      </c>
      <c r="JO72" s="347" t="e">
        <v>#N/A</v>
      </c>
      <c r="JP72" s="347" t="e">
        <v>#N/A</v>
      </c>
      <c r="JQ72" s="347" t="e">
        <v>#N/A</v>
      </c>
      <c r="JR72" s="347" t="e">
        <v>#N/A</v>
      </c>
      <c r="JS72" s="347" t="e">
        <v>#N/A</v>
      </c>
      <c r="JT72" s="347" t="e">
        <v>#N/A</v>
      </c>
      <c r="JU72" s="347" t="e">
        <v>#N/A</v>
      </c>
      <c r="JV72" s="347" t="e">
        <v>#N/A</v>
      </c>
      <c r="JW72" s="347" t="e">
        <v>#N/A</v>
      </c>
      <c r="JX72" s="347" t="e">
        <v>#N/A</v>
      </c>
      <c r="JY72" s="347" t="e">
        <v>#N/A</v>
      </c>
      <c r="JZ72" s="347" t="e">
        <v>#N/A</v>
      </c>
      <c r="KA72" s="347" t="e">
        <v>#N/A</v>
      </c>
      <c r="KB72" s="347" t="e">
        <v>#N/A</v>
      </c>
      <c r="KC72" s="347" t="e">
        <v>#N/A</v>
      </c>
      <c r="KD72" s="347" t="e">
        <v>#N/A</v>
      </c>
      <c r="KE72" s="347" t="e">
        <v>#N/A</v>
      </c>
      <c r="KF72" s="347" t="e">
        <v>#N/A</v>
      </c>
      <c r="KG72" s="347" t="e">
        <v>#N/A</v>
      </c>
      <c r="KH72" s="347" t="e">
        <v>#N/A</v>
      </c>
      <c r="KI72" s="347" t="e">
        <v>#N/A</v>
      </c>
      <c r="KJ72" s="347" t="e">
        <v>#N/A</v>
      </c>
      <c r="KK72" s="347" t="e">
        <v>#N/A</v>
      </c>
      <c r="KL72" s="347" t="e">
        <v>#N/A</v>
      </c>
      <c r="KM72" s="347" t="e">
        <v>#N/A</v>
      </c>
      <c r="KN72" s="347" t="e">
        <v>#N/A</v>
      </c>
    </row>
    <row r="73" spans="1:300" x14ac:dyDescent="0.15">
      <c r="A73" s="347">
        <v>19</v>
      </c>
      <c r="B73" s="347">
        <v>0.16698841910993445</v>
      </c>
      <c r="C73" s="347">
        <v>8.0439633199545085E-2</v>
      </c>
      <c r="D73" s="347">
        <v>436.79415610257894</v>
      </c>
      <c r="E73" s="347">
        <v>0.2289407919104931</v>
      </c>
      <c r="F73" s="347">
        <v>0.12062898465549618</v>
      </c>
      <c r="G73" s="347">
        <v>254.78436574562471</v>
      </c>
      <c r="H73" s="347">
        <v>275.27912667118153</v>
      </c>
      <c r="I73" s="347">
        <v>0</v>
      </c>
      <c r="J73" s="347">
        <v>0.26447726129982413</v>
      </c>
      <c r="K73" s="347">
        <v>0</v>
      </c>
      <c r="L73" s="347">
        <v>-0.58129689290250697</v>
      </c>
      <c r="M73" s="347">
        <v>195.65161983602982</v>
      </c>
      <c r="N73" s="347">
        <v>3.5706420620075443</v>
      </c>
      <c r="O73" s="347">
        <v>0</v>
      </c>
      <c r="P73" s="347">
        <v>0</v>
      </c>
      <c r="Q73" s="347">
        <v>0</v>
      </c>
      <c r="R73" s="347">
        <v>0</v>
      </c>
      <c r="S73" s="347">
        <v>0</v>
      </c>
      <c r="T73" s="347">
        <v>17.682670514337378</v>
      </c>
      <c r="U73" s="347">
        <v>0.17682670514337387</v>
      </c>
      <c r="V73" s="347">
        <v>0</v>
      </c>
      <c r="W73" s="347">
        <v>17.682670514337378</v>
      </c>
      <c r="X73" s="347">
        <v>0.17682670514337387</v>
      </c>
      <c r="Y73" s="347">
        <v>0</v>
      </c>
      <c r="Z73" s="347">
        <v>0</v>
      </c>
      <c r="AA73" s="347">
        <v>0</v>
      </c>
      <c r="AB73" s="347">
        <v>0</v>
      </c>
      <c r="AC73" s="347">
        <v>0</v>
      </c>
      <c r="AD73" s="347">
        <v>0</v>
      </c>
      <c r="AE73" s="347">
        <v>0</v>
      </c>
      <c r="AF73" s="347">
        <v>1.3872826597967309E-4</v>
      </c>
      <c r="AG73" s="347">
        <v>2.1729394065562882E-4</v>
      </c>
      <c r="AH73" s="347">
        <v>5.5850373618143701E-4</v>
      </c>
      <c r="AI73" s="347">
        <v>1.3161981587713411E-3</v>
      </c>
      <c r="AJ73" s="347">
        <v>2.3904142370581214E-3</v>
      </c>
      <c r="AK73" s="347">
        <v>3.1897700510157565E-3</v>
      </c>
      <c r="AL73" s="347">
        <v>2.5893883485318416E-3</v>
      </c>
      <c r="AM73" s="347">
        <v>1.5295112268891202E-3</v>
      </c>
      <c r="AN73" s="347">
        <v>7.1701395566214606E-4</v>
      </c>
      <c r="AO73" s="347">
        <v>4.6432996675056462E-4</v>
      </c>
      <c r="AP73" s="347">
        <v>0</v>
      </c>
      <c r="AQ73" s="347">
        <v>0</v>
      </c>
      <c r="AR73" s="347">
        <v>0</v>
      </c>
      <c r="AS73" s="347">
        <v>0</v>
      </c>
      <c r="AT73" s="347">
        <v>0</v>
      </c>
      <c r="AU73" s="347">
        <v>0</v>
      </c>
      <c r="AV73" s="347">
        <v>0</v>
      </c>
      <c r="AW73" s="347">
        <v>0</v>
      </c>
      <c r="AX73" s="347">
        <v>0</v>
      </c>
      <c r="AY73" s="347">
        <v>0</v>
      </c>
      <c r="AZ73" s="347">
        <v>0</v>
      </c>
      <c r="BA73" s="347">
        <v>0</v>
      </c>
      <c r="BB73" s="347">
        <v>0</v>
      </c>
      <c r="BC73" s="347">
        <v>0</v>
      </c>
      <c r="BD73" s="347">
        <v>0</v>
      </c>
      <c r="BE73" s="347">
        <v>0</v>
      </c>
      <c r="BF73" s="347">
        <v>0</v>
      </c>
      <c r="BG73" s="347">
        <v>0</v>
      </c>
      <c r="BH73" s="347">
        <v>0</v>
      </c>
      <c r="BI73" s="347">
        <v>0</v>
      </c>
      <c r="BJ73" s="347">
        <v>0</v>
      </c>
      <c r="BK73" s="347">
        <v>0</v>
      </c>
      <c r="BL73" s="347">
        <v>0</v>
      </c>
      <c r="BM73" s="347">
        <v>0</v>
      </c>
      <c r="BN73" s="347">
        <v>0</v>
      </c>
      <c r="BO73" s="347">
        <v>0</v>
      </c>
      <c r="BP73" s="347">
        <v>0</v>
      </c>
      <c r="BQ73" s="347">
        <v>0</v>
      </c>
      <c r="BR73" s="347">
        <v>0</v>
      </c>
      <c r="BS73" s="347">
        <v>0</v>
      </c>
      <c r="BT73" s="347">
        <v>1.3111151887495631E-2</v>
      </c>
      <c r="BU73" s="347">
        <v>0</v>
      </c>
      <c r="BV73" s="347">
        <v>9.3173696893102273E-2</v>
      </c>
      <c r="BW73" s="347">
        <v>1.3111151887495631E-2</v>
      </c>
      <c r="BX73" s="347">
        <v>4.6586848446551138E-3</v>
      </c>
      <c r="BY73" s="347">
        <v>0</v>
      </c>
      <c r="BZ73" s="347">
        <v>0</v>
      </c>
      <c r="CA73" s="347">
        <v>0</v>
      </c>
      <c r="CB73" s="347">
        <v>20.220891928167383</v>
      </c>
      <c r="CC73" s="347">
        <v>1.6702582589250623</v>
      </c>
      <c r="CD73" s="347">
        <v>1.0110445964083692</v>
      </c>
      <c r="CE73" s="347">
        <v>0</v>
      </c>
      <c r="CF73" s="347">
        <v>20.220891928167383</v>
      </c>
      <c r="CG73" s="347">
        <v>1.6702582589250623</v>
      </c>
      <c r="CH73" s="347">
        <v>1.0110445964083692</v>
      </c>
      <c r="CI73" s="347">
        <v>0</v>
      </c>
      <c r="CJ73" s="347">
        <v>0</v>
      </c>
      <c r="CK73" s="347">
        <v>0</v>
      </c>
      <c r="CL73" s="347">
        <v>0</v>
      </c>
      <c r="CM73" s="347">
        <v>8.0241884741955011E-2</v>
      </c>
      <c r="CN73" s="347">
        <v>0.23369208008352257</v>
      </c>
      <c r="CO73" s="347">
        <v>0</v>
      </c>
      <c r="CP73" s="347">
        <v>0</v>
      </c>
      <c r="CQ73" s="347">
        <v>394.91842654672899</v>
      </c>
      <c r="CR73" s="347">
        <v>19.74592132733645</v>
      </c>
      <c r="CS73" s="347">
        <v>52.741012278759484</v>
      </c>
      <c r="CT73" s="347">
        <v>427.91351749815203</v>
      </c>
      <c r="CU73" s="347">
        <v>0</v>
      </c>
      <c r="CV73" s="347">
        <v>40.04278917376643</v>
      </c>
      <c r="CW73" s="347">
        <v>0</v>
      </c>
      <c r="CX73" s="347">
        <v>2.0021394586883217</v>
      </c>
      <c r="CY73" s="347">
        <v>38.040649715078111</v>
      </c>
      <c r="CZ73" s="347">
        <v>0</v>
      </c>
      <c r="DA73" s="347">
        <v>4.0030040635761868</v>
      </c>
      <c r="DB73" s="347">
        <v>3.5801910561072119</v>
      </c>
      <c r="DC73" s="347">
        <v>0</v>
      </c>
      <c r="DD73" s="347">
        <v>0.94687912544936037</v>
      </c>
      <c r="DE73" s="347">
        <v>4.0888856458472933</v>
      </c>
      <c r="DF73" s="347">
        <v>0</v>
      </c>
      <c r="DG73" s="347">
        <v>0</v>
      </c>
      <c r="DH73" s="347">
        <v>0</v>
      </c>
      <c r="DI73" s="347">
        <v>1.4014976210818251</v>
      </c>
      <c r="DJ73" s="347">
        <v>1.4014976210818251</v>
      </c>
      <c r="DK73" s="347">
        <v>0</v>
      </c>
      <c r="DL73" s="347">
        <v>0.2339420673590859</v>
      </c>
      <c r="DM73" s="347">
        <v>0.2339420673590859</v>
      </c>
      <c r="DN73" s="347">
        <v>12.325156865133909</v>
      </c>
      <c r="DO73" s="347">
        <v>0</v>
      </c>
      <c r="DP73" s="347">
        <v>258.57096593158491</v>
      </c>
      <c r="DQ73" s="347">
        <v>257.52020316766192</v>
      </c>
      <c r="DR73" s="347">
        <v>0</v>
      </c>
      <c r="DS73" s="347">
        <v>0</v>
      </c>
      <c r="DT73" s="347">
        <v>0</v>
      </c>
      <c r="DU73" s="347">
        <v>0</v>
      </c>
      <c r="DV73" s="347">
        <v>1.635439688440911</v>
      </c>
      <c r="DW73" s="347">
        <v>0.43253660981988978</v>
      </c>
      <c r="DX73" s="347">
        <v>2.1383921654047628</v>
      </c>
      <c r="DY73" s="347">
        <v>0</v>
      </c>
      <c r="DZ73" s="347">
        <v>310.51634123787517</v>
      </c>
      <c r="EA73" s="347">
        <v>82.124511519434861</v>
      </c>
      <c r="EB73" s="347">
        <v>325.29013238204766</v>
      </c>
      <c r="EC73" s="347">
        <v>0</v>
      </c>
      <c r="ED73" s="347">
        <v>0</v>
      </c>
      <c r="EE73" s="347">
        <v>0</v>
      </c>
      <c r="EF73" s="347">
        <v>0</v>
      </c>
      <c r="EG73" s="347">
        <v>0</v>
      </c>
      <c r="EH73" s="347">
        <v>0</v>
      </c>
      <c r="EI73" s="347">
        <v>0</v>
      </c>
      <c r="EJ73" s="347">
        <v>0.63597687452192309</v>
      </c>
      <c r="EK73" s="347">
        <v>57.792432697187991</v>
      </c>
      <c r="EL73" s="347">
        <v>0</v>
      </c>
      <c r="EM73" s="347">
        <v>0.50451109767173841</v>
      </c>
      <c r="EN73" s="347">
        <v>81.78799474549028</v>
      </c>
      <c r="EO73" s="347">
        <v>0</v>
      </c>
      <c r="EP73" s="347">
        <v>0</v>
      </c>
      <c r="EQ73" s="347">
        <v>0</v>
      </c>
      <c r="ER73" s="347">
        <v>4.3679415610257912</v>
      </c>
      <c r="ES73" s="347">
        <v>0</v>
      </c>
      <c r="ET73" s="347">
        <v>2.7779098220755927</v>
      </c>
      <c r="EU73" s="347">
        <v>252.4339686908333</v>
      </c>
      <c r="EV73" s="347">
        <v>0</v>
      </c>
      <c r="EW73" s="347">
        <v>2.2036749915191285</v>
      </c>
      <c r="EX73" s="347">
        <v>357.24518144178603</v>
      </c>
      <c r="EY73" s="347">
        <v>0</v>
      </c>
      <c r="EZ73" s="347">
        <v>0</v>
      </c>
      <c r="FA73" s="347">
        <v>0</v>
      </c>
      <c r="FB73" s="347">
        <v>0</v>
      </c>
      <c r="FC73" s="347">
        <v>911.27026814215196</v>
      </c>
      <c r="FD73" s="347">
        <v>1283.4632059212704</v>
      </c>
      <c r="FE73" s="347">
        <v>0</v>
      </c>
      <c r="FF73" s="347">
        <v>0</v>
      </c>
      <c r="FG73" s="347">
        <v>1282.728314044241</v>
      </c>
      <c r="FH73" s="347">
        <v>53.835564917380751</v>
      </c>
      <c r="FI73" s="347">
        <v>12.243319413604159</v>
      </c>
      <c r="FJ73" s="347">
        <v>2.043690557780093</v>
      </c>
      <c r="FK73" s="347">
        <v>0</v>
      </c>
      <c r="FL73" s="347">
        <v>1350.850888933006</v>
      </c>
      <c r="FM73" s="347">
        <v>0</v>
      </c>
      <c r="FN73" s="347">
        <v>0</v>
      </c>
      <c r="FO73" s="347">
        <v>-26.616445546020238</v>
      </c>
      <c r="FP73" s="347">
        <v>-4.0802995184988182</v>
      </c>
      <c r="FQ73" s="347">
        <v>0</v>
      </c>
      <c r="FR73" s="347">
        <v>0</v>
      </c>
      <c r="FS73" s="347">
        <v>0</v>
      </c>
      <c r="FT73" s="347">
        <v>0</v>
      </c>
      <c r="FU73" s="347">
        <v>0.43823516678702212</v>
      </c>
      <c r="FV73" s="347">
        <v>-26.514311304327187</v>
      </c>
      <c r="FW73" s="347">
        <v>0</v>
      </c>
      <c r="FX73" s="347">
        <v>0.31408498271901975</v>
      </c>
      <c r="FY73" s="347">
        <v>-3.8540150927377494</v>
      </c>
      <c r="FZ73" s="347">
        <v>0</v>
      </c>
      <c r="GA73" s="347">
        <v>0</v>
      </c>
      <c r="GB73" s="347">
        <v>0</v>
      </c>
      <c r="GC73" s="347">
        <v>0</v>
      </c>
      <c r="GD73" s="347">
        <v>-436.88279073356182</v>
      </c>
      <c r="GE73" s="347">
        <v>-62.639465914988477</v>
      </c>
      <c r="GF73" s="347">
        <v>0</v>
      </c>
      <c r="GG73" s="347">
        <v>-432.11030679115692</v>
      </c>
      <c r="GH73" s="347">
        <v>-61.955195782172879</v>
      </c>
      <c r="GI73" s="347">
        <v>0</v>
      </c>
      <c r="GJ73" s="347">
        <v>0</v>
      </c>
      <c r="GK73" s="347">
        <v>0</v>
      </c>
      <c r="GL73" s="347">
        <v>0</v>
      </c>
      <c r="GM73" s="347">
        <v>0</v>
      </c>
      <c r="GN73" s="347">
        <v>4.0030040635761868</v>
      </c>
      <c r="GO73" s="347">
        <v>3.5706420620075443</v>
      </c>
      <c r="GP73" s="347">
        <v>0</v>
      </c>
      <c r="GQ73" s="347">
        <v>0</v>
      </c>
      <c r="GR73" s="347">
        <v>258.57096593158491</v>
      </c>
      <c r="GS73" s="347">
        <v>7.9996603145707557</v>
      </c>
      <c r="GT73" s="347">
        <v>4.0030040635761868</v>
      </c>
      <c r="GU73" s="347">
        <v>0</v>
      </c>
      <c r="GV73" s="347">
        <v>254.78436574562471</v>
      </c>
      <c r="GW73" s="347">
        <v>8.0439633199545089</v>
      </c>
      <c r="GX73" s="347">
        <v>3.5706420620075443</v>
      </c>
      <c r="GY73" s="347">
        <v>0</v>
      </c>
      <c r="GZ73" s="347">
        <v>0</v>
      </c>
      <c r="HA73" s="347">
        <v>0</v>
      </c>
      <c r="HB73" s="347" t="e">
        <v>#N/A</v>
      </c>
      <c r="HC73" s="347" t="e">
        <v>#N/A</v>
      </c>
      <c r="HD73" s="347" t="e">
        <v>#N/A</v>
      </c>
      <c r="HE73" s="347" t="e">
        <v>#N/A</v>
      </c>
      <c r="HF73" s="347" t="e">
        <v>#N/A</v>
      </c>
      <c r="HG73" s="347" t="e">
        <v>#N/A</v>
      </c>
      <c r="HH73" s="347" t="e">
        <v>#N/A</v>
      </c>
      <c r="HI73" s="347" t="e">
        <v>#N/A</v>
      </c>
      <c r="HJ73" s="347" t="e">
        <v>#N/A</v>
      </c>
      <c r="HK73" s="347" t="e">
        <v>#N/A</v>
      </c>
      <c r="HL73" s="347" t="e">
        <v>#N/A</v>
      </c>
      <c r="HM73" s="347" t="e">
        <v>#N/A</v>
      </c>
      <c r="HN73" s="347" t="e">
        <v>#N/A</v>
      </c>
      <c r="HO73" s="347" t="e">
        <v>#N/A</v>
      </c>
      <c r="HP73" s="347" t="e">
        <v>#N/A</v>
      </c>
      <c r="HQ73" s="347" t="e">
        <v>#N/A</v>
      </c>
      <c r="HR73" s="347" t="e">
        <v>#N/A</v>
      </c>
      <c r="HS73" s="347" t="e">
        <v>#N/A</v>
      </c>
      <c r="HT73" s="347" t="e">
        <v>#N/A</v>
      </c>
      <c r="HU73" s="347" t="e">
        <v>#N/A</v>
      </c>
      <c r="HV73" s="347" t="e">
        <v>#N/A</v>
      </c>
      <c r="HW73" s="347" t="e">
        <v>#N/A</v>
      </c>
      <c r="HX73" s="347" t="e">
        <v>#N/A</v>
      </c>
      <c r="HY73" s="347" t="e">
        <v>#N/A</v>
      </c>
      <c r="HZ73" s="347" t="e">
        <v>#N/A</v>
      </c>
      <c r="IA73" s="347" t="e">
        <v>#N/A</v>
      </c>
      <c r="IB73" s="347" t="e">
        <v>#N/A</v>
      </c>
      <c r="IC73" s="347" t="e">
        <v>#N/A</v>
      </c>
      <c r="ID73" s="347" t="e">
        <v>#N/A</v>
      </c>
      <c r="IE73" s="347" t="e">
        <v>#N/A</v>
      </c>
      <c r="IF73" s="347" t="e">
        <v>#N/A</v>
      </c>
      <c r="IG73" s="347" t="e">
        <v>#N/A</v>
      </c>
      <c r="IH73" s="347" t="e">
        <v>#N/A</v>
      </c>
      <c r="II73" s="347" t="e">
        <v>#N/A</v>
      </c>
      <c r="IJ73" s="347" t="e">
        <v>#N/A</v>
      </c>
      <c r="IK73" s="347" t="e">
        <v>#N/A</v>
      </c>
      <c r="IL73" s="347" t="e">
        <v>#N/A</v>
      </c>
      <c r="IM73" s="347" t="e">
        <v>#N/A</v>
      </c>
      <c r="IN73" s="347" t="e">
        <v>#N/A</v>
      </c>
      <c r="IO73" s="347" t="e">
        <v>#N/A</v>
      </c>
      <c r="IP73" s="347" t="e">
        <v>#N/A</v>
      </c>
      <c r="IQ73" s="347" t="e">
        <v>#N/A</v>
      </c>
      <c r="IR73" s="347" t="e">
        <v>#N/A</v>
      </c>
      <c r="IS73" s="347" t="e">
        <v>#N/A</v>
      </c>
      <c r="IT73" s="347" t="e">
        <v>#N/A</v>
      </c>
      <c r="IU73" s="347" t="e">
        <v>#N/A</v>
      </c>
      <c r="IV73" s="347" t="e">
        <v>#N/A</v>
      </c>
      <c r="IW73" s="347" t="e">
        <v>#N/A</v>
      </c>
      <c r="IX73" s="347" t="e">
        <v>#N/A</v>
      </c>
      <c r="IY73" s="347" t="e">
        <v>#N/A</v>
      </c>
      <c r="IZ73" s="347" t="e">
        <v>#N/A</v>
      </c>
      <c r="JA73" s="347" t="e">
        <v>#N/A</v>
      </c>
      <c r="JB73" s="347" t="e">
        <v>#N/A</v>
      </c>
      <c r="JC73" s="347" t="e">
        <v>#N/A</v>
      </c>
      <c r="JD73" s="347" t="e">
        <v>#N/A</v>
      </c>
      <c r="JE73" s="347" t="e">
        <v>#N/A</v>
      </c>
      <c r="JF73" s="347" t="e">
        <v>#N/A</v>
      </c>
      <c r="JG73" s="347" t="e">
        <v>#N/A</v>
      </c>
      <c r="JH73" s="347" t="e">
        <v>#N/A</v>
      </c>
      <c r="JI73" s="347" t="e">
        <v>#N/A</v>
      </c>
      <c r="JJ73" s="347" t="e">
        <v>#N/A</v>
      </c>
      <c r="JK73" s="347" t="e">
        <v>#N/A</v>
      </c>
      <c r="JL73" s="347" t="e">
        <v>#N/A</v>
      </c>
      <c r="JM73" s="347" t="e">
        <v>#N/A</v>
      </c>
      <c r="JN73" s="347" t="e">
        <v>#N/A</v>
      </c>
      <c r="JO73" s="347" t="e">
        <v>#N/A</v>
      </c>
      <c r="JP73" s="347" t="e">
        <v>#N/A</v>
      </c>
      <c r="JQ73" s="347" t="e">
        <v>#N/A</v>
      </c>
      <c r="JR73" s="347" t="e">
        <v>#N/A</v>
      </c>
      <c r="JS73" s="347" t="e">
        <v>#N/A</v>
      </c>
      <c r="JT73" s="347" t="e">
        <v>#N/A</v>
      </c>
      <c r="JU73" s="347" t="e">
        <v>#N/A</v>
      </c>
      <c r="JV73" s="347" t="e">
        <v>#N/A</v>
      </c>
      <c r="JW73" s="347" t="e">
        <v>#N/A</v>
      </c>
      <c r="JX73" s="347" t="e">
        <v>#N/A</v>
      </c>
      <c r="JY73" s="347" t="e">
        <v>#N/A</v>
      </c>
      <c r="JZ73" s="347" t="e">
        <v>#N/A</v>
      </c>
      <c r="KA73" s="347" t="e">
        <v>#N/A</v>
      </c>
      <c r="KB73" s="347" t="e">
        <v>#N/A</v>
      </c>
      <c r="KC73" s="347" t="e">
        <v>#N/A</v>
      </c>
      <c r="KD73" s="347" t="e">
        <v>#N/A</v>
      </c>
      <c r="KE73" s="347" t="e">
        <v>#N/A</v>
      </c>
      <c r="KF73" s="347" t="e">
        <v>#N/A</v>
      </c>
      <c r="KG73" s="347" t="e">
        <v>#N/A</v>
      </c>
      <c r="KH73" s="347" t="e">
        <v>#N/A</v>
      </c>
      <c r="KI73" s="347" t="e">
        <v>#N/A</v>
      </c>
      <c r="KJ73" s="347" t="e">
        <v>#N/A</v>
      </c>
      <c r="KK73" s="347" t="e">
        <v>#N/A</v>
      </c>
      <c r="KL73" s="347" t="e">
        <v>#N/A</v>
      </c>
      <c r="KM73" s="347" t="e">
        <v>#N/A</v>
      </c>
      <c r="KN73" s="347" t="e">
        <v>#N/A</v>
      </c>
    </row>
    <row r="74" spans="1:300" x14ac:dyDescent="0.15">
      <c r="A74" s="347">
        <v>20</v>
      </c>
      <c r="B74" s="347">
        <v>1.9258034459838833</v>
      </c>
      <c r="C74" s="347">
        <v>8.3398048339838715E-2</v>
      </c>
      <c r="D74" s="347">
        <v>474.78406173456062</v>
      </c>
      <c r="E74" s="347">
        <v>0.21062206602863459</v>
      </c>
      <c r="F74" s="347">
        <v>-1.1304572930178394</v>
      </c>
      <c r="G74" s="347">
        <v>252.81163816002862</v>
      </c>
      <c r="H74" s="347">
        <v>273.89563538017251</v>
      </c>
      <c r="I74" s="347">
        <v>0</v>
      </c>
      <c r="J74" s="347">
        <v>0.24659696394160663</v>
      </c>
      <c r="K74" s="347">
        <v>0</v>
      </c>
      <c r="L74" s="347">
        <v>0.72483994483297531</v>
      </c>
      <c r="M74" s="347">
        <v>203.90023420796314</v>
      </c>
      <c r="N74" s="347">
        <v>3.7211792742953271</v>
      </c>
      <c r="O74" s="347">
        <v>0</v>
      </c>
      <c r="P74" s="347">
        <v>0</v>
      </c>
      <c r="Q74" s="347">
        <v>0</v>
      </c>
      <c r="R74" s="347">
        <v>0</v>
      </c>
      <c r="S74" s="347">
        <v>0</v>
      </c>
      <c r="T74" s="347">
        <v>18.22118800390512</v>
      </c>
      <c r="U74" s="347">
        <v>0.18221188003905128</v>
      </c>
      <c r="V74" s="347">
        <v>0</v>
      </c>
      <c r="W74" s="347">
        <v>18.22118800390512</v>
      </c>
      <c r="X74" s="347">
        <v>0.18221188003905128</v>
      </c>
      <c r="Y74" s="347">
        <v>0</v>
      </c>
      <c r="Z74" s="347">
        <v>0</v>
      </c>
      <c r="AA74" s="347">
        <v>0</v>
      </c>
      <c r="AB74" s="347">
        <v>0</v>
      </c>
      <c r="AC74" s="347">
        <v>0</v>
      </c>
      <c r="AD74" s="347">
        <v>0</v>
      </c>
      <c r="AE74" s="347">
        <v>0</v>
      </c>
      <c r="AF74" s="347">
        <v>1.3872826597967309E-4</v>
      </c>
      <c r="AG74" s="347">
        <v>2.1729394065562882E-4</v>
      </c>
      <c r="AH74" s="347">
        <v>5.5850373618143701E-4</v>
      </c>
      <c r="AI74" s="347">
        <v>1.3161981587713411E-3</v>
      </c>
      <c r="AJ74" s="347">
        <v>2.3904142370581214E-3</v>
      </c>
      <c r="AK74" s="347">
        <v>3.1897700510157565E-3</v>
      </c>
      <c r="AL74" s="347">
        <v>2.5893883485318416E-3</v>
      </c>
      <c r="AM74" s="347">
        <v>1.5295112268891202E-3</v>
      </c>
      <c r="AN74" s="347">
        <v>7.1701395566214606E-4</v>
      </c>
      <c r="AO74" s="347">
        <v>4.6432996675056462E-4</v>
      </c>
      <c r="AP74" s="347">
        <v>0</v>
      </c>
      <c r="AQ74" s="347">
        <v>0</v>
      </c>
      <c r="AR74" s="347">
        <v>0</v>
      </c>
      <c r="AS74" s="347">
        <v>0</v>
      </c>
      <c r="AT74" s="347">
        <v>0</v>
      </c>
      <c r="AU74" s="347">
        <v>0</v>
      </c>
      <c r="AV74" s="347">
        <v>0</v>
      </c>
      <c r="AW74" s="347">
        <v>0</v>
      </c>
      <c r="AX74" s="347">
        <v>0</v>
      </c>
      <c r="AY74" s="347">
        <v>0</v>
      </c>
      <c r="AZ74" s="347">
        <v>0</v>
      </c>
      <c r="BA74" s="347">
        <v>0</v>
      </c>
      <c r="BB74" s="347">
        <v>0</v>
      </c>
      <c r="BC74" s="347">
        <v>0</v>
      </c>
      <c r="BD74" s="347">
        <v>0</v>
      </c>
      <c r="BE74" s="347">
        <v>0</v>
      </c>
      <c r="BF74" s="347">
        <v>0</v>
      </c>
      <c r="BG74" s="347">
        <v>0</v>
      </c>
      <c r="BH74" s="347">
        <v>0</v>
      </c>
      <c r="BI74" s="347">
        <v>0</v>
      </c>
      <c r="BJ74" s="347">
        <v>0</v>
      </c>
      <c r="BK74" s="347">
        <v>0</v>
      </c>
      <c r="BL74" s="347">
        <v>0</v>
      </c>
      <c r="BM74" s="347">
        <v>0</v>
      </c>
      <c r="BN74" s="347">
        <v>0</v>
      </c>
      <c r="BO74" s="347">
        <v>0</v>
      </c>
      <c r="BP74" s="347">
        <v>0</v>
      </c>
      <c r="BQ74" s="347">
        <v>0</v>
      </c>
      <c r="BR74" s="347">
        <v>0</v>
      </c>
      <c r="BS74" s="347">
        <v>0</v>
      </c>
      <c r="BT74" s="347">
        <v>1.3111151887495631E-2</v>
      </c>
      <c r="BU74" s="347">
        <v>0</v>
      </c>
      <c r="BV74" s="347">
        <v>8.0062545005606639E-2</v>
      </c>
      <c r="BW74" s="347">
        <v>1.3111151887495631E-2</v>
      </c>
      <c r="BX74" s="347">
        <v>4.0031272502803325E-3</v>
      </c>
      <c r="BY74" s="347">
        <v>0</v>
      </c>
      <c r="BZ74" s="347">
        <v>0</v>
      </c>
      <c r="CA74" s="347">
        <v>0</v>
      </c>
      <c r="CB74" s="347">
        <v>18.407001046171022</v>
      </c>
      <c r="CC74" s="347">
        <v>1.6573258934213608</v>
      </c>
      <c r="CD74" s="347">
        <v>0.92035005230855105</v>
      </c>
      <c r="CE74" s="347">
        <v>0</v>
      </c>
      <c r="CF74" s="347">
        <v>18.407001046171022</v>
      </c>
      <c r="CG74" s="347">
        <v>1.6573258934213608</v>
      </c>
      <c r="CH74" s="347">
        <v>0.92035005230855105</v>
      </c>
      <c r="CI74" s="347">
        <v>0</v>
      </c>
      <c r="CJ74" s="347">
        <v>0</v>
      </c>
      <c r="CK74" s="347">
        <v>0</v>
      </c>
      <c r="CL74" s="347">
        <v>0</v>
      </c>
      <c r="CM74" s="347">
        <v>8.0144896965511289E-2</v>
      </c>
      <c r="CN74" s="347">
        <v>0.21569372351580887</v>
      </c>
      <c r="CO74" s="347">
        <v>0</v>
      </c>
      <c r="CP74" s="347">
        <v>0</v>
      </c>
      <c r="CQ74" s="347">
        <v>427.91351749815203</v>
      </c>
      <c r="CR74" s="347">
        <v>21.395675874907603</v>
      </c>
      <c r="CS74" s="347">
        <v>57.102510281296112</v>
      </c>
      <c r="CT74" s="347">
        <v>463.62035190454054</v>
      </c>
      <c r="CU74" s="347">
        <v>0</v>
      </c>
      <c r="CV74" s="347">
        <v>38.040649715078111</v>
      </c>
      <c r="CW74" s="347">
        <v>0</v>
      </c>
      <c r="CX74" s="347">
        <v>1.9020324857539057</v>
      </c>
      <c r="CY74" s="347">
        <v>36.138617229324204</v>
      </c>
      <c r="CZ74" s="347">
        <v>0</v>
      </c>
      <c r="DA74" s="347">
        <v>4.0838701097929739</v>
      </c>
      <c r="DB74" s="347">
        <v>3.6525157129923831</v>
      </c>
      <c r="DC74" s="347">
        <v>0</v>
      </c>
      <c r="DD74" s="347">
        <v>0.90069928557293433</v>
      </c>
      <c r="DE74" s="347">
        <v>4.9895849314202279</v>
      </c>
      <c r="DF74" s="347">
        <v>4.9895849314202279</v>
      </c>
      <c r="DG74" s="347">
        <v>0</v>
      </c>
      <c r="DH74" s="347">
        <v>0</v>
      </c>
      <c r="DI74" s="347">
        <v>1.3314227400277341</v>
      </c>
      <c r="DJ74" s="347">
        <v>1.3314227400277341</v>
      </c>
      <c r="DK74" s="347">
        <v>0</v>
      </c>
      <c r="DL74" s="347">
        <v>0.20512823455014481</v>
      </c>
      <c r="DM74" s="347">
        <v>0.20512823455014481</v>
      </c>
      <c r="DN74" s="347">
        <v>12.316653064672517</v>
      </c>
      <c r="DO74" s="347">
        <v>0</v>
      </c>
      <c r="DP74" s="347">
        <v>271.82818284590485</v>
      </c>
      <c r="DQ74" s="347">
        <v>270.72354632304445</v>
      </c>
      <c r="DR74" s="347">
        <v>0</v>
      </c>
      <c r="DS74" s="347">
        <v>0</v>
      </c>
      <c r="DT74" s="347">
        <v>0</v>
      </c>
      <c r="DU74" s="347">
        <v>0</v>
      </c>
      <c r="DV74" s="347">
        <v>1.5365509745778789</v>
      </c>
      <c r="DW74" s="347">
        <v>0.37890880527242171</v>
      </c>
      <c r="DX74" s="347">
        <v>2.5173009706771845</v>
      </c>
      <c r="DY74" s="347">
        <v>0</v>
      </c>
      <c r="DZ74" s="347">
        <v>335.76250269948082</v>
      </c>
      <c r="EA74" s="347">
        <v>82.798013771127472</v>
      </c>
      <c r="EB74" s="347">
        <v>408.0881461531751</v>
      </c>
      <c r="EC74" s="347">
        <v>0</v>
      </c>
      <c r="ED74" s="347">
        <v>0</v>
      </c>
      <c r="EE74" s="347">
        <v>2.5173009706771845</v>
      </c>
      <c r="EF74" s="347">
        <v>408.0881461531751</v>
      </c>
      <c r="EG74" s="347">
        <v>0</v>
      </c>
      <c r="EH74" s="347">
        <v>0</v>
      </c>
      <c r="EI74" s="347">
        <v>0</v>
      </c>
      <c r="EJ74" s="347">
        <v>0.63597687452192309</v>
      </c>
      <c r="EK74" s="347">
        <v>57.792432697187991</v>
      </c>
      <c r="EL74" s="347">
        <v>0</v>
      </c>
      <c r="EM74" s="347">
        <v>0.50451109767173841</v>
      </c>
      <c r="EN74" s="347">
        <v>81.78799474549028</v>
      </c>
      <c r="EO74" s="347">
        <v>0</v>
      </c>
      <c r="EP74" s="347">
        <v>0</v>
      </c>
      <c r="EQ74" s="347">
        <v>0</v>
      </c>
      <c r="ER74" s="347">
        <v>4.7478406173456085</v>
      </c>
      <c r="ES74" s="347">
        <v>0</v>
      </c>
      <c r="ET74" s="347">
        <v>3.0195168365476981</v>
      </c>
      <c r="EU74" s="347">
        <v>274.38925933492158</v>
      </c>
      <c r="EV74" s="347">
        <v>0</v>
      </c>
      <c r="EW74" s="347">
        <v>2.3953382814274971</v>
      </c>
      <c r="EX74" s="347">
        <v>388.31636346388797</v>
      </c>
      <c r="EY74" s="347">
        <v>0</v>
      </c>
      <c r="EZ74" s="347">
        <v>0</v>
      </c>
      <c r="FA74" s="347">
        <v>0</v>
      </c>
      <c r="FB74" s="347">
        <v>0</v>
      </c>
      <c r="FC74" s="347">
        <v>1032.2877883969029</v>
      </c>
      <c r="FD74" s="347">
        <v>1453.9082867593252</v>
      </c>
      <c r="FE74" s="347">
        <v>0</v>
      </c>
      <c r="FF74" s="347">
        <v>0</v>
      </c>
      <c r="FG74" s="347">
        <v>1476.1348003372827</v>
      </c>
      <c r="FH74" s="347">
        <v>58.477505690206442</v>
      </c>
      <c r="FI74" s="347">
        <v>12.642765927922518</v>
      </c>
      <c r="FJ74" s="347">
        <v>1.9478323275231486</v>
      </c>
      <c r="FK74" s="347">
        <v>0</v>
      </c>
      <c r="FL74" s="347">
        <v>1549.2029042829349</v>
      </c>
      <c r="FM74" s="347">
        <v>0</v>
      </c>
      <c r="FN74" s="347">
        <v>0</v>
      </c>
      <c r="FO74" s="347">
        <v>-26.847931189460226</v>
      </c>
      <c r="FP74" s="347">
        <v>-4.9494844615143503</v>
      </c>
      <c r="FQ74" s="347">
        <v>0</v>
      </c>
      <c r="FR74" s="347">
        <v>0</v>
      </c>
      <c r="FS74" s="347">
        <v>0</v>
      </c>
      <c r="FT74" s="347">
        <v>0</v>
      </c>
      <c r="FU74" s="347">
        <v>0.44971112301994265</v>
      </c>
      <c r="FV74" s="347">
        <v>-26.807587296964336</v>
      </c>
      <c r="FW74" s="347">
        <v>0</v>
      </c>
      <c r="FX74" s="347">
        <v>0.32907398352156875</v>
      </c>
      <c r="FY74" s="347">
        <v>-4.7885034295200803</v>
      </c>
      <c r="FZ74" s="347">
        <v>0</v>
      </c>
      <c r="GA74" s="347">
        <v>0</v>
      </c>
      <c r="GB74" s="347">
        <v>0</v>
      </c>
      <c r="GC74" s="347">
        <v>0</v>
      </c>
      <c r="GD74" s="347">
        <v>-515.2180069945548</v>
      </c>
      <c r="GE74" s="347">
        <v>-91.27482832935948</v>
      </c>
      <c r="GF74" s="347">
        <v>0</v>
      </c>
      <c r="GG74" s="347">
        <v>-559.80657109999913</v>
      </c>
      <c r="GH74" s="347">
        <v>-99.174035032008916</v>
      </c>
      <c r="GI74" s="347">
        <v>0</v>
      </c>
      <c r="GJ74" s="347">
        <v>0</v>
      </c>
      <c r="GK74" s="347">
        <v>0</v>
      </c>
      <c r="GL74" s="347">
        <v>0</v>
      </c>
      <c r="GM74" s="347">
        <v>0</v>
      </c>
      <c r="GN74" s="347">
        <v>4.0838701097929739</v>
      </c>
      <c r="GO74" s="347">
        <v>3.7211792742953271</v>
      </c>
      <c r="GP74" s="347">
        <v>0</v>
      </c>
      <c r="GQ74" s="347">
        <v>0</v>
      </c>
      <c r="GR74" s="347">
        <v>271.82818284590485</v>
      </c>
      <c r="GS74" s="347">
        <v>7.9997961841269642</v>
      </c>
      <c r="GT74" s="347">
        <v>4.0838701097929739</v>
      </c>
      <c r="GU74" s="347">
        <v>0</v>
      </c>
      <c r="GV74" s="347">
        <v>252.81163816002862</v>
      </c>
      <c r="GW74" s="347">
        <v>8.3398048339838713</v>
      </c>
      <c r="GX74" s="347">
        <v>3.7211792742953271</v>
      </c>
      <c r="GY74" s="347">
        <v>0</v>
      </c>
      <c r="GZ74" s="347">
        <v>0</v>
      </c>
      <c r="HA74" s="347">
        <v>0</v>
      </c>
      <c r="HB74" s="347" t="e">
        <v>#N/A</v>
      </c>
      <c r="HC74" s="347" t="e">
        <v>#N/A</v>
      </c>
      <c r="HD74" s="347" t="e">
        <v>#N/A</v>
      </c>
      <c r="HE74" s="347" t="e">
        <v>#N/A</v>
      </c>
      <c r="HF74" s="347" t="e">
        <v>#N/A</v>
      </c>
      <c r="HG74" s="347" t="e">
        <v>#N/A</v>
      </c>
      <c r="HH74" s="347" t="e">
        <v>#N/A</v>
      </c>
      <c r="HI74" s="347" t="e">
        <v>#N/A</v>
      </c>
      <c r="HJ74" s="347" t="e">
        <v>#N/A</v>
      </c>
      <c r="HK74" s="347" t="e">
        <v>#N/A</v>
      </c>
      <c r="HL74" s="347" t="e">
        <v>#N/A</v>
      </c>
      <c r="HM74" s="347" t="e">
        <v>#N/A</v>
      </c>
      <c r="HN74" s="347" t="e">
        <v>#N/A</v>
      </c>
      <c r="HO74" s="347" t="e">
        <v>#N/A</v>
      </c>
      <c r="HP74" s="347" t="e">
        <v>#N/A</v>
      </c>
      <c r="HQ74" s="347" t="e">
        <v>#N/A</v>
      </c>
      <c r="HR74" s="347" t="e">
        <v>#N/A</v>
      </c>
      <c r="HS74" s="347" t="e">
        <v>#N/A</v>
      </c>
      <c r="HT74" s="347" t="e">
        <v>#N/A</v>
      </c>
      <c r="HU74" s="347" t="e">
        <v>#N/A</v>
      </c>
      <c r="HV74" s="347" t="e">
        <v>#N/A</v>
      </c>
      <c r="HW74" s="347" t="e">
        <v>#N/A</v>
      </c>
      <c r="HX74" s="347" t="e">
        <v>#N/A</v>
      </c>
      <c r="HY74" s="347" t="e">
        <v>#N/A</v>
      </c>
      <c r="HZ74" s="347" t="e">
        <v>#N/A</v>
      </c>
      <c r="IA74" s="347" t="e">
        <v>#N/A</v>
      </c>
      <c r="IB74" s="347" t="e">
        <v>#N/A</v>
      </c>
      <c r="IC74" s="347" t="e">
        <v>#N/A</v>
      </c>
      <c r="ID74" s="347" t="e">
        <v>#N/A</v>
      </c>
      <c r="IE74" s="347" t="e">
        <v>#N/A</v>
      </c>
      <c r="IF74" s="347" t="e">
        <v>#N/A</v>
      </c>
      <c r="IG74" s="347" t="e">
        <v>#N/A</v>
      </c>
      <c r="IH74" s="347" t="e">
        <v>#N/A</v>
      </c>
      <c r="II74" s="347" t="e">
        <v>#N/A</v>
      </c>
      <c r="IJ74" s="347" t="e">
        <v>#N/A</v>
      </c>
      <c r="IK74" s="347" t="e">
        <v>#N/A</v>
      </c>
      <c r="IL74" s="347" t="e">
        <v>#N/A</v>
      </c>
      <c r="IM74" s="347" t="e">
        <v>#N/A</v>
      </c>
      <c r="IN74" s="347" t="e">
        <v>#N/A</v>
      </c>
      <c r="IO74" s="347" t="e">
        <v>#N/A</v>
      </c>
      <c r="IP74" s="347" t="e">
        <v>#N/A</v>
      </c>
      <c r="IQ74" s="347" t="e">
        <v>#N/A</v>
      </c>
      <c r="IR74" s="347" t="e">
        <v>#N/A</v>
      </c>
      <c r="IS74" s="347" t="e">
        <v>#N/A</v>
      </c>
      <c r="IT74" s="347" t="e">
        <v>#N/A</v>
      </c>
      <c r="IU74" s="347" t="e">
        <v>#N/A</v>
      </c>
      <c r="IV74" s="347" t="e">
        <v>#N/A</v>
      </c>
      <c r="IW74" s="347" t="e">
        <v>#N/A</v>
      </c>
      <c r="IX74" s="347" t="e">
        <v>#N/A</v>
      </c>
      <c r="IY74" s="347" t="e">
        <v>#N/A</v>
      </c>
      <c r="IZ74" s="347" t="e">
        <v>#N/A</v>
      </c>
      <c r="JA74" s="347" t="e">
        <v>#N/A</v>
      </c>
      <c r="JB74" s="347" t="e">
        <v>#N/A</v>
      </c>
      <c r="JC74" s="347" t="e">
        <v>#N/A</v>
      </c>
      <c r="JD74" s="347" t="e">
        <v>#N/A</v>
      </c>
      <c r="JE74" s="347" t="e">
        <v>#N/A</v>
      </c>
      <c r="JF74" s="347" t="e">
        <v>#N/A</v>
      </c>
      <c r="JG74" s="347" t="e">
        <v>#N/A</v>
      </c>
      <c r="JH74" s="347" t="e">
        <v>#N/A</v>
      </c>
      <c r="JI74" s="347" t="e">
        <v>#N/A</v>
      </c>
      <c r="JJ74" s="347" t="e">
        <v>#N/A</v>
      </c>
      <c r="JK74" s="347" t="e">
        <v>#N/A</v>
      </c>
      <c r="JL74" s="347" t="e">
        <v>#N/A</v>
      </c>
      <c r="JM74" s="347" t="e">
        <v>#N/A</v>
      </c>
      <c r="JN74" s="347" t="e">
        <v>#N/A</v>
      </c>
      <c r="JO74" s="347" t="e">
        <v>#N/A</v>
      </c>
      <c r="JP74" s="347" t="e">
        <v>#N/A</v>
      </c>
      <c r="JQ74" s="347" t="e">
        <v>#N/A</v>
      </c>
      <c r="JR74" s="347" t="e">
        <v>#N/A</v>
      </c>
      <c r="JS74" s="347" t="e">
        <v>#N/A</v>
      </c>
      <c r="JT74" s="347" t="e">
        <v>#N/A</v>
      </c>
      <c r="JU74" s="347" t="e">
        <v>#N/A</v>
      </c>
      <c r="JV74" s="347" t="e">
        <v>#N/A</v>
      </c>
      <c r="JW74" s="347" t="e">
        <v>#N/A</v>
      </c>
      <c r="JX74" s="347" t="e">
        <v>#N/A</v>
      </c>
      <c r="JY74" s="347" t="e">
        <v>#N/A</v>
      </c>
      <c r="JZ74" s="347" t="e">
        <v>#N/A</v>
      </c>
      <c r="KA74" s="347" t="e">
        <v>#N/A</v>
      </c>
      <c r="KB74" s="347" t="e">
        <v>#N/A</v>
      </c>
      <c r="KC74" s="347" t="e">
        <v>#N/A</v>
      </c>
      <c r="KD74" s="347" t="e">
        <v>#N/A</v>
      </c>
      <c r="KE74" s="347" t="e">
        <v>#N/A</v>
      </c>
      <c r="KF74" s="347" t="e">
        <v>#N/A</v>
      </c>
      <c r="KG74" s="347" t="e">
        <v>#N/A</v>
      </c>
      <c r="KH74" s="347" t="e">
        <v>#N/A</v>
      </c>
      <c r="KI74" s="347" t="e">
        <v>#N/A</v>
      </c>
      <c r="KJ74" s="347" t="e">
        <v>#N/A</v>
      </c>
      <c r="KK74" s="347" t="e">
        <v>#N/A</v>
      </c>
      <c r="KL74" s="347" t="e">
        <v>#N/A</v>
      </c>
      <c r="KM74" s="347" t="e">
        <v>#N/A</v>
      </c>
      <c r="KN74" s="347" t="e">
        <v>#N/A</v>
      </c>
    </row>
  </sheetData>
  <dataValidations disablePrompts="1" count="1">
    <dataValidation type="list" allowBlank="1" showInputMessage="1" showErrorMessage="1" sqref="A1" xr:uid="{00000000-0002-0000-0400-000000000000}">
      <formula1>"TRUE, FALSE"</formula1>
    </dataValidation>
  </dataValidations>
  <pageMargins left="0.7" right="0.7" top="0.75" bottom="0.75" header="0.3" footer="0.3"/>
  <pageSetup orientation="portrait" horizontalDpi="4294967292" verticalDpi="4294967292"/>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6</vt:i4>
      </vt:variant>
      <vt:variant>
        <vt:lpstr>Named Ranges</vt:lpstr>
      </vt:variant>
      <vt:variant>
        <vt:i4>13</vt:i4>
      </vt:variant>
    </vt:vector>
  </HeadingPairs>
  <TitlesOfParts>
    <vt:vector size="19" baseType="lpstr">
      <vt:lpstr>TODO</vt:lpstr>
      <vt:lpstr>INPUTS</vt:lpstr>
      <vt:lpstr>Analysis - No risk</vt:lpstr>
      <vt:lpstr>CODING_NO_RISK</vt:lpstr>
      <vt:lpstr>Analysis - with risk</vt:lpstr>
      <vt:lpstr>CODING_WITH_RISK</vt:lpstr>
      <vt:lpstr>BilledDemand_Risk</vt:lpstr>
      <vt:lpstr>DeflateFactor_Det</vt:lpstr>
      <vt:lpstr>DeflateFactor_Risk</vt:lpstr>
      <vt:lpstr>DeflateFactor_TariffSetting</vt:lpstr>
      <vt:lpstr>Inflation_Risk</vt:lpstr>
      <vt:lpstr>Inflation_TariffSetting</vt:lpstr>
      <vt:lpstr>PotentialConnections</vt:lpstr>
      <vt:lpstr>RAND_RNG1</vt:lpstr>
      <vt:lpstr>RAND_RNG2</vt:lpstr>
      <vt:lpstr>RAND_RNG3</vt:lpstr>
      <vt:lpstr>RealExRate_Risk</vt:lpstr>
      <vt:lpstr>TariffIndex_Det</vt:lpstr>
      <vt:lpstr>TariffIndex_Risk</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Rafael Nicolas Fermin Cota</dc:creator>
  <cp:lastModifiedBy>Rafael Nicolas Fermin Cota</cp:lastModifiedBy>
  <dcterms:created xsi:type="dcterms:W3CDTF">2012-09-28T10:19:46Z</dcterms:created>
  <dcterms:modified xsi:type="dcterms:W3CDTF">2022-02-23T17:52:29Z</dcterms:modified>
</cp:coreProperties>
</file>